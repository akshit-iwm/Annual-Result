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947FBB5-6E17-4570-88C6-FE7B54DE363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0" i="1" l="1"/>
  <c r="CO7" i="1"/>
  <c r="CS7" i="1" s="1"/>
  <c r="CW7" i="1" s="1"/>
  <c r="DA7" i="1" s="1"/>
  <c r="CN7" i="1"/>
  <c r="CR7" i="1" s="1"/>
  <c r="CV7" i="1" s="1"/>
  <c r="CZ7" i="1" s="1"/>
  <c r="CM7" i="1"/>
  <c r="CQ7" i="1" s="1"/>
  <c r="CU7" i="1" s="1"/>
  <c r="CY7" i="1" s="1"/>
  <c r="CO6" i="1"/>
  <c r="CS6" i="1" s="1"/>
  <c r="CW6" i="1" s="1"/>
  <c r="DA6" i="1" s="1"/>
  <c r="CN6" i="1"/>
  <c r="CR6" i="1" s="1"/>
  <c r="CV6" i="1" s="1"/>
  <c r="CZ6" i="1" s="1"/>
  <c r="CM6" i="1"/>
  <c r="CQ6" i="1" s="1"/>
  <c r="CU6" i="1" s="1"/>
  <c r="CY6" i="1" s="1"/>
  <c r="CO5" i="1"/>
  <c r="CS5" i="1" s="1"/>
  <c r="CN5" i="1"/>
  <c r="CR5" i="1" s="1"/>
  <c r="CV5" i="1" s="1"/>
  <c r="CZ5" i="1" s="1"/>
  <c r="CM5" i="1"/>
  <c r="CQ5" i="1" s="1"/>
  <c r="CU5" i="1" s="1"/>
  <c r="CY5" i="1" s="1"/>
  <c r="CO4" i="1"/>
  <c r="CN4" i="1"/>
  <c r="CR4" i="1" s="1"/>
  <c r="CM4" i="1"/>
  <c r="CQ4" i="1" s="1"/>
  <c r="CL7" i="1"/>
  <c r="CP7" i="1" s="1"/>
  <c r="CT7" i="1" s="1"/>
  <c r="CX7" i="1" s="1"/>
  <c r="DB7" i="1" s="1"/>
  <c r="CL6" i="1"/>
  <c r="CL5" i="1"/>
  <c r="CP5" i="1" s="1"/>
  <c r="CT5" i="1" s="1"/>
  <c r="CX5" i="1" s="1"/>
  <c r="DB5" i="1" s="1"/>
  <c r="CL4" i="1"/>
  <c r="CK14" i="1"/>
  <c r="CJ14" i="1"/>
  <c r="CI14" i="1"/>
  <c r="CH14" i="1"/>
  <c r="CG14" i="1"/>
  <c r="CF14" i="1"/>
  <c r="CE14" i="1"/>
  <c r="CD14" i="1"/>
  <c r="CC14" i="1"/>
  <c r="CB14" i="1"/>
  <c r="CK13" i="1"/>
  <c r="CJ13" i="1"/>
  <c r="CI13" i="1"/>
  <c r="CH13" i="1"/>
  <c r="CG13" i="1"/>
  <c r="CF13" i="1"/>
  <c r="CE13" i="1"/>
  <c r="CD13" i="1"/>
  <c r="CC13" i="1"/>
  <c r="CB13" i="1"/>
  <c r="CK12" i="1"/>
  <c r="CJ12" i="1"/>
  <c r="CI12" i="1"/>
  <c r="CH12" i="1"/>
  <c r="CG12" i="1"/>
  <c r="CF12" i="1"/>
  <c r="CE12" i="1"/>
  <c r="CD12" i="1"/>
  <c r="CC12" i="1"/>
  <c r="CB12" i="1"/>
  <c r="CK11" i="1"/>
  <c r="CJ11" i="1"/>
  <c r="CI11" i="1"/>
  <c r="CH11" i="1"/>
  <c r="CG11" i="1"/>
  <c r="CF11" i="1"/>
  <c r="CE11" i="1"/>
  <c r="CD11" i="1"/>
  <c r="CC11" i="1"/>
  <c r="CB11" i="1"/>
  <c r="CA14" i="1"/>
  <c r="CA13" i="1"/>
  <c r="CA12" i="1"/>
  <c r="CA11" i="1"/>
  <c r="CH8" i="1"/>
  <c r="CG8" i="1"/>
  <c r="CF8" i="1"/>
  <c r="CE8" i="1"/>
  <c r="CD8" i="1"/>
  <c r="CC8" i="1"/>
  <c r="CB8" i="1"/>
  <c r="CA8" i="1"/>
  <c r="BZ8" i="1"/>
  <c r="BY8" i="1"/>
  <c r="BX8" i="1"/>
  <c r="BW8" i="1"/>
  <c r="CK8" i="1"/>
  <c r="CJ8" i="1"/>
  <c r="CI8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47" i="1"/>
  <c r="AB20" i="1"/>
  <c r="AC20" i="1"/>
  <c r="AD20" i="1"/>
  <c r="AE20" i="1"/>
  <c r="AB33" i="1"/>
  <c r="AC33" i="1"/>
  <c r="AD33" i="1"/>
  <c r="AE33" i="1"/>
  <c r="AE32" i="1"/>
  <c r="AD32" i="1"/>
  <c r="AC32" i="1"/>
  <c r="AB32" i="1"/>
  <c r="AJ220" i="1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C70" i="2"/>
  <c r="AC94" i="2"/>
  <c r="AE60" i="2"/>
  <c r="AE84" i="2"/>
  <c r="AD99" i="2"/>
  <c r="AC88" i="2"/>
  <c r="AB90" i="2"/>
  <c r="AE97" i="2"/>
  <c r="AF18" i="2"/>
  <c r="AE40" i="2"/>
  <c r="AC73" i="2"/>
  <c r="AE106" i="2"/>
  <c r="AB32" i="2"/>
  <c r="AF64" i="2"/>
  <c r="AB84" i="2"/>
  <c r="AB104" i="2"/>
  <c r="AE67" i="2"/>
  <c r="AE91" i="2"/>
  <c r="AF92" i="2"/>
  <c r="AC8" i="2"/>
  <c r="AC74" i="2"/>
  <c r="AC98" i="2"/>
  <c r="AE52" i="2"/>
  <c r="AC91" i="2"/>
  <c r="AB51" i="2"/>
  <c r="AB92" i="2"/>
  <c r="AC62" i="2"/>
  <c r="AD33" i="2"/>
  <c r="AF87" i="2"/>
  <c r="AB64" i="2"/>
  <c r="AE68" i="2"/>
  <c r="AF94" i="2"/>
  <c r="AC108" i="2"/>
  <c r="AD105" i="2"/>
  <c r="AB53" i="2"/>
  <c r="AD42" i="2"/>
  <c r="AC81" i="2"/>
  <c r="AF57" i="2"/>
  <c r="AE83" i="2"/>
  <c r="AB70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15" i="2"/>
  <c r="AD50" i="2"/>
  <c r="AC10" i="2"/>
  <c r="AC34" i="2"/>
  <c r="AE72" i="2"/>
  <c r="AC99" i="2"/>
  <c r="AF30" i="2"/>
  <c r="AB62" i="2"/>
  <c r="AD67" i="2"/>
  <c r="AD83" i="2"/>
  <c r="AE61" i="2"/>
  <c r="AC36" i="2"/>
  <c r="AB74" i="2"/>
  <c r="AB110" i="2"/>
  <c r="AE73" i="2"/>
  <c r="AC93" i="2"/>
  <c r="AF53" i="2"/>
  <c r="AE13" i="2"/>
  <c r="AC61" i="2"/>
  <c r="AC85" i="2"/>
  <c r="AB68" i="2"/>
  <c r="AD63" i="2"/>
  <c r="AE19" i="2"/>
  <c r="AF84" i="2"/>
  <c r="AF95" i="2"/>
  <c r="AC26" i="2"/>
  <c r="AD54" i="2"/>
  <c r="AD96" i="2"/>
  <c r="AE29" i="2"/>
  <c r="AE94" i="2"/>
  <c r="AB86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C68" i="2"/>
  <c r="AC92" i="2"/>
  <c r="AC55" i="2"/>
  <c r="AD77" i="2"/>
  <c r="AD93" i="2"/>
  <c r="AE11" i="2"/>
  <c r="AE77" i="2"/>
  <c r="AE105" i="2"/>
  <c r="AD107" i="2"/>
  <c r="AE71" i="2"/>
  <c r="AB78" i="2"/>
  <c r="AC24" i="2"/>
  <c r="AB71" i="2"/>
  <c r="AC109" i="2"/>
  <c r="AC47" i="2"/>
  <c r="AE107" i="2"/>
  <c r="AF104" i="2"/>
  <c r="AC86" i="2"/>
  <c r="AD52" i="2"/>
  <c r="AF79" i="2"/>
  <c r="AF107" i="2"/>
  <c r="AB36" i="2"/>
  <c r="AC53" i="2"/>
  <c r="AF78" i="2"/>
  <c r="AD72" i="2"/>
  <c r="AD108" i="2"/>
  <c r="AE59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E95" i="2"/>
  <c r="AE58" i="2"/>
  <c r="AB94" i="2"/>
  <c r="AC78" i="2"/>
  <c r="AC106" i="2"/>
  <c r="AB107" i="2"/>
  <c r="AC79" i="2"/>
  <c r="AB76" i="2"/>
  <c r="AF68" i="2"/>
  <c r="AC9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D97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C43" i="2"/>
  <c r="AC82" i="2"/>
  <c r="AC110" i="2"/>
  <c r="AD91" i="2"/>
  <c r="AB98" i="2"/>
  <c r="AE46" i="2"/>
  <c r="AE85" i="2"/>
  <c r="AF7" i="2"/>
  <c r="AF42" i="2"/>
  <c r="AF58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C16" i="2"/>
  <c r="AC76" i="2"/>
  <c r="AC104" i="2"/>
  <c r="AB66" i="2"/>
  <c r="AB82" i="2"/>
  <c r="AF15" i="2"/>
  <c r="AF23" i="2"/>
  <c r="AF31" i="2"/>
  <c r="AF50" i="2"/>
  <c r="AE16" i="2"/>
  <c r="AE28" i="2"/>
  <c r="AE43" i="2"/>
  <c r="AE55" i="2"/>
  <c r="AF16" i="2"/>
  <c r="AF32" i="2"/>
  <c r="AF51" i="2"/>
  <c r="AB63" i="2"/>
  <c r="AB79" i="2"/>
  <c r="AB87" i="2"/>
  <c r="AB95" i="2"/>
  <c r="AF34" i="2"/>
  <c r="AC67" i="2"/>
  <c r="AF6" i="2"/>
  <c r="AE92" i="2"/>
  <c r="AD19" i="2"/>
  <c r="AE50" i="2"/>
  <c r="AC80" i="2"/>
  <c r="AE89" i="2"/>
  <c r="AB18" i="2"/>
  <c r="AB16" i="2"/>
  <c r="AF71" i="2"/>
  <c r="AE80" i="2"/>
  <c r="AE56" i="2"/>
  <c r="AD79" i="2"/>
  <c r="AE35" i="2"/>
  <c r="AC66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B9" i="2"/>
  <c r="AB17" i="2"/>
  <c r="AB25" i="2"/>
  <c r="AB33" i="2"/>
  <c r="AB44" i="2"/>
  <c r="AB52" i="2"/>
  <c r="AE6" i="2"/>
  <c r="AE18" i="2"/>
  <c r="AE30" i="2"/>
  <c r="AE45" i="2"/>
  <c r="AE57" i="2"/>
  <c r="AD64" i="2"/>
  <c r="AD88" i="2"/>
  <c r="AC69" i="2"/>
  <c r="AD95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F108" i="2"/>
  <c r="AE69" i="2"/>
  <c r="AE93" i="2"/>
  <c r="AE42" i="2"/>
  <c r="AF76" i="2"/>
  <c r="AE25" i="2"/>
  <c r="AE79" i="2"/>
  <c r="AF63" i="2"/>
  <c r="AC32" i="2"/>
  <c r="AD69" i="2"/>
  <c r="AD85" i="2"/>
  <c r="AE65" i="2"/>
  <c r="AB34" i="2"/>
  <c r="AD80" i="2"/>
  <c r="AD7" i="2"/>
  <c r="AE5" i="2"/>
  <c r="AF22" i="2"/>
  <c r="AE7" i="2"/>
  <c r="AB106" i="2"/>
  <c r="AA183" i="1" l="1"/>
  <c r="AA182" i="1"/>
  <c r="AA181" i="1"/>
  <c r="AA175" i="1"/>
  <c r="AA174" i="1"/>
  <c r="AA171" i="1"/>
  <c r="AA170" i="1"/>
  <c r="AA166" i="1"/>
  <c r="AA164" i="1"/>
  <c r="AA162" i="1"/>
  <c r="AA161" i="1"/>
  <c r="AA160" i="1"/>
  <c r="AA158" i="1"/>
  <c r="AA157" i="1"/>
  <c r="AA156" i="1"/>
  <c r="AA155" i="1"/>
  <c r="AA154" i="1"/>
  <c r="AA153" i="1"/>
  <c r="AA159" i="1" s="1"/>
  <c r="AA151" i="1"/>
  <c r="AA148" i="1"/>
  <c r="AA147" i="1"/>
  <c r="AA146" i="1"/>
  <c r="AA144" i="1"/>
  <c r="AA143" i="1"/>
  <c r="AA142" i="1"/>
  <c r="AA138" i="1"/>
  <c r="AA137" i="1"/>
  <c r="AA136" i="1"/>
  <c r="AA135" i="1"/>
  <c r="AA139" i="1" s="1"/>
  <c r="AA133" i="1"/>
  <c r="AA130" i="1"/>
  <c r="AA129" i="1"/>
  <c r="AA128" i="1"/>
  <c r="AA90" i="1"/>
  <c r="AA89" i="1"/>
  <c r="AA88" i="1"/>
  <c r="AA78" i="1"/>
  <c r="AA62" i="1"/>
  <c r="AA58" i="1"/>
  <c r="AA57" i="1"/>
  <c r="AA56" i="1"/>
  <c r="AA50" i="1"/>
  <c r="AA47" i="1"/>
  <c r="AA46" i="1"/>
  <c r="AA43" i="1"/>
  <c r="AA36" i="1"/>
  <c r="AA35" i="1"/>
  <c r="AA34" i="1"/>
  <c r="AA33" i="1"/>
  <c r="AA32" i="1"/>
  <c r="AA31" i="1"/>
  <c r="AA37" i="1" s="1"/>
  <c r="AA26" i="1"/>
  <c r="AA24" i="1"/>
  <c r="AA20" i="1"/>
  <c r="AA19" i="1"/>
  <c r="AA264" i="1"/>
  <c r="AA145" i="1"/>
  <c r="AA149" i="1" s="1"/>
  <c r="AA131" i="1"/>
  <c r="AA21" i="1"/>
  <c r="AA48" i="1"/>
  <c r="AA44" i="1"/>
  <c r="AA38" i="1"/>
  <c r="CP6" i="1"/>
  <c r="CT6" i="1" s="1"/>
  <c r="CX6" i="1" s="1"/>
  <c r="DB6" i="1" s="1"/>
  <c r="CS4" i="1"/>
  <c r="CW4" i="1" s="1"/>
  <c r="CP4" i="1"/>
  <c r="CT4" i="1" s="1"/>
  <c r="CL8" i="1"/>
  <c r="CO8" i="1"/>
  <c r="CO19" i="1" s="1"/>
  <c r="CW5" i="1"/>
  <c r="DA5" i="1" s="1"/>
  <c r="CS8" i="1"/>
  <c r="CS19" i="1" s="1"/>
  <c r="CU4" i="1"/>
  <c r="CU8" i="1" s="1"/>
  <c r="CU19" i="1" s="1"/>
  <c r="CQ8" i="1"/>
  <c r="CQ19" i="1" s="1"/>
  <c r="CM8" i="1"/>
  <c r="CM19" i="1" s="1"/>
  <c r="CN8" i="1"/>
  <c r="CN19" i="1" s="1"/>
  <c r="CP8" i="1"/>
  <c r="CP19" i="1" s="1"/>
  <c r="CR8" i="1"/>
  <c r="CR19" i="1" s="1"/>
  <c r="CV4" i="1"/>
  <c r="CT8" i="1"/>
  <c r="CT19" i="1" s="1"/>
  <c r="CX4" i="1"/>
  <c r="DA4" i="1"/>
  <c r="CW8" i="1"/>
  <c r="CW19" i="1" s="1"/>
  <c r="B1" i="9"/>
  <c r="AE111" i="2"/>
  <c r="AD111" i="2"/>
  <c r="AE112" i="2"/>
  <c r="AC113" i="2"/>
  <c r="AD113" i="2"/>
  <c r="AE113" i="2"/>
  <c r="AB113" i="2"/>
  <c r="AA85" i="1" s="1"/>
  <c r="AF112" i="2"/>
  <c r="AF111" i="2"/>
  <c r="AC112" i="2"/>
  <c r="L1" i="9"/>
  <c r="AB112" i="2"/>
  <c r="AA84" i="1" s="1"/>
  <c r="AC111" i="2"/>
  <c r="AB111" i="2"/>
  <c r="A1" i="9"/>
  <c r="AD112" i="2"/>
  <c r="AF113" i="2"/>
  <c r="AA205" i="1" l="1"/>
  <c r="AA194" i="1"/>
  <c r="AA193" i="1"/>
  <c r="AA191" i="1"/>
  <c r="AA190" i="1"/>
  <c r="AA186" i="1"/>
  <c r="AA184" i="1"/>
  <c r="AA172" i="1"/>
  <c r="AA263" i="1"/>
  <c r="AA242" i="1"/>
  <c r="AA179" i="1"/>
  <c r="AA120" i="1" s="1"/>
  <c r="AA165" i="1"/>
  <c r="AA167" i="1" s="1"/>
  <c r="AA27" i="1"/>
  <c r="AA109" i="1"/>
  <c r="AA192" i="1"/>
  <c r="AA257" i="1"/>
  <c r="AA259" i="1"/>
  <c r="AA196" i="1"/>
  <c r="AA195" i="1" s="1"/>
  <c r="AA168" i="1"/>
  <c r="AA140" i="1"/>
  <c r="AA176" i="1"/>
  <c r="AA177" i="1" s="1"/>
  <c r="CY4" i="1"/>
  <c r="CY8" i="1" s="1"/>
  <c r="CY19" i="1" s="1"/>
  <c r="DA8" i="1"/>
  <c r="DA19" i="1" s="1"/>
  <c r="DB4" i="1"/>
  <c r="DB8" i="1" s="1"/>
  <c r="DB19" i="1" s="1"/>
  <c r="CX8" i="1"/>
  <c r="CX19" i="1" s="1"/>
  <c r="CZ4" i="1"/>
  <c r="CZ8" i="1" s="1"/>
  <c r="CZ19" i="1" s="1"/>
  <c r="CV8" i="1"/>
  <c r="CV19" i="1" s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K147" i="1"/>
  <c r="CM147" i="1" s="1"/>
  <c r="CN147" i="1" s="1"/>
  <c r="CO147" i="1" s="1"/>
  <c r="CP147" i="1" s="1"/>
  <c r="CQ147" i="1" s="1"/>
  <c r="CR147" i="1" s="1"/>
  <c r="CS147" i="1" s="1"/>
  <c r="CT147" i="1" s="1"/>
  <c r="CU147" i="1" s="1"/>
  <c r="CV147" i="1" s="1"/>
  <c r="CW147" i="1" s="1"/>
  <c r="CX147" i="1" s="1"/>
  <c r="CY147" i="1" s="1"/>
  <c r="CZ147" i="1" s="1"/>
  <c r="DA147" i="1" s="1"/>
  <c r="DB147" i="1" s="1"/>
  <c r="CH163" i="1"/>
  <c r="CJ250" i="1"/>
  <c r="Z250" i="1"/>
  <c r="AA255" i="1" l="1"/>
  <c r="AA28" i="1"/>
  <c r="AA39" i="1"/>
  <c r="AA197" i="1"/>
  <c r="CI250" i="1"/>
  <c r="CG147" i="1"/>
  <c r="CG250" i="1"/>
  <c r="CH250" i="1"/>
  <c r="AB24" i="1"/>
  <c r="AC24" i="1"/>
  <c r="AD24" i="1"/>
  <c r="AE24" i="1"/>
  <c r="AB25" i="1"/>
  <c r="AC25" i="1"/>
  <c r="AD25" i="1"/>
  <c r="AE25" i="1"/>
  <c r="AB35" i="1"/>
  <c r="AC35" i="1"/>
  <c r="AD35" i="1"/>
  <c r="AE35" i="1"/>
  <c r="AB36" i="1"/>
  <c r="AC36" i="1"/>
  <c r="AD36" i="1"/>
  <c r="AE36" i="1"/>
  <c r="AB58" i="1"/>
  <c r="AC58" i="1"/>
  <c r="AD58" i="1"/>
  <c r="AE58" i="1"/>
  <c r="AB170" i="1"/>
  <c r="AC170" i="1"/>
  <c r="AD170" i="1"/>
  <c r="AE170" i="1"/>
  <c r="AB184" i="1"/>
  <c r="AC184" i="1"/>
  <c r="AD184" i="1"/>
  <c r="AE184" i="1"/>
  <c r="CE147" i="1"/>
  <c r="CE250" i="1"/>
  <c r="CF250" i="1"/>
  <c r="AI208" i="1"/>
  <c r="AI213" i="1"/>
  <c r="AI217" i="1"/>
  <c r="AI220" i="1"/>
  <c r="AI250" i="1"/>
  <c r="Y250" i="1"/>
  <c r="AM147" i="1"/>
  <c r="AO147" i="1"/>
  <c r="AQ147" i="1"/>
  <c r="AS147" i="1"/>
  <c r="AU147" i="1"/>
  <c r="AW147" i="1"/>
  <c r="AY147" i="1"/>
  <c r="BA147" i="1"/>
  <c r="BC147" i="1"/>
  <c r="BE147" i="1"/>
  <c r="BG147" i="1"/>
  <c r="BI147" i="1"/>
  <c r="BK147" i="1"/>
  <c r="BM147" i="1"/>
  <c r="BO147" i="1"/>
  <c r="BQ147" i="1"/>
  <c r="BS147" i="1"/>
  <c r="BU147" i="1"/>
  <c r="BW147" i="1"/>
  <c r="BY147" i="1"/>
  <c r="CA147" i="1"/>
  <c r="CC147" i="1"/>
  <c r="CD250" i="1"/>
  <c r="CC250" i="1"/>
  <c r="AJ250" i="1"/>
  <c r="AK250" i="1"/>
  <c r="AL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0" i="1" l="1"/>
  <c r="AA45" i="1"/>
  <c r="AA123" i="1"/>
  <c r="AA243" i="1"/>
  <c r="AA244" i="1" s="1"/>
  <c r="Y1" i="1"/>
  <c r="Z1" i="1" s="1"/>
  <c r="AA49" i="1" l="1"/>
  <c r="AA66" i="1"/>
  <c r="AA1" i="1"/>
  <c r="AB1" i="1" s="1"/>
  <c r="AC1" i="1" s="1"/>
  <c r="AD1" i="1" s="1"/>
  <c r="AE1" i="1" s="1"/>
  <c r="AA51" i="1" l="1"/>
  <c r="AA52" i="1"/>
  <c r="A1" i="3"/>
  <c r="AA53" i="1" l="1"/>
  <c r="AA256" i="1" s="1"/>
  <c r="AA59" i="1"/>
  <c r="AA245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25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FB14" i="4" a="1"/>
  <c r="EY8" i="4" a="1"/>
  <c r="FE13" i="4" a="1"/>
  <c r="BB35" i="3"/>
  <c r="BB36" i="3"/>
  <c r="FF13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EZ7" i="4" a="1"/>
  <c r="EZ5" i="4" a="1"/>
  <c r="Z87" i="2"/>
  <c r="Z28" i="2"/>
  <c r="AA25" i="2"/>
  <c r="Z7" i="2"/>
  <c r="FD8" i="4" a="1"/>
  <c r="EX15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24" i="2"/>
  <c r="BA30" i="3"/>
  <c r="BB29" i="3"/>
  <c r="FF16" i="4" a="1"/>
  <c r="FD15" i="4" a="1"/>
  <c r="EZ16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56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Z5" i="6" a="1"/>
  <c r="BA6" i="6" a="1"/>
  <c r="AZ6" i="6" a="1"/>
  <c r="BA5" i="6" a="1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Z61" i="2"/>
  <c r="BA41" i="3"/>
  <c r="Z23" i="2"/>
  <c r="Z90" i="2"/>
  <c r="AA21" i="2"/>
  <c r="BB33" i="3"/>
  <c r="AA97" i="2"/>
  <c r="Y66" i="2"/>
  <c r="Z71" i="2"/>
  <c r="Z56" i="2"/>
  <c r="BC35" i="3"/>
  <c r="EY7" i="4" a="1"/>
  <c r="FC8" i="4" a="1"/>
  <c r="FE9" i="4" a="1"/>
  <c r="FA9" i="4" a="1"/>
  <c r="FA13" i="4" a="1"/>
  <c r="EZ9" i="4" a="1"/>
  <c r="FE16" i="4" a="1"/>
  <c r="BV2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2" i="1" s="1"/>
  <c r="BJ12" i="3"/>
  <c r="BL31" i="3"/>
  <c r="BH19" i="3"/>
  <c r="BL17" i="3"/>
  <c r="BP6" i="3"/>
  <c r="BP8" i="3"/>
  <c r="BG32" i="3"/>
  <c r="BL8" i="3"/>
  <c r="BF25" i="3"/>
  <c r="CL47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AA58" i="2"/>
  <c r="BA15" i="3"/>
  <c r="BA32" i="3"/>
  <c r="BC45" i="3"/>
  <c r="Z35" i="2"/>
  <c r="Y45" i="2"/>
  <c r="Y81" i="2"/>
  <c r="BB8" i="3"/>
  <c r="BC22" i="3"/>
  <c r="Z26" i="2"/>
  <c r="BD27" i="3"/>
  <c r="Y41" i="2"/>
  <c r="AA57" i="2"/>
  <c r="FE5" i="4" a="1"/>
  <c r="FA11" i="4" a="1"/>
  <c r="BV20" i="3"/>
  <c r="BV38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3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34" i="1" s="1"/>
  <c r="BH33" i="3"/>
  <c r="BL25" i="3"/>
  <c r="BF24" i="3"/>
  <c r="BT9" i="3"/>
  <c r="BP14" i="3"/>
  <c r="BI33" i="3"/>
  <c r="BN9" i="3"/>
  <c r="BH26" i="3"/>
  <c r="BF45" i="3"/>
  <c r="CL74" i="1" s="1"/>
  <c r="CM74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4" i="1" s="1"/>
  <c r="BV14" i="3"/>
  <c r="BV32" i="3"/>
  <c r="BV46" i="3"/>
  <c r="BS10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50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31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U10" i="3"/>
  <c r="BH30" i="3"/>
  <c r="BO19" i="3"/>
  <c r="BF11" i="3"/>
  <c r="CL26" i="1" s="1"/>
  <c r="BP31" i="3"/>
  <c r="BK46" i="3"/>
  <c r="BL23" i="3"/>
  <c r="BT45" i="3"/>
  <c r="BF35" i="3"/>
  <c r="CL57" i="1" s="1"/>
  <c r="BF28" i="3"/>
  <c r="CL43" i="1" s="1"/>
  <c r="AA14" i="2"/>
  <c r="BC37" i="3"/>
  <c r="Z20" i="2"/>
  <c r="Z70" i="2"/>
  <c r="BC42" i="3"/>
  <c r="Z94" i="2"/>
  <c r="AV10" i="3"/>
  <c r="BC34" i="3"/>
  <c r="Z52" i="2"/>
  <c r="Z43" i="2"/>
  <c r="FA8" i="4" a="1"/>
  <c r="FC5" i="4" a="1"/>
  <c r="FB6" i="4" a="1"/>
  <c r="FF7" i="4" a="1"/>
  <c r="BU16" i="3"/>
  <c r="BE12" i="3"/>
  <c r="BS22" i="3"/>
  <c r="BF23" i="3"/>
  <c r="CL46" i="1" s="1"/>
  <c r="BP13" i="3"/>
  <c r="BF15" i="3"/>
  <c r="CL35" i="1" s="1"/>
  <c r="BN34" i="3"/>
  <c r="BP20" i="3"/>
  <c r="BK5" i="3"/>
  <c r="Z104" i="2"/>
  <c r="BD26" i="3"/>
  <c r="Y9" i="2"/>
  <c r="Z80" i="2"/>
  <c r="BB21" i="3"/>
  <c r="Y55" i="2"/>
  <c r="BB27" i="3"/>
  <c r="BB31" i="3"/>
  <c r="Y95" i="2"/>
  <c r="Z63" i="2"/>
  <c r="EY14" i="4" a="1"/>
  <c r="FD6" i="4" a="1"/>
  <c r="EX6" i="4" a="1"/>
  <c r="FD5" i="4" a="1"/>
  <c r="Y56" i="2"/>
  <c r="FE14" i="4" a="1"/>
  <c r="FE11" i="4" a="1"/>
  <c r="EX8" i="4" a="1"/>
  <c r="Y89" i="2"/>
  <c r="FD11" i="4" a="1"/>
  <c r="BP33" i="3"/>
  <c r="BD30" i="3"/>
  <c r="BU22" i="3"/>
  <c r="BM32" i="3"/>
  <c r="BO25" i="3"/>
  <c r="BL34" i="3"/>
  <c r="BI5" i="3"/>
  <c r="BJ23" i="3"/>
  <c r="BH41" i="3"/>
  <c r="BP40" i="3"/>
  <c r="BM10" i="3"/>
  <c r="Y21" i="2"/>
  <c r="BA26" i="3"/>
  <c r="AA106" i="2"/>
  <c r="Y106" i="2"/>
  <c r="BB18" i="3"/>
  <c r="Z74" i="2"/>
  <c r="BB26" i="3"/>
  <c r="BB42" i="3"/>
  <c r="Z34" i="2"/>
  <c r="Z51" i="2"/>
  <c r="FA6" i="4" a="1"/>
  <c r="FE8" i="4" a="1"/>
  <c r="FB11" i="4" a="1"/>
  <c r="FA14" i="4" a="1"/>
  <c r="Z17" i="2"/>
  <c r="EZ8" i="4" a="1"/>
  <c r="BG23" i="3"/>
  <c r="AA78" i="2"/>
  <c r="BC13" i="3"/>
  <c r="FC13" i="4" a="1"/>
  <c r="BC46" i="3"/>
  <c r="FF6" i="4" a="1"/>
  <c r="EY13" i="4" a="1"/>
  <c r="BL10" i="3"/>
  <c r="BK36" i="3"/>
  <c r="BT37" i="3"/>
  <c r="V6" i="2"/>
  <c r="Y52" i="2"/>
  <c r="Z93" i="2"/>
  <c r="FF11" i="4" a="1"/>
  <c r="BU28" i="3"/>
  <c r="BF46" i="3"/>
  <c r="CL75" i="1" s="1"/>
  <c r="CK75" i="1" s="1"/>
  <c r="CJ75" i="1" s="1"/>
  <c r="BS28" i="3"/>
  <c r="BG5" i="3"/>
  <c r="BG8" i="3"/>
  <c r="BH34" i="3"/>
  <c r="BN42" i="3"/>
  <c r="BM25" i="3"/>
  <c r="BG11" i="3"/>
  <c r="AA40" i="2"/>
  <c r="Z108" i="2"/>
  <c r="BB32" i="3"/>
  <c r="Y19" i="2"/>
  <c r="Y61" i="2"/>
  <c r="AA88" i="2"/>
  <c r="AA13" i="2"/>
  <c r="BC36" i="3"/>
  <c r="BA10" i="3"/>
  <c r="Z8" i="2"/>
  <c r="FB13" i="4" a="1"/>
  <c r="FB5" i="4" a="1"/>
  <c r="EZ6" i="4" a="1"/>
  <c r="BB7" i="3"/>
  <c r="BA25" i="3"/>
  <c r="Y29" i="2"/>
  <c r="FA16" i="4" a="1"/>
  <c r="EY9" i="4" a="1"/>
  <c r="BS39" i="3"/>
  <c r="BI41" i="3"/>
  <c r="BE28" i="3"/>
  <c r="Z5" i="2"/>
  <c r="AA20" i="2"/>
  <c r="BB39" i="3"/>
  <c r="Z78" i="2"/>
  <c r="FA15" i="4" a="1"/>
  <c r="EZ13" i="4" a="1"/>
  <c r="BE41" i="3"/>
  <c r="BL15" i="3"/>
  <c r="BN33" i="3"/>
  <c r="BC20" i="3"/>
  <c r="FB15" i="4" a="1"/>
  <c r="BU34" i="3"/>
  <c r="BR17" i="3"/>
  <c r="BO31" i="3"/>
  <c r="BE14" i="3"/>
  <c r="BG10" i="3"/>
  <c r="BL42" i="3"/>
  <c r="BF32" i="3"/>
  <c r="BK34" i="3"/>
  <c r="BG21" i="3"/>
  <c r="Y73" i="2"/>
  <c r="Z30" i="2"/>
  <c r="BC32" i="3"/>
  <c r="AA48" i="2"/>
  <c r="Z86" i="2"/>
  <c r="AA56" i="2"/>
  <c r="Z45" i="2"/>
  <c r="BC6" i="3"/>
  <c r="EZ11" i="4" a="1"/>
  <c r="FB16" i="4" a="1"/>
  <c r="BD12" i="3"/>
  <c r="AA59" i="2"/>
  <c r="FF15" i="4" a="1"/>
  <c r="EX14" i="4" a="1"/>
  <c r="BV5" i="3"/>
  <c r="BE15" i="3"/>
  <c r="BN20" i="3"/>
  <c r="Y94" i="2"/>
  <c r="BD39" i="3"/>
  <c r="AA32" i="2"/>
  <c r="BC30" i="3"/>
  <c r="Y110" i="2"/>
  <c r="FB12" i="4" a="1"/>
  <c r="BH23" i="3"/>
  <c r="BD36" i="3"/>
  <c r="BU40" i="3"/>
  <c r="BR23" i="3"/>
  <c r="BS34" i="3"/>
  <c r="BK25" i="3"/>
  <c r="BE13" i="3"/>
  <c r="BM14" i="3"/>
  <c r="BJ14" i="3"/>
  <c r="BG40" i="3"/>
  <c r="BI26" i="3"/>
  <c r="AA54" i="2"/>
  <c r="Z54" i="2"/>
  <c r="BC8" i="3"/>
  <c r="AA10" i="2"/>
  <c r="Y25" i="2"/>
  <c r="AA73" i="2"/>
  <c r="AA70" i="2"/>
  <c r="Y48" i="2"/>
  <c r="BC26" i="3"/>
  <c r="EY5" i="4" a="1"/>
  <c r="BR29" i="3"/>
  <c r="BM34" i="3"/>
  <c r="FC7" i="4" a="1"/>
  <c r="BB11" i="3"/>
  <c r="BS16" i="3"/>
  <c r="Z106" i="2"/>
  <c r="FC12" i="4" a="1"/>
  <c r="FF8" i="4" a="1"/>
  <c r="BV11" i="3"/>
  <c r="BR35" i="3"/>
  <c r="BT11" i="3"/>
  <c r="BF18" i="3"/>
  <c r="CL36" i="1" s="1"/>
  <c r="BM17" i="3"/>
  <c r="BG35" i="3"/>
  <c r="BN36" i="3"/>
  <c r="BJ11" i="3"/>
  <c r="BG37" i="3"/>
  <c r="Y76" i="2"/>
  <c r="AA94" i="2"/>
  <c r="BB41" i="3"/>
  <c r="Z11" i="2"/>
  <c r="BD10" i="3"/>
  <c r="Z31" i="2"/>
  <c r="Y30" i="2"/>
  <c r="Z83" i="2"/>
  <c r="BC5" i="3"/>
  <c r="BD5" i="3"/>
  <c r="AA15" i="2"/>
  <c r="FE12" i="4" a="1"/>
  <c r="BS42" i="3"/>
  <c r="BR41" i="3"/>
  <c r="BT39" i="3"/>
  <c r="BL5" i="3"/>
  <c r="BM19" i="3"/>
  <c r="BN6" i="3"/>
  <c r="BN28" i="3"/>
  <c r="BF17" i="3"/>
  <c r="CL32" i="1" s="1"/>
  <c r="BI42" i="3"/>
  <c r="AA18" i="2"/>
  <c r="Z62" i="2"/>
  <c r="BC10" i="3"/>
  <c r="Y65" i="2"/>
  <c r="BA39" i="3"/>
  <c r="AA74" i="2"/>
  <c r="Y82" i="2"/>
  <c r="Y67" i="2"/>
  <c r="BD31" i="3"/>
  <c r="BB28" i="3"/>
  <c r="Y97" i="2"/>
  <c r="EX5" i="4" a="1"/>
  <c r="EY12" i="4" a="1"/>
  <c r="EY16" i="4" a="1"/>
  <c r="BA36" i="3"/>
  <c r="Y47" i="2"/>
  <c r="Z16" i="2"/>
  <c r="BA18" i="3"/>
  <c r="Z81" i="2"/>
  <c r="BD41" i="3"/>
  <c r="BT14" i="3"/>
  <c r="BO7" i="3"/>
  <c r="BP32" i="3"/>
  <c r="BT12" i="3"/>
  <c r="BK22" i="3"/>
  <c r="BH15" i="3"/>
  <c r="BH35" i="3"/>
  <c r="BL18" i="3"/>
  <c r="BJ8" i="3"/>
  <c r="Z48" i="2"/>
  <c r="AA47" i="2"/>
  <c r="BB37" i="3"/>
  <c r="AA50" i="2"/>
  <c r="AA82" i="2"/>
  <c r="BM31" i="3"/>
  <c r="BO13" i="3"/>
  <c r="BI29" i="3"/>
  <c r="BT32" i="3"/>
  <c r="BK24" i="3"/>
  <c r="BJ29" i="3"/>
  <c r="BT13" i="3"/>
  <c r="BJ27" i="3"/>
  <c r="BH45" i="3"/>
  <c r="Y75" i="2"/>
  <c r="BB24" i="3"/>
  <c r="BD13" i="3"/>
  <c r="Y91" i="2"/>
  <c r="BB5" i="3"/>
  <c r="Y92" i="2"/>
  <c r="BB13" i="3"/>
  <c r="Z32" i="2"/>
  <c r="BB10" i="3"/>
  <c r="BC33" i="3"/>
  <c r="CL58" i="1" l="1"/>
  <c r="AA63" i="1"/>
  <c r="AA65" i="1"/>
  <c r="AA204" i="1"/>
  <c r="AA206" i="1" s="1"/>
  <c r="CL19" i="1"/>
  <c r="CL20" i="1"/>
  <c r="CL37" i="1"/>
  <c r="CL21" i="1"/>
  <c r="CK74" i="1"/>
  <c r="CJ74" i="1" s="1"/>
  <c r="CL76" i="1"/>
  <c r="CK35" i="1"/>
  <c r="CK34" i="1"/>
  <c r="CK43" i="1"/>
  <c r="CK25" i="1"/>
  <c r="CK62" i="1"/>
  <c r="CK20" i="1"/>
  <c r="CK76" i="1"/>
  <c r="CK46" i="1"/>
  <c r="CK58" i="1"/>
  <c r="CK57" i="1"/>
  <c r="CK36" i="1"/>
  <c r="CK32" i="1"/>
  <c r="AZ7" i="6" s="1"/>
  <c r="BA7" i="6" s="1"/>
  <c r="CK24" i="1"/>
  <c r="CK33" i="1"/>
  <c r="CK50" i="1"/>
  <c r="CK19" i="1"/>
  <c r="CK26" i="1"/>
  <c r="CK47" i="1"/>
  <c r="CK31" i="1"/>
  <c r="CK37" i="1" s="1"/>
  <c r="CK56" i="1"/>
  <c r="Z58" i="1"/>
  <c r="CH56" i="1"/>
  <c r="CH26" i="1"/>
  <c r="X137" i="1"/>
  <c r="X165" i="1" s="1"/>
  <c r="Z133" i="1"/>
  <c r="CH133" i="1" s="1"/>
  <c r="CI133" i="1" s="1"/>
  <c r="Z34" i="1"/>
  <c r="Z166" i="1"/>
  <c r="CH166" i="1" s="1"/>
  <c r="CH50" i="1"/>
  <c r="CJ56" i="1"/>
  <c r="CJ20" i="1"/>
  <c r="X78" i="1"/>
  <c r="Y129" i="1"/>
  <c r="X58" i="1"/>
  <c r="Y32" i="1"/>
  <c r="X143" i="1"/>
  <c r="X128" i="1"/>
  <c r="Y128" i="1"/>
  <c r="Y20" i="1"/>
  <c r="Z182" i="1"/>
  <c r="Z89" i="1"/>
  <c r="Y161" i="1"/>
  <c r="Y143" i="1"/>
  <c r="X164" i="1"/>
  <c r="Y130" i="1"/>
  <c r="Y183" i="1"/>
  <c r="CI57" i="1"/>
  <c r="Y171" i="1"/>
  <c r="Z170" i="1"/>
  <c r="X36" i="1"/>
  <c r="CH43" i="1"/>
  <c r="CH205" i="1" s="1"/>
  <c r="CJ34" i="1"/>
  <c r="CI58" i="1"/>
  <c r="CJ35" i="1"/>
  <c r="CH46" i="1"/>
  <c r="X157" i="1"/>
  <c r="Y138" i="1"/>
  <c r="X89" i="1"/>
  <c r="Z47" i="1"/>
  <c r="Z175" i="1"/>
  <c r="CH175" i="1" s="1"/>
  <c r="CI175" i="1" s="1"/>
  <c r="X182" i="1"/>
  <c r="Y57" i="1"/>
  <c r="Z174" i="1"/>
  <c r="CH174" i="1" s="1"/>
  <c r="CI174" i="1" s="1"/>
  <c r="Y162" i="1"/>
  <c r="X162" i="1"/>
  <c r="X43" i="1"/>
  <c r="X205" i="1" s="1"/>
  <c r="Z148" i="1"/>
  <c r="CH148" i="1" s="1"/>
  <c r="CI148" i="1" s="1"/>
  <c r="CH24" i="1"/>
  <c r="CJ32" i="1"/>
  <c r="Y43" i="1"/>
  <c r="Y151" i="1"/>
  <c r="Z130" i="1"/>
  <c r="CH130" i="1" s="1"/>
  <c r="CJ25" i="1"/>
  <c r="CI19" i="1"/>
  <c r="CH57" i="1"/>
  <c r="CH19" i="1"/>
  <c r="CH62" i="1"/>
  <c r="CJ47" i="1"/>
  <c r="CI56" i="1"/>
  <c r="CJ31" i="1"/>
  <c r="CN31" i="1" s="1"/>
  <c r="CR31" i="1" s="1"/>
  <c r="CV31" i="1" s="1"/>
  <c r="CZ31" i="1" s="1"/>
  <c r="X146" i="1"/>
  <c r="X142" i="1" s="1"/>
  <c r="Y137" i="1"/>
  <c r="Y165" i="1" s="1"/>
  <c r="Z46" i="1"/>
  <c r="Y56" i="1"/>
  <c r="X148" i="1"/>
  <c r="Y175" i="1"/>
  <c r="X20" i="1"/>
  <c r="X183" i="1"/>
  <c r="Z43" i="1"/>
  <c r="X138" i="1"/>
  <c r="X136" i="1"/>
  <c r="CI46" i="1"/>
  <c r="CH25" i="1"/>
  <c r="CI33" i="1"/>
  <c r="CH58" i="1"/>
  <c r="CI75" i="1"/>
  <c r="CH75" i="1" s="1"/>
  <c r="CG75" i="1" s="1"/>
  <c r="CF75" i="1" s="1"/>
  <c r="CE75" i="1" s="1"/>
  <c r="CD75" i="1" s="1"/>
  <c r="CC75" i="1" s="1"/>
  <c r="CB75" i="1" s="1"/>
  <c r="CA75" i="1" s="1"/>
  <c r="BZ75" i="1" s="1"/>
  <c r="BY75" i="1" s="1"/>
  <c r="BX75" i="1" s="1"/>
  <c r="BW75" i="1" s="1"/>
  <c r="BV75" i="1" s="1"/>
  <c r="BU75" i="1" s="1"/>
  <c r="BT75" i="1" s="1"/>
  <c r="BS75" i="1" s="1"/>
  <c r="BR75" i="1" s="1"/>
  <c r="BQ75" i="1" s="1"/>
  <c r="BP75" i="1" s="1"/>
  <c r="BO75" i="1" s="1"/>
  <c r="BN75" i="1" s="1"/>
  <c r="BM75" i="1" s="1"/>
  <c r="BL75" i="1" s="1"/>
  <c r="BK75" i="1" s="1"/>
  <c r="BJ75" i="1" s="1"/>
  <c r="BI75" i="1" s="1"/>
  <c r="BH75" i="1" s="1"/>
  <c r="BG75" i="1" s="1"/>
  <c r="BF75" i="1" s="1"/>
  <c r="BE75" i="1" s="1"/>
  <c r="BD75" i="1" s="1"/>
  <c r="BC75" i="1" s="1"/>
  <c r="BB75" i="1" s="1"/>
  <c r="BA75" i="1" s="1"/>
  <c r="AZ75" i="1" s="1"/>
  <c r="AY75" i="1" s="1"/>
  <c r="AX75" i="1" s="1"/>
  <c r="AW75" i="1" s="1"/>
  <c r="AV75" i="1" s="1"/>
  <c r="AU75" i="1" s="1"/>
  <c r="AT75" i="1" s="1"/>
  <c r="AS75" i="1" s="1"/>
  <c r="AR75" i="1" s="1"/>
  <c r="AQ75" i="1" s="1"/>
  <c r="AP75" i="1" s="1"/>
  <c r="AO75" i="1" s="1"/>
  <c r="AN75" i="1" s="1"/>
  <c r="AM75" i="1" s="1"/>
  <c r="AL75" i="1" s="1"/>
  <c r="AK75" i="1" s="1"/>
  <c r="AJ75" i="1" s="1"/>
  <c r="AI75" i="1" s="1"/>
  <c r="CJ43" i="1"/>
  <c r="Z57" i="1"/>
  <c r="Z162" i="1"/>
  <c r="CH162" i="1" s="1"/>
  <c r="X50" i="1"/>
  <c r="Z56" i="1"/>
  <c r="X156" i="1"/>
  <c r="Y133" i="1"/>
  <c r="X166" i="1"/>
  <c r="Z35" i="1"/>
  <c r="X133" i="1"/>
  <c r="Z144" i="1"/>
  <c r="CH144" i="1" s="1"/>
  <c r="CI144" i="1" s="1"/>
  <c r="Z151" i="1"/>
  <c r="Z26" i="1"/>
  <c r="X24" i="1"/>
  <c r="Y88" i="1"/>
  <c r="Y181" i="1"/>
  <c r="Z181" i="1"/>
  <c r="X135" i="1"/>
  <c r="Y62" i="1"/>
  <c r="Y36" i="1"/>
  <c r="Y170" i="1"/>
  <c r="Z129" i="1"/>
  <c r="CH129" i="1" s="1"/>
  <c r="CI129" i="1" s="1"/>
  <c r="Y46" i="1"/>
  <c r="Y166" i="1"/>
  <c r="Z90" i="1"/>
  <c r="Z154" i="1"/>
  <c r="Z138" i="1"/>
  <c r="CH138" i="1" s="1"/>
  <c r="CI138" i="1" s="1"/>
  <c r="Y154" i="1"/>
  <c r="Y19" i="1"/>
  <c r="CI74" i="1"/>
  <c r="CH74" i="1" s="1"/>
  <c r="CG74" i="1" s="1"/>
  <c r="CF74" i="1" s="1"/>
  <c r="CE74" i="1" s="1"/>
  <c r="CD74" i="1" s="1"/>
  <c r="CC74" i="1" s="1"/>
  <c r="CB74" i="1" s="1"/>
  <c r="CA74" i="1" s="1"/>
  <c r="BZ74" i="1" s="1"/>
  <c r="BY74" i="1" s="1"/>
  <c r="BX74" i="1" s="1"/>
  <c r="BW74" i="1" s="1"/>
  <c r="BV74" i="1" s="1"/>
  <c r="BU74" i="1" s="1"/>
  <c r="BT74" i="1" s="1"/>
  <c r="BS74" i="1" s="1"/>
  <c r="BR74" i="1" s="1"/>
  <c r="BQ74" i="1" s="1"/>
  <c r="BP74" i="1" s="1"/>
  <c r="BO74" i="1" s="1"/>
  <c r="BN74" i="1" s="1"/>
  <c r="BM74" i="1" s="1"/>
  <c r="BL74" i="1" s="1"/>
  <c r="BK74" i="1" s="1"/>
  <c r="BJ74" i="1" s="1"/>
  <c r="BI74" i="1" s="1"/>
  <c r="BH74" i="1" s="1"/>
  <c r="BG74" i="1" s="1"/>
  <c r="BF74" i="1" s="1"/>
  <c r="BE74" i="1" s="1"/>
  <c r="BD74" i="1" s="1"/>
  <c r="BC74" i="1" s="1"/>
  <c r="BB74" i="1" s="1"/>
  <c r="BA74" i="1" s="1"/>
  <c r="AZ74" i="1" s="1"/>
  <c r="AY74" i="1" s="1"/>
  <c r="AX74" i="1" s="1"/>
  <c r="AW74" i="1" s="1"/>
  <c r="AV74" i="1" s="1"/>
  <c r="AU74" i="1" s="1"/>
  <c r="AT74" i="1" s="1"/>
  <c r="AS74" i="1" s="1"/>
  <c r="AR74" i="1" s="1"/>
  <c r="AQ74" i="1" s="1"/>
  <c r="AP74" i="1" s="1"/>
  <c r="AO74" i="1" s="1"/>
  <c r="AN74" i="1" s="1"/>
  <c r="AM74" i="1" s="1"/>
  <c r="AL74" i="1" s="1"/>
  <c r="AK74" i="1" s="1"/>
  <c r="AJ74" i="1" s="1"/>
  <c r="AI74" i="1" s="1"/>
  <c r="CH36" i="1"/>
  <c r="CH33" i="1"/>
  <c r="CJ57" i="1"/>
  <c r="CI62" i="1"/>
  <c r="CI50" i="1"/>
  <c r="CH34" i="1"/>
  <c r="CJ19" i="1"/>
  <c r="CI34" i="1"/>
  <c r="CJ26" i="1"/>
  <c r="CJ24" i="1"/>
  <c r="CG242" i="1"/>
  <c r="CI32" i="1"/>
  <c r="CH31" i="1"/>
  <c r="CP31" i="1" s="1"/>
  <c r="CT31" i="1" s="1"/>
  <c r="CX31" i="1" s="1"/>
  <c r="DB31" i="1" s="1"/>
  <c r="CI43" i="1"/>
  <c r="CI205" i="1" s="1"/>
  <c r="X171" i="1"/>
  <c r="Y147" i="1"/>
  <c r="Y34" i="1"/>
  <c r="Z128" i="1"/>
  <c r="X47" i="1"/>
  <c r="Y146" i="1"/>
  <c r="Y142" i="1" s="1"/>
  <c r="Y58" i="1"/>
  <c r="Y26" i="1"/>
  <c r="X151" i="1"/>
  <c r="Y33" i="1"/>
  <c r="X34" i="1"/>
  <c r="X160" i="1"/>
  <c r="X88" i="1"/>
  <c r="Y158" i="1"/>
  <c r="Y182" i="1"/>
  <c r="Z155" i="1"/>
  <c r="Z143" i="1"/>
  <c r="CH143" i="1" s="1"/>
  <c r="Y157" i="1"/>
  <c r="Z24" i="1"/>
  <c r="Z19" i="1"/>
  <c r="Y156" i="1"/>
  <c r="Z62" i="1"/>
  <c r="Z160" i="1"/>
  <c r="CH160" i="1" s="1"/>
  <c r="Z146" i="1"/>
  <c r="Y24" i="1"/>
  <c r="Y174" i="1"/>
  <c r="X57" i="1"/>
  <c r="X158" i="1"/>
  <c r="Z157" i="1"/>
  <c r="CH157" i="1" s="1"/>
  <c r="Z50" i="1"/>
  <c r="Y31" i="1"/>
  <c r="X174" i="1"/>
  <c r="Z136" i="1"/>
  <c r="CH136" i="1" s="1"/>
  <c r="CI136" i="1" s="1"/>
  <c r="X90" i="1"/>
  <c r="X33" i="1"/>
  <c r="X129" i="1"/>
  <c r="Y78" i="1"/>
  <c r="Z88" i="1"/>
  <c r="X32" i="1"/>
  <c r="X130" i="1"/>
  <c r="Y89" i="1"/>
  <c r="Z137" i="1"/>
  <c r="Y47" i="1"/>
  <c r="Y135" i="1"/>
  <c r="X19" i="1"/>
  <c r="CI35" i="1"/>
  <c r="CJ50" i="1"/>
  <c r="CH35" i="1"/>
  <c r="CI25" i="1"/>
  <c r="CJ46" i="1"/>
  <c r="CI26" i="1"/>
  <c r="CI24" i="1"/>
  <c r="CH47" i="1"/>
  <c r="CI47" i="1"/>
  <c r="CI31" i="1"/>
  <c r="CM31" i="1" s="1"/>
  <c r="CQ31" i="1" s="1"/>
  <c r="CU31" i="1" s="1"/>
  <c r="CY31" i="1" s="1"/>
  <c r="CJ33" i="1"/>
  <c r="CJ36" i="1"/>
  <c r="CH32" i="1"/>
  <c r="CE50" i="1"/>
  <c r="CJ58" i="1"/>
  <c r="CI36" i="1"/>
  <c r="CJ62" i="1"/>
  <c r="CH20" i="1"/>
  <c r="CI20" i="1"/>
  <c r="Y153" i="1"/>
  <c r="X62" i="1"/>
  <c r="Z135" i="1"/>
  <c r="CH135" i="1" s="1"/>
  <c r="CI135" i="1" s="1"/>
  <c r="Y144" i="1"/>
  <c r="Y35" i="1"/>
  <c r="X56" i="1"/>
  <c r="Z183" i="1"/>
  <c r="X26" i="1"/>
  <c r="Y160" i="1"/>
  <c r="Z171" i="1"/>
  <c r="CH171" i="1" s="1"/>
  <c r="X153" i="1"/>
  <c r="Y164" i="1"/>
  <c r="Y50" i="1"/>
  <c r="Z20" i="1"/>
  <c r="Z161" i="1"/>
  <c r="CH161" i="1" s="1"/>
  <c r="Y90" i="1"/>
  <c r="X46" i="1"/>
  <c r="X147" i="1"/>
  <c r="Z147" i="1"/>
  <c r="CH147" i="1" s="1"/>
  <c r="CI147" i="1" s="1"/>
  <c r="Z158" i="1"/>
  <c r="CH158" i="1" s="1"/>
  <c r="X144" i="1"/>
  <c r="Z31" i="1"/>
  <c r="Z156" i="1"/>
  <c r="CH156" i="1" s="1"/>
  <c r="Z153" i="1"/>
  <c r="CH153" i="1" s="1"/>
  <c r="X170" i="1"/>
  <c r="X161" i="1"/>
  <c r="Y136" i="1"/>
  <c r="Z32" i="1"/>
  <c r="Z33" i="1"/>
  <c r="Z78" i="1"/>
  <c r="Z36" i="1"/>
  <c r="X155" i="1"/>
  <c r="Y148" i="1"/>
  <c r="Y155" i="1"/>
  <c r="X175" i="1"/>
  <c r="X35" i="1"/>
  <c r="X31" i="1"/>
  <c r="Z164" i="1"/>
  <c r="CH164" i="1" s="1"/>
  <c r="X154" i="1"/>
  <c r="X181" i="1"/>
  <c r="BU58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53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46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4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44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4" i="1" s="1"/>
  <c r="BF66" i="3"/>
  <c r="CL162" i="1" s="1"/>
  <c r="BQ79" i="3"/>
  <c r="BQ71" i="3"/>
  <c r="BU72" i="3"/>
  <c r="BR50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7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57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E85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1" i="1" s="1"/>
  <c r="BB65" i="3"/>
  <c r="BB74" i="3"/>
  <c r="BB78" i="3"/>
  <c r="BG77" i="3"/>
  <c r="BH68" i="3"/>
  <c r="BF88" i="3"/>
  <c r="CL138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48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36" i="1" s="1"/>
  <c r="BB92" i="3"/>
  <c r="BB85" i="3"/>
  <c r="BB89" i="3"/>
  <c r="BG93" i="3"/>
  <c r="BH76" i="3"/>
  <c r="BF90" i="3"/>
  <c r="CL137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66" i="1" s="1"/>
  <c r="BF85" i="3"/>
  <c r="CL158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0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BT49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3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G59" i="3"/>
  <c r="BF87" i="3"/>
  <c r="CL16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K64" i="3"/>
  <c r="BP67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74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FG11" i="4" a="1"/>
  <c r="HD11" i="4" a="1"/>
  <c r="GX12" i="4" a="1"/>
  <c r="GR13" i="4" a="1"/>
  <c r="GI11" i="4" a="1"/>
  <c r="GC12" i="4" a="1"/>
  <c r="FW13" i="4" a="1"/>
  <c r="FQ14" i="4" a="1"/>
  <c r="FO6" i="4" a="1"/>
  <c r="GQ12" i="4" a="1"/>
  <c r="FL15" i="4" a="1"/>
  <c r="BG81" i="3"/>
  <c r="BI95" i="3"/>
  <c r="BL80" i="3"/>
  <c r="BE64" i="3"/>
  <c r="BQ91" i="3"/>
  <c r="BU75" i="3"/>
  <c r="BV85" i="3"/>
  <c r="BO66" i="3"/>
  <c r="BO90" i="3"/>
  <c r="BS96" i="3"/>
  <c r="BU69" i="3"/>
  <c r="BR88" i="3"/>
  <c r="BR94" i="3"/>
  <c r="BV88" i="3"/>
  <c r="BT71" i="3"/>
  <c r="BT81" i="3"/>
  <c r="BN89" i="3"/>
  <c r="BN56" i="3"/>
  <c r="BP74" i="3"/>
  <c r="BO56" i="3"/>
  <c r="BS89" i="3"/>
  <c r="BL73" i="3"/>
  <c r="BI56" i="3"/>
  <c r="BF68" i="3"/>
  <c r="CL145" i="1" s="1"/>
  <c r="BJ76" i="3"/>
  <c r="BJ61" i="3"/>
  <c r="BK59" i="3"/>
  <c r="BK49" i="3"/>
  <c r="FX6" i="4" a="1"/>
  <c r="GQ7" i="4" a="1"/>
  <c r="GJ12" i="4" a="1"/>
  <c r="GW5" i="4" a="1"/>
  <c r="GR8" i="4" a="1"/>
  <c r="GX8" i="4" a="1"/>
  <c r="GM8" i="4" a="1"/>
  <c r="FV11" i="4" a="1"/>
  <c r="GF5" i="4" a="1"/>
  <c r="FL6" i="4" a="1"/>
  <c r="GG12" i="4" a="1"/>
  <c r="GK6" i="4" a="1"/>
  <c r="GL7" i="4" a="1"/>
  <c r="FV13" i="4" a="1"/>
  <c r="GS6" i="4" a="1"/>
  <c r="FT9" i="4" a="1"/>
  <c r="FN13" i="4" a="1"/>
  <c r="GA11" i="4" a="1"/>
  <c r="GM12" i="4" a="1"/>
  <c r="GZ13" i="4" a="1"/>
  <c r="HB11" i="4" a="1"/>
  <c r="FJ13" i="4" a="1"/>
  <c r="FY14" i="4" a="1"/>
  <c r="GL9" i="4" a="1"/>
  <c r="GP14" i="4" a="1"/>
  <c r="GV15" i="4" a="1"/>
  <c r="FX16" i="4" a="1"/>
  <c r="GZ16" i="4" a="1"/>
  <c r="FV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FO16" i="4" a="1"/>
  <c r="GZ11" i="4" a="1"/>
  <c r="BD65" i="3"/>
  <c r="BG60" i="3"/>
  <c r="FO12" i="4" a="1"/>
  <c r="BD69" i="3"/>
  <c r="BE90" i="3"/>
  <c r="GA7" i="4" a="1"/>
  <c r="FQ5" i="4" a="1"/>
  <c r="HC13" i="4" a="1"/>
  <c r="FN16" i="4" a="1"/>
  <c r="BC86" i="3"/>
  <c r="BA65" i="3"/>
  <c r="FV16" i="4" a="1"/>
  <c r="BM72" i="3"/>
  <c r="BI78" i="3"/>
  <c r="BL89" i="3"/>
  <c r="BI82" i="3"/>
  <c r="BQ68" i="3"/>
  <c r="BR62" i="3"/>
  <c r="BT74" i="3"/>
  <c r="BO68" i="3"/>
  <c r="BO92" i="3"/>
  <c r="BS93" i="3"/>
  <c r="BU82" i="3"/>
  <c r="BR86" i="3"/>
  <c r="BR97" i="3"/>
  <c r="BV84" i="3"/>
  <c r="BT68" i="3"/>
  <c r="BT82" i="3"/>
  <c r="BN59" i="3"/>
  <c r="BN66" i="3"/>
  <c r="BF81" i="3"/>
  <c r="CL155" i="1" s="1"/>
  <c r="BO73" i="3"/>
  <c r="BS49" i="3"/>
  <c r="BL50" i="3"/>
  <c r="BI75" i="3"/>
  <c r="BF64" i="3"/>
  <c r="CL160" i="1" s="1"/>
  <c r="BJ78" i="3"/>
  <c r="BJ69" i="3"/>
  <c r="BK67" i="3"/>
  <c r="BK65" i="3"/>
  <c r="GN6" i="4" a="1"/>
  <c r="FG9" i="4" a="1"/>
  <c r="GQ13" i="4" a="1"/>
  <c r="FS6" i="4" a="1"/>
  <c r="FL11" i="4" a="1"/>
  <c r="FU5" i="4" a="1"/>
  <c r="GY8" i="4" a="1"/>
  <c r="FH8" i="4" a="1"/>
  <c r="GT5" i="4" a="1"/>
  <c r="HG7" i="4" a="1"/>
  <c r="HH12" i="4" a="1"/>
  <c r="FG7" i="4" a="1"/>
  <c r="FO9" i="4" a="1"/>
  <c r="GT13" i="4" a="1"/>
  <c r="FR7" i="4" a="1"/>
  <c r="GM9" i="4" a="1"/>
  <c r="GL13" i="4" a="1"/>
  <c r="GE11" i="4" a="1"/>
  <c r="GP12" i="4" a="1"/>
  <c r="HE6" i="4" a="1"/>
  <c r="HG11" i="4" a="1"/>
  <c r="FO13" i="4" a="1"/>
  <c r="GB14" i="4" a="1"/>
  <c r="HC9" i="4" a="1"/>
  <c r="GU14" i="4" a="1"/>
  <c r="GZ15" i="4" a="1"/>
  <c r="FZ16" i="4" a="1"/>
  <c r="HB16" i="4" a="1"/>
  <c r="HB8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GG9" i="4" a="1"/>
  <c r="BD59" i="3"/>
  <c r="Y113" i="2"/>
  <c r="BE72" i="3"/>
  <c r="BU93" i="3"/>
  <c r="BN91" i="3"/>
  <c r="BM54" i="3"/>
  <c r="FK15" i="4" a="1"/>
  <c r="GW9" i="4" a="1"/>
  <c r="HE14" i="4" a="1"/>
  <c r="FL16" i="4" a="1"/>
  <c r="FN14" i="4" a="1"/>
  <c r="FI15" i="4" a="1"/>
  <c r="GK13" i="4" a="1"/>
  <c r="GU16" i="4" a="1"/>
  <c r="BC89" i="3"/>
  <c r="BD64" i="3"/>
  <c r="BB93" i="3"/>
  <c r="BC58" i="3"/>
  <c r="BN88" i="3"/>
  <c r="BF91" i="3"/>
  <c r="CL165" i="1" s="1"/>
  <c r="BN60" i="3"/>
  <c r="BS67" i="3"/>
  <c r="BM85" i="3"/>
  <c r="GE15" i="4" a="1"/>
  <c r="FU8" i="4" a="1"/>
  <c r="GI12" i="4" a="1"/>
  <c r="GD8" i="4" a="1"/>
  <c r="HC15" i="4" a="1"/>
  <c r="FY16" i="4" a="1"/>
  <c r="GW16" i="4" a="1"/>
  <c r="BD84" i="3"/>
  <c r="FQ9" i="4" a="1"/>
  <c r="BF79" i="3"/>
  <c r="BM67" i="3"/>
  <c r="BA64" i="3"/>
  <c r="BL65" i="3"/>
  <c r="BI58" i="3"/>
  <c r="BQ84" i="3"/>
  <c r="BR70" i="3"/>
  <c r="BT69" i="3"/>
  <c r="BO71" i="3"/>
  <c r="BO95" i="3"/>
  <c r="BS92" i="3"/>
  <c r="BU80" i="3"/>
  <c r="BR48" i="3"/>
  <c r="BR73" i="3"/>
  <c r="BV58" i="3"/>
  <c r="BT63" i="3"/>
  <c r="BT86" i="3"/>
  <c r="BN80" i="3"/>
  <c r="BN68" i="3"/>
  <c r="BF67" i="3"/>
  <c r="BO60" i="3"/>
  <c r="BS58" i="3"/>
  <c r="BE49" i="3"/>
  <c r="BI87" i="3"/>
  <c r="BF62" i="3"/>
  <c r="CL135" i="1" s="1"/>
  <c r="BJ80" i="3"/>
  <c r="BJ71" i="3"/>
  <c r="BK58" i="3"/>
  <c r="BK96" i="3"/>
  <c r="FJ7" i="4" a="1"/>
  <c r="HH7" i="4" a="1"/>
  <c r="FH14" i="4" a="1"/>
  <c r="GQ6" i="4" a="1"/>
  <c r="GB11" i="4" a="1"/>
  <c r="GG5" i="4" a="1"/>
  <c r="GX5" i="4" a="1"/>
  <c r="GH11" i="4" a="1"/>
  <c r="FP6" i="4" a="1"/>
  <c r="FW9" i="4" a="1"/>
  <c r="GD13" i="4" a="1"/>
  <c r="HC7" i="4" a="1"/>
  <c r="FJ6" i="4" a="1"/>
  <c r="FP14" i="4" a="1"/>
  <c r="FL8" i="4" a="1"/>
  <c r="FL7" i="4" a="1"/>
  <c r="FM14" i="4" a="1"/>
  <c r="GN11" i="4" a="1"/>
  <c r="GU12" i="4" a="1"/>
  <c r="FN7" i="4" a="1"/>
  <c r="FM12" i="4" a="1"/>
  <c r="FR13" i="4" a="1"/>
  <c r="GG14" i="4" a="1"/>
  <c r="GG11" i="4" a="1"/>
  <c r="HF14" i="4" a="1"/>
  <c r="HB15" i="4" a="1"/>
  <c r="GB16" i="4" a="1"/>
  <c r="HF16" i="4" a="1"/>
  <c r="FV9" i="4" a="1"/>
  <c r="FV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67" i="3"/>
  <c r="BV71" i="3"/>
  <c r="BT70" i="3"/>
  <c r="BT95" i="3"/>
  <c r="BS66" i="3"/>
  <c r="FK13" i="4" a="1"/>
  <c r="GB7" i="4" a="1"/>
  <c r="GS14" i="4" a="1"/>
  <c r="FN11" i="4" a="1"/>
  <c r="FT11" i="4" a="1"/>
  <c r="GU13" i="4" a="1"/>
  <c r="GN16" i="4" a="1"/>
  <c r="FN12" i="4" a="1"/>
  <c r="HA15" i="4" a="1"/>
  <c r="BC73" i="3"/>
  <c r="BA87" i="3"/>
  <c r="BK72" i="3"/>
  <c r="BA97" i="3"/>
  <c r="BL87" i="3"/>
  <c r="BI47" i="3"/>
  <c r="BQ72" i="3"/>
  <c r="BR89" i="3"/>
  <c r="BT93" i="3"/>
  <c r="BO81" i="3"/>
  <c r="BS63" i="3"/>
  <c r="BS72" i="3"/>
  <c r="BU96" i="3"/>
  <c r="BR55" i="3"/>
  <c r="BR68" i="3"/>
  <c r="BV61" i="3"/>
  <c r="BT58" i="3"/>
  <c r="BT87" i="3"/>
  <c r="BN50" i="3"/>
  <c r="BN63" i="3"/>
  <c r="BF77" i="3"/>
  <c r="CL151" i="1" s="1"/>
  <c r="BO83" i="3"/>
  <c r="BP55" i="3"/>
  <c r="BE47" i="3"/>
  <c r="BI91" i="3"/>
  <c r="BF57" i="3"/>
  <c r="CL129" i="1" s="1"/>
  <c r="BJ89" i="3"/>
  <c r="BJ73" i="3"/>
  <c r="BK66" i="3"/>
  <c r="BK63" i="3"/>
  <c r="GH7" i="4" a="1"/>
  <c r="GB8" i="4" a="1"/>
  <c r="GF14" i="4" a="1"/>
  <c r="HA7" i="4" a="1"/>
  <c r="GJ6" i="4" a="1"/>
  <c r="FX5" i="4" a="1"/>
  <c r="FQ6" i="4" a="1"/>
  <c r="HF11" i="4" a="1"/>
  <c r="GV6" i="4" a="1"/>
  <c r="HA5" i="4" a="1"/>
  <c r="HB13" i="4" a="1"/>
  <c r="GZ5" i="4" a="1"/>
  <c r="GV8" i="4" a="1"/>
  <c r="GN14" i="4" a="1"/>
  <c r="HH5" i="4" a="1"/>
  <c r="HG8" i="4" a="1"/>
  <c r="GK14" i="4" a="1"/>
  <c r="GS11" i="4" a="1"/>
  <c r="HF12" i="4" a="1"/>
  <c r="GI7" i="4" a="1"/>
  <c r="FP12" i="4" a="1"/>
  <c r="GE13" i="4" a="1"/>
  <c r="GJ14" i="4" a="1"/>
  <c r="GR11" i="4" a="1"/>
  <c r="FS15" i="4" a="1"/>
  <c r="HD15" i="4" a="1"/>
  <c r="GD16" i="4" a="1"/>
  <c r="HH16" i="4" a="1"/>
  <c r="GQ9" i="4" a="1"/>
  <c r="GL14" i="4" a="1"/>
  <c r="HE13" i="4" a="1"/>
  <c r="GA12" i="4" a="1"/>
  <c r="GX14" i="4" a="1"/>
  <c r="GS15" i="4" a="1"/>
  <c r="GM16" i="4" a="1"/>
  <c r="BC77" i="3"/>
  <c r="BC68" i="3"/>
  <c r="BD79" i="3"/>
  <c r="BC66" i="3"/>
  <c r="BF65" i="3"/>
  <c r="CL161" i="1" s="1"/>
  <c r="AA112" i="2"/>
  <c r="BJ74" i="3"/>
  <c r="FO5" i="4" a="1"/>
  <c r="GN12" i="4" a="1"/>
  <c r="BQ69" i="3"/>
  <c r="BS75" i="3"/>
  <c r="BU94" i="3"/>
  <c r="BG84" i="3"/>
  <c r="BJ62" i="3"/>
  <c r="FZ11" i="4" a="1"/>
  <c r="FW5" i="4" a="1"/>
  <c r="HA8" i="4" a="1"/>
  <c r="HE9" i="4" a="1"/>
  <c r="GB13" i="4" a="1"/>
  <c r="GS12" i="4" a="1"/>
  <c r="HA13" i="4" a="1"/>
  <c r="GP16" i="4" a="1"/>
  <c r="BD91" i="3"/>
  <c r="BC69" i="3"/>
  <c r="FW11" i="4" a="1"/>
  <c r="GE14" i="4" a="1"/>
  <c r="BA93" i="3"/>
  <c r="BB97" i="3"/>
  <c r="BD61" i="3"/>
  <c r="BE66" i="3"/>
  <c r="BI55" i="3"/>
  <c r="BQ94" i="3"/>
  <c r="BR91" i="3"/>
  <c r="BT92" i="3"/>
  <c r="BO84" i="3"/>
  <c r="BS83" i="3"/>
  <c r="BS69" i="3"/>
  <c r="BU77" i="3"/>
  <c r="BR64" i="3"/>
  <c r="BR67" i="3"/>
  <c r="BV74" i="3"/>
  <c r="BT72" i="3"/>
  <c r="BT54" i="3"/>
  <c r="BN64" i="3"/>
  <c r="BN69" i="3"/>
  <c r="BF73" i="3"/>
  <c r="BO78" i="3"/>
  <c r="BP63" i="3"/>
  <c r="BE89" i="3"/>
  <c r="BI61" i="3"/>
  <c r="BF56" i="3"/>
  <c r="CL128" i="1" s="1"/>
  <c r="BJ93" i="3"/>
  <c r="BJ75" i="3"/>
  <c r="BK60" i="3"/>
  <c r="BK71" i="3"/>
  <c r="FN6" i="4" a="1"/>
  <c r="GZ8" i="4" a="1"/>
  <c r="GH8" i="4" a="1"/>
  <c r="FS8" i="4" a="1"/>
  <c r="GD7" i="4" a="1"/>
  <c r="GF6" i="4" a="1"/>
  <c r="GB6" i="4" a="1"/>
  <c r="FS13" i="4" a="1"/>
  <c r="FO7" i="4" a="1"/>
  <c r="GF8" i="4" a="1"/>
  <c r="FX14" i="4" a="1"/>
  <c r="FV6" i="4" a="1"/>
  <c r="FU9" i="4" a="1"/>
  <c r="FJ15" i="4" a="1"/>
  <c r="GA6" i="4" a="1"/>
  <c r="GC9" i="4" a="1"/>
  <c r="FG15" i="4" a="1"/>
  <c r="GV11" i="4" a="1"/>
  <c r="FI13" i="4" a="1"/>
  <c r="GT7" i="4" a="1"/>
  <c r="FU12" i="4" a="1"/>
  <c r="GH13" i="4" a="1"/>
  <c r="GO14" i="4" a="1"/>
  <c r="FK12" i="4" a="1"/>
  <c r="GC15" i="4" a="1"/>
  <c r="HF15" i="4" a="1"/>
  <c r="GH16" i="4" a="1"/>
  <c r="HE7" i="4" a="1"/>
  <c r="HG9" i="4" a="1"/>
  <c r="GQ14" i="4" a="1"/>
  <c r="GI14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HG14" i="4" a="1"/>
  <c r="GS16" i="4" a="1"/>
  <c r="BC62" i="3"/>
  <c r="BH85" i="3"/>
  <c r="BN90" i="3"/>
  <c r="BJ55" i="3"/>
  <c r="FR11" i="4" a="1"/>
  <c r="GU7" i="4" a="1"/>
  <c r="FI9" i="4" a="1"/>
  <c r="GO8" i="4" a="1"/>
  <c r="FT13" i="4" a="1"/>
  <c r="GF13" i="4" a="1"/>
  <c r="FU15" i="4" a="1"/>
  <c r="BC80" i="3"/>
  <c r="BH80" i="3"/>
  <c r="BO62" i="3"/>
  <c r="BR95" i="3"/>
  <c r="BT57" i="3"/>
  <c r="BN97" i="3"/>
  <c r="BE73" i="3"/>
  <c r="FV5" i="4" a="1"/>
  <c r="GO5" i="4" a="1"/>
  <c r="FO15" i="4" a="1"/>
  <c r="HF9" i="4" a="1"/>
  <c r="GI8" i="4" a="1"/>
  <c r="GZ6" i="4" a="1"/>
  <c r="GN13" i="4" a="1"/>
  <c r="BD47" i="3"/>
  <c r="BD58" i="3"/>
  <c r="GP11" i="4" a="1"/>
  <c r="GS13" i="4" a="1"/>
  <c r="FI11" i="4" a="1"/>
  <c r="BC54" i="3"/>
  <c r="BD90" i="3"/>
  <c r="BQ77" i="3"/>
  <c r="BB47" i="3"/>
  <c r="BH65" i="3"/>
  <c r="BE94" i="3"/>
  <c r="BI59" i="3"/>
  <c r="BQ92" i="3"/>
  <c r="BR63" i="3"/>
  <c r="BT80" i="3"/>
  <c r="BO89" i="3"/>
  <c r="BS85" i="3"/>
  <c r="BS61" i="3"/>
  <c r="BU89" i="3"/>
  <c r="BR72" i="3"/>
  <c r="BV62" i="3"/>
  <c r="BV89" i="3"/>
  <c r="BT76" i="3"/>
  <c r="BT60" i="3"/>
  <c r="BN61" i="3"/>
  <c r="BN73" i="3"/>
  <c r="BF48" i="3"/>
  <c r="BO91" i="3"/>
  <c r="BG48" i="3"/>
  <c r="BE58" i="3"/>
  <c r="BI50" i="3"/>
  <c r="BF50" i="3"/>
  <c r="CL85" i="1" s="1"/>
  <c r="BJ97" i="3"/>
  <c r="BJ81" i="3"/>
  <c r="BK87" i="3"/>
  <c r="BK61" i="3"/>
  <c r="GL6" i="4" a="1"/>
  <c r="FR9" i="4" a="1"/>
  <c r="FY9" i="4" a="1"/>
  <c r="GE8" i="4" a="1"/>
  <c r="FQ12" i="4" a="1"/>
  <c r="HA6" i="4" a="1"/>
  <c r="GB9" i="4" a="1"/>
  <c r="GY13" i="4" a="1"/>
  <c r="HE5" i="4" a="1"/>
  <c r="HD8" i="4" a="1"/>
  <c r="FZ15" i="4" a="1"/>
  <c r="GT6" i="4" a="1"/>
  <c r="GR9" i="4" a="1"/>
  <c r="FZ8" i="4" a="1"/>
  <c r="FP7" i="4" a="1"/>
  <c r="GV9" i="4" a="1"/>
  <c r="FR8" i="4" a="1"/>
  <c r="HA11" i="4" a="1"/>
  <c r="FL13" i="4" a="1"/>
  <c r="FK9" i="4" a="1"/>
  <c r="FX12" i="4" a="1"/>
  <c r="GM13" i="4" a="1"/>
  <c r="GW14" i="4" a="1"/>
  <c r="FV12" i="4" a="1"/>
  <c r="GF15" i="4" a="1"/>
  <c r="HH15" i="4" a="1"/>
  <c r="GJ16" i="4" a="1"/>
  <c r="GO11" i="4" a="1"/>
  <c r="GJ11" i="4" a="1"/>
  <c r="HB14" i="4" a="1"/>
  <c r="FH15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BM47" i="3"/>
  <c r="BJ49" i="3"/>
  <c r="BJ48" i="3"/>
  <c r="BJ83" i="3"/>
  <c r="BK62" i="3"/>
  <c r="GT14" i="4" a="1"/>
  <c r="GY6" i="4" a="1"/>
  <c r="HH9" i="4" a="1"/>
  <c r="HA9" i="4" a="1"/>
  <c r="GO12" i="4" a="1"/>
  <c r="GM6" i="4" a="1"/>
  <c r="FU14" i="4" a="1"/>
  <c r="FZ9" i="4" a="1"/>
  <c r="FG8" i="4" a="1"/>
  <c r="GD9" i="4" a="1"/>
  <c r="FH11" i="4" a="1"/>
  <c r="FJ12" i="4" a="1"/>
  <c r="FP13" i="4" a="1"/>
  <c r="BL72" i="3"/>
  <c r="BT73" i="3"/>
  <c r="BO58" i="3"/>
  <c r="BF95" i="3"/>
  <c r="CL175" i="1" s="1"/>
  <c r="BV57" i="3"/>
  <c r="BV94" i="3"/>
  <c r="BE69" i="3"/>
  <c r="BK90" i="3"/>
  <c r="FY8" i="4" a="1"/>
  <c r="GT9" i="4" a="1"/>
  <c r="FK5" i="4" a="1"/>
  <c r="GA9" i="4" a="1"/>
  <c r="GJ15" i="4" a="1"/>
  <c r="HF6" i="4" a="1"/>
  <c r="GY12" i="4" a="1"/>
  <c r="BF76" i="3"/>
  <c r="BV59" i="3"/>
  <c r="BV95" i="3"/>
  <c r="BT97" i="3"/>
  <c r="BJ47" i="3"/>
  <c r="BK82" i="3"/>
  <c r="GK8" i="4" a="1"/>
  <c r="GC14" i="4" a="1"/>
  <c r="GO13" i="4" a="1"/>
  <c r="GA15" i="4" a="1"/>
  <c r="BD72" i="3"/>
  <c r="BH87" i="3"/>
  <c r="BB60" i="3"/>
  <c r="BH71" i="3"/>
  <c r="BE95" i="3"/>
  <c r="BI67" i="3"/>
  <c r="BQ66" i="3"/>
  <c r="BV64" i="3"/>
  <c r="BT90" i="3"/>
  <c r="BO57" i="3"/>
  <c r="BS68" i="3"/>
  <c r="BS50" i="3"/>
  <c r="BU92" i="3"/>
  <c r="BR75" i="3"/>
  <c r="BV50" i="3"/>
  <c r="BV92" i="3"/>
  <c r="BT77" i="3"/>
  <c r="BT48" i="3"/>
  <c r="BN55" i="3"/>
  <c r="BN87" i="3"/>
  <c r="BF75" i="3"/>
  <c r="BO93" i="3"/>
  <c r="BG62" i="3"/>
  <c r="BE91" i="3"/>
  <c r="FY6" i="4" a="1"/>
  <c r="FW7" i="4" a="1"/>
  <c r="GD6" i="4" a="1"/>
  <c r="GZ7" i="4" a="1"/>
  <c r="HD9" i="4" a="1"/>
  <c r="GA8" i="4" a="1"/>
  <c r="FN9" i="4" a="1"/>
  <c r="FQ13" i="4" a="1"/>
  <c r="FP9" i="4" a="1"/>
  <c r="GK12" i="4" a="1"/>
  <c r="GP13" i="4" a="1"/>
  <c r="GZ14" i="4" a="1"/>
  <c r="FU13" i="4" a="1"/>
  <c r="GH15" i="4" a="1"/>
  <c r="FJ16" i="4" a="1"/>
  <c r="GL16" i="4" a="1"/>
  <c r="FS12" i="4" a="1"/>
  <c r="HE11" i="4" a="1"/>
  <c r="FY15" i="4" a="1"/>
  <c r="FQ15" i="4" a="1"/>
  <c r="GY15" i="4" a="1"/>
  <c r="FU16" i="4" a="1"/>
  <c r="BC75" i="3"/>
  <c r="BD80" i="3"/>
  <c r="BQ81" i="3"/>
  <c r="BS90" i="3"/>
  <c r="BR47" i="3"/>
  <c r="BG47" i="3"/>
  <c r="BJ85" i="3"/>
  <c r="GG6" i="4" a="1"/>
  <c r="FH7" i="4" a="1"/>
  <c r="FW8" i="4" a="1"/>
  <c r="FW16" i="4" a="1"/>
  <c r="BE50" i="3"/>
  <c r="BV96" i="3"/>
  <c r="Y111" i="2"/>
  <c r="BK57" i="3"/>
  <c r="FJ9" i="4" a="1"/>
  <c r="GO6" i="4" a="1"/>
  <c r="FR12" i="4" a="1"/>
  <c r="GF9" i="4" a="1"/>
  <c r="HH14" i="4" a="1"/>
  <c r="GD14" i="4" a="1"/>
  <c r="GV13" i="4" a="1"/>
  <c r="GB15" i="4" a="1"/>
  <c r="BD68" i="3"/>
  <c r="BC55" i="3"/>
  <c r="HB7" i="4" a="1"/>
  <c r="GT15" i="4" a="1"/>
  <c r="GP6" i="4" a="1"/>
  <c r="FR14" i="4" a="1"/>
  <c r="BD67" i="3"/>
  <c r="GN15" i="4" a="1"/>
  <c r="FM15" i="4" a="1"/>
  <c r="BC63" i="3"/>
  <c r="Z112" i="2"/>
  <c r="BD95" i="3"/>
  <c r="BM66" i="3"/>
  <c r="BP93" i="3"/>
  <c r="BL77" i="3"/>
  <c r="BE76" i="3"/>
  <c r="BF61" i="3"/>
  <c r="BQ75" i="3"/>
  <c r="BV49" i="3"/>
  <c r="BN76" i="3"/>
  <c r="BO72" i="3"/>
  <c r="BS60" i="3"/>
  <c r="BU57" i="3"/>
  <c r="BU84" i="3"/>
  <c r="BR82" i="3"/>
  <c r="BV72" i="3"/>
  <c r="BV70" i="3"/>
  <c r="BT47" i="3"/>
  <c r="BN82" i="3"/>
  <c r="BN62" i="3"/>
  <c r="BP54" i="3"/>
  <c r="BO47" i="3"/>
  <c r="BS70" i="3"/>
  <c r="BH93" i="3"/>
  <c r="BE77" i="3"/>
  <c r="BM63" i="3"/>
  <c r="BJ58" i="3"/>
  <c r="BJ64" i="3"/>
  <c r="BK77" i="3"/>
  <c r="BK92" i="3"/>
  <c r="GC5" i="4" a="1"/>
  <c r="GU8" i="4" a="1"/>
  <c r="GI9" i="4" a="1"/>
  <c r="GH5" i="4" a="1"/>
  <c r="FL9" i="4" a="1"/>
  <c r="HD14" i="4" a="1"/>
  <c r="HB6" i="4" a="1"/>
  <c r="GK9" i="4" a="1"/>
  <c r="GO9" i="4" a="1"/>
  <c r="GG8" i="4" a="1"/>
  <c r="HD5" i="4" a="1"/>
  <c r="FZ5" i="4" a="1"/>
  <c r="GW8" i="4" a="1"/>
  <c r="GY7" i="4" a="1"/>
  <c r="GD5" i="4" a="1"/>
  <c r="HF5" i="4" a="1"/>
  <c r="FS7" i="4" a="1"/>
  <c r="FO11" i="4" a="1"/>
  <c r="FW12" i="4" a="1"/>
  <c r="GG13" i="4" a="1"/>
  <c r="GQ11" i="4" a="1"/>
  <c r="GV12" i="4" a="1"/>
  <c r="HF13" i="4" a="1"/>
  <c r="FN8" i="4" a="1"/>
  <c r="FJ14" i="4" a="1"/>
  <c r="GP15" i="4" a="1"/>
  <c r="FP16" i="4" a="1"/>
  <c r="GT16" i="4" a="1"/>
  <c r="GY14" i="4" a="1"/>
  <c r="GT12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74" i="3"/>
  <c r="BP94" i="3"/>
  <c r="BD83" i="3"/>
  <c r="BL64" i="3"/>
  <c r="BE71" i="3"/>
  <c r="BF54" i="3"/>
  <c r="BQ78" i="3"/>
  <c r="BV47" i="3"/>
  <c r="BO97" i="3"/>
  <c r="BO74" i="3"/>
  <c r="BS55" i="3"/>
  <c r="BU59" i="3"/>
  <c r="BU81" i="3"/>
  <c r="BR80" i="3"/>
  <c r="BV91" i="3"/>
  <c r="BV69" i="3"/>
  <c r="BT56" i="3"/>
  <c r="BN77" i="3"/>
  <c r="BN74" i="3"/>
  <c r="BP90" i="3"/>
  <c r="BO48" i="3"/>
  <c r="BS81" i="3"/>
  <c r="BH91" i="3"/>
  <c r="BE81" i="3"/>
  <c r="BM89" i="3"/>
  <c r="BJ60" i="3"/>
  <c r="BJ50" i="3"/>
  <c r="BK55" i="3"/>
  <c r="BK91" i="3"/>
  <c r="FL5" i="4" a="1"/>
  <c r="GM5" i="4" a="1"/>
  <c r="GX11" i="4" a="1"/>
  <c r="HB5" i="4" a="1"/>
  <c r="GR7" i="4" a="1"/>
  <c r="FW15" i="4" a="1"/>
  <c r="FX7" i="4" a="1"/>
  <c r="GZ9" i="4" a="1"/>
  <c r="FI5" i="4" a="1"/>
  <c r="GS8" i="4" a="1"/>
  <c r="GU6" i="4" a="1"/>
  <c r="GJ5" i="4" a="1"/>
  <c r="GU5" i="4" a="1"/>
  <c r="GN9" i="4" a="1"/>
  <c r="GY5" i="4" a="1"/>
  <c r="GN5" i="4" a="1"/>
  <c r="FS9" i="4" a="1"/>
  <c r="FS11" i="4" a="1"/>
  <c r="FZ12" i="4" a="1"/>
  <c r="GJ13" i="4" a="1"/>
  <c r="GT11" i="4" a="1"/>
  <c r="HA12" i="4" a="1"/>
  <c r="FI14" i="4" a="1"/>
  <c r="GT8" i="4" a="1"/>
  <c r="FO14" i="4" a="1"/>
  <c r="GR15" i="4" a="1"/>
  <c r="FR16" i="4" a="1"/>
  <c r="GV16" i="4" a="1"/>
  <c r="FV15" i="4" a="1"/>
  <c r="FX13" i="4" a="1"/>
  <c r="FX15" i="4" a="1"/>
  <c r="GU9" i="4" a="1"/>
  <c r="FG14" i="4" a="1"/>
  <c r="GI15" i="4" a="1"/>
  <c r="HG15" i="4" a="1"/>
  <c r="GC16" i="4" a="1"/>
  <c r="HA16" i="4" a="1"/>
  <c r="BC84" i="3"/>
  <c r="FL14" i="4" a="1"/>
  <c r="BG61" i="3"/>
  <c r="BU79" i="3"/>
  <c r="BL76" i="3"/>
  <c r="BE70" i="3"/>
  <c r="BF82" i="3"/>
  <c r="CL156" i="1" s="1"/>
  <c r="BU78" i="3"/>
  <c r="BV81" i="3"/>
  <c r="BO55" i="3"/>
  <c r="BO79" i="3"/>
  <c r="BS47" i="3"/>
  <c r="BU62" i="3"/>
  <c r="BU64" i="3"/>
  <c r="BR69" i="3"/>
  <c r="BV90" i="3"/>
  <c r="BV97" i="3"/>
  <c r="BT79" i="3"/>
  <c r="BN79" i="3"/>
  <c r="BN47" i="3"/>
  <c r="BP75" i="3"/>
  <c r="BO69" i="3"/>
  <c r="BS87" i="3"/>
  <c r="BH89" i="3"/>
  <c r="BI71" i="3"/>
  <c r="BM55" i="3"/>
  <c r="BJ72" i="3"/>
  <c r="BJ57" i="3"/>
  <c r="BK88" i="3"/>
  <c r="BK54" i="3"/>
  <c r="FP5" i="4" a="1"/>
  <c r="HH6" i="4" a="1"/>
  <c r="FT12" i="4" a="1"/>
  <c r="GX7" i="4" a="1"/>
  <c r="FT8" i="4" a="1"/>
  <c r="GO7" i="4" a="1"/>
  <c r="GV7" i="4" a="1"/>
  <c r="FJ11" i="4" a="1"/>
  <c r="FY5" i="4" a="1"/>
  <c r="GP5" i="4" a="1"/>
  <c r="FH9" i="4" a="1"/>
  <c r="FM6" i="4" a="1"/>
  <c r="GR6" i="4" a="1"/>
  <c r="HC11" i="4" a="1"/>
  <c r="FU6" i="4" a="1"/>
  <c r="GH12" i="4" a="1"/>
  <c r="GY11" i="4" a="1"/>
  <c r="FG13" i="4" a="1"/>
  <c r="GX16" i="4" a="1"/>
  <c r="GK15" i="4" a="1"/>
  <c r="FG16" i="4" a="1"/>
  <c r="GE16" i="4" a="1"/>
  <c r="HC16" i="4" a="1"/>
  <c r="BC83" i="3"/>
  <c r="Y205" i="1" l="1"/>
  <c r="JP9" i="4" s="1"/>
  <c r="JP16" i="4" s="1"/>
  <c r="JO16" i="4" s="1"/>
  <c r="JO9" i="4" s="1"/>
  <c r="JN9" i="4" s="1"/>
  <c r="JN16" i="4" s="1"/>
  <c r="CL194" i="1"/>
  <c r="CL190" i="1"/>
  <c r="CL191" i="1"/>
  <c r="CL154" i="1"/>
  <c r="CH151" i="1"/>
  <c r="CI151" i="1" s="1"/>
  <c r="AA213" i="1"/>
  <c r="CL27" i="1"/>
  <c r="CL38" i="1"/>
  <c r="CK21" i="1"/>
  <c r="CL109" i="1"/>
  <c r="CL149" i="1"/>
  <c r="CL139" i="1"/>
  <c r="CL131" i="1"/>
  <c r="CL110" i="1"/>
  <c r="CL172" i="1"/>
  <c r="CL140" i="1"/>
  <c r="CL159" i="1"/>
  <c r="CL167" i="1"/>
  <c r="CL196" i="1" s="1"/>
  <c r="CL195" i="1" s="1"/>
  <c r="CL23" i="1"/>
  <c r="CO31" i="1"/>
  <c r="CS31" i="1" s="1"/>
  <c r="KD16" i="4" s="1"/>
  <c r="KD21" i="4" s="1"/>
  <c r="JT16" i="4" s="1"/>
  <c r="JV7" i="4" s="1"/>
  <c r="CJ171" i="1"/>
  <c r="CJ155" i="1"/>
  <c r="CJ129" i="1"/>
  <c r="CK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KE16" i="4" s="1"/>
  <c r="JW16" i="4" s="1"/>
  <c r="KG15" i="4" s="1"/>
  <c r="JY15" i="4" s="1"/>
  <c r="JR9" i="4" s="1"/>
  <c r="KD8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JS15" i="4" s="1"/>
  <c r="CJ145" i="1"/>
  <c r="CK85" i="1"/>
  <c r="CJ170" i="1"/>
  <c r="JU16" i="4" s="1"/>
  <c r="JU21" i="4" s="1"/>
  <c r="JW15" i="4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JZ15" i="4" s="1"/>
  <c r="JW9" i="4" s="1"/>
  <c r="JX9" i="4" s="1"/>
  <c r="JU14" i="4" s="1"/>
  <c r="JU19" i="4" s="1"/>
  <c r="KH9" i="4" s="1"/>
  <c r="CJ151" i="1"/>
  <c r="CJ128" i="1"/>
  <c r="KE15" i="4" s="1"/>
  <c r="JZ16" i="4" s="1"/>
  <c r="KD9" i="4" s="1"/>
  <c r="JW8" i="4" s="1"/>
  <c r="JT9" i="4" s="1"/>
  <c r="JT21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0" i="1"/>
  <c r="KB8" i="4" s="1"/>
  <c r="JQ9" i="4" s="1"/>
  <c r="KC16" i="4" s="1"/>
  <c r="CJ162" i="1"/>
  <c r="KE9" i="4" s="1"/>
  <c r="KE21" i="4" s="1"/>
  <c r="KD15" i="4" s="1"/>
  <c r="KD7" i="4" s="1"/>
  <c r="JU9" i="4" s="1"/>
  <c r="JS7" i="4" s="1"/>
  <c r="CJ165" i="1"/>
  <c r="KB16" i="4" s="1"/>
  <c r="KB21" i="4" s="1"/>
  <c r="KG9" i="4" s="1"/>
  <c r="Z84" i="1"/>
  <c r="CJ154" i="1"/>
  <c r="KA16" i="4" s="1"/>
  <c r="KA21" i="4" s="1"/>
  <c r="KH16" i="4" s="1"/>
  <c r="JX16" i="4" s="1"/>
  <c r="JX21" i="4" s="1"/>
  <c r="JZ7" i="4" s="1"/>
  <c r="KF15" i="4" s="1"/>
  <c r="CJ163" i="1"/>
  <c r="KC15" i="4" s="1"/>
  <c r="KA14" i="4" s="1"/>
  <c r="JY14" i="4" s="1"/>
  <c r="JT14" i="4" s="1"/>
  <c r="KG7" i="4" s="1"/>
  <c r="CK84" i="1"/>
  <c r="CJ157" i="1"/>
  <c r="CJ160" i="1"/>
  <c r="JQ15" i="4" s="1"/>
  <c r="JR16" i="4" s="1"/>
  <c r="JR21" i="4" s="1"/>
  <c r="CJ174" i="1"/>
  <c r="CK174" i="1" s="1"/>
  <c r="CM174" i="1" s="1"/>
  <c r="CN174" i="1" s="1"/>
  <c r="CO174" i="1" s="1"/>
  <c r="CP174" i="1" s="1"/>
  <c r="CQ174" i="1" s="1"/>
  <c r="CR174" i="1" s="1"/>
  <c r="CS174" i="1" s="1"/>
  <c r="CT174" i="1" s="1"/>
  <c r="CU174" i="1" s="1"/>
  <c r="CV174" i="1" s="1"/>
  <c r="CJ148" i="1"/>
  <c r="KF16" i="4" s="1"/>
  <c r="JX14" i="4" s="1"/>
  <c r="KA9" i="4" s="1"/>
  <c r="JS9" i="4" s="1"/>
  <c r="CJ161" i="1"/>
  <c r="JS16" i="4" s="1"/>
  <c r="CJ136" i="1"/>
  <c r="CJ133" i="1"/>
  <c r="CK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Y133" i="1" s="1"/>
  <c r="CZ133" i="1" s="1"/>
  <c r="DA133" i="1" s="1"/>
  <c r="DB133" i="1" s="1"/>
  <c r="KG16" i="4" s="1"/>
  <c r="JY16" i="4" s="1"/>
  <c r="JQ16" i="4" s="1"/>
  <c r="KA15" i="4" s="1"/>
  <c r="JV16" i="4" s="1"/>
  <c r="JW14" i="4" s="1"/>
  <c r="KA7" i="4" s="1"/>
  <c r="JY7" i="4" s="1"/>
  <c r="JT8" i="4" s="1"/>
  <c r="KC8" i="4" s="1"/>
  <c r="JU7" i="4" s="1"/>
  <c r="CJ158" i="1"/>
  <c r="Y85" i="1"/>
  <c r="CI85" i="1"/>
  <c r="CJ153" i="1"/>
  <c r="CH84" i="1"/>
  <c r="CJ85" i="1"/>
  <c r="JX7" i="4" s="1"/>
  <c r="CJ166" i="1"/>
  <c r="CJ135" i="1"/>
  <c r="CK135" i="1" s="1"/>
  <c r="CG84" i="1"/>
  <c r="JS8" i="4" s="1"/>
  <c r="KD14" i="4" s="1"/>
  <c r="KC9" i="4" s="1"/>
  <c r="JV9" i="4" s="1"/>
  <c r="JZ9" i="4" s="1"/>
  <c r="CJ84" i="1"/>
  <c r="CG85" i="1"/>
  <c r="CJ144" i="1"/>
  <c r="CK144" i="1" s="1"/>
  <c r="CM144" i="1" s="1"/>
  <c r="CN144" i="1" s="1"/>
  <c r="CO144" i="1" s="1"/>
  <c r="CP144" i="1" s="1"/>
  <c r="CI84" i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CJ156" i="1"/>
  <c r="CJ191" i="1" s="1"/>
  <c r="CK191" i="1" s="1"/>
  <c r="CH85" i="1"/>
  <c r="KF9" i="4" s="1"/>
  <c r="X84" i="1"/>
  <c r="KE7" i="4" s="1"/>
  <c r="KB9" i="4" s="1"/>
  <c r="JT15" i="4" s="1"/>
  <c r="Z85" i="1"/>
  <c r="CJ164" i="1"/>
  <c r="CK109" i="1"/>
  <c r="CK110" i="1" s="1"/>
  <c r="Y263" i="1"/>
  <c r="Y184" i="1"/>
  <c r="Y172" i="1"/>
  <c r="Z220" i="1" s="1"/>
  <c r="Y159" i="1"/>
  <c r="Y193" i="1" s="1"/>
  <c r="X263" i="1"/>
  <c r="Y145" i="1"/>
  <c r="Y37" i="1"/>
  <c r="CH170" i="1"/>
  <c r="CH172" i="1" s="1"/>
  <c r="CI220" i="1" s="1"/>
  <c r="Z172" i="1"/>
  <c r="AA220" i="1" s="1"/>
  <c r="X190" i="1"/>
  <c r="Y190" i="1"/>
  <c r="X184" i="1"/>
  <c r="Z205" i="1"/>
  <c r="Z264" i="1"/>
  <c r="X191" i="1"/>
  <c r="X159" i="1"/>
  <c r="CH154" i="1"/>
  <c r="Z159" i="1"/>
  <c r="AA207" i="1" s="1"/>
  <c r="Y242" i="1"/>
  <c r="Y21" i="1"/>
  <c r="Y264" i="1"/>
  <c r="Y194" i="1"/>
  <c r="CG205" i="1"/>
  <c r="CG264" i="1"/>
  <c r="CH128" i="1"/>
  <c r="Z131" i="1"/>
  <c r="AA218" i="1" s="1"/>
  <c r="CH155" i="1"/>
  <c r="Z190" i="1"/>
  <c r="Z242" i="1"/>
  <c r="Z263" i="1"/>
  <c r="Z191" i="1"/>
  <c r="Z194" i="1"/>
  <c r="CH146" i="1"/>
  <c r="CI146" i="1" s="1"/>
  <c r="Z142" i="1"/>
  <c r="CH137" i="1"/>
  <c r="Z165" i="1"/>
  <c r="X242" i="1"/>
  <c r="X21" i="1"/>
  <c r="X194" i="1"/>
  <c r="X264" i="1"/>
  <c r="CJ194" i="1"/>
  <c r="CK194" i="1" s="1"/>
  <c r="Y167" i="1"/>
  <c r="CH264" i="1"/>
  <c r="CG263" i="1"/>
  <c r="X145" i="1"/>
  <c r="CI242" i="1"/>
  <c r="CI21" i="1"/>
  <c r="CJ109" i="1"/>
  <c r="Y213" i="1"/>
  <c r="Y191" i="1"/>
  <c r="JT7" i="4"/>
  <c r="JV8" i="4"/>
  <c r="JQ14" i="4"/>
  <c r="Z184" i="1"/>
  <c r="Z21" i="1"/>
  <c r="X167" i="1"/>
  <c r="KC14" i="4"/>
  <c r="JQ7" i="4"/>
  <c r="JW7" i="4"/>
  <c r="Y131" i="1"/>
  <c r="X139" i="1"/>
  <c r="X172" i="1"/>
  <c r="X131" i="1"/>
  <c r="X186" i="1" s="1"/>
  <c r="Y139" i="1"/>
  <c r="Z37" i="1"/>
  <c r="X37" i="1"/>
  <c r="JR7" i="4"/>
  <c r="JX8" i="4"/>
  <c r="KF8" i="4"/>
  <c r="JZ8" i="4"/>
  <c r="JU8" i="4"/>
  <c r="JY8" i="4"/>
  <c r="KG8" i="4"/>
  <c r="KF7" i="4"/>
  <c r="KB14" i="4"/>
  <c r="JR15" i="4"/>
  <c r="JR8" i="4"/>
  <c r="JS14" i="4"/>
  <c r="KF14" i="4"/>
  <c r="JR14" i="4"/>
  <c r="KH14" i="4"/>
  <c r="JU15" i="4"/>
  <c r="KH15" i="4"/>
  <c r="JV15" i="4"/>
  <c r="JV14" i="4"/>
  <c r="CI143" i="1"/>
  <c r="CJ143" i="1" s="1"/>
  <c r="CH263" i="1"/>
  <c r="CJ37" i="1"/>
  <c r="CH21" i="1"/>
  <c r="CL22" i="1" s="1"/>
  <c r="CH37" i="1"/>
  <c r="CI263" i="1"/>
  <c r="CJ264" i="1"/>
  <c r="CH242" i="1"/>
  <c r="CJ242" i="1"/>
  <c r="CI264" i="1"/>
  <c r="CH191" i="1"/>
  <c r="CI191" i="1" s="1"/>
  <c r="CH194" i="1"/>
  <c r="CI194" i="1" s="1"/>
  <c r="CJ263" i="1"/>
  <c r="CJ21" i="1"/>
  <c r="Y84" i="1"/>
  <c r="X85" i="1"/>
  <c r="Z213" i="1"/>
  <c r="CI37" i="1"/>
  <c r="CI76" i="1"/>
  <c r="CJ205" i="1"/>
  <c r="Z139" i="1"/>
  <c r="CH76" i="1"/>
  <c r="CG76" i="1"/>
  <c r="CJ76" i="1"/>
  <c r="JP15" i="4"/>
  <c r="JP14" i="4"/>
  <c r="JP8" i="4"/>
  <c r="JP7" i="4"/>
  <c r="JO7" i="4"/>
  <c r="JO15" i="4"/>
  <c r="JO14" i="4"/>
  <c r="JO8" i="4"/>
  <c r="JN15" i="4"/>
  <c r="JN14" i="4"/>
  <c r="JN7" i="4"/>
  <c r="JN8" i="4"/>
  <c r="CB24" i="1"/>
  <c r="CK38" i="1" l="1"/>
  <c r="CK27" i="1"/>
  <c r="KF21" i="4"/>
  <c r="KC21" i="4"/>
  <c r="JZ21" i="4"/>
  <c r="JV21" i="4"/>
  <c r="KH21" i="4"/>
  <c r="KG21" i="4"/>
  <c r="JY21" i="4"/>
  <c r="CI213" i="1"/>
  <c r="JP21" i="4"/>
  <c r="CJ88" i="1" s="1"/>
  <c r="JO21" i="4"/>
  <c r="CI88" i="1" s="1"/>
  <c r="JN21" i="4"/>
  <c r="CH88" i="1" s="1"/>
  <c r="JS21" i="4"/>
  <c r="KH7" i="4" s="1"/>
  <c r="JQ8" i="4" s="1"/>
  <c r="KE8" i="4" s="1"/>
  <c r="JY9" i="4"/>
  <c r="CL88" i="1"/>
  <c r="AA199" i="1"/>
  <c r="AA22" i="1"/>
  <c r="AA217" i="1"/>
  <c r="AA216" i="1" s="1"/>
  <c r="AA260" i="1"/>
  <c r="CK145" i="1"/>
  <c r="CK44" i="1"/>
  <c r="CL179" i="1"/>
  <c r="CL199" i="1"/>
  <c r="CL28" i="1"/>
  <c r="CL39" i="1"/>
  <c r="CL30" i="1"/>
  <c r="CW31" i="1"/>
  <c r="DA31" i="1" s="1"/>
  <c r="CL113" i="1"/>
  <c r="CL168" i="1"/>
  <c r="CL176" i="1" s="1"/>
  <c r="CL177" i="1" s="1"/>
  <c r="CL193" i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K128" i="1"/>
  <c r="CM128" i="1" s="1"/>
  <c r="CN128" i="1" s="1"/>
  <c r="CO128" i="1" s="1"/>
  <c r="CP128" i="1" s="1"/>
  <c r="CQ128" i="1" s="1"/>
  <c r="CR128" i="1" s="1"/>
  <c r="CS128" i="1" s="1"/>
  <c r="CT128" i="1" s="1"/>
  <c r="CU128" i="1" s="1"/>
  <c r="CV128" i="1" s="1"/>
  <c r="CW128" i="1" s="1"/>
  <c r="CK136" i="1"/>
  <c r="CJ213" i="1"/>
  <c r="CK151" i="1"/>
  <c r="CJ167" i="1"/>
  <c r="CJ196" i="1" s="1"/>
  <c r="CJ142" i="1"/>
  <c r="CJ190" i="1"/>
  <c r="CK190" i="1" s="1"/>
  <c r="CJ172" i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49" i="1"/>
  <c r="CM135" i="1"/>
  <c r="CW174" i="1"/>
  <c r="CJ139" i="1"/>
  <c r="CJ159" i="1"/>
  <c r="KC7" i="4"/>
  <c r="KB7" i="4"/>
  <c r="KA8" i="4"/>
  <c r="JX15" i="4"/>
  <c r="KG14" i="4"/>
  <c r="KE14" i="4"/>
  <c r="JZ14" i="4"/>
  <c r="JQ21" i="4"/>
  <c r="CK88" i="1" s="1"/>
  <c r="CJ131" i="1"/>
  <c r="CJ103" i="1" s="1"/>
  <c r="CJ105" i="1" s="1"/>
  <c r="JW21" i="4"/>
  <c r="KH8" i="4"/>
  <c r="KB15" i="4"/>
  <c r="KD19" i="4"/>
  <c r="JS20" i="4"/>
  <c r="CI27" i="1"/>
  <c r="CK23" i="1"/>
  <c r="CK28" i="1"/>
  <c r="CK39" i="1"/>
  <c r="X44" i="1"/>
  <c r="X149" i="1"/>
  <c r="X257" i="1" s="1"/>
  <c r="CK113" i="1"/>
  <c r="CK29" i="1"/>
  <c r="CK22" i="1"/>
  <c r="X38" i="1"/>
  <c r="JY19" i="4"/>
  <c r="JV19" i="4"/>
  <c r="CJ195" i="1"/>
  <c r="CK195" i="1" s="1"/>
  <c r="Y149" i="1"/>
  <c r="Y44" i="1"/>
  <c r="Y196" i="1"/>
  <c r="Y197" i="1" s="1"/>
  <c r="Y168" i="1"/>
  <c r="X168" i="1"/>
  <c r="Y192" i="1"/>
  <c r="X193" i="1"/>
  <c r="X192" i="1" s="1"/>
  <c r="Y207" i="1"/>
  <c r="Z193" i="1"/>
  <c r="Z192" i="1" s="1"/>
  <c r="Z207" i="1"/>
  <c r="Y109" i="1"/>
  <c r="Y199" i="1"/>
  <c r="Y38" i="1"/>
  <c r="Y27" i="1"/>
  <c r="Y22" i="1"/>
  <c r="CI128" i="1"/>
  <c r="CH131" i="1"/>
  <c r="CH159" i="1"/>
  <c r="CH190" i="1"/>
  <c r="CI190" i="1" s="1"/>
  <c r="Z145" i="1"/>
  <c r="CH142" i="1"/>
  <c r="CI137" i="1"/>
  <c r="CI139" i="1" s="1"/>
  <c r="CH139" i="1"/>
  <c r="CH165" i="1"/>
  <c r="CH167" i="1" s="1"/>
  <c r="CH196" i="1" s="1"/>
  <c r="CH195" i="1" s="1"/>
  <c r="CI195" i="1" s="1"/>
  <c r="Z167" i="1"/>
  <c r="AA208" i="1" s="1"/>
  <c r="AA209" i="1" s="1"/>
  <c r="AA210" i="1" s="1"/>
  <c r="X109" i="1"/>
  <c r="X27" i="1"/>
  <c r="AB144" i="1"/>
  <c r="CQ144" i="1"/>
  <c r="CR144" i="1" s="1"/>
  <c r="CS144" i="1" s="1"/>
  <c r="CT144" i="1" s="1"/>
  <c r="Z38" i="1"/>
  <c r="Z186" i="1"/>
  <c r="Z259" i="1"/>
  <c r="X140" i="1"/>
  <c r="JT19" i="4"/>
  <c r="KB19" i="4"/>
  <c r="JQ20" i="4"/>
  <c r="CK90" i="1" s="1"/>
  <c r="JW19" i="4"/>
  <c r="JX19" i="4"/>
  <c r="KD20" i="4"/>
  <c r="JV20" i="4"/>
  <c r="KA20" i="4"/>
  <c r="KC20" i="4"/>
  <c r="KE20" i="4"/>
  <c r="KG20" i="4"/>
  <c r="CI38" i="1"/>
  <c r="X259" i="1"/>
  <c r="Y220" i="1"/>
  <c r="JW20" i="4"/>
  <c r="KC19" i="4"/>
  <c r="Z199" i="1"/>
  <c r="Z22" i="1"/>
  <c r="Z27" i="1"/>
  <c r="AA29" i="1" s="1"/>
  <c r="Z109" i="1"/>
  <c r="Y186" i="1"/>
  <c r="Y259" i="1"/>
  <c r="X48" i="1"/>
  <c r="X179" i="1"/>
  <c r="X120" i="1" s="1"/>
  <c r="JQ19" i="4"/>
  <c r="CK89" i="1" s="1"/>
  <c r="X196" i="1"/>
  <c r="Y208" i="1"/>
  <c r="JR19" i="4"/>
  <c r="CL89" i="1" s="1"/>
  <c r="KH19" i="4"/>
  <c r="JT20" i="4"/>
  <c r="JU20" i="4"/>
  <c r="JZ20" i="4"/>
  <c r="KF20" i="4"/>
  <c r="KH20" i="4"/>
  <c r="Y260" i="1"/>
  <c r="Y217" i="1"/>
  <c r="Y179" i="1"/>
  <c r="Y120" i="1" s="1"/>
  <c r="CK139" i="1"/>
  <c r="JS19" i="4"/>
  <c r="KA19" i="4"/>
  <c r="KF19" i="4"/>
  <c r="Y48" i="1"/>
  <c r="Y140" i="1"/>
  <c r="Z179" i="1"/>
  <c r="Z120" i="1" s="1"/>
  <c r="Z217" i="1"/>
  <c r="JY20" i="4"/>
  <c r="JR20" i="4"/>
  <c r="CL90" i="1" s="1"/>
  <c r="CI23" i="1"/>
  <c r="CJ27" i="1"/>
  <c r="CK30" i="1" s="1"/>
  <c r="CJ110" i="1"/>
  <c r="CH38" i="1"/>
  <c r="CJ236" i="1"/>
  <c r="CJ23" i="1"/>
  <c r="CJ38" i="1"/>
  <c r="CH27" i="1"/>
  <c r="CL29" i="1" s="1"/>
  <c r="CH23" i="1"/>
  <c r="Z140" i="1"/>
  <c r="Z48" i="1"/>
  <c r="Z260" i="1"/>
  <c r="CM190" i="1"/>
  <c r="CM191" i="1"/>
  <c r="CM194" i="1"/>
  <c r="JP20" i="4"/>
  <c r="CJ90" i="1" s="1"/>
  <c r="JP19" i="4"/>
  <c r="CJ89" i="1" s="1"/>
  <c r="JO19" i="4"/>
  <c r="CI89" i="1" s="1"/>
  <c r="JO20" i="4"/>
  <c r="CI90" i="1" s="1"/>
  <c r="JN20" i="4"/>
  <c r="CH90" i="1" s="1"/>
  <c r="JN19" i="4"/>
  <c r="CH89" i="1" s="1"/>
  <c r="CJ113" i="1" l="1"/>
  <c r="CL44" i="1"/>
  <c r="KG19" i="4"/>
  <c r="JZ19" i="4"/>
  <c r="JX20" i="4"/>
  <c r="CK213" i="1"/>
  <c r="CJ193" i="1"/>
  <c r="CJ168" i="1"/>
  <c r="CJ176" i="1" s="1"/>
  <c r="KB20" i="4"/>
  <c r="KE19" i="4"/>
  <c r="CK220" i="1"/>
  <c r="CJ255" i="1"/>
  <c r="CN135" i="1"/>
  <c r="CX174" i="1"/>
  <c r="CX128" i="1"/>
  <c r="CL114" i="1"/>
  <c r="CL118" i="1"/>
  <c r="CL115" i="1"/>
  <c r="CL119" i="1"/>
  <c r="CL40" i="1"/>
  <c r="CL45" i="1"/>
  <c r="CL49" i="1" s="1"/>
  <c r="CI28" i="1"/>
  <c r="CM28" i="1" s="1"/>
  <c r="CI39" i="1"/>
  <c r="CL192" i="1"/>
  <c r="CL197" i="1"/>
  <c r="CL42" i="1"/>
  <c r="CJ259" i="1"/>
  <c r="CJ140" i="1"/>
  <c r="CJ257" i="1"/>
  <c r="X255" i="1"/>
  <c r="CJ177" i="1"/>
  <c r="CK41" i="1"/>
  <c r="Y176" i="1"/>
  <c r="Y177" i="1" s="1"/>
  <c r="CK40" i="1"/>
  <c r="CK45" i="1"/>
  <c r="CK49" i="1" s="1"/>
  <c r="Y195" i="1"/>
  <c r="X176" i="1"/>
  <c r="X177" i="1" s="1"/>
  <c r="CK115" i="1"/>
  <c r="CK119" i="1"/>
  <c r="CK114" i="1"/>
  <c r="CK118" i="1"/>
  <c r="CK196" i="1"/>
  <c r="Y255" i="1"/>
  <c r="Y214" i="1"/>
  <c r="Y212" i="1" s="1"/>
  <c r="Y257" i="1"/>
  <c r="CU144" i="1"/>
  <c r="CV144" i="1" s="1"/>
  <c r="CW144" i="1" s="1"/>
  <c r="CX144" i="1" s="1"/>
  <c r="AC144" i="1"/>
  <c r="Z28" i="1"/>
  <c r="Z39" i="1"/>
  <c r="Y209" i="1"/>
  <c r="CJ107" i="1"/>
  <c r="Z29" i="1"/>
  <c r="Y39" i="1"/>
  <c r="Y28" i="1"/>
  <c r="CH103" i="1"/>
  <c r="CH107" i="1" s="1"/>
  <c r="CH259" i="1"/>
  <c r="CH193" i="1"/>
  <c r="CH168" i="1"/>
  <c r="Z149" i="1"/>
  <c r="AA214" i="1" s="1"/>
  <c r="AA212" i="1" s="1"/>
  <c r="Z44" i="1"/>
  <c r="CH145" i="1"/>
  <c r="CI142" i="1"/>
  <c r="CI145" i="1" s="1"/>
  <c r="CI217" i="1"/>
  <c r="CJ260" i="1"/>
  <c r="CJ217" i="1"/>
  <c r="CI260" i="1"/>
  <c r="CH179" i="1"/>
  <c r="CH140" i="1"/>
  <c r="CI163" i="1"/>
  <c r="CI196" i="1"/>
  <c r="Z208" i="1"/>
  <c r="Z209" i="1" s="1"/>
  <c r="Z196" i="1"/>
  <c r="Z168" i="1"/>
  <c r="Y29" i="1"/>
  <c r="X28" i="1"/>
  <c r="X39" i="1"/>
  <c r="CJ106" i="1"/>
  <c r="CL213" i="1"/>
  <c r="CM151" i="1"/>
  <c r="CI30" i="1"/>
  <c r="CH28" i="1"/>
  <c r="X195" i="1"/>
  <c r="X197" i="1"/>
  <c r="Y200" i="1" s="1"/>
  <c r="Y201" i="1" s="1"/>
  <c r="CM136" i="1"/>
  <c r="CJ30" i="1"/>
  <c r="CJ39" i="1"/>
  <c r="CJ28" i="1"/>
  <c r="CN28" i="1" s="1"/>
  <c r="CK217" i="1"/>
  <c r="CK260" i="1"/>
  <c r="CH39" i="1"/>
  <c r="CL41" i="1" s="1"/>
  <c r="CH30" i="1"/>
  <c r="CM38" i="1"/>
  <c r="CJ119" i="1"/>
  <c r="CJ115" i="1"/>
  <c r="CH119" i="1"/>
  <c r="CI118" i="1"/>
  <c r="CH118" i="1"/>
  <c r="CI119" i="1"/>
  <c r="CJ118" i="1"/>
  <c r="CJ114" i="1"/>
  <c r="CN191" i="1"/>
  <c r="CN194" i="1"/>
  <c r="CN190" i="1"/>
  <c r="CG243" i="1"/>
  <c r="CG244" i="1" s="1"/>
  <c r="CJ197" i="1" l="1"/>
  <c r="CJ192" i="1"/>
  <c r="CK192" i="1" s="1"/>
  <c r="CO135" i="1"/>
  <c r="CY128" i="1"/>
  <c r="CY174" i="1"/>
  <c r="CI45" i="1"/>
  <c r="CI49" i="1" s="1"/>
  <c r="CI243" i="1"/>
  <c r="CI244" i="1" s="1"/>
  <c r="CI40" i="1"/>
  <c r="AA41" i="1"/>
  <c r="AA261" i="1"/>
  <c r="AA262" i="1" s="1"/>
  <c r="AA224" i="1"/>
  <c r="AA221" i="1"/>
  <c r="AA222" i="1" s="1"/>
  <c r="CL51" i="1"/>
  <c r="CL52" i="1"/>
  <c r="CL123" i="1"/>
  <c r="CK52" i="1"/>
  <c r="CL55" i="1" s="1"/>
  <c r="CK51" i="1"/>
  <c r="CY144" i="1"/>
  <c r="CZ144" i="1" s="1"/>
  <c r="DA144" i="1" s="1"/>
  <c r="DB144" i="1" s="1"/>
  <c r="AE144" i="1" s="1"/>
  <c r="AD144" i="1"/>
  <c r="CJ243" i="1"/>
  <c r="CJ244" i="1" s="1"/>
  <c r="CK42" i="1"/>
  <c r="CI261" i="1"/>
  <c r="CI262" i="1" s="1"/>
  <c r="CK123" i="1"/>
  <c r="CM195" i="1"/>
  <c r="Z176" i="1"/>
  <c r="Z177" i="1" s="1"/>
  <c r="Z261" i="1"/>
  <c r="Z262" i="1" s="1"/>
  <c r="Z123" i="1"/>
  <c r="Z243" i="1"/>
  <c r="Z244" i="1" s="1"/>
  <c r="Z45" i="1"/>
  <c r="Z40" i="1"/>
  <c r="Y261" i="1"/>
  <c r="Y262" i="1" s="1"/>
  <c r="Y40" i="1"/>
  <c r="Z41" i="1"/>
  <c r="Y123" i="1"/>
  <c r="Y45" i="1"/>
  <c r="Y243" i="1"/>
  <c r="Y244" i="1" s="1"/>
  <c r="Z214" i="1"/>
  <c r="Z212" i="1" s="1"/>
  <c r="Z257" i="1"/>
  <c r="Z255" i="1"/>
  <c r="CH149" i="1"/>
  <c r="CI44" i="1"/>
  <c r="CJ44" i="1"/>
  <c r="CI149" i="1"/>
  <c r="CJ214" i="1" s="1"/>
  <c r="CJ212" i="1" s="1"/>
  <c r="CI48" i="1"/>
  <c r="CH120" i="1"/>
  <c r="Z197" i="1"/>
  <c r="Z195" i="1"/>
  <c r="X45" i="1"/>
  <c r="X40" i="1"/>
  <c r="X243" i="1"/>
  <c r="X244" i="1" s="1"/>
  <c r="X123" i="1"/>
  <c r="Y41" i="1"/>
  <c r="CH197" i="1"/>
  <c r="CL200" i="1" s="1"/>
  <c r="CH192" i="1"/>
  <c r="CI192" i="1" s="1"/>
  <c r="CH105" i="1"/>
  <c r="CH106" i="1"/>
  <c r="CM192" i="1"/>
  <c r="CM213" i="1"/>
  <c r="CN151" i="1"/>
  <c r="CJ42" i="1"/>
  <c r="CJ261" i="1"/>
  <c r="CJ262" i="1" s="1"/>
  <c r="CH40" i="1"/>
  <c r="CH45" i="1"/>
  <c r="CH49" i="1" s="1"/>
  <c r="CH42" i="1"/>
  <c r="CH261" i="1"/>
  <c r="CI42" i="1"/>
  <c r="CH243" i="1"/>
  <c r="CH244" i="1" s="1"/>
  <c r="CJ237" i="1"/>
  <c r="CJ123" i="1"/>
  <c r="CJ40" i="1"/>
  <c r="CJ45" i="1"/>
  <c r="CJ49" i="1" s="1"/>
  <c r="CN136" i="1"/>
  <c r="CM139" i="1"/>
  <c r="CM260" i="1" s="1"/>
  <c r="CL260" i="1"/>
  <c r="CL217" i="1"/>
  <c r="CN38" i="1"/>
  <c r="CO38" i="1" s="1"/>
  <c r="CO190" i="1"/>
  <c r="CO191" i="1"/>
  <c r="CO194" i="1"/>
  <c r="CM56" i="1"/>
  <c r="CN56" i="1" s="1"/>
  <c r="CO56" i="1" s="1"/>
  <c r="CP56" i="1" s="1"/>
  <c r="CQ56" i="1" s="1"/>
  <c r="CR56" i="1" s="1"/>
  <c r="CS56" i="1" s="1"/>
  <c r="CT56" i="1" s="1"/>
  <c r="CU56" i="1" s="1"/>
  <c r="CM57" i="1"/>
  <c r="CK193" i="1" l="1"/>
  <c r="CK197" i="1" s="1"/>
  <c r="CP135" i="1"/>
  <c r="CZ174" i="1"/>
  <c r="CZ128" i="1"/>
  <c r="CI51" i="1"/>
  <c r="CK54" i="1"/>
  <c r="CI52" i="1"/>
  <c r="Z200" i="1"/>
  <c r="Z201" i="1" s="1"/>
  <c r="AA200" i="1"/>
  <c r="AA201" i="1" s="1"/>
  <c r="CL53" i="1"/>
  <c r="CL59" i="1"/>
  <c r="CK53" i="1"/>
  <c r="CK59" i="1"/>
  <c r="CM196" i="1"/>
  <c r="CN195" i="1"/>
  <c r="X66" i="1"/>
  <c r="X49" i="1"/>
  <c r="Z49" i="1"/>
  <c r="Z66" i="1"/>
  <c r="Y66" i="1"/>
  <c r="Y49" i="1"/>
  <c r="CI214" i="1"/>
  <c r="CI212" i="1" s="1"/>
  <c r="CH257" i="1"/>
  <c r="CH176" i="1"/>
  <c r="CH177" i="1" s="1"/>
  <c r="CH121" i="1"/>
  <c r="CH122" i="1"/>
  <c r="CI157" i="1"/>
  <c r="CI193" i="1"/>
  <c r="CH52" i="1"/>
  <c r="CH51" i="1"/>
  <c r="CN213" i="1"/>
  <c r="CO151" i="1"/>
  <c r="CJ52" i="1"/>
  <c r="CJ51" i="1"/>
  <c r="CN192" i="1"/>
  <c r="CM193" i="1"/>
  <c r="CO136" i="1"/>
  <c r="CN139" i="1"/>
  <c r="CN260" i="1" s="1"/>
  <c r="CM217" i="1"/>
  <c r="CK149" i="1"/>
  <c r="CP38" i="1"/>
  <c r="CQ38" i="1" s="1"/>
  <c r="CR38" i="1" s="1"/>
  <c r="CS38" i="1" s="1"/>
  <c r="CP194" i="1"/>
  <c r="CP191" i="1"/>
  <c r="CP190" i="1"/>
  <c r="CE76" i="1"/>
  <c r="AB56" i="1"/>
  <c r="CG256" i="1"/>
  <c r="CG245" i="1"/>
  <c r="AC56" i="1"/>
  <c r="CV56" i="1"/>
  <c r="CW56" i="1" s="1"/>
  <c r="CX56" i="1" s="1"/>
  <c r="CY56" i="1" s="1"/>
  <c r="AB46" i="1"/>
  <c r="CN57" i="1"/>
  <c r="CO57" i="1" s="1"/>
  <c r="CP57" i="1" s="1"/>
  <c r="CQ57" i="1" s="1"/>
  <c r="CQ135" i="1" l="1"/>
  <c r="DA128" i="1"/>
  <c r="DA174" i="1"/>
  <c r="CI53" i="1"/>
  <c r="CI256" i="1" s="1"/>
  <c r="CI245" i="1"/>
  <c r="CI59" i="1"/>
  <c r="CI130" i="1" s="1"/>
  <c r="CL77" i="1"/>
  <c r="CL63" i="1"/>
  <c r="CH55" i="1"/>
  <c r="CL54" i="1"/>
  <c r="CK63" i="1"/>
  <c r="CK77" i="1"/>
  <c r="Z52" i="1"/>
  <c r="Z51" i="1"/>
  <c r="CJ59" i="1"/>
  <c r="CJ204" i="1" s="1"/>
  <c r="CJ206" i="1" s="1"/>
  <c r="CK55" i="1"/>
  <c r="CO195" i="1"/>
  <c r="CN196" i="1"/>
  <c r="CM197" i="1"/>
  <c r="Y51" i="1"/>
  <c r="Y52" i="1"/>
  <c r="CK214" i="1"/>
  <c r="CK212" i="1" s="1"/>
  <c r="CM51" i="1"/>
  <c r="CN51" i="1" s="1"/>
  <c r="X51" i="1"/>
  <c r="X52" i="1"/>
  <c r="X59" i="1" s="1"/>
  <c r="CN44" i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CO213" i="1"/>
  <c r="CP151" i="1"/>
  <c r="CK143" i="1"/>
  <c r="CK205" i="1"/>
  <c r="CH53" i="1"/>
  <c r="CH256" i="1" s="1"/>
  <c r="CH245" i="1"/>
  <c r="CH59" i="1"/>
  <c r="CJ65" i="1" s="1"/>
  <c r="CJ238" i="1"/>
  <c r="CI55" i="1"/>
  <c r="CJ55" i="1"/>
  <c r="CJ53" i="1"/>
  <c r="CJ256" i="1" s="1"/>
  <c r="CJ245" i="1"/>
  <c r="CO192" i="1"/>
  <c r="CN193" i="1"/>
  <c r="CP136" i="1"/>
  <c r="CO139" i="1"/>
  <c r="CO260" i="1" s="1"/>
  <c r="CN217" i="1"/>
  <c r="Y59" i="1"/>
  <c r="Z59" i="1"/>
  <c r="CO28" i="1"/>
  <c r="CP28" i="1" s="1"/>
  <c r="CT38" i="1"/>
  <c r="CB76" i="1"/>
  <c r="BL76" i="1"/>
  <c r="CR135" i="1"/>
  <c r="CQ190" i="1"/>
  <c r="CQ194" i="1"/>
  <c r="CC76" i="1"/>
  <c r="CQ191" i="1"/>
  <c r="DB128" i="1"/>
  <c r="DB174" i="1"/>
  <c r="AL76" i="1"/>
  <c r="CF76" i="1"/>
  <c r="CD76" i="1"/>
  <c r="BY76" i="1"/>
  <c r="BZ76" i="1"/>
  <c r="CA76" i="1"/>
  <c r="CJ77" i="1"/>
  <c r="CI131" i="1"/>
  <c r="CI63" i="1"/>
  <c r="CI77" i="1"/>
  <c r="CI204" i="1"/>
  <c r="CI206" i="1" s="1"/>
  <c r="CG204" i="1"/>
  <c r="CG206" i="1" s="1"/>
  <c r="CG63" i="1"/>
  <c r="CG77" i="1"/>
  <c r="AD56" i="1"/>
  <c r="AB57" i="1"/>
  <c r="CZ56" i="1"/>
  <c r="DA56" i="1" s="1"/>
  <c r="DB56" i="1" s="1"/>
  <c r="AE56" i="1" s="1"/>
  <c r="AC46" i="1"/>
  <c r="CR57" i="1"/>
  <c r="CS57" i="1" s="1"/>
  <c r="CT57" i="1" s="1"/>
  <c r="CU57" i="1" s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U12" i="4" a="1"/>
  <c r="EO11" i="4" a="1"/>
  <c r="AW8" i="3"/>
  <c r="EU9" i="4" a="1"/>
  <c r="EV6" i="4" a="1"/>
  <c r="ET5" i="4" a="1"/>
  <c r="N5" i="6" a="1"/>
  <c r="AY20" i="3"/>
  <c r="AB5" i="3"/>
  <c r="AV24" i="3"/>
  <c r="AT46" i="3"/>
  <c r="U5" i="6" a="1"/>
  <c r="EU8" i="4" a="1"/>
  <c r="EO5" i="4" a="1"/>
  <c r="ET7" i="4" a="1"/>
  <c r="AS37" i="3"/>
  <c r="AS26" i="3"/>
  <c r="AW32" i="3"/>
  <c r="EQ15" i="4" a="1"/>
  <c r="EM12" i="4" a="1"/>
  <c r="AW18" i="3"/>
  <c r="AV19" i="3"/>
  <c r="AW24" i="3"/>
  <c r="AS21" i="3"/>
  <c r="EW16" i="4" a="1"/>
  <c r="EV14" i="4" a="1"/>
  <c r="AT39" i="3"/>
  <c r="AF11" i="3"/>
  <c r="AF30" i="3"/>
  <c r="AX35" i="3"/>
  <c r="AY23" i="3"/>
  <c r="AW10" i="3"/>
  <c r="AS22" i="3"/>
  <c r="AV27" i="3"/>
  <c r="AZ34" i="3"/>
  <c r="EU14" i="4" a="1"/>
  <c r="EU6" i="4" a="1"/>
  <c r="EN9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Z46" i="3"/>
  <c r="AY15" i="3"/>
  <c r="AX46" i="3"/>
  <c r="ER11" i="4" a="1"/>
  <c r="EM5" i="4" a="1"/>
  <c r="EN7" i="4" a="1"/>
  <c r="EV13" i="4" a="1"/>
  <c r="ET15" i="4" a="1"/>
  <c r="EL13" i="4" a="1"/>
  <c r="EO6" i="4" a="1"/>
  <c r="EQ8" i="4" a="1"/>
  <c r="AF36" i="3"/>
  <c r="AX11" i="3"/>
  <c r="AV15" i="3"/>
  <c r="S6" i="6" a="1"/>
  <c r="EW14" i="4" a="1"/>
  <c r="AT11" i="3"/>
  <c r="AZ29" i="3"/>
  <c r="AW9" i="3"/>
  <c r="AS27" i="3"/>
  <c r="EL11" i="4" a="1"/>
  <c r="AZ28" i="3"/>
  <c r="AU24" i="3"/>
  <c r="AU11" i="3"/>
  <c r="AT41" i="3"/>
  <c r="AX15" i="3"/>
  <c r="AS14" i="3"/>
  <c r="AS6" i="6" a="1"/>
  <c r="AZ40" i="3"/>
  <c r="EQ13" i="4" a="1"/>
  <c r="AJ6" i="6" a="1"/>
  <c r="AF6" i="3"/>
  <c r="AV6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U7" i="3"/>
  <c r="AY42" i="3"/>
  <c r="AY37" i="3"/>
  <c r="ET12" i="4" a="1"/>
  <c r="EW9" i="4" a="1"/>
  <c r="ES13" i="4" a="1"/>
  <c r="AY11" i="3"/>
  <c r="AF28" i="3"/>
  <c r="AF33" i="3"/>
  <c r="ES11" i="4" a="1"/>
  <c r="EQ14" i="4" a="1"/>
  <c r="AV16" i="3"/>
  <c r="AW25" i="3"/>
  <c r="ET16" i="4" a="1"/>
  <c r="AY6" i="6" a="1"/>
  <c r="AR7" i="3"/>
  <c r="EQ11" i="4" a="1"/>
  <c r="AN6" i="6" a="1"/>
  <c r="AK6" i="6" a="1"/>
  <c r="AS30" i="3"/>
  <c r="EW15" i="4" a="1"/>
  <c r="AX14" i="3"/>
  <c r="M5" i="6" a="1"/>
  <c r="C6" i="4" a="1"/>
  <c r="EL8" i="4" a="1"/>
  <c r="EP6" i="4" a="1"/>
  <c r="ER15" i="4" a="1"/>
  <c r="EW7" i="4" a="1"/>
  <c r="AW37" i="3"/>
  <c r="AF40" i="3"/>
  <c r="AT29" i="3"/>
  <c r="AT5" i="6" a="1"/>
  <c r="AF34" i="3"/>
  <c r="AU26" i="3"/>
  <c r="EP15" i="4" a="1"/>
  <c r="EN16" i="4" a="1"/>
  <c r="EM8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T8" i="4" a="1"/>
  <c r="EV9" i="4" a="1"/>
  <c r="EL14" i="4" a="1"/>
  <c r="AP6" i="6" a="1"/>
  <c r="AV33" i="3"/>
  <c r="AY19" i="3"/>
  <c r="AH5" i="6" a="1"/>
  <c r="AT34" i="3"/>
  <c r="EO13" i="4" a="1"/>
  <c r="EQ9" i="4" a="1"/>
  <c r="EO14" i="4" a="1"/>
  <c r="ES7" i="4" a="1"/>
  <c r="EL5" i="4" a="1"/>
  <c r="ET13" i="4" a="1"/>
  <c r="AU8" i="3"/>
  <c r="ES6" i="4" a="1"/>
  <c r="AT15" i="3"/>
  <c r="AU33" i="3"/>
  <c r="AU32" i="3"/>
  <c r="AU31" i="3"/>
  <c r="EN8" i="4" a="1"/>
  <c r="AZ45" i="3"/>
  <c r="AV17" i="3"/>
  <c r="AW19" i="3"/>
  <c r="AS10" i="3"/>
  <c r="ER5" i="4" a="1"/>
  <c r="EU11" i="4" a="1"/>
  <c r="AY30" i="3"/>
  <c r="AS13" i="3"/>
  <c r="AV13" i="3"/>
  <c r="EO7" i="4" a="1"/>
  <c r="EN12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M13" i="4" a="1"/>
  <c r="EV16" i="4" a="1"/>
  <c r="AX6" i="6" a="1"/>
  <c r="AU29" i="3"/>
  <c r="E6" i="6" a="1"/>
  <c r="AT6" i="3"/>
  <c r="AT16" i="3"/>
  <c r="AS42" i="3"/>
  <c r="EP5" i="4" a="1"/>
  <c r="EN14" i="4" a="1"/>
  <c r="EQ5" i="4" a="1"/>
  <c r="EV5" i="4" a="1"/>
  <c r="AF13" i="3"/>
  <c r="EP7" i="4" a="1"/>
  <c r="AX28" i="3"/>
  <c r="AG5" i="6" a="1"/>
  <c r="AW22" i="3"/>
  <c r="AV37" i="3"/>
  <c r="AW26" i="3"/>
  <c r="EP8" i="4" a="1"/>
  <c r="AS46" i="3"/>
  <c r="AU5" i="6" a="1"/>
  <c r="AA5" i="6" a="1"/>
  <c r="AS12" i="3"/>
  <c r="AW16" i="3"/>
  <c r="AS7" i="3"/>
  <c r="AF32" i="3"/>
  <c r="AF41" i="3"/>
  <c r="AU36" i="3"/>
  <c r="Q5" i="6" a="1"/>
  <c r="AY27" i="3"/>
  <c r="AZ10" i="3"/>
  <c r="AZ20" i="3"/>
  <c r="AU13" i="3"/>
  <c r="AT23" i="3"/>
  <c r="AY18" i="3"/>
  <c r="AY28" i="3"/>
  <c r="W5" i="6" a="1"/>
  <c r="AW38" i="3"/>
  <c r="AY16" i="3"/>
  <c r="X6" i="6" a="1"/>
  <c r="ER13" i="4" a="1"/>
  <c r="EW12" i="4" a="1"/>
  <c r="EU16" i="4" a="1"/>
  <c r="EU15" i="4" a="1"/>
  <c r="EL7" i="4" a="1"/>
  <c r="EQ16" i="4" a="1"/>
  <c r="ES15" i="4" a="1"/>
  <c r="AX8" i="3"/>
  <c r="AW27" i="3"/>
  <c r="AW41" i="3"/>
  <c r="AF22" i="3"/>
  <c r="AF8" i="3"/>
  <c r="V6" i="6" a="1"/>
  <c r="AQ5" i="6" a="1"/>
  <c r="EL16" i="4" a="1"/>
  <c r="EW13" i="4" a="1"/>
  <c r="EL15" i="4" a="1"/>
  <c r="AW34" i="3"/>
  <c r="AF7" i="3"/>
  <c r="AY38" i="3"/>
  <c r="AC5" i="6" a="1"/>
  <c r="EV12" i="4" a="1"/>
  <c r="AT12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C5" i="4" a="1"/>
  <c r="AH6" i="6" a="1"/>
  <c r="EP9" i="4" a="1"/>
  <c r="EP14" i="4" a="1"/>
  <c r="AX33" i="3"/>
  <c r="AT5" i="3"/>
  <c r="AX10" i="3"/>
  <c r="EN15" i="4" a="1"/>
  <c r="AV5" i="3"/>
  <c r="AT36" i="3"/>
  <c r="ER8" i="4" a="1"/>
  <c r="ER9" i="4" a="1"/>
  <c r="T6" i="6" a="1"/>
  <c r="AL6" i="6" a="1"/>
  <c r="AZ13" i="3"/>
  <c r="AU34" i="3"/>
  <c r="AY7" i="3"/>
  <c r="AZ16" i="3"/>
  <c r="AW30" i="3"/>
  <c r="AX5" i="3"/>
  <c r="AY17" i="3"/>
  <c r="AZ7" i="3"/>
  <c r="AS41" i="3"/>
  <c r="AU40" i="3"/>
  <c r="EU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EM15" i="4" a="1"/>
  <c r="ES14" i="4" a="1"/>
  <c r="EM16" i="4" a="1"/>
  <c r="AY32" i="3"/>
  <c r="AS39" i="3"/>
  <c r="K6" i="6" a="1"/>
  <c r="AT20" i="3"/>
  <c r="Q6" i="6" a="1"/>
  <c r="AR5" i="6" a="1"/>
  <c r="EU13" i="4" a="1"/>
  <c r="EW11" i="4" a="1"/>
  <c r="AW39" i="3"/>
  <c r="AX21" i="3"/>
  <c r="K5" i="6" a="1"/>
  <c r="AZ37" i="3"/>
  <c r="AT6" i="6" a="1"/>
  <c r="AV12" i="3"/>
  <c r="AF5" i="6" a="1"/>
  <c r="EO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V31" i="3"/>
  <c r="EP13" i="4" a="1"/>
  <c r="EL9" i="4" a="1"/>
  <c r="EN11" i="4" a="1"/>
  <c r="EV8" i="4" a="1"/>
  <c r="AD5" i="6" a="1"/>
  <c r="AX37" i="3"/>
  <c r="EN13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U22" i="3"/>
  <c r="AS6" i="3"/>
  <c r="AD6" i="6" a="1"/>
  <c r="AB5" i="6" a="1"/>
  <c r="AP7" i="3"/>
  <c r="EV7" i="4" a="1"/>
  <c r="Z245" i="1" l="1"/>
  <c r="AA54" i="1"/>
  <c r="CL80" i="1"/>
  <c r="CK142" i="1"/>
  <c r="CL143" i="1"/>
  <c r="CL142" i="1" s="1"/>
  <c r="Z53" i="1"/>
  <c r="Z256" i="1" s="1"/>
  <c r="CN197" i="1"/>
  <c r="CJ63" i="1"/>
  <c r="X53" i="1"/>
  <c r="X256" i="1" s="1"/>
  <c r="Y54" i="1"/>
  <c r="X245" i="1"/>
  <c r="Y245" i="1"/>
  <c r="Z54" i="1"/>
  <c r="Y53" i="1"/>
  <c r="Y256" i="1" s="1"/>
  <c r="CP195" i="1"/>
  <c r="CO196" i="1"/>
  <c r="CP213" i="1"/>
  <c r="CQ151" i="1"/>
  <c r="CH204" i="1"/>
  <c r="CH206" i="1" s="1"/>
  <c r="CH77" i="1"/>
  <c r="CH63" i="1"/>
  <c r="CP192" i="1"/>
  <c r="CO193" i="1"/>
  <c r="CQ136" i="1"/>
  <c r="CP139" i="1"/>
  <c r="CP260" i="1" s="1"/>
  <c r="CO217" i="1"/>
  <c r="BY33" i="1"/>
  <c r="CA20" i="1"/>
  <c r="CE33" i="1"/>
  <c r="CA33" i="1"/>
  <c r="CF33" i="1"/>
  <c r="CD33" i="1"/>
  <c r="BZ33" i="1"/>
  <c r="BL33" i="1"/>
  <c r="CC33" i="1"/>
  <c r="CB33" i="1"/>
  <c r="CF20" i="1"/>
  <c r="CD20" i="1"/>
  <c r="BY20" i="1"/>
  <c r="CE20" i="1"/>
  <c r="BZ20" i="1"/>
  <c r="CC20" i="1"/>
  <c r="CB20" i="1"/>
  <c r="BL20" i="1"/>
  <c r="Y204" i="1"/>
  <c r="Y206" i="1" s="1"/>
  <c r="Y210" i="1" s="1"/>
  <c r="Y224" i="1" s="1"/>
  <c r="Y218" i="1"/>
  <c r="Y216" i="1" s="1"/>
  <c r="Y65" i="1"/>
  <c r="Y63" i="1"/>
  <c r="X204" i="1"/>
  <c r="X206" i="1" s="1"/>
  <c r="X63" i="1"/>
  <c r="X65" i="1"/>
  <c r="Z204" i="1"/>
  <c r="Z206" i="1" s="1"/>
  <c r="Z210" i="1" s="1"/>
  <c r="Z224" i="1" s="1"/>
  <c r="Z218" i="1"/>
  <c r="Z216" i="1" s="1"/>
  <c r="Z65" i="1"/>
  <c r="Z63" i="1"/>
  <c r="CD36" i="1"/>
  <c r="CC56" i="1"/>
  <c r="CA19" i="1"/>
  <c r="CA242" i="1" s="1"/>
  <c r="CD50" i="1"/>
  <c r="AH7" i="6" s="1"/>
  <c r="CD46" i="1"/>
  <c r="CF47" i="1"/>
  <c r="BY56" i="1"/>
  <c r="BL56" i="1"/>
  <c r="CD57" i="1"/>
  <c r="AV7" i="6" s="1"/>
  <c r="CB31" i="1"/>
  <c r="R7" i="6" s="1"/>
  <c r="X7" i="6" s="1"/>
  <c r="CD56" i="1"/>
  <c r="CD26" i="1"/>
  <c r="V7" i="6" s="1"/>
  <c r="BY26" i="1"/>
  <c r="CB19" i="1"/>
  <c r="CB242" i="1" s="1"/>
  <c r="BY62" i="1"/>
  <c r="BL19" i="1"/>
  <c r="AW7" i="6" s="1"/>
  <c r="BY32" i="1"/>
  <c r="CA24" i="1"/>
  <c r="CB34" i="1"/>
  <c r="BZ47" i="1"/>
  <c r="O7" i="6" s="1"/>
  <c r="BL58" i="1"/>
  <c r="AQ7" i="6" s="1"/>
  <c r="CF19" i="1"/>
  <c r="JJ9" i="4" s="1"/>
  <c r="BY57" i="1"/>
  <c r="AM7" i="6" s="1"/>
  <c r="JM16" i="4" s="1"/>
  <c r="CF58" i="1"/>
  <c r="CA35" i="1"/>
  <c r="BL34" i="1"/>
  <c r="BL57" i="1"/>
  <c r="CF46" i="1"/>
  <c r="BL47" i="1"/>
  <c r="BZ56" i="1"/>
  <c r="CC36" i="1"/>
  <c r="CC32" i="1"/>
  <c r="JM9" i="4" s="1"/>
  <c r="CA32" i="1"/>
  <c r="JL16" i="4" s="1"/>
  <c r="BZ35" i="1"/>
  <c r="CB32" i="1"/>
  <c r="CC24" i="1"/>
  <c r="JK16" i="4" s="1"/>
  <c r="CA62" i="1"/>
  <c r="BZ25" i="1"/>
  <c r="CE26" i="1"/>
  <c r="CC25" i="1"/>
  <c r="C7" i="6" s="1"/>
  <c r="T7" i="6" s="1"/>
  <c r="BY35" i="1"/>
  <c r="CC57" i="1"/>
  <c r="CC19" i="1"/>
  <c r="CC242" i="1" s="1"/>
  <c r="CB46" i="1"/>
  <c r="JL9" i="4" s="1"/>
  <c r="CF50" i="1"/>
  <c r="AL7" i="6" s="1"/>
  <c r="BZ43" i="1"/>
  <c r="BZ205" i="1" s="1"/>
  <c r="BZ46" i="1"/>
  <c r="J7" i="6" s="1"/>
  <c r="BY58" i="1"/>
  <c r="Z7" i="6" s="1"/>
  <c r="BL31" i="1"/>
  <c r="CF24" i="1"/>
  <c r="CF34" i="1"/>
  <c r="BZ24" i="1"/>
  <c r="CA26" i="1"/>
  <c r="CD25" i="1"/>
  <c r="BL32" i="1"/>
  <c r="BY25" i="1"/>
  <c r="CE43" i="1"/>
  <c r="CE205" i="1" s="1"/>
  <c r="AD7" i="6" s="1"/>
  <c r="CF36" i="1"/>
  <c r="CE31" i="1"/>
  <c r="CA58" i="1"/>
  <c r="CD47" i="1"/>
  <c r="CB35" i="1"/>
  <c r="CD58" i="1"/>
  <c r="AP7" i="6" s="1"/>
  <c r="Y7" i="6" s="1"/>
  <c r="CA36" i="1"/>
  <c r="AA7" i="6" s="1"/>
  <c r="AJ7" i="6" s="1"/>
  <c r="BY19" i="1"/>
  <c r="BY34" i="1"/>
  <c r="CB50" i="1"/>
  <c r="CE36" i="1"/>
  <c r="I7" i="6" s="1"/>
  <c r="AK7" i="6" s="1"/>
  <c r="CE25" i="1"/>
  <c r="K7" i="6" s="1"/>
  <c r="F7" i="6" s="1"/>
  <c r="CB56" i="1"/>
  <c r="CF35" i="1"/>
  <c r="AC7" i="6" s="1"/>
  <c r="AE7" i="6" s="1"/>
  <c r="M7" i="6" s="1"/>
  <c r="Q7" i="6" s="1"/>
  <c r="CA57" i="1"/>
  <c r="BZ57" i="1"/>
  <c r="CA47" i="1"/>
  <c r="CF57" i="1"/>
  <c r="AU7" i="6" s="1"/>
  <c r="BL26" i="1"/>
  <c r="CE35" i="1"/>
  <c r="CB43" i="1"/>
  <c r="CB205" i="1" s="1"/>
  <c r="CC58" i="1"/>
  <c r="CC62" i="1"/>
  <c r="AX7" i="6" s="1"/>
  <c r="BZ34" i="1"/>
  <c r="AT7" i="6" s="1"/>
  <c r="S7" i="6" s="1"/>
  <c r="BY24" i="1"/>
  <c r="CE46" i="1"/>
  <c r="CA56" i="1"/>
  <c r="CB58" i="1"/>
  <c r="CA46" i="1"/>
  <c r="CF62" i="1"/>
  <c r="CF32" i="1"/>
  <c r="CA31" i="1"/>
  <c r="AN7" i="6" s="1"/>
  <c r="CE57" i="1"/>
  <c r="CC26" i="1"/>
  <c r="CE62" i="1"/>
  <c r="CF26" i="1"/>
  <c r="G7" i="6" s="1"/>
  <c r="BL43" i="1"/>
  <c r="AF7" i="6" s="1"/>
  <c r="CC31" i="1"/>
  <c r="CD31" i="1"/>
  <c r="JJ16" i="4" s="1"/>
  <c r="BY36" i="1"/>
  <c r="CB57" i="1"/>
  <c r="CE19" i="1"/>
  <c r="AB7" i="6" s="1"/>
  <c r="BL25" i="1"/>
  <c r="CD62" i="1"/>
  <c r="BY31" i="1"/>
  <c r="BZ26" i="1"/>
  <c r="CD32" i="1"/>
  <c r="L7" i="6" s="1"/>
  <c r="BL50" i="1"/>
  <c r="BZ19" i="1"/>
  <c r="BZ242" i="1" s="1"/>
  <c r="CA43" i="1"/>
  <c r="BZ50" i="1"/>
  <c r="BY43" i="1"/>
  <c r="BY205" i="1" s="1"/>
  <c r="AI7" i="6" s="1"/>
  <c r="CC50" i="1"/>
  <c r="D7" i="6" s="1"/>
  <c r="BZ32" i="1"/>
  <c r="AG7" i="6" s="1"/>
  <c r="BZ31" i="1"/>
  <c r="BL62" i="1"/>
  <c r="W7" i="6" s="1"/>
  <c r="CB62" i="1"/>
  <c r="CE58" i="1"/>
  <c r="CF31" i="1"/>
  <c r="CC34" i="1"/>
  <c r="CD34" i="1"/>
  <c r="CE24" i="1"/>
  <c r="BY46" i="1"/>
  <c r="CC46" i="1"/>
  <c r="BZ62" i="1"/>
  <c r="AS7" i="6" s="1"/>
  <c r="BZ58" i="1"/>
  <c r="CE47" i="1"/>
  <c r="CD24" i="1"/>
  <c r="BL46" i="1"/>
  <c r="CB25" i="1"/>
  <c r="CC43" i="1"/>
  <c r="CC205" i="1" s="1"/>
  <c r="BY50" i="1"/>
  <c r="H7" i="6" s="1"/>
  <c r="CA34" i="1"/>
  <c r="BZ36" i="1"/>
  <c r="CD19" i="1"/>
  <c r="CD242" i="1" s="1"/>
  <c r="AR7" i="6" s="1"/>
  <c r="CF25" i="1"/>
  <c r="BL24" i="1"/>
  <c r="BL35" i="1"/>
  <c r="JK9" i="4" s="1"/>
  <c r="AO7" i="6" s="1"/>
  <c r="CA50" i="1"/>
  <c r="BL36" i="1"/>
  <c r="CA25" i="1"/>
  <c r="CE56" i="1"/>
  <c r="CD35" i="1"/>
  <c r="P7" i="6" s="1"/>
  <c r="E7" i="6" s="1"/>
  <c r="U7" i="6" s="1"/>
  <c r="CC35" i="1"/>
  <c r="AY7" i="6" s="1"/>
  <c r="CD43" i="1"/>
  <c r="CB26" i="1"/>
  <c r="CC47" i="1"/>
  <c r="CB47" i="1"/>
  <c r="CE34" i="1"/>
  <c r="CE32" i="1"/>
  <c r="CF43" i="1"/>
  <c r="CF205" i="1" s="1"/>
  <c r="CB36" i="1"/>
  <c r="BY47" i="1"/>
  <c r="CF56" i="1"/>
  <c r="N7" i="6" s="1"/>
  <c r="CO51" i="1"/>
  <c r="CP51" i="1" s="1"/>
  <c r="CU38" i="1"/>
  <c r="CQ28" i="1"/>
  <c r="CI140" i="1"/>
  <c r="CI103" i="1"/>
  <c r="CS135" i="1"/>
  <c r="CR191" i="1"/>
  <c r="CR194" i="1"/>
  <c r="CR190" i="1"/>
  <c r="CJ218" i="1"/>
  <c r="CJ216" i="1" s="1"/>
  <c r="CJ66" i="1"/>
  <c r="CI218" i="1"/>
  <c r="CI216" i="1" s="1"/>
  <c r="AC57" i="1"/>
  <c r="CV57" i="1"/>
  <c r="CW57" i="1" s="1"/>
  <c r="CX57" i="1" s="1"/>
  <c r="CY57" i="1" s="1"/>
  <c r="AD46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W81" i="3"/>
  <c r="AV94" i="3"/>
  <c r="AY92" i="3"/>
  <c r="AW83" i="3"/>
  <c r="AF82" i="3"/>
  <c r="AU7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Z69" i="3"/>
  <c r="AY82" i="3"/>
  <c r="AW59" i="3"/>
  <c r="AX68" i="3"/>
  <c r="AX50" i="3"/>
  <c r="AV64" i="3"/>
  <c r="AU73" i="3"/>
  <c r="AV81" i="3"/>
  <c r="AZ88" i="3"/>
  <c r="C68" i="3"/>
  <c r="AX96" i="3"/>
  <c r="AZ89" i="3"/>
  <c r="AT68" i="3"/>
  <c r="AV82" i="3"/>
  <c r="AY50" i="3"/>
  <c r="C55" i="3"/>
  <c r="AZ97" i="3"/>
  <c r="AV71" i="3"/>
  <c r="AW62" i="3"/>
  <c r="AS93" i="3"/>
  <c r="AW87" i="3"/>
  <c r="AF60" i="3"/>
  <c r="AV87" i="3"/>
  <c r="AY75" i="3"/>
  <c r="AT63" i="3"/>
  <c r="AF95" i="3"/>
  <c r="AX60" i="3"/>
  <c r="AF74" i="3"/>
  <c r="AS56" i="3"/>
  <c r="AS94" i="3"/>
  <c r="C71" i="3"/>
  <c r="AX97" i="3"/>
  <c r="AS96" i="3"/>
  <c r="AF84" i="3"/>
  <c r="AF65" i="3"/>
  <c r="AF96" i="3"/>
  <c r="AZ81" i="3"/>
  <c r="C65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T80" i="3"/>
  <c r="AW48" i="3"/>
  <c r="AZ73" i="3"/>
  <c r="AT69" i="3"/>
  <c r="AS76" i="3"/>
  <c r="AF93" i="3"/>
  <c r="AZ85" i="3"/>
  <c r="AY81" i="3"/>
  <c r="AW64" i="3"/>
  <c r="AX85" i="3"/>
  <c r="AW47" i="3"/>
  <c r="AS78" i="3"/>
  <c r="AU88" i="3"/>
  <c r="C72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F57" i="3"/>
  <c r="C89" i="3"/>
  <c r="AZ78" i="3"/>
  <c r="AW61" i="3"/>
  <c r="AF77" i="3"/>
  <c r="AS77" i="3"/>
  <c r="AW82" i="3"/>
  <c r="AU89" i="3"/>
  <c r="AF68" i="3"/>
  <c r="AT66" i="3"/>
  <c r="AF54" i="3"/>
  <c r="AT72" i="3"/>
  <c r="AU85" i="3"/>
  <c r="AU63" i="3"/>
  <c r="AT86" i="3"/>
  <c r="AX62" i="3"/>
  <c r="AF61" i="3"/>
  <c r="AS63" i="3"/>
  <c r="AU71" i="3"/>
  <c r="AT91" i="3"/>
  <c r="AZ50" i="3"/>
  <c r="AW73" i="3"/>
  <c r="AZ57" i="3"/>
  <c r="AF71" i="3"/>
  <c r="AX94" i="3"/>
  <c r="AU61" i="3"/>
  <c r="C7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96" i="3"/>
  <c r="AZ60" i="3"/>
  <c r="AF89" i="3"/>
  <c r="AT61" i="3"/>
  <c r="AF62" i="3"/>
  <c r="AS50" i="3"/>
  <c r="AF64" i="3"/>
  <c r="AT62" i="3"/>
  <c r="AZ74" i="3"/>
  <c r="AS70" i="3"/>
  <c r="AS65" i="3"/>
  <c r="AZ67" i="3"/>
  <c r="AV67" i="3"/>
  <c r="C57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U75" i="3"/>
  <c r="AY54" i="3"/>
  <c r="AW95" i="3"/>
  <c r="AT54" i="3"/>
  <c r="AU69" i="3"/>
  <c r="AY59" i="3"/>
  <c r="AV63" i="3"/>
  <c r="AT93" i="3"/>
  <c r="AV95" i="3"/>
  <c r="AT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W67" i="3"/>
  <c r="AZ76" i="3"/>
  <c r="AT75" i="3"/>
  <c r="AU93" i="3"/>
  <c r="AY96" i="3"/>
  <c r="AT94" i="3"/>
  <c r="AW50" i="3"/>
  <c r="AU90" i="3"/>
  <c r="AT50" i="3"/>
  <c r="AS62" i="3"/>
  <c r="C59" i="3"/>
  <c r="AF79" i="3"/>
  <c r="AU8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U60" i="3"/>
  <c r="AY78" i="3"/>
  <c r="AT89" i="3"/>
  <c r="AV88" i="3"/>
  <c r="AW78" i="3"/>
  <c r="AU56" i="3"/>
  <c r="C69" i="3"/>
  <c r="AX95" i="3"/>
  <c r="AU94" i="3"/>
  <c r="C95" i="3"/>
  <c r="AX72" i="3"/>
  <c r="AZ91" i="3"/>
  <c r="AF75" i="3"/>
  <c r="CL96" i="1" l="1"/>
  <c r="CL98" i="1"/>
  <c r="CL97" i="1"/>
  <c r="CO197" i="1"/>
  <c r="CQ195" i="1"/>
  <c r="CP196" i="1"/>
  <c r="CJ80" i="1"/>
  <c r="CK80" i="1"/>
  <c r="CQ213" i="1"/>
  <c r="CR151" i="1"/>
  <c r="CQ192" i="1"/>
  <c r="CP193" i="1"/>
  <c r="CR136" i="1"/>
  <c r="CQ139" i="1"/>
  <c r="CQ260" i="1" s="1"/>
  <c r="CP217" i="1"/>
  <c r="BZ136" i="1"/>
  <c r="CA136" i="1" s="1"/>
  <c r="BL84" i="1"/>
  <c r="CF85" i="1"/>
  <c r="CB157" i="1"/>
  <c r="CC157" i="1" s="1"/>
  <c r="CD164" i="1"/>
  <c r="CD194" i="1" s="1"/>
  <c r="CE194" i="1" s="1"/>
  <c r="CB175" i="1"/>
  <c r="CC175" i="1" s="1"/>
  <c r="BL135" i="1"/>
  <c r="BM135" i="1" s="1"/>
  <c r="CD144" i="1"/>
  <c r="CD135" i="1"/>
  <c r="CE135" i="1" s="1"/>
  <c r="CF138" i="1"/>
  <c r="CG138" i="1" s="1"/>
  <c r="CB138" i="1"/>
  <c r="CC138" i="1" s="1"/>
  <c r="CB163" i="1"/>
  <c r="CC163" i="1" s="1"/>
  <c r="CB155" i="1"/>
  <c r="CB190" i="1" s="1"/>
  <c r="CC190" i="1" s="1"/>
  <c r="BZ164" i="1"/>
  <c r="BZ194" i="1" s="1"/>
  <c r="CA194" i="1" s="1"/>
  <c r="BZ175" i="1"/>
  <c r="CA175" i="1" s="1"/>
  <c r="BZ165" i="1"/>
  <c r="CA165" i="1" s="1"/>
  <c r="BZ171" i="1"/>
  <c r="BZ161" i="1"/>
  <c r="CA161" i="1" s="1"/>
  <c r="BZ143" i="1"/>
  <c r="BL156" i="1"/>
  <c r="BL191" i="1" s="1"/>
  <c r="BM191" i="1" s="1"/>
  <c r="BL164" i="1"/>
  <c r="BL194" i="1" s="1"/>
  <c r="BM194" i="1" s="1"/>
  <c r="BL133" i="1"/>
  <c r="BM133" i="1" s="1"/>
  <c r="CA84" i="1"/>
  <c r="CF84" i="1"/>
  <c r="CF157" i="1"/>
  <c r="CG157" i="1" s="1"/>
  <c r="CF144" i="1"/>
  <c r="CB85" i="1"/>
  <c r="CF155" i="1"/>
  <c r="CF190" i="1" s="1"/>
  <c r="CG190" i="1" s="1"/>
  <c r="CG155" i="1" s="1"/>
  <c r="CF133" i="1"/>
  <c r="CG133" i="1" s="1"/>
  <c r="CB160" i="1"/>
  <c r="CC160" i="1" s="1"/>
  <c r="CF175" i="1"/>
  <c r="CG175" i="1" s="1"/>
  <c r="CB136" i="1"/>
  <c r="CC136" i="1" s="1"/>
  <c r="CB174" i="1"/>
  <c r="CC174" i="1" s="1"/>
  <c r="CD85" i="1"/>
  <c r="CB170" i="1"/>
  <c r="CD156" i="1"/>
  <c r="CD191" i="1" s="1"/>
  <c r="CE191" i="1" s="1"/>
  <c r="CD133" i="1"/>
  <c r="CE133" i="1" s="1"/>
  <c r="BL136" i="1"/>
  <c r="CD142" i="1"/>
  <c r="CD162" i="1"/>
  <c r="CE162" i="1" s="1"/>
  <c r="CD170" i="1"/>
  <c r="CD153" i="1"/>
  <c r="CE153" i="1" s="1"/>
  <c r="CF151" i="1"/>
  <c r="CF137" i="1"/>
  <c r="CG137" i="1" s="1"/>
  <c r="CB153" i="1"/>
  <c r="CC153" i="1" s="1"/>
  <c r="BL165" i="1"/>
  <c r="BM165" i="1" s="1"/>
  <c r="BL174" i="1"/>
  <c r="BM174" i="1" s="1"/>
  <c r="BL175" i="1"/>
  <c r="CB137" i="1"/>
  <c r="CC137" i="1" s="1"/>
  <c r="CE85" i="1"/>
  <c r="BZ170" i="1"/>
  <c r="BZ174" i="1"/>
  <c r="CA174" i="1" s="1"/>
  <c r="BZ130" i="1"/>
  <c r="BZ138" i="1"/>
  <c r="CA138" i="1" s="1"/>
  <c r="CF156" i="1"/>
  <c r="CF191" i="1" s="1"/>
  <c r="CG191" i="1" s="1"/>
  <c r="CG156" i="1" s="1"/>
  <c r="CF143" i="1"/>
  <c r="CF160" i="1"/>
  <c r="CB130" i="1"/>
  <c r="CB156" i="1"/>
  <c r="CB191" i="1" s="1"/>
  <c r="CC191" i="1" s="1"/>
  <c r="CD171" i="1"/>
  <c r="CD163" i="1"/>
  <c r="CE163" i="1" s="1"/>
  <c r="CB84" i="1"/>
  <c r="BZ166" i="1"/>
  <c r="CA166" i="1" s="1"/>
  <c r="BZ144" i="1"/>
  <c r="BZ128" i="1"/>
  <c r="BZ158" i="1"/>
  <c r="CA158" i="1" s="1"/>
  <c r="BZ85" i="1"/>
  <c r="BZ135" i="1"/>
  <c r="CA135" i="1" s="1"/>
  <c r="BZ137" i="1"/>
  <c r="CA137" i="1" s="1"/>
  <c r="BZ153" i="1"/>
  <c r="CA153" i="1" s="1"/>
  <c r="BZ142" i="1"/>
  <c r="BL144" i="1"/>
  <c r="BL160" i="1"/>
  <c r="BM160" i="1" s="1"/>
  <c r="CF135" i="1"/>
  <c r="CF164" i="1"/>
  <c r="CF194" i="1" s="1"/>
  <c r="CG194" i="1" s="1"/>
  <c r="CG164" i="1" s="1"/>
  <c r="CD165" i="1"/>
  <c r="CE165" i="1" s="1"/>
  <c r="CF165" i="1"/>
  <c r="CG165" i="1" s="1"/>
  <c r="CB142" i="1"/>
  <c r="CB165" i="1"/>
  <c r="CC165" i="1" s="1"/>
  <c r="BY85" i="1"/>
  <c r="CD174" i="1"/>
  <c r="CE174" i="1" s="1"/>
  <c r="CD146" i="1"/>
  <c r="CE146" i="1" s="1"/>
  <c r="BL171" i="1"/>
  <c r="CB164" i="1"/>
  <c r="CB194" i="1" s="1"/>
  <c r="CC194" i="1" s="1"/>
  <c r="CB129" i="1"/>
  <c r="CC129" i="1" s="1"/>
  <c r="BL161" i="1"/>
  <c r="BM161" i="1" s="1"/>
  <c r="CD138" i="1"/>
  <c r="CE138" i="1" s="1"/>
  <c r="CD158" i="1"/>
  <c r="CE158" i="1" s="1"/>
  <c r="CD130" i="1"/>
  <c r="CD157" i="1"/>
  <c r="CE157" i="1" s="1"/>
  <c r="CD166" i="1"/>
  <c r="CE166" i="1" s="1"/>
  <c r="CD151" i="1"/>
  <c r="CE151" i="1" s="1"/>
  <c r="CF128" i="1"/>
  <c r="CF129" i="1"/>
  <c r="CG129" i="1" s="1"/>
  <c r="CF162" i="1"/>
  <c r="CG162" i="1" s="1"/>
  <c r="CF174" i="1"/>
  <c r="CG174" i="1" s="1"/>
  <c r="CB171" i="1"/>
  <c r="CB151" i="1"/>
  <c r="AI85" i="1"/>
  <c r="BL158" i="1"/>
  <c r="BM158" i="1" s="1"/>
  <c r="BL146" i="1"/>
  <c r="BM146" i="1" s="1"/>
  <c r="BL137" i="1"/>
  <c r="BM137" i="1" s="1"/>
  <c r="CB135" i="1"/>
  <c r="CC135" i="1" s="1"/>
  <c r="BL157" i="1"/>
  <c r="BM157" i="1" s="1"/>
  <c r="BZ146" i="1"/>
  <c r="CA146" i="1" s="1"/>
  <c r="BZ84" i="1"/>
  <c r="BL163" i="1"/>
  <c r="BM163" i="1" s="1"/>
  <c r="CB143" i="1"/>
  <c r="CF158" i="1"/>
  <c r="CG158" i="1" s="1"/>
  <c r="CB158" i="1"/>
  <c r="CC158" i="1" s="1"/>
  <c r="CD84" i="1"/>
  <c r="CC85" i="1"/>
  <c r="CD129" i="1"/>
  <c r="CE129" i="1" s="1"/>
  <c r="BL130" i="1"/>
  <c r="CD136" i="1"/>
  <c r="CE136" i="1" s="1"/>
  <c r="CF170" i="1"/>
  <c r="CF163" i="1"/>
  <c r="CG163" i="1" s="1"/>
  <c r="CE84" i="1"/>
  <c r="BZ156" i="1"/>
  <c r="BZ191" i="1" s="1"/>
  <c r="CA191" i="1" s="1"/>
  <c r="BZ133" i="1"/>
  <c r="CA133" i="1" s="1"/>
  <c r="BZ155" i="1"/>
  <c r="BZ190" i="1" s="1"/>
  <c r="CA190" i="1" s="1"/>
  <c r="BZ129" i="1"/>
  <c r="CA129" i="1" s="1"/>
  <c r="BZ160" i="1"/>
  <c r="BZ162" i="1"/>
  <c r="CA162" i="1" s="1"/>
  <c r="BZ157" i="1"/>
  <c r="CA157" i="1" s="1"/>
  <c r="BZ151" i="1"/>
  <c r="CA151" i="1" s="1"/>
  <c r="BZ163" i="1"/>
  <c r="CA163" i="1" s="1"/>
  <c r="BL166" i="1"/>
  <c r="BM166" i="1" s="1"/>
  <c r="BL155" i="1"/>
  <c r="BL190" i="1" s="1"/>
  <c r="BM190" i="1" s="1"/>
  <c r="BL142" i="1"/>
  <c r="BL143" i="1"/>
  <c r="CA85" i="1"/>
  <c r="CF166" i="1"/>
  <c r="CG166" i="1" s="1"/>
  <c r="CF161" i="1"/>
  <c r="CG161" i="1" s="1"/>
  <c r="CF171" i="1"/>
  <c r="CB128" i="1"/>
  <c r="CC128" i="1" s="1"/>
  <c r="CF142" i="1"/>
  <c r="CF130" i="1"/>
  <c r="CG130" i="1" s="1"/>
  <c r="CF136" i="1"/>
  <c r="CG136" i="1" s="1"/>
  <c r="CD137" i="1"/>
  <c r="CE137" i="1" s="1"/>
  <c r="CB166" i="1"/>
  <c r="CC166" i="1" s="1"/>
  <c r="CB146" i="1"/>
  <c r="CC146" i="1" s="1"/>
  <c r="CB162" i="1"/>
  <c r="CC162" i="1" s="1"/>
  <c r="CD128" i="1"/>
  <c r="BL151" i="1"/>
  <c r="CB144" i="1"/>
  <c r="BL138" i="1"/>
  <c r="BM138" i="1" s="1"/>
  <c r="CD143" i="1"/>
  <c r="CD155" i="1"/>
  <c r="CD190" i="1" s="1"/>
  <c r="CE190" i="1" s="1"/>
  <c r="CD161" i="1"/>
  <c r="CE161" i="1" s="1"/>
  <c r="CD160" i="1"/>
  <c r="CE160" i="1" s="1"/>
  <c r="CD175" i="1"/>
  <c r="CE175" i="1" s="1"/>
  <c r="CF146" i="1"/>
  <c r="CG146" i="1" s="1"/>
  <c r="CF153" i="1"/>
  <c r="CG153" i="1" s="1"/>
  <c r="CC84" i="1"/>
  <c r="CB161" i="1"/>
  <c r="CC161" i="1" s="1"/>
  <c r="CB133" i="1"/>
  <c r="CC133" i="1" s="1"/>
  <c r="BL170" i="1"/>
  <c r="BL128" i="1"/>
  <c r="BM128" i="1" s="1"/>
  <c r="BL162" i="1"/>
  <c r="BM162" i="1" s="1"/>
  <c r="BL153" i="1"/>
  <c r="BM153" i="1" s="1"/>
  <c r="BL129" i="1"/>
  <c r="BM129" i="1" s="1"/>
  <c r="BL264" i="1"/>
  <c r="CH109" i="1"/>
  <c r="CH110" i="1" s="1"/>
  <c r="CB148" i="1"/>
  <c r="CC148" i="1" s="1"/>
  <c r="CF148" i="1"/>
  <c r="CG148" i="1" s="1"/>
  <c r="CD148" i="1"/>
  <c r="CE148" i="1" s="1"/>
  <c r="BL148" i="1"/>
  <c r="BM148" i="1" s="1"/>
  <c r="BZ148" i="1"/>
  <c r="CA148" i="1" s="1"/>
  <c r="BL154" i="1"/>
  <c r="CD154" i="1"/>
  <c r="CB154" i="1"/>
  <c r="CF154" i="1"/>
  <c r="BZ154" i="1"/>
  <c r="CA263" i="1"/>
  <c r="JJ21" i="4"/>
  <c r="CD88" i="1" s="1"/>
  <c r="CA21" i="1"/>
  <c r="JK14" i="4"/>
  <c r="BL21" i="1"/>
  <c r="BL27" i="1" s="1"/>
  <c r="BY21" i="1"/>
  <c r="BL205" i="1"/>
  <c r="CF21" i="1"/>
  <c r="AA69" i="1" s="1"/>
  <c r="CF263" i="1"/>
  <c r="JL21" i="4"/>
  <c r="CF88" i="1" s="1"/>
  <c r="Y221" i="1"/>
  <c r="Y222" i="1" s="1"/>
  <c r="CF109" i="1"/>
  <c r="CF110" i="1" s="1"/>
  <c r="CB37" i="1"/>
  <c r="CE242" i="1"/>
  <c r="CC264" i="1"/>
  <c r="CA37" i="1"/>
  <c r="CE263" i="1"/>
  <c r="CC263" i="1"/>
  <c r="JM7" i="4"/>
  <c r="CA264" i="1"/>
  <c r="JJ8" i="4"/>
  <c r="Z221" i="1"/>
  <c r="Z222" i="1" s="1"/>
  <c r="CF37" i="1"/>
  <c r="BZ263" i="1"/>
  <c r="BZ21" i="1"/>
  <c r="CA205" i="1"/>
  <c r="CD264" i="1"/>
  <c r="CB109" i="1"/>
  <c r="CB110" i="1" s="1"/>
  <c r="JK21" i="4"/>
  <c r="CE88" i="1" s="1"/>
  <c r="JK15" i="4"/>
  <c r="CD263" i="1"/>
  <c r="JL14" i="4"/>
  <c r="CC37" i="1"/>
  <c r="BY37" i="1"/>
  <c r="CI109" i="1"/>
  <c r="CI110" i="1" s="1"/>
  <c r="CI113" i="1" s="1"/>
  <c r="CF242" i="1"/>
  <c r="BY264" i="1"/>
  <c r="JL8" i="4"/>
  <c r="CE37" i="1"/>
  <c r="BL263" i="1"/>
  <c r="CE109" i="1"/>
  <c r="CE110" i="1" s="1"/>
  <c r="CD21" i="1"/>
  <c r="CC21" i="1"/>
  <c r="CD205" i="1"/>
  <c r="CE21" i="1"/>
  <c r="CG109" i="1"/>
  <c r="CG110" i="1" s="1"/>
  <c r="CD109" i="1"/>
  <c r="CD110" i="1" s="1"/>
  <c r="CB21" i="1"/>
  <c r="CB263" i="1"/>
  <c r="CC109" i="1"/>
  <c r="CC110" i="1" s="1"/>
  <c r="JJ15" i="4"/>
  <c r="CB264" i="1"/>
  <c r="BY263" i="1"/>
  <c r="CD37" i="1"/>
  <c r="JM8" i="4"/>
  <c r="JL7" i="4"/>
  <c r="CF264" i="1"/>
  <c r="JJ7" i="4"/>
  <c r="JK8" i="4"/>
  <c r="JM21" i="4"/>
  <c r="CG88" i="1" s="1"/>
  <c r="BZ264" i="1"/>
  <c r="CE264" i="1"/>
  <c r="JK7" i="4"/>
  <c r="BL37" i="1"/>
  <c r="JL15" i="4"/>
  <c r="BZ37" i="1"/>
  <c r="JM14" i="4"/>
  <c r="JM15" i="4"/>
  <c r="JJ14" i="4"/>
  <c r="CQ51" i="1"/>
  <c r="CR51" i="1" s="1"/>
  <c r="CI105" i="1"/>
  <c r="CI107" i="1"/>
  <c r="CI106" i="1"/>
  <c r="CR28" i="1"/>
  <c r="CS28" i="1" s="1"/>
  <c r="CV38" i="1"/>
  <c r="CS191" i="1"/>
  <c r="CS194" i="1"/>
  <c r="CS190" i="1"/>
  <c r="CT135" i="1"/>
  <c r="AD57" i="1"/>
  <c r="CZ57" i="1"/>
  <c r="DA57" i="1" s="1"/>
  <c r="DB57" i="1" s="1"/>
  <c r="AE46" i="1"/>
  <c r="U19" i="1"/>
  <c r="V19" i="1"/>
  <c r="W19" i="1"/>
  <c r="CJ98" i="1" l="1"/>
  <c r="CJ97" i="1"/>
  <c r="CJ96" i="1"/>
  <c r="BY27" i="1"/>
  <c r="CD27" i="1"/>
  <c r="CH29" i="1" s="1"/>
  <c r="CA27" i="1"/>
  <c r="CA28" i="1" s="1"/>
  <c r="CB27" i="1"/>
  <c r="CP197" i="1"/>
  <c r="CR195" i="1"/>
  <c r="CQ196" i="1"/>
  <c r="CK96" i="1"/>
  <c r="CK97" i="1"/>
  <c r="CK98" i="1"/>
  <c r="CR213" i="1"/>
  <c r="CS151" i="1"/>
  <c r="CQ193" i="1"/>
  <c r="CR192" i="1"/>
  <c r="CS136" i="1"/>
  <c r="CR139" i="1"/>
  <c r="CR260" i="1" s="1"/>
  <c r="CQ217" i="1"/>
  <c r="BZ172" i="1"/>
  <c r="BL172" i="1"/>
  <c r="CB213" i="1"/>
  <c r="CA128" i="1"/>
  <c r="BZ131" i="1"/>
  <c r="BZ103" i="1" s="1"/>
  <c r="BL131" i="1"/>
  <c r="BL103" i="1" s="1"/>
  <c r="CB172" i="1"/>
  <c r="CC220" i="1" s="1"/>
  <c r="CG135" i="1"/>
  <c r="CG139" i="1" s="1"/>
  <c r="CF139" i="1"/>
  <c r="CD145" i="1"/>
  <c r="CE44" i="1" s="1"/>
  <c r="CC151" i="1"/>
  <c r="CD213" i="1" s="1"/>
  <c r="CE128" i="1"/>
  <c r="CD131" i="1"/>
  <c r="CD103" i="1" s="1"/>
  <c r="CD105" i="1" s="1"/>
  <c r="BM151" i="1"/>
  <c r="BM213" i="1" s="1"/>
  <c r="CD172" i="1"/>
  <c r="CF213" i="1"/>
  <c r="CE139" i="1"/>
  <c r="BM136" i="1"/>
  <c r="BM139" i="1" s="1"/>
  <c r="BL139" i="1"/>
  <c r="CG151" i="1"/>
  <c r="CG160" i="1"/>
  <c r="CG167" i="1" s="1"/>
  <c r="CF167" i="1"/>
  <c r="CF196" i="1" s="1"/>
  <c r="CF195" i="1" s="1"/>
  <c r="CG128" i="1"/>
  <c r="CG131" i="1" s="1"/>
  <c r="CF131" i="1"/>
  <c r="CF103" i="1" s="1"/>
  <c r="CF105" i="1" s="1"/>
  <c r="CA160" i="1"/>
  <c r="BZ167" i="1"/>
  <c r="BZ196" i="1" s="1"/>
  <c r="BZ195" i="1" s="1"/>
  <c r="BZ145" i="1"/>
  <c r="BZ149" i="1" s="1"/>
  <c r="CA139" i="1"/>
  <c r="CB145" i="1"/>
  <c r="CF172" i="1"/>
  <c r="BL145" i="1"/>
  <c r="CF145" i="1"/>
  <c r="CF149" i="1" s="1"/>
  <c r="CC139" i="1"/>
  <c r="CB139" i="1"/>
  <c r="CE213" i="1"/>
  <c r="BZ139" i="1"/>
  <c r="CB167" i="1"/>
  <c r="CB196" i="1" s="1"/>
  <c r="CB195" i="1" s="1"/>
  <c r="BL167" i="1"/>
  <c r="BL196" i="1" s="1"/>
  <c r="BL195" i="1" s="1"/>
  <c r="CD167" i="1"/>
  <c r="CD196" i="1" s="1"/>
  <c r="CD195" i="1" s="1"/>
  <c r="CB131" i="1"/>
  <c r="CD139" i="1"/>
  <c r="CH113" i="1"/>
  <c r="CH114" i="1"/>
  <c r="CH115" i="1"/>
  <c r="BM154" i="1"/>
  <c r="BL159" i="1"/>
  <c r="CE154" i="1"/>
  <c r="CD159" i="1"/>
  <c r="CC154" i="1"/>
  <c r="CB159" i="1"/>
  <c r="CG154" i="1"/>
  <c r="CG159" i="1" s="1"/>
  <c r="CG193" i="1" s="1"/>
  <c r="CG192" i="1" s="1"/>
  <c r="CF159" i="1"/>
  <c r="CA154" i="1"/>
  <c r="BZ159" i="1"/>
  <c r="CD113" i="1"/>
  <c r="CA38" i="1"/>
  <c r="CA23" i="1"/>
  <c r="JK19" i="4"/>
  <c r="CE89" i="1" s="1"/>
  <c r="BL38" i="1"/>
  <c r="CC22" i="1"/>
  <c r="CC38" i="1"/>
  <c r="CI236" i="1"/>
  <c r="CF27" i="1"/>
  <c r="CJ22" i="1"/>
  <c r="BY38" i="1"/>
  <c r="JL20" i="4"/>
  <c r="CF90" i="1" s="1"/>
  <c r="CF115" i="1" s="1"/>
  <c r="BZ27" i="1"/>
  <c r="CD29" i="1" s="1"/>
  <c r="CF38" i="1"/>
  <c r="Y69" i="1"/>
  <c r="JJ19" i="4"/>
  <c r="CD89" i="1" s="1"/>
  <c r="CD118" i="1" s="1"/>
  <c r="JM20" i="4"/>
  <c r="CG90" i="1" s="1"/>
  <c r="CD38" i="1"/>
  <c r="JM19" i="4"/>
  <c r="CG89" i="1" s="1"/>
  <c r="CE164" i="1"/>
  <c r="CE167" i="1" s="1"/>
  <c r="CE196" i="1" s="1"/>
  <c r="CE195" i="1" s="1"/>
  <c r="CF113" i="1"/>
  <c r="JJ20" i="4"/>
  <c r="CD90" i="1" s="1"/>
  <c r="CD119" i="1" s="1"/>
  <c r="JL19" i="4"/>
  <c r="CF89" i="1" s="1"/>
  <c r="JK20" i="4"/>
  <c r="CE90" i="1" s="1"/>
  <c r="CE119" i="1" s="1"/>
  <c r="CD199" i="1"/>
  <c r="CD22" i="1"/>
  <c r="BZ23" i="1"/>
  <c r="CD236" i="1"/>
  <c r="BZ38" i="1"/>
  <c r="CE155" i="1"/>
  <c r="CE199" i="1"/>
  <c r="CG199" i="1"/>
  <c r="CF22" i="1"/>
  <c r="CH236" i="1"/>
  <c r="CJ199" i="1"/>
  <c r="CE38" i="1"/>
  <c r="CC27" i="1"/>
  <c r="CF236" i="1"/>
  <c r="CB23" i="1"/>
  <c r="CH255" i="1"/>
  <c r="Z69" i="1"/>
  <c r="CE22" i="1"/>
  <c r="CG113" i="1"/>
  <c r="CE113" i="1"/>
  <c r="CG236" i="1"/>
  <c r="CF23" i="1"/>
  <c r="CF199" i="1"/>
  <c r="CE236" i="1"/>
  <c r="CC23" i="1"/>
  <c r="CC236" i="1"/>
  <c r="CE156" i="1"/>
  <c r="CB38" i="1"/>
  <c r="CD23" i="1"/>
  <c r="CH22" i="1"/>
  <c r="CI199" i="1"/>
  <c r="CI114" i="1"/>
  <c r="CE27" i="1"/>
  <c r="CI22" i="1"/>
  <c r="CI115" i="1"/>
  <c r="CE23" i="1"/>
  <c r="CH199" i="1"/>
  <c r="CA213" i="1"/>
  <c r="BL28" i="1"/>
  <c r="BL39" i="1"/>
  <c r="CS51" i="1"/>
  <c r="CT28" i="1"/>
  <c r="CU28" i="1" s="1"/>
  <c r="CW38" i="1"/>
  <c r="CX38" i="1" s="1"/>
  <c r="CT190" i="1"/>
  <c r="CT194" i="1"/>
  <c r="CU135" i="1"/>
  <c r="CT191" i="1"/>
  <c r="AE57" i="1"/>
  <c r="V242" i="1"/>
  <c r="W242" i="1"/>
  <c r="U242" i="1"/>
  <c r="CF39" i="1" l="1"/>
  <c r="AA71" i="1" s="1"/>
  <c r="AA70" i="1"/>
  <c r="CB28" i="1"/>
  <c r="CB39" i="1"/>
  <c r="CB30" i="1"/>
  <c r="CD39" i="1"/>
  <c r="CH41" i="1" s="1"/>
  <c r="CE30" i="1"/>
  <c r="CD28" i="1"/>
  <c r="BY28" i="1"/>
  <c r="BY39" i="1"/>
  <c r="CC30" i="1"/>
  <c r="CA39" i="1"/>
  <c r="CA243" i="1" s="1"/>
  <c r="CA244" i="1" s="1"/>
  <c r="CC213" i="1"/>
  <c r="CQ197" i="1"/>
  <c r="CS195" i="1"/>
  <c r="CR196" i="1"/>
  <c r="CG260" i="1"/>
  <c r="CS213" i="1"/>
  <c r="CT151" i="1"/>
  <c r="CH213" i="1"/>
  <c r="CG213" i="1"/>
  <c r="CS192" i="1"/>
  <c r="CR193" i="1"/>
  <c r="CA220" i="1"/>
  <c r="BZ259" i="1"/>
  <c r="CT136" i="1"/>
  <c r="CS139" i="1"/>
  <c r="CS260" i="1" s="1"/>
  <c r="CD217" i="1"/>
  <c r="CF260" i="1"/>
  <c r="BM220" i="1"/>
  <c r="BL259" i="1"/>
  <c r="CF217" i="1"/>
  <c r="CF140" i="1"/>
  <c r="CR217" i="1"/>
  <c r="BL140" i="1"/>
  <c r="BL179" i="1"/>
  <c r="BL120" i="1" s="1"/>
  <c r="CA44" i="1"/>
  <c r="CA145" i="1"/>
  <c r="CB149" i="1"/>
  <c r="CC44" i="1"/>
  <c r="CC145" i="1"/>
  <c r="BZ179" i="1"/>
  <c r="BZ140" i="1"/>
  <c r="CF106" i="1"/>
  <c r="CD149" i="1"/>
  <c r="CE145" i="1"/>
  <c r="CE220" i="1"/>
  <c r="CD259" i="1"/>
  <c r="CA260" i="1"/>
  <c r="CA217" i="1"/>
  <c r="BM217" i="1"/>
  <c r="BM260" i="1"/>
  <c r="CH218" i="1"/>
  <c r="CG103" i="1"/>
  <c r="CG106" i="1" s="1"/>
  <c r="CG218" i="1"/>
  <c r="CG220" i="1"/>
  <c r="CF179" i="1"/>
  <c r="CF259" i="1"/>
  <c r="BM145" i="1"/>
  <c r="BM149" i="1" s="1"/>
  <c r="BL149" i="1"/>
  <c r="BL257" i="1" s="1"/>
  <c r="CG145" i="1"/>
  <c r="CH260" i="1"/>
  <c r="CH262" i="1" s="1"/>
  <c r="CH217" i="1"/>
  <c r="CG140" i="1"/>
  <c r="CG217" i="1"/>
  <c r="CB260" i="1"/>
  <c r="CB140" i="1"/>
  <c r="CB179" i="1"/>
  <c r="CB217" i="1"/>
  <c r="CB103" i="1"/>
  <c r="CB259" i="1"/>
  <c r="CC260" i="1"/>
  <c r="CC217" i="1"/>
  <c r="CE217" i="1"/>
  <c r="CD260" i="1"/>
  <c r="CD140" i="1"/>
  <c r="CD179" i="1"/>
  <c r="CE260" i="1"/>
  <c r="BL193" i="1"/>
  <c r="BL168" i="1"/>
  <c r="CD193" i="1"/>
  <c r="CD168" i="1"/>
  <c r="CB193" i="1"/>
  <c r="CB168" i="1"/>
  <c r="CF193" i="1"/>
  <c r="CF168" i="1"/>
  <c r="CF176" i="1" s="1"/>
  <c r="BZ193" i="1"/>
  <c r="BZ168" i="1"/>
  <c r="BZ176" i="1" s="1"/>
  <c r="CE114" i="1"/>
  <c r="CE118" i="1"/>
  <c r="BZ30" i="1"/>
  <c r="BZ39" i="1"/>
  <c r="BZ28" i="1"/>
  <c r="CA30" i="1"/>
  <c r="CG196" i="1"/>
  <c r="CH208" i="1"/>
  <c r="CG208" i="1"/>
  <c r="CJ29" i="1"/>
  <c r="CF28" i="1"/>
  <c r="CF29" i="1"/>
  <c r="BZ257" i="1"/>
  <c r="CF257" i="1"/>
  <c r="CF255" i="1"/>
  <c r="CF119" i="1"/>
  <c r="CF107" i="1"/>
  <c r="CG119" i="1"/>
  <c r="CG115" i="1"/>
  <c r="CG118" i="1"/>
  <c r="CG114" i="1"/>
  <c r="CF118" i="1"/>
  <c r="CF114" i="1"/>
  <c r="CI123" i="1"/>
  <c r="CC28" i="1"/>
  <c r="Y70" i="1"/>
  <c r="CC39" i="1"/>
  <c r="CC45" i="1" s="1"/>
  <c r="CC49" i="1" s="1"/>
  <c r="CD30" i="1"/>
  <c r="CC29" i="1"/>
  <c r="CD107" i="1"/>
  <c r="CD114" i="1"/>
  <c r="CE159" i="1"/>
  <c r="CD106" i="1"/>
  <c r="CE208" i="1"/>
  <c r="CG207" i="1"/>
  <c r="CD115" i="1"/>
  <c r="CF208" i="1"/>
  <c r="CA45" i="1"/>
  <c r="CA49" i="1" s="1"/>
  <c r="CA52" i="1" s="1"/>
  <c r="CA59" i="1" s="1"/>
  <c r="CA204" i="1" s="1"/>
  <c r="CA206" i="1" s="1"/>
  <c r="CI237" i="1"/>
  <c r="CA40" i="1"/>
  <c r="CG261" i="1"/>
  <c r="CE115" i="1"/>
  <c r="CF40" i="1"/>
  <c r="CG168" i="1"/>
  <c r="CH207" i="1"/>
  <c r="CF30" i="1"/>
  <c r="CE29" i="1"/>
  <c r="CI29" i="1"/>
  <c r="Z70" i="1"/>
  <c r="CE39" i="1"/>
  <c r="CE28" i="1"/>
  <c r="BL45" i="1"/>
  <c r="BL49" i="1" s="1"/>
  <c r="BL40" i="1"/>
  <c r="CT51" i="1"/>
  <c r="CV28" i="1"/>
  <c r="CY38" i="1"/>
  <c r="CZ38" i="1" s="1"/>
  <c r="CU190" i="1"/>
  <c r="CV135" i="1"/>
  <c r="CU191" i="1"/>
  <c r="CU194" i="1"/>
  <c r="AB161" i="1"/>
  <c r="A1" i="1"/>
  <c r="CF243" i="1" l="1"/>
  <c r="CF244" i="1" s="1"/>
  <c r="CJ41" i="1"/>
  <c r="CF45" i="1"/>
  <c r="CD40" i="1"/>
  <c r="CB40" i="1"/>
  <c r="CB243" i="1"/>
  <c r="CB244" i="1" s="1"/>
  <c r="CB45" i="1"/>
  <c r="CB49" i="1" s="1"/>
  <c r="CB42" i="1"/>
  <c r="CB261" i="1"/>
  <c r="CF41" i="1"/>
  <c r="CD243" i="1"/>
  <c r="CD244" i="1" s="1"/>
  <c r="CD45" i="1"/>
  <c r="CD49" i="1" s="1"/>
  <c r="CD52" i="1" s="1"/>
  <c r="CD245" i="1" s="1"/>
  <c r="CG237" i="1"/>
  <c r="BY45" i="1"/>
  <c r="BY49" i="1" s="1"/>
  <c r="BY40" i="1"/>
  <c r="CR197" i="1"/>
  <c r="CT195" i="1"/>
  <c r="CS196" i="1"/>
  <c r="CG262" i="1"/>
  <c r="CT213" i="1"/>
  <c r="CU151" i="1"/>
  <c r="CT192" i="1"/>
  <c r="CS193" i="1"/>
  <c r="CF177" i="1"/>
  <c r="CB44" i="1"/>
  <c r="CA149" i="1"/>
  <c r="CB176" i="1"/>
  <c r="CB177" i="1" s="1"/>
  <c r="CD176" i="1"/>
  <c r="CD177" i="1" s="1"/>
  <c r="CU136" i="1"/>
  <c r="CT139" i="1"/>
  <c r="CT260" i="1" s="1"/>
  <c r="CB257" i="1"/>
  <c r="CB255" i="1"/>
  <c r="CE149" i="1"/>
  <c r="CF44" i="1"/>
  <c r="CS217" i="1"/>
  <c r="CB262" i="1"/>
  <c r="CG216" i="1"/>
  <c r="BZ177" i="1"/>
  <c r="CD44" i="1"/>
  <c r="CC149" i="1"/>
  <c r="BZ120" i="1"/>
  <c r="CA48" i="1"/>
  <c r="CD255" i="1"/>
  <c r="CD257" i="1"/>
  <c r="CH216" i="1"/>
  <c r="CG105" i="1"/>
  <c r="CG107" i="1"/>
  <c r="CF120" i="1"/>
  <c r="CH44" i="1"/>
  <c r="CG149" i="1"/>
  <c r="CB120" i="1"/>
  <c r="CC48" i="1"/>
  <c r="CD120" i="1"/>
  <c r="CD122" i="1" s="1"/>
  <c r="CE48" i="1"/>
  <c r="CF192" i="1"/>
  <c r="CF197" i="1"/>
  <c r="CJ200" i="1" s="1"/>
  <c r="BL197" i="1"/>
  <c r="BL192" i="1"/>
  <c r="CD197" i="1"/>
  <c r="CD192" i="1"/>
  <c r="CB197" i="1"/>
  <c r="CB192" i="1"/>
  <c r="BZ192" i="1"/>
  <c r="BZ197" i="1"/>
  <c r="CG209" i="1"/>
  <c r="CG210" i="1" s="1"/>
  <c r="BZ40" i="1"/>
  <c r="BZ45" i="1"/>
  <c r="CA261" i="1"/>
  <c r="CA262" i="1" s="1"/>
  <c r="CA42" i="1"/>
  <c r="BZ243" i="1"/>
  <c r="BZ244" i="1" s="1"/>
  <c r="CD41" i="1"/>
  <c r="BZ42" i="1"/>
  <c r="BZ261" i="1"/>
  <c r="CB123" i="1"/>
  <c r="CH209" i="1"/>
  <c r="CH210" i="1" s="1"/>
  <c r="CD123" i="1"/>
  <c r="CC261" i="1"/>
  <c r="CC262" i="1" s="1"/>
  <c r="CE207" i="1"/>
  <c r="CE209" i="1" s="1"/>
  <c r="CE168" i="1"/>
  <c r="CG195" i="1"/>
  <c r="CG197" i="1"/>
  <c r="CC243" i="1"/>
  <c r="CC244" i="1" s="1"/>
  <c r="Y71" i="1"/>
  <c r="CC40" i="1"/>
  <c r="CC237" i="1"/>
  <c r="CD261" i="1"/>
  <c r="CD262" i="1" s="1"/>
  <c r="CC123" i="1"/>
  <c r="CD237" i="1"/>
  <c r="CC42" i="1"/>
  <c r="CD42" i="1"/>
  <c r="CC41" i="1"/>
  <c r="CC52" i="1"/>
  <c r="CC51" i="1"/>
  <c r="CF49" i="1"/>
  <c r="CI66" i="1"/>
  <c r="CE193" i="1"/>
  <c r="CF207" i="1"/>
  <c r="CF209" i="1" s="1"/>
  <c r="CA51" i="1"/>
  <c r="CA77" i="1"/>
  <c r="CA130" i="1"/>
  <c r="CA131" i="1" s="1"/>
  <c r="CA103" i="1" s="1"/>
  <c r="CH54" i="1"/>
  <c r="CD51" i="1"/>
  <c r="CA63" i="1"/>
  <c r="CA245" i="1"/>
  <c r="CA53" i="1"/>
  <c r="CA256" i="1" s="1"/>
  <c r="CD53" i="1"/>
  <c r="CD256" i="1" s="1"/>
  <c r="CF123" i="1"/>
  <c r="CD66" i="1"/>
  <c r="CD59" i="1"/>
  <c r="CD63" i="1" s="1"/>
  <c r="CE42" i="1"/>
  <c r="CE123" i="1"/>
  <c r="CE237" i="1"/>
  <c r="CB51" i="1"/>
  <c r="CB52" i="1"/>
  <c r="CE261" i="1"/>
  <c r="CE262" i="1" s="1"/>
  <c r="CF261" i="1"/>
  <c r="CF262" i="1" s="1"/>
  <c r="CE243" i="1"/>
  <c r="CE244" i="1" s="1"/>
  <c r="Z71" i="1"/>
  <c r="CE41" i="1"/>
  <c r="CH123" i="1"/>
  <c r="CE40" i="1"/>
  <c r="CG123" i="1"/>
  <c r="CE45" i="1"/>
  <c r="CH237" i="1"/>
  <c r="CF42" i="1"/>
  <c r="CI41" i="1"/>
  <c r="CF237" i="1"/>
  <c r="BL52" i="1"/>
  <c r="BL51" i="1"/>
  <c r="CU51" i="1"/>
  <c r="CV51" i="1" s="1"/>
  <c r="DA38" i="1"/>
  <c r="DB38" i="1" s="1"/>
  <c r="CW28" i="1"/>
  <c r="CX28" i="1" s="1"/>
  <c r="CW135" i="1"/>
  <c r="CV190" i="1"/>
  <c r="CV194" i="1"/>
  <c r="CV191" i="1"/>
  <c r="AC161" i="1"/>
  <c r="BY51" i="1" l="1"/>
  <c r="BY52" i="1"/>
  <c r="CS197" i="1"/>
  <c r="CD121" i="1"/>
  <c r="CD124" i="1" s="1"/>
  <c r="CU195" i="1"/>
  <c r="CT196" i="1"/>
  <c r="CV151" i="1"/>
  <c r="CU213" i="1"/>
  <c r="CB214" i="1"/>
  <c r="CB212" i="1" s="1"/>
  <c r="CA214" i="1"/>
  <c r="CA212" i="1" s="1"/>
  <c r="CE214" i="1"/>
  <c r="CE212" i="1" s="1"/>
  <c r="CF214" i="1"/>
  <c r="CF212" i="1" s="1"/>
  <c r="CU192" i="1"/>
  <c r="CT193" i="1"/>
  <c r="CH214" i="1"/>
  <c r="CH212" i="1" s="1"/>
  <c r="CH224" i="1" s="1"/>
  <c r="CG214" i="1"/>
  <c r="CG212" i="1" s="1"/>
  <c r="CV136" i="1"/>
  <c r="CU139" i="1"/>
  <c r="CU260" i="1" s="1"/>
  <c r="CT217" i="1"/>
  <c r="CD214" i="1"/>
  <c r="CD212" i="1" s="1"/>
  <c r="CC214" i="1"/>
  <c r="CC212" i="1" s="1"/>
  <c r="CF200" i="1"/>
  <c r="CF121" i="1"/>
  <c r="CF124" i="1" s="1"/>
  <c r="CF122" i="1"/>
  <c r="CF125" i="1" s="1"/>
  <c r="CD200" i="1"/>
  <c r="CH200" i="1"/>
  <c r="BZ49" i="1"/>
  <c r="CB66" i="1"/>
  <c r="CD125" i="1"/>
  <c r="CD238" i="1"/>
  <c r="CF52" i="1"/>
  <c r="CF51" i="1"/>
  <c r="CC245" i="1"/>
  <c r="CC59" i="1"/>
  <c r="CC53" i="1"/>
  <c r="CC256" i="1" s="1"/>
  <c r="CD55" i="1"/>
  <c r="CE192" i="1"/>
  <c r="CE197" i="1"/>
  <c r="CA218" i="1"/>
  <c r="CA216" i="1" s="1"/>
  <c r="CA140" i="1"/>
  <c r="CC55" i="1"/>
  <c r="CD204" i="1"/>
  <c r="CD206" i="1" s="1"/>
  <c r="Y72" i="1"/>
  <c r="CD77" i="1"/>
  <c r="CH124" i="1"/>
  <c r="CH125" i="1"/>
  <c r="CF66" i="1"/>
  <c r="CH66" i="1"/>
  <c r="CG66" i="1"/>
  <c r="CE49" i="1"/>
  <c r="CB59" i="1"/>
  <c r="CB55" i="1"/>
  <c r="CB245" i="1"/>
  <c r="CB53" i="1"/>
  <c r="CB256" i="1" s="1"/>
  <c r="BL59" i="1"/>
  <c r="BL53" i="1"/>
  <c r="BL256" i="1" s="1"/>
  <c r="CM75" i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CW51" i="1"/>
  <c r="CX51" i="1" s="1"/>
  <c r="CY28" i="1"/>
  <c r="CZ28" i="1" s="1"/>
  <c r="CX135" i="1"/>
  <c r="CW191" i="1"/>
  <c r="CW190" i="1"/>
  <c r="CW194" i="1"/>
  <c r="AE161" i="1"/>
  <c r="AD161" i="1"/>
  <c r="CT197" i="1" l="1"/>
  <c r="CC54" i="1"/>
  <c r="BY53" i="1"/>
  <c r="BY256" i="1" s="1"/>
  <c r="BY59" i="1"/>
  <c r="CF245" i="1"/>
  <c r="AA72" i="1"/>
  <c r="CV195" i="1"/>
  <c r="CU196" i="1"/>
  <c r="CV213" i="1"/>
  <c r="CW151" i="1"/>
  <c r="CV192" i="1"/>
  <c r="CU193" i="1"/>
  <c r="CG224" i="1"/>
  <c r="CG221" i="1"/>
  <c r="CG171" i="1" s="1"/>
  <c r="CG172" i="1" s="1"/>
  <c r="CG222" i="1" s="1"/>
  <c r="CW136" i="1"/>
  <c r="CV139" i="1"/>
  <c r="CV260" i="1" s="1"/>
  <c r="CU217" i="1"/>
  <c r="CF54" i="1"/>
  <c r="CF53" i="1"/>
  <c r="CF256" i="1" s="1"/>
  <c r="BZ52" i="1"/>
  <c r="BZ51" i="1"/>
  <c r="CJ54" i="1"/>
  <c r="CI238" i="1"/>
  <c r="CF59" i="1"/>
  <c r="CD65" i="1"/>
  <c r="CC63" i="1"/>
  <c r="CC130" i="1"/>
  <c r="CC131" i="1" s="1"/>
  <c r="CC77" i="1"/>
  <c r="CC204" i="1"/>
  <c r="CC206" i="1" s="1"/>
  <c r="CB77" i="1"/>
  <c r="CB63" i="1"/>
  <c r="CB204" i="1"/>
  <c r="CB206" i="1" s="1"/>
  <c r="CB218" i="1"/>
  <c r="CB216" i="1" s="1"/>
  <c r="CE52" i="1"/>
  <c r="CE51" i="1"/>
  <c r="BY204" i="1"/>
  <c r="BY206" i="1" s="1"/>
  <c r="BY63" i="1"/>
  <c r="BY77" i="1"/>
  <c r="BL204" i="1"/>
  <c r="BL206" i="1" s="1"/>
  <c r="BL77" i="1"/>
  <c r="BL63" i="1"/>
  <c r="CY51" i="1"/>
  <c r="CZ51" i="1" s="1"/>
  <c r="DA28" i="1"/>
  <c r="DB28" i="1" s="1"/>
  <c r="CX194" i="1"/>
  <c r="CX191" i="1"/>
  <c r="CX190" i="1"/>
  <c r="CY135" i="1"/>
  <c r="AB137" i="1"/>
  <c r="AB147" i="1"/>
  <c r="AB146" i="1"/>
  <c r="AB138" i="1"/>
  <c r="AB133" i="1"/>
  <c r="AB162" i="1"/>
  <c r="AB154" i="1"/>
  <c r="AB129" i="1"/>
  <c r="CU197" i="1" l="1"/>
  <c r="CW195" i="1"/>
  <c r="CV196" i="1"/>
  <c r="CX151" i="1"/>
  <c r="CW213" i="1"/>
  <c r="CW192" i="1"/>
  <c r="CV193" i="1"/>
  <c r="CV197" i="1" s="1"/>
  <c r="CX136" i="1"/>
  <c r="CW139" i="1"/>
  <c r="CW260" i="1" s="1"/>
  <c r="CV217" i="1"/>
  <c r="CD80" i="1"/>
  <c r="CD97" i="1" s="1"/>
  <c r="BZ53" i="1"/>
  <c r="BZ256" i="1" s="1"/>
  <c r="BZ55" i="1"/>
  <c r="CC238" i="1"/>
  <c r="BZ59" i="1"/>
  <c r="CC65" i="1" s="1"/>
  <c r="BZ245" i="1"/>
  <c r="CD54" i="1"/>
  <c r="CA55" i="1"/>
  <c r="CG259" i="1"/>
  <c r="CH220" i="1"/>
  <c r="CH221" i="1" s="1"/>
  <c r="CH222" i="1" s="1"/>
  <c r="CG255" i="1"/>
  <c r="CG257" i="1"/>
  <c r="CG176" i="1"/>
  <c r="CG177" i="1" s="1"/>
  <c r="CG179" i="1"/>
  <c r="CF204" i="1"/>
  <c r="CF206" i="1" s="1"/>
  <c r="CF210" i="1" s="1"/>
  <c r="CF224" i="1" s="1"/>
  <c r="CF63" i="1"/>
  <c r="CF77" i="1"/>
  <c r="CI80" i="1" s="1"/>
  <c r="CI65" i="1"/>
  <c r="CC103" i="1"/>
  <c r="CC140" i="1"/>
  <c r="CC66" i="1" s="1"/>
  <c r="CC218" i="1"/>
  <c r="CC216" i="1" s="1"/>
  <c r="CD218" i="1"/>
  <c r="CD216" i="1" s="1"/>
  <c r="CG238" i="1"/>
  <c r="CI54" i="1"/>
  <c r="CH238" i="1"/>
  <c r="CE55" i="1"/>
  <c r="CE53" i="1"/>
  <c r="CE256" i="1" s="1"/>
  <c r="CE54" i="1"/>
  <c r="CF55" i="1"/>
  <c r="CE59" i="1"/>
  <c r="CF238" i="1"/>
  <c r="CE238" i="1"/>
  <c r="Z72" i="1"/>
  <c r="CE245" i="1"/>
  <c r="DA51" i="1"/>
  <c r="DB51" i="1" s="1"/>
  <c r="CY191" i="1"/>
  <c r="CZ135" i="1"/>
  <c r="CY190" i="1"/>
  <c r="CY194" i="1"/>
  <c r="AC147" i="1"/>
  <c r="AC137" i="1"/>
  <c r="AB175" i="1"/>
  <c r="AC133" i="1"/>
  <c r="AC162" i="1"/>
  <c r="AB158" i="1"/>
  <c r="AB165" i="1"/>
  <c r="AC154" i="1"/>
  <c r="AC138" i="1"/>
  <c r="AB166" i="1"/>
  <c r="AC129" i="1"/>
  <c r="AC146" i="1"/>
  <c r="CX195" i="1" l="1"/>
  <c r="CW196" i="1"/>
  <c r="CY151" i="1"/>
  <c r="CY213" i="1" s="1"/>
  <c r="CX213" i="1"/>
  <c r="CW193" i="1"/>
  <c r="CW197" i="1" s="1"/>
  <c r="CX192" i="1"/>
  <c r="CY136" i="1"/>
  <c r="CX139" i="1"/>
  <c r="CX260" i="1" s="1"/>
  <c r="CW217" i="1"/>
  <c r="CD96" i="1"/>
  <c r="CD98" i="1"/>
  <c r="CB65" i="1"/>
  <c r="BZ77" i="1"/>
  <c r="BZ63" i="1"/>
  <c r="BZ204" i="1"/>
  <c r="BZ206" i="1" s="1"/>
  <c r="CH48" i="1"/>
  <c r="CG120" i="1"/>
  <c r="CI98" i="1"/>
  <c r="CI96" i="1"/>
  <c r="CI97" i="1"/>
  <c r="CL101" i="1" s="1"/>
  <c r="CE63" i="1"/>
  <c r="CE130" i="1"/>
  <c r="CE131" i="1" s="1"/>
  <c r="CE65" i="1" s="1"/>
  <c r="CE204" i="1"/>
  <c r="CE206" i="1" s="1"/>
  <c r="CE210" i="1" s="1"/>
  <c r="CE224" i="1" s="1"/>
  <c r="CE77" i="1"/>
  <c r="CF65" i="1"/>
  <c r="CG65" i="1"/>
  <c r="CH65" i="1"/>
  <c r="DA135" i="1"/>
  <c r="CZ194" i="1"/>
  <c r="CZ191" i="1"/>
  <c r="CZ190" i="1"/>
  <c r="AE147" i="1"/>
  <c r="AD147" i="1"/>
  <c r="AE137" i="1"/>
  <c r="AD137" i="1"/>
  <c r="AC175" i="1"/>
  <c r="AE162" i="1"/>
  <c r="AD162" i="1"/>
  <c r="AE154" i="1"/>
  <c r="AD154" i="1"/>
  <c r="AD129" i="1"/>
  <c r="AE129" i="1"/>
  <c r="AC165" i="1"/>
  <c r="AE138" i="1"/>
  <c r="AD138" i="1"/>
  <c r="AE146" i="1"/>
  <c r="AD146" i="1"/>
  <c r="AC166" i="1"/>
  <c r="AC158" i="1"/>
  <c r="AE133" i="1"/>
  <c r="AD133" i="1"/>
  <c r="CZ151" i="1" l="1"/>
  <c r="CZ213" i="1" s="1"/>
  <c r="CY195" i="1"/>
  <c r="CX196" i="1"/>
  <c r="CY192" i="1"/>
  <c r="CX193" i="1"/>
  <c r="CX197" i="1" s="1"/>
  <c r="CZ136" i="1"/>
  <c r="CY139" i="1"/>
  <c r="CY260" i="1" s="1"/>
  <c r="CX217" i="1"/>
  <c r="CC80" i="1"/>
  <c r="CB80" i="1"/>
  <c r="CG122" i="1"/>
  <c r="CG125" i="1" s="1"/>
  <c r="CG121" i="1"/>
  <c r="CG124" i="1" s="1"/>
  <c r="CF80" i="1"/>
  <c r="CH80" i="1"/>
  <c r="CL81" i="1" s="1"/>
  <c r="CG80" i="1"/>
  <c r="CK81" i="1" s="1"/>
  <c r="CE80" i="1"/>
  <c r="CE103" i="1"/>
  <c r="CF218" i="1"/>
  <c r="CF216" i="1" s="1"/>
  <c r="CE140" i="1"/>
  <c r="CE66" i="1" s="1"/>
  <c r="CE218" i="1"/>
  <c r="CE216" i="1" s="1"/>
  <c r="CE221" i="1" s="1"/>
  <c r="CE171" i="1" s="1"/>
  <c r="CE172" i="1" s="1"/>
  <c r="CE176" i="1" s="1"/>
  <c r="DA190" i="1"/>
  <c r="DA191" i="1"/>
  <c r="DA194" i="1"/>
  <c r="DB135" i="1"/>
  <c r="AE175" i="1"/>
  <c r="AD175" i="1"/>
  <c r="AE165" i="1"/>
  <c r="AD165" i="1"/>
  <c r="AE166" i="1"/>
  <c r="AD166" i="1"/>
  <c r="AE158" i="1"/>
  <c r="AD158" i="1"/>
  <c r="BY242" i="1"/>
  <c r="DA151" i="1" l="1"/>
  <c r="DB151" i="1" s="1"/>
  <c r="DB213" i="1" s="1"/>
  <c r="CZ195" i="1"/>
  <c r="CY196" i="1"/>
  <c r="CY193" i="1"/>
  <c r="CZ192" i="1"/>
  <c r="DA136" i="1"/>
  <c r="CZ139" i="1"/>
  <c r="CZ260" i="1" s="1"/>
  <c r="CY217" i="1"/>
  <c r="CE105" i="1"/>
  <c r="CE106" i="1"/>
  <c r="CE107" i="1"/>
  <c r="CE255" i="1"/>
  <c r="CE96" i="1"/>
  <c r="CE97" i="1"/>
  <c r="CI81" i="1"/>
  <c r="CE98" i="1"/>
  <c r="CE259" i="1"/>
  <c r="CG81" i="1"/>
  <c r="CG96" i="1"/>
  <c r="CG98" i="1"/>
  <c r="CG97" i="1"/>
  <c r="CE179" i="1"/>
  <c r="CE120" i="1" s="1"/>
  <c r="CE122" i="1" s="1"/>
  <c r="CE125" i="1" s="1"/>
  <c r="CF220" i="1"/>
  <c r="CF221" i="1" s="1"/>
  <c r="CF222" i="1" s="1"/>
  <c r="CE257" i="1"/>
  <c r="CH81" i="1"/>
  <c r="CH97" i="1"/>
  <c r="CK101" i="1" s="1"/>
  <c r="CH96" i="1"/>
  <c r="CH98" i="1"/>
  <c r="CE222" i="1"/>
  <c r="CF81" i="1"/>
  <c r="CJ81" i="1"/>
  <c r="CF98" i="1"/>
  <c r="CF96" i="1"/>
  <c r="CF97" i="1"/>
  <c r="DB191" i="1"/>
  <c r="DB190" i="1"/>
  <c r="DB194" i="1"/>
  <c r="CE177" i="1"/>
  <c r="AB31" i="1"/>
  <c r="DA213" i="1" l="1"/>
  <c r="CY197" i="1"/>
  <c r="DA195" i="1"/>
  <c r="CZ196" i="1"/>
  <c r="DA192" i="1"/>
  <c r="CZ193" i="1"/>
  <c r="DB136" i="1"/>
  <c r="DB139" i="1" s="1"/>
  <c r="DA139" i="1"/>
  <c r="CZ217" i="1"/>
  <c r="CJ101" i="1"/>
  <c r="CH101" i="1"/>
  <c r="CF48" i="1"/>
  <c r="CI101" i="1"/>
  <c r="CG101" i="1"/>
  <c r="CE121" i="1"/>
  <c r="CE124" i="1" s="1"/>
  <c r="AC31" i="1"/>
  <c r="BY243" i="1"/>
  <c r="BY244" i="1" s="1"/>
  <c r="CZ197" i="1" l="1"/>
  <c r="DB195" i="1"/>
  <c r="DB196" i="1" s="1"/>
  <c r="DA196" i="1"/>
  <c r="DB192" i="1"/>
  <c r="DB193" i="1" s="1"/>
  <c r="DA193" i="1"/>
  <c r="DA217" i="1"/>
  <c r="DA260" i="1"/>
  <c r="DB217" i="1"/>
  <c r="DB260" i="1"/>
  <c r="AD31" i="1"/>
  <c r="BY245" i="1"/>
  <c r="DB197" i="1" l="1"/>
  <c r="DA197" i="1"/>
  <c r="AE31" i="1"/>
  <c r="BI76" i="1" l="1"/>
  <c r="AT76" i="1"/>
  <c r="BT76" i="1"/>
  <c r="AV76" i="1"/>
  <c r="AX76" i="1"/>
  <c r="AR76" i="1"/>
  <c r="AO76" i="1" l="1"/>
  <c r="BK76" i="1"/>
  <c r="AN76" i="1"/>
  <c r="AW76" i="1"/>
  <c r="BB76" i="1"/>
  <c r="BM76" i="1"/>
  <c r="BQ76" i="1"/>
  <c r="AJ76" i="1"/>
  <c r="BS76" i="1"/>
  <c r="BR76" i="1"/>
  <c r="BO76" i="1"/>
  <c r="AM76" i="1"/>
  <c r="AI76" i="1"/>
  <c r="AP76" i="1"/>
  <c r="AZ76" i="1"/>
  <c r="AS76" i="1"/>
  <c r="BN76" i="1"/>
  <c r="BU76" i="1"/>
  <c r="BA76" i="1"/>
  <c r="BC76" i="1"/>
  <c r="AU76" i="1"/>
  <c r="BW76" i="1"/>
  <c r="BP76" i="1"/>
  <c r="BJ76" i="1"/>
  <c r="BH76" i="1"/>
  <c r="BX76" i="1"/>
  <c r="BG76" i="1"/>
  <c r="AQ76" i="1"/>
  <c r="AY76" i="1"/>
  <c r="AK76" i="1"/>
  <c r="BE76" i="1"/>
  <c r="BD76" i="1"/>
  <c r="BV76" i="1"/>
  <c r="BF76" i="1"/>
  <c r="BL242" i="1" l="1"/>
  <c r="AB151" i="1" l="1"/>
  <c r="CN88" i="1" l="1"/>
  <c r="AB213" i="1"/>
  <c r="CO88" i="1" l="1"/>
  <c r="CL205" i="1"/>
  <c r="Q28" i="2"/>
  <c r="W16" i="2"/>
  <c r="T34" i="2"/>
  <c r="C21" i="2"/>
  <c r="W25" i="2"/>
  <c r="D6" i="2"/>
  <c r="H12" i="2"/>
  <c r="G36" i="2"/>
  <c r="J27" i="2"/>
  <c r="L1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G20" i="2"/>
  <c r="W24" i="2"/>
  <c r="I32" i="2"/>
  <c r="X15" i="2"/>
  <c r="P16" i="2"/>
  <c r="W33" i="2"/>
  <c r="E24" i="2"/>
  <c r="H21" i="2"/>
  <c r="D13" i="2"/>
  <c r="C29" i="2"/>
  <c r="AR56" i="3"/>
  <c r="AR72" i="3"/>
  <c r="T32" i="2"/>
  <c r="O31" i="2"/>
  <c r="C16" i="2"/>
  <c r="E13" i="2"/>
  <c r="H5" i="2"/>
  <c r="V25" i="2"/>
  <c r="E45" i="2"/>
  <c r="F32" i="3"/>
  <c r="G11" i="3"/>
  <c r="AR24" i="3"/>
  <c r="D26" i="3"/>
  <c r="AE45" i="3"/>
  <c r="AR40" i="3"/>
  <c r="AR25" i="3"/>
  <c r="F6" i="3"/>
  <c r="AL45" i="3"/>
  <c r="G10" i="3"/>
  <c r="M45" i="3"/>
  <c r="E12" i="3"/>
  <c r="E15" i="3"/>
  <c r="U46" i="3"/>
  <c r="F26" i="3"/>
  <c r="R16" i="4" a="1"/>
  <c r="AF7" i="4" a="1"/>
  <c r="DZ14" i="4" a="1"/>
  <c r="BL13" i="4" a="1"/>
  <c r="AO12" i="4" a="1"/>
  <c r="CM16" i="4" a="1"/>
  <c r="S11" i="4" a="1"/>
  <c r="DG8" i="4" a="1"/>
  <c r="BQ7" i="4" a="1"/>
  <c r="DP14" i="4" a="1"/>
  <c r="AM7" i="4" a="1"/>
  <c r="BB13" i="4" a="1"/>
  <c r="AK14" i="4" a="1"/>
  <c r="BN16" i="4" a="1"/>
  <c r="EA5" i="4" a="1"/>
  <c r="DH8" i="4" a="1"/>
  <c r="DQ13" i="4" a="1"/>
  <c r="DZ16" i="4" a="1"/>
  <c r="BP11" i="4" a="1"/>
  <c r="CH7" i="4" a="1"/>
  <c r="DQ8" i="4" a="1"/>
  <c r="J7" i="4" a="1"/>
  <c r="AX6" i="4" a="1"/>
  <c r="BR13" i="4" a="1"/>
  <c r="BE7" i="4" a="1"/>
  <c r="DB16" i="4" a="1"/>
  <c r="EI6" i="4" a="1"/>
  <c r="U9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H24" i="2"/>
  <c r="T33" i="2"/>
  <c r="E35" i="2"/>
  <c r="X5" i="2"/>
  <c r="P26" i="2"/>
  <c r="H18" i="2"/>
  <c r="T28" i="2"/>
  <c r="X92" i="2"/>
  <c r="E12" i="2"/>
  <c r="L30" i="2"/>
  <c r="AR90" i="3"/>
  <c r="AR68" i="3"/>
  <c r="K22" i="2"/>
  <c r="Q34" i="2"/>
  <c r="AS47" i="3"/>
  <c r="W34" i="2"/>
  <c r="I21" i="2"/>
  <c r="E21" i="2"/>
  <c r="I26" i="2"/>
  <c r="AR19" i="3"/>
  <c r="E25" i="3"/>
  <c r="AD17" i="3"/>
  <c r="E20" i="3"/>
  <c r="D40" i="3"/>
  <c r="D15" i="3"/>
  <c r="D11" i="3"/>
  <c r="AR38" i="3"/>
  <c r="AR46" i="3"/>
  <c r="D22" i="3"/>
  <c r="F9" i="3"/>
  <c r="E29" i="3"/>
  <c r="D25" i="3"/>
  <c r="D31" i="3"/>
  <c r="L45" i="3"/>
  <c r="F11" i="4" a="1"/>
  <c r="CX7" i="4" a="1"/>
  <c r="CK15" i="4" a="1"/>
  <c r="F12" i="4" a="1"/>
  <c r="BX9" i="4" a="1"/>
  <c r="AX11" i="4" a="1"/>
  <c r="BX8" i="4" a="1"/>
  <c r="AK8" i="4" a="1"/>
  <c r="BD6" i="4" a="1"/>
  <c r="DV7" i="4" a="1"/>
  <c r="BC12" i="4" a="1"/>
  <c r="DH15" i="4" a="1"/>
  <c r="BG8" i="4" a="1"/>
  <c r="K15" i="4" a="1"/>
  <c r="DM15" i="4" a="1"/>
  <c r="AD11" i="4" a="1"/>
  <c r="BT13" i="4" a="1"/>
  <c r="V12" i="4" a="1"/>
  <c r="P14" i="4" a="1"/>
  <c r="AQ15" i="4" a="1"/>
  <c r="CK14" i="4" a="1"/>
  <c r="CX15" i="4" a="1"/>
  <c r="CI13" i="4" a="1"/>
  <c r="DD9" i="4" a="1"/>
  <c r="BD5" i="4" a="1"/>
  <c r="DF13" i="4" a="1"/>
  <c r="BS12" i="4" a="1"/>
  <c r="CS15" i="4" a="1"/>
  <c r="CQ8" i="4" a="1"/>
  <c r="CA9" i="4" a="1"/>
  <c r="CN15" i="4" a="1"/>
  <c r="AM6" i="4" a="1"/>
  <c r="W8" i="4" a="1"/>
  <c r="BZ11" i="4" a="1"/>
  <c r="CJ11" i="4" a="1"/>
  <c r="EJ13" i="4" a="1"/>
  <c r="AK12" i="4" a="1"/>
  <c r="AU16" i="4" a="1"/>
  <c r="DO9" i="4" a="1"/>
  <c r="O26" i="2"/>
  <c r="V33" i="2"/>
  <c r="J9" i="2"/>
  <c r="M5" i="2"/>
  <c r="M12" i="2"/>
  <c r="M13" i="2"/>
  <c r="P69" i="2"/>
  <c r="M15" i="2"/>
  <c r="H99" i="2"/>
  <c r="I12" i="2"/>
  <c r="K25" i="2"/>
  <c r="I5" i="2"/>
  <c r="U20" i="2"/>
  <c r="O29" i="2"/>
  <c r="J28" i="2"/>
  <c r="X30" i="2"/>
  <c r="F16" i="2"/>
  <c r="T10" i="2"/>
  <c r="AR60" i="3"/>
  <c r="J11" i="2"/>
  <c r="R19" i="2"/>
  <c r="M31" i="2"/>
  <c r="F22" i="2"/>
  <c r="C11" i="2"/>
  <c r="F15" i="2"/>
  <c r="U31" i="2"/>
  <c r="AR78" i="3"/>
  <c r="F39" i="3"/>
  <c r="D19" i="3"/>
  <c r="E41" i="3"/>
  <c r="D34" i="3"/>
  <c r="AD13" i="3"/>
  <c r="T45" i="3"/>
  <c r="AR27" i="3"/>
  <c r="AL46" i="3"/>
  <c r="G15" i="3"/>
  <c r="G13" i="3"/>
  <c r="AJ45" i="3"/>
  <c r="AR26" i="3"/>
  <c r="AD16" i="3"/>
  <c r="D35" i="3"/>
  <c r="F41" i="3"/>
  <c r="CI14" i="4" a="1"/>
  <c r="AL12" i="4" a="1"/>
  <c r="BU6" i="4" a="1"/>
  <c r="AG7" i="4" a="1"/>
  <c r="J9" i="4" a="1"/>
  <c r="D14" i="4" a="1"/>
  <c r="AC11" i="4" a="1"/>
  <c r="BD15" i="4" a="1"/>
  <c r="L9" i="4" a="1"/>
  <c r="K12" i="2"/>
  <c r="V16" i="2"/>
  <c r="F11" i="2"/>
  <c r="W10" i="2"/>
  <c r="R14" i="2"/>
  <c r="M29" i="2"/>
  <c r="S7" i="2"/>
  <c r="P29" i="2"/>
  <c r="T31" i="2"/>
  <c r="R27" i="2"/>
  <c r="AR49" i="3"/>
  <c r="U28" i="2"/>
  <c r="J23" i="2"/>
  <c r="R7" i="2"/>
  <c r="N8" i="2"/>
  <c r="K27" i="2"/>
  <c r="T17" i="2"/>
  <c r="J34" i="2"/>
  <c r="AF48" i="3"/>
  <c r="W45" i="3"/>
  <c r="AE46" i="3"/>
  <c r="G5" i="3"/>
  <c r="E14" i="3"/>
  <c r="AN45" i="3"/>
  <c r="AB45" i="3"/>
  <c r="C46" i="3"/>
  <c r="Q45" i="3"/>
  <c r="F11" i="3"/>
  <c r="E24" i="3"/>
  <c r="AR14" i="3"/>
  <c r="E7" i="3"/>
  <c r="AR29" i="3"/>
  <c r="E19" i="3"/>
  <c r="F38" i="3"/>
  <c r="ED16" i="4" a="1"/>
  <c r="AX8" i="4" a="1"/>
  <c r="Y16" i="4" a="1"/>
  <c r="AK9" i="4" a="1"/>
  <c r="AT14" i="4" a="1"/>
  <c r="BU12" i="4" a="1"/>
  <c r="CR8" i="4" a="1"/>
  <c r="AD8" i="4" a="1"/>
  <c r="W11" i="4" a="1"/>
  <c r="C9" i="4" a="1"/>
  <c r="BW15" i="4" a="1"/>
  <c r="AZ7" i="4" a="1"/>
  <c r="CG12" i="4" a="1"/>
  <c r="BY13" i="4" a="1"/>
  <c r="M7" i="4" a="1"/>
  <c r="X7" i="4" a="1"/>
  <c r="CV9" i="4" a="1"/>
  <c r="AO11" i="4" a="1"/>
  <c r="DA7" i="4" a="1"/>
  <c r="CU6" i="4" a="1"/>
  <c r="M14" i="4" a="1"/>
  <c r="C8" i="4" a="1"/>
  <c r="AL5" i="4" a="1"/>
  <c r="BF12" i="4" a="1"/>
  <c r="AB9" i="4" a="1"/>
  <c r="AH5" i="4" a="1"/>
  <c r="DF11" i="4" a="1"/>
  <c r="AI8" i="4" a="1"/>
  <c r="CM7" i="4" a="1"/>
  <c r="F8" i="4" a="1"/>
  <c r="CC16" i="4" a="1"/>
  <c r="DE16" i="4" a="1"/>
  <c r="AE12" i="4" a="1"/>
  <c r="CH14" i="4" a="1"/>
  <c r="BC8" i="4" a="1"/>
  <c r="CK11" i="4" a="1"/>
  <c r="BM13" i="4" a="1"/>
  <c r="O27" i="2"/>
  <c r="V14" i="2"/>
  <c r="P17" i="2"/>
  <c r="D21" i="2"/>
  <c r="L24" i="2"/>
  <c r="L22" i="2"/>
  <c r="O34" i="2"/>
  <c r="C32" i="2"/>
  <c r="W14" i="2"/>
  <c r="N23" i="2"/>
  <c r="AR62" i="3"/>
  <c r="N12" i="2"/>
  <c r="V30" i="2"/>
  <c r="S29" i="2"/>
  <c r="AR67" i="3"/>
  <c r="N20" i="2"/>
  <c r="H25" i="2"/>
  <c r="AR86" i="3"/>
  <c r="AR37" i="3"/>
  <c r="H45" i="3"/>
  <c r="AI46" i="3"/>
  <c r="E26" i="3"/>
  <c r="E18" i="3"/>
  <c r="W46" i="3"/>
  <c r="D30" i="3"/>
  <c r="E42" i="3"/>
  <c r="D32" i="3"/>
  <c r="P45" i="3"/>
  <c r="F27" i="3"/>
  <c r="AO46" i="3"/>
  <c r="F30" i="3"/>
  <c r="G20" i="3"/>
  <c r="D14" i="3"/>
  <c r="R45" i="3"/>
  <c r="DO5" i="4" a="1"/>
  <c r="BY7" i="4" a="1"/>
  <c r="Y5" i="4" a="1"/>
  <c r="BC9" i="4" a="1"/>
  <c r="J16" i="4" a="1"/>
  <c r="E14" i="4" a="1"/>
  <c r="BV5" i="4" a="1"/>
  <c r="BO8" i="4" a="1"/>
  <c r="I14" i="4" a="1"/>
  <c r="BV13" i="4" a="1"/>
  <c r="CF9" i="4" a="1"/>
  <c r="DH12" i="4" a="1"/>
  <c r="EK5" i="4" a="1"/>
  <c r="CA15" i="4" a="1"/>
  <c r="BM15" i="4" a="1"/>
  <c r="DF7" i="4" a="1"/>
  <c r="AE16" i="4" a="1"/>
  <c r="CO9" i="4" a="1"/>
  <c r="CZ15" i="4" a="1"/>
  <c r="DE15" i="4" a="1"/>
  <c r="BI6" i="4" a="1"/>
  <c r="BO12" i="4" a="1"/>
  <c r="DP16" i="4" a="1"/>
  <c r="X8" i="4" a="1"/>
  <c r="CN7" i="4" a="1"/>
  <c r="BI7" i="4" a="1"/>
  <c r="DK13" i="4" a="1"/>
  <c r="DP12" i="4" a="1"/>
  <c r="AR12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L10" i="2"/>
  <c r="U22" i="2"/>
  <c r="J6" i="2"/>
  <c r="F25" i="2"/>
  <c r="R15" i="2"/>
  <c r="P30" i="2"/>
  <c r="Q15" i="2"/>
  <c r="O10" i="2"/>
  <c r="P5" i="2"/>
  <c r="H32" i="2"/>
  <c r="AR88" i="3"/>
  <c r="M34" i="2"/>
  <c r="J14" i="2"/>
  <c r="AR94" i="3"/>
  <c r="AR65" i="3"/>
  <c r="X29" i="2"/>
  <c r="M6" i="2"/>
  <c r="AR59" i="3"/>
  <c r="AM46" i="3"/>
  <c r="F10" i="3"/>
  <c r="AR41" i="3"/>
  <c r="AQ46" i="3"/>
  <c r="I46" i="3"/>
  <c r="F14" i="3"/>
  <c r="D39" i="3"/>
  <c r="AD45" i="3"/>
  <c r="D9" i="3"/>
  <c r="H46" i="3"/>
  <c r="F37" i="3"/>
  <c r="G16" i="3"/>
  <c r="E46" i="3"/>
  <c r="F7" i="3"/>
  <c r="K45" i="3"/>
  <c r="AR16" i="3"/>
  <c r="AZ15" i="4" a="1"/>
  <c r="DL9" i="4" a="1"/>
  <c r="Z8" i="4" a="1"/>
  <c r="AI9" i="4" a="1"/>
  <c r="DG12" i="4" a="1"/>
  <c r="BI13" i="4" a="1"/>
  <c r="DT12" i="4" a="1"/>
  <c r="BU7" i="4" a="1"/>
  <c r="DS12" i="4" a="1"/>
  <c r="CX14" i="4" a="1"/>
  <c r="CQ14" i="4" a="1"/>
  <c r="CB13" i="4" a="1"/>
  <c r="BN11" i="4" a="1"/>
  <c r="CQ13" i="4" a="1"/>
  <c r="CY16" i="4" a="1"/>
  <c r="CX6" i="4" a="1"/>
  <c r="BS7" i="4" a="1"/>
  <c r="V14" i="4" a="1"/>
  <c r="P16" i="4" a="1"/>
  <c r="AV16" i="4" a="1"/>
  <c r="BY5" i="4" a="1"/>
  <c r="CW7" i="4" a="1"/>
  <c r="AD7" i="4" a="1"/>
  <c r="DL11" i="4" a="1"/>
  <c r="AF8" i="4" a="1"/>
  <c r="BO5" i="4" a="1"/>
  <c r="DG5" i="4" a="1"/>
  <c r="CF12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N29" i="2"/>
  <c r="R31" i="2"/>
  <c r="O20" i="2"/>
  <c r="I10" i="2"/>
  <c r="M20" i="2"/>
  <c r="R18" i="2"/>
  <c r="S62" i="2"/>
  <c r="R24" i="2"/>
  <c r="H34" i="2"/>
  <c r="H7" i="2"/>
  <c r="Q26" i="2"/>
  <c r="C25" i="2"/>
  <c r="V31" i="2"/>
  <c r="M10" i="2"/>
  <c r="C7" i="2"/>
  <c r="AR93" i="3"/>
  <c r="V17" i="2"/>
  <c r="J16" i="2"/>
  <c r="AR48" i="3"/>
  <c r="P12" i="2"/>
  <c r="C13" i="2"/>
  <c r="U9" i="2"/>
  <c r="AR96" i="3"/>
  <c r="AA46" i="3"/>
  <c r="F8" i="3"/>
  <c r="D24" i="3"/>
  <c r="F29" i="3"/>
  <c r="AD18" i="3"/>
  <c r="D21" i="3"/>
  <c r="AH46" i="3"/>
  <c r="F31" i="3"/>
  <c r="G18" i="3"/>
  <c r="AD7" i="3"/>
  <c r="N46" i="3"/>
  <c r="AR8" i="3"/>
  <c r="F15" i="3"/>
  <c r="D18" i="3"/>
  <c r="D46" i="3"/>
  <c r="F28" i="3"/>
  <c r="AZ14" i="4" a="1"/>
  <c r="CY15" i="4" a="1"/>
  <c r="AK11" i="4" a="1"/>
  <c r="DH14" i="4" a="1"/>
  <c r="DK7" i="4" a="1"/>
  <c r="EG12" i="4" a="1"/>
  <c r="DL14" i="4" a="1"/>
  <c r="DF15" i="4" a="1"/>
  <c r="AJ14" i="4" a="1"/>
  <c r="AF16" i="4" a="1"/>
  <c r="EI14" i="4" a="1"/>
  <c r="T16" i="4" a="1"/>
  <c r="DG15" i="4" a="1"/>
  <c r="DN9" i="4" a="1"/>
  <c r="AK13" i="4" a="1"/>
  <c r="BK6" i="4" a="1"/>
  <c r="DU8" i="4" a="1"/>
  <c r="DC7" i="4" a="1"/>
  <c r="AO5" i="4" a="1"/>
  <c r="DG11" i="4" a="1"/>
  <c r="AM5" i="4" a="1"/>
  <c r="AK7" i="4" a="1"/>
  <c r="AK6" i="4" a="1"/>
  <c r="BL8" i="4" a="1"/>
  <c r="EK8" i="4" a="1"/>
  <c r="DN12" i="4" a="1"/>
  <c r="EJ7" i="4" a="1"/>
  <c r="DQ14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N25" i="2"/>
  <c r="S34" i="2"/>
  <c r="K8" i="2"/>
  <c r="K30" i="2"/>
  <c r="L31" i="2"/>
  <c r="U10" i="2"/>
  <c r="G8" i="2"/>
  <c r="I33" i="2"/>
  <c r="H28" i="2"/>
  <c r="V11" i="2"/>
  <c r="C10" i="2"/>
  <c r="U33" i="2"/>
  <c r="F32" i="2"/>
  <c r="AR75" i="3"/>
  <c r="K14" i="2"/>
  <c r="E9" i="2"/>
  <c r="C30" i="2"/>
  <c r="AR81" i="3"/>
  <c r="AJ46" i="3"/>
  <c r="D37" i="3"/>
  <c r="AR36" i="3"/>
  <c r="G31" i="3"/>
  <c r="L46" i="3"/>
  <c r="G46" i="3"/>
  <c r="AR32" i="3"/>
  <c r="AD14" i="3"/>
  <c r="AD46" i="3"/>
  <c r="F24" i="3"/>
  <c r="D6" i="3"/>
  <c r="AR31" i="3"/>
  <c r="AR28" i="3"/>
  <c r="AB46" i="3"/>
  <c r="I45" i="3"/>
  <c r="F35" i="3"/>
  <c r="X13" i="4" a="1"/>
  <c r="BF9" i="4" a="1"/>
  <c r="BF13" i="4" a="1"/>
  <c r="AV9" i="4" a="1"/>
  <c r="CB7" i="4" a="1"/>
  <c r="AS6" i="4" a="1"/>
  <c r="BF7" i="4" a="1"/>
  <c r="DB14" i="4" a="1"/>
  <c r="AI11" i="4" a="1"/>
  <c r="EC7" i="4" a="1"/>
  <c r="CN16" i="4" a="1"/>
  <c r="S15" i="4" a="1"/>
  <c r="CT8" i="4" a="1"/>
  <c r="EG16" i="4" a="1"/>
  <c r="J5" i="4" a="1"/>
  <c r="CN8" i="4" a="1"/>
  <c r="CS8" i="4" a="1"/>
  <c r="D13" i="4" a="1"/>
  <c r="BT9" i="4" a="1"/>
  <c r="AI13" i="4" a="1"/>
  <c r="AY7" i="4" a="1"/>
  <c r="CU8" i="4" a="1"/>
  <c r="DD13" i="4" a="1"/>
  <c r="BH14" i="4" a="1"/>
  <c r="EA13" i="4" a="1"/>
  <c r="DR11" i="4" a="1"/>
  <c r="BY15" i="4" a="1"/>
  <c r="AZ8" i="4" a="1"/>
  <c r="DS6" i="4" a="1"/>
  <c r="BB16" i="4" a="1"/>
  <c r="EG6" i="4" a="1"/>
  <c r="BG12" i="4" a="1"/>
  <c r="T12" i="4" a="1"/>
  <c r="BA7" i="4" a="1"/>
  <c r="R6" i="2"/>
  <c r="C9" i="2"/>
  <c r="D22" i="2"/>
  <c r="T27" i="2"/>
  <c r="L28" i="2"/>
  <c r="C35" i="2"/>
  <c r="F29" i="2"/>
  <c r="K6" i="2"/>
  <c r="Q32" i="2"/>
  <c r="Q36" i="2"/>
  <c r="J5" i="2"/>
  <c r="D11" i="2"/>
  <c r="C23" i="2"/>
  <c r="AR91" i="3"/>
  <c r="P21" i="2"/>
  <c r="M21" i="2"/>
  <c r="P10" i="2"/>
  <c r="G18" i="2"/>
  <c r="E40" i="3"/>
  <c r="G27" i="3"/>
  <c r="S45" i="3"/>
  <c r="E39" i="3"/>
  <c r="E10" i="3"/>
  <c r="AR11" i="3"/>
  <c r="AR30" i="3"/>
  <c r="AG46" i="3"/>
  <c r="D42" i="3"/>
  <c r="F34" i="3"/>
  <c r="G28" i="3"/>
  <c r="F16" i="3"/>
  <c r="G29" i="3"/>
  <c r="E27" i="3"/>
  <c r="J45" i="3"/>
  <c r="G25" i="3"/>
  <c r="BV7" i="4" a="1"/>
  <c r="CI7" i="4" a="1"/>
  <c r="AJ12" i="4" a="1"/>
  <c r="CF16" i="4" a="1"/>
  <c r="AN7" i="4" a="1"/>
  <c r="AH13" i="4" a="1"/>
  <c r="CZ12" i="4" a="1"/>
  <c r="DR16" i="4" a="1"/>
  <c r="BL9" i="4" a="1"/>
  <c r="Q12" i="4" a="1"/>
  <c r="DC9" i="4" a="1"/>
  <c r="DM12" i="4" a="1"/>
  <c r="EG5" i="4" a="1"/>
  <c r="AB11" i="4" a="1"/>
  <c r="U16" i="4" a="1"/>
  <c r="BL12" i="4" a="1"/>
  <c r="DY16" i="4" a="1"/>
  <c r="K14" i="4" a="1"/>
  <c r="CJ9" i="4" a="1"/>
  <c r="CC8" i="4" a="1"/>
  <c r="X5" i="4" a="1"/>
  <c r="W13" i="4" a="1"/>
  <c r="CP14" i="4" a="1"/>
  <c r="CF14" i="4" a="1"/>
  <c r="CM6" i="4" a="1"/>
  <c r="AP16" i="4" a="1"/>
  <c r="AH15" i="4" a="1"/>
  <c r="CL9" i="4" a="1"/>
  <c r="DJ14" i="4" a="1"/>
  <c r="DR12" i="4" a="1"/>
  <c r="BK11" i="4" a="1"/>
  <c r="DZ6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Q11" i="2"/>
  <c r="S23" i="2"/>
  <c r="K31" i="2"/>
  <c r="T13" i="2"/>
  <c r="Q10" i="2"/>
  <c r="L36" i="2"/>
  <c r="W28" i="2"/>
  <c r="AR89" i="3"/>
  <c r="O23" i="2"/>
  <c r="T23" i="2"/>
  <c r="J29" i="2"/>
  <c r="E16" i="2"/>
  <c r="S14" i="2"/>
  <c r="AR63" i="3"/>
  <c r="M9" i="2"/>
  <c r="D14" i="2"/>
  <c r="J30" i="2"/>
  <c r="V15" i="2"/>
  <c r="E9" i="3"/>
  <c r="S46" i="3"/>
  <c r="E28" i="3"/>
  <c r="AD15" i="3"/>
  <c r="AP45" i="3"/>
  <c r="R46" i="3"/>
  <c r="AR17" i="3"/>
  <c r="O45" i="3"/>
  <c r="AP46" i="3"/>
  <c r="P46" i="3"/>
  <c r="AR39" i="3"/>
  <c r="F5" i="3"/>
  <c r="AH45" i="3"/>
  <c r="G8" i="3"/>
  <c r="G22" i="3"/>
  <c r="N9" i="4" a="1"/>
  <c r="EJ14" i="4" a="1"/>
  <c r="DM5" i="4" a="1"/>
  <c r="J8" i="4" a="1"/>
  <c r="BJ12" i="4" a="1"/>
  <c r="AI14" i="4" a="1"/>
  <c r="D8" i="4" a="1"/>
  <c r="BE11" i="4" a="1"/>
  <c r="CG16" i="4" a="1"/>
  <c r="CN11" i="4" a="1"/>
  <c r="DF5" i="4" a="1"/>
  <c r="DQ16" i="4" a="1"/>
  <c r="AC16" i="4" a="1"/>
  <c r="AH8" i="4" a="1"/>
  <c r="AR11" i="4" a="1"/>
  <c r="R14" i="4" a="1"/>
  <c r="AC14" i="4" a="1"/>
  <c r="BH12" i="4" a="1"/>
  <c r="R11" i="4" a="1"/>
  <c r="CD8" i="4" a="1"/>
  <c r="CA8" i="4" a="1"/>
  <c r="AC12" i="4" a="1"/>
  <c r="BZ9" i="4" a="1"/>
  <c r="BQ9" i="4" a="1"/>
  <c r="O6" i="4" a="1"/>
  <c r="BK12" i="4" a="1"/>
  <c r="AK5" i="4" a="1"/>
  <c r="DG16" i="4" a="1"/>
  <c r="DU5" i="4" a="1"/>
  <c r="AY6" i="4" a="1"/>
  <c r="DP5" i="4" a="1"/>
  <c r="CA12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Q31" i="2"/>
  <c r="X32" i="2"/>
  <c r="AG45" i="3"/>
  <c r="G45" i="3"/>
  <c r="D20" i="3"/>
  <c r="BK8" i="4" a="1"/>
  <c r="BP7" i="4" a="1"/>
  <c r="EK15" i="4" a="1"/>
  <c r="DO12" i="4" a="1"/>
  <c r="Y8" i="4" a="1"/>
  <c r="CM13" i="4" a="1"/>
  <c r="BU13" i="4" a="1"/>
  <c r="AI5" i="4" a="1"/>
  <c r="DB8" i="4" a="1"/>
  <c r="AV8" i="4" a="1"/>
  <c r="CW9" i="4" a="1"/>
  <c r="BQ11" i="4" a="1"/>
  <c r="I7" i="4" a="1"/>
  <c r="CI16" i="4" a="1"/>
  <c r="AN15" i="4" a="1"/>
  <c r="CE13" i="4" a="1"/>
  <c r="DB12" i="4" a="1"/>
  <c r="AR16" i="4" a="1"/>
  <c r="CB15" i="4" a="1"/>
  <c r="AZ5" i="4" a="1"/>
  <c r="CQ5" i="4" a="1"/>
  <c r="U8" i="4" a="1"/>
  <c r="I8" i="4" a="1"/>
  <c r="BP14" i="4" a="1"/>
  <c r="BW13" i="4" a="1"/>
  <c r="CO5" i="4" a="1"/>
  <c r="BQ16" i="4" a="1"/>
  <c r="AJ8" i="4" a="1"/>
  <c r="DF9" i="4" a="1"/>
  <c r="EB15" i="4" a="1"/>
  <c r="Q8" i="4" a="1"/>
  <c r="BB12" i="4" a="1"/>
  <c r="DX15" i="4" a="1"/>
  <c r="S9" i="4" a="1"/>
  <c r="EA11" i="4" a="1"/>
  <c r="DU9" i="4" a="1"/>
  <c r="R9" i="4" a="1"/>
  <c r="CB8" i="4" a="1"/>
  <c r="M8" i="4" a="1"/>
  <c r="BJ13" i="4" a="1"/>
  <c r="AU8" i="4" a="1"/>
  <c r="DV11" i="4" a="1"/>
  <c r="BR16" i="4" a="1"/>
  <c r="CC15" i="4" a="1"/>
  <c r="AN6" i="4" a="1"/>
  <c r="DB15" i="4" a="1"/>
  <c r="AM9" i="4" a="1"/>
  <c r="EC6" i="4" a="1"/>
  <c r="BT11" i="4" a="1"/>
  <c r="AP8" i="4" a="1"/>
  <c r="AP12" i="4" a="1"/>
  <c r="BQ5" i="4" a="1"/>
  <c r="O13" i="4" a="1"/>
  <c r="DY15" i="4" a="1"/>
  <c r="BN5" i="4" a="1"/>
  <c r="DS7" i="4" a="1"/>
  <c r="AB8" i="4" a="1"/>
  <c r="CX11" i="4" a="1"/>
  <c r="DJ15" i="4" a="1"/>
  <c r="BE14" i="4" a="1"/>
  <c r="BF6" i="4" a="1"/>
  <c r="CQ9" i="4" a="1"/>
  <c r="BJ5" i="4" a="1"/>
  <c r="BX12" i="4" a="1"/>
  <c r="CR6" i="4" a="1"/>
  <c r="T9" i="4" a="1"/>
  <c r="DL16" i="4" a="1"/>
  <c r="EC14" i="4" a="1"/>
  <c r="BR14" i="4" a="1"/>
  <c r="ED7" i="4" a="1"/>
  <c r="AW9" i="4" a="1"/>
  <c r="Z6" i="4" a="1"/>
  <c r="CX9" i="4" a="1"/>
  <c r="CB16" i="4" a="1"/>
  <c r="AY5" i="4" a="1"/>
  <c r="BH8" i="4" a="1"/>
  <c r="DI9" i="4" a="1"/>
  <c r="AG8" i="4" a="1"/>
  <c r="P15" i="4" a="1"/>
  <c r="EE5" i="4" a="1"/>
  <c r="EJ9" i="4" a="1"/>
  <c r="BK7" i="4" a="1"/>
  <c r="DI14" i="4" a="1"/>
  <c r="N13" i="4" a="1"/>
  <c r="AB5" i="4" a="1"/>
  <c r="AA13" i="4" a="1"/>
  <c r="EA9" i="4" a="1"/>
  <c r="EF7" i="4" a="1"/>
  <c r="CI11" i="4" a="1"/>
  <c r="CG5" i="4" a="1"/>
  <c r="V13" i="4" a="1"/>
  <c r="ED15" i="4" a="1"/>
  <c r="BU16" i="4" a="1"/>
  <c r="BI11" i="4" a="1"/>
  <c r="DH11" i="4" a="1"/>
  <c r="F33" i="2"/>
  <c r="K19" i="2"/>
  <c r="D33" i="3"/>
  <c r="V46" i="3"/>
  <c r="Y46" i="3"/>
  <c r="EJ5" i="4" a="1"/>
  <c r="D6" i="4" a="1"/>
  <c r="BZ5" i="4" a="1"/>
  <c r="AQ13" i="4" a="1"/>
  <c r="X15" i="4" a="1"/>
  <c r="CP13" i="4" a="1"/>
  <c r="BS16" i="4" a="1"/>
  <c r="K16" i="4" a="1"/>
  <c r="DG14" i="4" a="1"/>
  <c r="U12" i="4" a="1"/>
  <c r="BY14" i="4" a="1"/>
  <c r="AA6" i="4" a="1"/>
  <c r="BW12" i="4" a="1"/>
  <c r="EB6" i="4" a="1"/>
  <c r="DN15" i="4" a="1"/>
  <c r="D12" i="4" a="1"/>
  <c r="DG7" i="4" a="1"/>
  <c r="CI12" i="4" a="1"/>
  <c r="CQ15" i="4" a="1"/>
  <c r="N7" i="4" a="1"/>
  <c r="CV13" i="4" a="1"/>
  <c r="AW12" i="4" a="1"/>
  <c r="I12" i="4" a="1"/>
  <c r="V9" i="4" a="1"/>
  <c r="BY11" i="4" a="1"/>
  <c r="DT13" i="4" a="1"/>
  <c r="AS11" i="4" a="1"/>
  <c r="AA8" i="4" a="1"/>
  <c r="F6" i="4" a="1"/>
  <c r="CO16" i="4" a="1"/>
  <c r="CL15" i="4" a="1"/>
  <c r="U15" i="4" a="1"/>
  <c r="P11" i="4" a="1"/>
  <c r="CS13" i="4" a="1"/>
  <c r="AW15" i="4" a="1"/>
  <c r="CD13" i="4" a="1"/>
  <c r="CH16" i="4" a="1"/>
  <c r="AO13" i="4" a="1"/>
  <c r="DM14" i="4" a="1"/>
  <c r="EG8" i="4" a="1"/>
  <c r="DR15" i="4" a="1"/>
  <c r="BG13" i="4" a="1"/>
  <c r="ED8" i="4" a="1"/>
  <c r="AL9" i="4" a="1"/>
  <c r="AF14" i="4" a="1"/>
  <c r="S8" i="4" a="1"/>
  <c r="BS5" i="4" a="1"/>
  <c r="CY5" i="4" a="1"/>
  <c r="DI11" i="4" a="1"/>
  <c r="CU7" i="4" a="1"/>
  <c r="AO16" i="4" a="1"/>
  <c r="CU15" i="4" a="1"/>
  <c r="DV9" i="4" a="1"/>
  <c r="CA14" i="4" a="1"/>
  <c r="CC9" i="4" a="1"/>
  <c r="G16" i="4" a="1"/>
  <c r="CY7" i="4" a="1"/>
  <c r="DZ5" i="4" a="1"/>
  <c r="EJ11" i="4" a="1"/>
  <c r="CU11" i="4" a="1"/>
  <c r="BU15" i="4" a="1"/>
  <c r="DU12" i="4" a="1"/>
  <c r="EJ8" i="4" a="1"/>
  <c r="BY12" i="4" a="1"/>
  <c r="BC11" i="4" a="1"/>
  <c r="DY13" i="4" a="1"/>
  <c r="CO12" i="4" a="1"/>
  <c r="AQ6" i="4" a="1"/>
  <c r="T11" i="4" a="1"/>
  <c r="L14" i="4" a="1"/>
  <c r="BH13" i="4" a="1"/>
  <c r="EF16" i="4" a="1"/>
  <c r="BW8" i="4" a="1"/>
  <c r="AF5" i="4" a="1"/>
  <c r="DY12" i="4" a="1"/>
  <c r="DU15" i="4" a="1"/>
  <c r="BA13" i="4" a="1"/>
  <c r="BE16" i="4" a="1"/>
  <c r="AO6" i="4" a="1"/>
  <c r="EK13" i="4" a="1"/>
  <c r="DA16" i="4" a="1"/>
  <c r="AG6" i="4" a="1"/>
  <c r="EH14" i="4" a="1"/>
  <c r="BM7" i="4" a="1"/>
  <c r="CO11" i="4" a="1"/>
  <c r="CY11" i="4" a="1"/>
  <c r="ED13" i="4" a="1"/>
  <c r="BQ12" i="4" a="1"/>
  <c r="DB11" i="4" a="1"/>
  <c r="CK16" i="4" a="1"/>
  <c r="AV7" i="4" a="1"/>
  <c r="BW5" i="4" a="1"/>
  <c r="AW16" i="4" a="1"/>
  <c r="G5" i="4" a="1"/>
  <c r="CI6" i="4" a="1"/>
  <c r="W14" i="4" a="1"/>
  <c r="DF8" i="4" a="1"/>
  <c r="DP13" i="4" a="1"/>
  <c r="AY12" i="4" a="1"/>
  <c r="CL16" i="4" a="1"/>
  <c r="AT6" i="4" a="1"/>
  <c r="AA16" i="4" a="1"/>
  <c r="CB12" i="4" a="1"/>
  <c r="CM15" i="4" a="1"/>
  <c r="AE11" i="4" a="1"/>
  <c r="O12" i="4" a="1"/>
  <c r="CG9" i="4" a="1"/>
  <c r="DH9" i="4" a="1"/>
  <c r="CW6" i="4" a="1"/>
  <c r="AQ14" i="4" a="1"/>
  <c r="AU6" i="4" a="1"/>
  <c r="CU13" i="4" a="1"/>
  <c r="J6" i="4" a="1"/>
  <c r="AS7" i="4" a="1"/>
  <c r="AL16" i="4" a="1"/>
  <c r="DW8" i="4" a="1"/>
  <c r="BK14" i="4" a="1"/>
  <c r="AS12" i="4" a="1"/>
  <c r="EF14" i="4" a="1"/>
  <c r="CJ7" i="4" a="1"/>
  <c r="F5" i="4" a="1"/>
  <c r="Q7" i="4" a="1"/>
  <c r="Q6" i="4" a="1"/>
  <c r="DA5" i="4" a="1"/>
  <c r="EI15" i="4" a="1"/>
  <c r="AR42" i="3"/>
  <c r="EA15" i="4" a="1"/>
  <c r="EB5" i="4" a="1"/>
  <c r="DG9" i="4" a="1"/>
  <c r="BZ6" i="4" a="1"/>
  <c r="D16" i="4" a="1"/>
  <c r="P5" i="4" a="1"/>
  <c r="CR12" i="4" a="1"/>
  <c r="U7" i="4" a="1"/>
  <c r="AX12" i="4" a="1"/>
  <c r="CE15" i="4" a="1"/>
  <c r="DV13" i="4" a="1"/>
  <c r="E15" i="2"/>
  <c r="AR84" i="3"/>
  <c r="F17" i="3"/>
  <c r="F13" i="3"/>
  <c r="Y45" i="3"/>
  <c r="AM11" i="4" a="1"/>
  <c r="AB13" i="4" a="1"/>
  <c r="BA5" i="4" a="1"/>
  <c r="DC12" i="4" a="1"/>
  <c r="BI5" i="4" a="1"/>
  <c r="EB8" i="4" a="1"/>
  <c r="D15" i="4" a="1"/>
  <c r="DQ5" i="4" a="1"/>
  <c r="EE16" i="4" a="1"/>
  <c r="CK6" i="4" a="1"/>
  <c r="DM13" i="4" a="1"/>
  <c r="DW5" i="4" a="1"/>
  <c r="U11" i="4" a="1"/>
  <c r="DW14" i="4" a="1"/>
  <c r="BW7" i="4" a="1"/>
  <c r="AS5" i="4" a="1"/>
  <c r="DF14" i="4" a="1"/>
  <c r="CF11" i="4" a="1"/>
  <c r="Y11" i="4" a="1"/>
  <c r="AJ7" i="4" a="1"/>
  <c r="AX9" i="4" a="1"/>
  <c r="BP9" i="4" a="1"/>
  <c r="AZ13" i="4" a="1"/>
  <c r="W15" i="4" a="1"/>
  <c r="BK9" i="4" a="1"/>
  <c r="CM11" i="4" a="1"/>
  <c r="H5" i="4" a="1"/>
  <c r="CY9" i="4" a="1"/>
  <c r="H12" i="4" a="1"/>
  <c r="E13" i="4" a="1"/>
  <c r="CU14" i="4" a="1"/>
  <c r="N6" i="4" a="1"/>
  <c r="M11" i="4" a="1"/>
  <c r="BE13" i="4" a="1"/>
  <c r="AA14" i="4" a="1"/>
  <c r="DX16" i="4" a="1"/>
  <c r="CA16" i="4" a="1"/>
  <c r="AD15" i="4" a="1"/>
  <c r="AS16" i="4" a="1"/>
  <c r="BM12" i="4" a="1"/>
  <c r="P13" i="4" a="1"/>
  <c r="DS9" i="4" a="1"/>
  <c r="CP5" i="4" a="1"/>
  <c r="Z12" i="4" a="1"/>
  <c r="DE13" i="4" a="1"/>
  <c r="CI9" i="4" a="1"/>
  <c r="AJ11" i="4" a="1"/>
  <c r="Y13" i="4" a="1"/>
  <c r="AA5" i="4" a="1"/>
  <c r="CZ7" i="4" a="1"/>
  <c r="BG9" i="4" a="1"/>
  <c r="AJ9" i="4" a="1"/>
  <c r="AR9" i="4" a="1"/>
  <c r="CV14" i="4" a="1"/>
  <c r="EH8" i="4" a="1"/>
  <c r="DA12" i="4" a="1"/>
  <c r="CQ12" i="4" a="1"/>
  <c r="AE9" i="4" a="1"/>
  <c r="BL7" i="4" a="1"/>
  <c r="DX14" i="4" a="1"/>
  <c r="DA9" i="4" a="1"/>
  <c r="CV15" i="4" a="1"/>
  <c r="CA5" i="4" a="1"/>
  <c r="EC5" i="4" a="1"/>
  <c r="AI6" i="4" a="1"/>
  <c r="DH7" i="4" a="1"/>
  <c r="AC13" i="4" a="1"/>
  <c r="CZ13" i="4" a="1"/>
  <c r="BL5" i="4" a="1"/>
  <c r="BX15" i="4" a="1"/>
  <c r="K5" i="4" a="1"/>
  <c r="DE5" i="4" a="1"/>
  <c r="CM5" i="4" a="1"/>
  <c r="DM7" i="4" a="1"/>
  <c r="AG11" i="4" a="1"/>
  <c r="CE14" i="4" a="1"/>
  <c r="AR6" i="4" a="1"/>
  <c r="BQ13" i="4" a="1"/>
  <c r="BW9" i="4" a="1"/>
  <c r="Q16" i="4" a="1"/>
  <c r="AO45" i="3"/>
  <c r="CS7" i="4" a="1"/>
  <c r="L8" i="4" a="1"/>
  <c r="CJ15" i="4" a="1"/>
  <c r="DT15" i="4" a="1"/>
  <c r="S5" i="2"/>
  <c r="AR83" i="3"/>
  <c r="E11" i="3"/>
  <c r="AK46" i="3"/>
  <c r="AR23" i="3"/>
  <c r="CF7" i="4" a="1"/>
  <c r="CD5" i="4" a="1"/>
  <c r="R13" i="4" a="1"/>
  <c r="DI8" i="4" a="1"/>
  <c r="DX6" i="4" a="1"/>
  <c r="DQ11" i="4" a="1"/>
  <c r="DA8" i="4" a="1"/>
  <c r="EJ12" i="4" a="1"/>
  <c r="CJ13" i="4" a="1"/>
  <c r="AV15" i="4" a="1"/>
  <c r="CT5" i="4" a="1"/>
  <c r="Q13" i="4" a="1"/>
  <c r="DT6" i="4" a="1"/>
  <c r="CZ9" i="4" a="1"/>
  <c r="BQ15" i="4" a="1"/>
  <c r="CJ12" i="4" a="1"/>
  <c r="DC14" i="4" a="1"/>
  <c r="BN9" i="4" a="1"/>
  <c r="DM16" i="4" a="1"/>
  <c r="CP15" i="4" a="1"/>
  <c r="EK16" i="4" a="1"/>
  <c r="DH13" i="4" a="1"/>
  <c r="AP13" i="4" a="1"/>
  <c r="AF13" i="4" a="1"/>
  <c r="DS8" i="4" a="1"/>
  <c r="X14" i="4" a="1"/>
  <c r="CM9" i="4" a="1"/>
  <c r="CC6" i="4" a="1"/>
  <c r="AA7" i="4" a="1"/>
  <c r="DB6" i="4" a="1"/>
  <c r="BG6" i="4" a="1"/>
  <c r="AP5" i="4" a="1"/>
  <c r="BA14" i="4" a="1"/>
  <c r="BD9" i="4" a="1"/>
  <c r="DC5" i="4" a="1"/>
  <c r="AR7" i="4" a="1"/>
  <c r="CX8" i="4" a="1"/>
  <c r="V7" i="4" a="1"/>
  <c r="CZ11" i="4" a="1"/>
  <c r="EK7" i="4" a="1"/>
  <c r="AZ16" i="4" a="1"/>
  <c r="DY7" i="4" a="1"/>
  <c r="CT16" i="4" a="1"/>
  <c r="AM12" i="4" a="1"/>
  <c r="CC12" i="4" a="1"/>
  <c r="DE6" i="4" a="1"/>
  <c r="G8" i="4" a="1"/>
  <c r="CH11" i="4" a="1"/>
  <c r="C12" i="4" a="1"/>
  <c r="BF11" i="4" a="1"/>
  <c r="V6" i="4" a="1"/>
  <c r="AC5" i="4" a="1"/>
  <c r="AW13" i="4" a="1"/>
  <c r="BU9" i="4" a="1"/>
  <c r="CB6" i="4" a="1"/>
  <c r="AG5" i="4" a="1"/>
  <c r="EB7" i="4" a="1"/>
  <c r="X17" i="2"/>
  <c r="AR47" i="3"/>
  <c r="F20" i="3"/>
  <c r="Z45" i="3"/>
  <c r="D41" i="3"/>
  <c r="Z15" i="4" a="1"/>
  <c r="DP9" i="4" a="1"/>
  <c r="AQ12" i="4" a="1"/>
  <c r="AE7" i="4" a="1"/>
  <c r="AD5" i="4" a="1"/>
  <c r="T8" i="4" a="1"/>
  <c r="BZ16" i="4" a="1"/>
  <c r="CN5" i="4" a="1"/>
  <c r="AG15" i="4" a="1"/>
  <c r="DJ16" i="4" a="1"/>
  <c r="AL13" i="4" a="1"/>
  <c r="CE7" i="4" a="1"/>
  <c r="E12" i="4" a="1"/>
  <c r="CP7" i="4" a="1"/>
  <c r="AW8" i="4" a="1"/>
  <c r="AM13" i="4" a="1"/>
  <c r="O16" i="4" a="1"/>
  <c r="O15" i="4" a="1"/>
  <c r="AC8" i="4" a="1"/>
  <c r="AL14" i="4" a="1"/>
  <c r="AL11" i="4" a="1"/>
  <c r="L11" i="2"/>
  <c r="C15" i="2"/>
  <c r="D16" i="3"/>
  <c r="M46" i="3"/>
  <c r="AK45" i="3"/>
  <c r="BE15" i="4" a="1"/>
  <c r="CO6" i="4" a="1"/>
  <c r="BE12" i="4" a="1"/>
  <c r="CV6" i="4" a="1"/>
  <c r="DL13" i="4" a="1"/>
  <c r="V5" i="4" a="1"/>
  <c r="BV15" i="4" a="1"/>
  <c r="DC15" i="4" a="1"/>
  <c r="DY14" i="4" a="1"/>
  <c r="BG7" i="4" a="1"/>
  <c r="U14" i="4" a="1"/>
  <c r="BV9" i="4" a="1"/>
  <c r="BO16" i="4" a="1"/>
  <c r="AK15" i="4" a="1"/>
  <c r="DT11" i="4" a="1"/>
  <c r="AP7" i="4" a="1"/>
  <c r="AS8" i="4" a="1"/>
  <c r="DQ7" i="4" a="1"/>
  <c r="DX12" i="4" a="1"/>
  <c r="BC14" i="4" a="1"/>
  <c r="CN12" i="4" a="1"/>
  <c r="AH9" i="4" a="1"/>
  <c r="CO15" i="4" a="1"/>
  <c r="AP14" i="4" a="1"/>
  <c r="BE9" i="4" a="1"/>
  <c r="AQ9" i="4" a="1"/>
  <c r="J13" i="4" a="1"/>
  <c r="BK5" i="4" a="1"/>
  <c r="I9" i="4" a="1"/>
  <c r="BT8" i="4" a="1"/>
  <c r="AD6" i="4" a="1"/>
  <c r="BD16" i="4" a="1"/>
  <c r="DQ6" i="4" a="1"/>
  <c r="BL14" i="4" a="1"/>
  <c r="M13" i="4" a="1"/>
  <c r="BZ12" i="4" a="1"/>
  <c r="Y14" i="4" a="1"/>
  <c r="CC7" i="4" a="1"/>
  <c r="EG9" i="4" a="1"/>
  <c r="BN12" i="4" a="1"/>
  <c r="AM8" i="4" a="1"/>
  <c r="AB7" i="4" a="1"/>
  <c r="S14" i="4" a="1"/>
  <c r="CL7" i="4" a="1"/>
  <c r="AA15" i="4" a="1"/>
  <c r="BL15" i="4" a="1"/>
  <c r="DY9" i="4" a="1"/>
  <c r="DU14" i="4" a="1"/>
  <c r="CF5" i="4" a="1"/>
  <c r="AE5" i="4" a="1"/>
  <c r="L15" i="4" a="1"/>
  <c r="BQ6" i="4" a="1"/>
  <c r="BD8" i="4" a="1"/>
  <c r="BY6" i="4" a="1"/>
  <c r="CW15" i="4" a="1"/>
  <c r="I6" i="4" a="1"/>
  <c r="CB11" i="4" a="1"/>
  <c r="DJ12" i="4" a="1"/>
  <c r="AE8" i="4" a="1"/>
  <c r="N5" i="4" a="1"/>
  <c r="DN16" i="4" a="1"/>
  <c r="DI6" i="4" a="1"/>
  <c r="ED12" i="4" a="1"/>
  <c r="Z11" i="4" a="1"/>
  <c r="DO7" i="4" a="1"/>
  <c r="CH9" i="4" a="1"/>
  <c r="D5" i="4" a="1"/>
  <c r="AH14" i="4" a="1"/>
  <c r="CD11" i="4" a="1"/>
  <c r="BX14" i="4" a="1"/>
  <c r="DK15" i="4" a="1"/>
  <c r="CR15" i="4" a="1"/>
  <c r="H8" i="4" a="1"/>
  <c r="AH16" i="4" a="1"/>
  <c r="CO8" i="4" a="1"/>
  <c r="AO15" i="4" a="1"/>
  <c r="BK16" i="4" a="1"/>
  <c r="AW6" i="4" a="1"/>
  <c r="BV12" i="4" a="1"/>
  <c r="P18" i="2"/>
  <c r="DE12" i="4" a="1"/>
  <c r="CT7" i="4" a="1"/>
  <c r="BH7" i="4" a="1"/>
  <c r="CB5" i="4" a="1"/>
  <c r="DK16" i="4" a="1"/>
  <c r="AA9" i="4" a="1"/>
  <c r="EC8" i="4" a="1"/>
  <c r="BP15" i="4" a="1"/>
  <c r="AX14" i="4" a="1"/>
  <c r="DO11" i="4" a="1"/>
  <c r="AB14" i="4" a="1"/>
  <c r="CW5" i="4" a="1"/>
  <c r="BY9" i="4" a="1"/>
  <c r="DJ13" i="4" a="1"/>
  <c r="BS8" i="4" a="1"/>
  <c r="BI12" i="4" a="1"/>
  <c r="H13" i="4" a="1"/>
  <c r="AJ15" i="4" a="1"/>
  <c r="U24" i="2"/>
  <c r="EC11" i="4" a="1"/>
  <c r="O24" i="2"/>
  <c r="R30" i="2"/>
  <c r="AR9" i="3"/>
  <c r="D45" i="3"/>
  <c r="AD11" i="3"/>
  <c r="DL15" i="4" a="1"/>
  <c r="CS14" i="4" a="1"/>
  <c r="ED14" i="4" a="1"/>
  <c r="BH6" i="4" a="1"/>
  <c r="F16" i="4" a="1"/>
  <c r="EE11" i="4" a="1"/>
  <c r="BB6" i="4" a="1"/>
  <c r="CC13" i="4" a="1"/>
  <c r="BL16" i="4" a="1"/>
  <c r="CL12" i="4" a="1"/>
  <c r="BJ6" i="4" a="1"/>
  <c r="O11" i="4" a="1"/>
  <c r="BP16" i="4" a="1"/>
  <c r="DB7" i="4" a="1"/>
  <c r="F9" i="4" a="1"/>
  <c r="CP9" i="4" a="1"/>
  <c r="BB11" i="4" a="1"/>
  <c r="L11" i="4" a="1"/>
  <c r="AZ9" i="4" a="1"/>
  <c r="DO8" i="4" a="1"/>
  <c r="CF8" i="4" a="1"/>
  <c r="AQ16" i="4" a="1"/>
  <c r="H14" i="4" a="1"/>
  <c r="BB5" i="4" a="1"/>
  <c r="BX13" i="4" a="1"/>
  <c r="BZ7" i="4" a="1"/>
  <c r="DR7" i="4" a="1"/>
  <c r="CJ14" i="4" a="1"/>
  <c r="EA14" i="4" a="1"/>
  <c r="DR8" i="4" a="1"/>
  <c r="EK14" i="4" a="1"/>
  <c r="W7" i="4" a="1"/>
  <c r="CD7" i="4" a="1"/>
  <c r="DD8" i="4" a="1"/>
  <c r="S5" i="4" a="1"/>
  <c r="AG13" i="4" a="1"/>
  <c r="T5" i="4" a="1"/>
  <c r="EH6" i="4" a="1"/>
  <c r="EK9" i="4" a="1"/>
  <c r="DV12" i="4" a="1"/>
  <c r="BH15" i="4" a="1"/>
  <c r="DQ12" i="4" a="1"/>
  <c r="CS11" i="4" a="1"/>
  <c r="BM11" i="4" a="1"/>
  <c r="X12" i="4" a="1"/>
  <c r="DB9" i="4" a="1"/>
  <c r="DW11" i="4" a="1"/>
  <c r="EG11" i="4" a="1"/>
  <c r="DW9" i="4" a="1"/>
  <c r="DS15" i="4" a="1"/>
  <c r="AH11" i="4" a="1"/>
  <c r="BP6" i="4" a="1"/>
  <c r="EI7" i="4" a="1"/>
  <c r="EK6" i="4" a="1"/>
  <c r="CG13" i="4" a="1"/>
  <c r="CV8" i="4" a="1"/>
  <c r="DK12" i="4" a="1"/>
  <c r="CP11" i="4" a="1"/>
  <c r="EE7" i="4" a="1"/>
  <c r="BF15" i="4" a="1"/>
  <c r="DR13" i="4" a="1"/>
  <c r="AM15" i="4" a="1"/>
  <c r="E11" i="4" a="1"/>
  <c r="DD16" i="4" a="1"/>
  <c r="U13" i="4" a="1"/>
  <c r="DS11" i="4" a="1"/>
  <c r="DW16" i="4" a="1"/>
  <c r="DS14" i="4" a="1"/>
  <c r="AO8" i="4" a="1"/>
  <c r="EF12" i="4" a="1"/>
  <c r="BQ14" i="4" a="1"/>
  <c r="EJ15" i="4" a="1"/>
  <c r="DI12" i="4" a="1"/>
  <c r="EI13" i="4" a="1"/>
  <c r="AQ11" i="4" a="1"/>
  <c r="CZ6" i="4" a="1"/>
  <c r="AD14" i="4" a="1"/>
  <c r="EG13" i="4" a="1"/>
  <c r="CG15" i="4" a="1"/>
  <c r="BN14" i="4" a="1"/>
  <c r="AB15" i="4" a="1"/>
  <c r="CR16" i="4" a="1"/>
  <c r="C13" i="4" a="1"/>
  <c r="DZ9" i="4" a="1"/>
  <c r="CQ7" i="4" a="1"/>
  <c r="M9" i="4" a="1"/>
  <c r="C14" i="4" a="1"/>
  <c r="N15" i="4" a="1"/>
  <c r="AV6" i="4" a="1"/>
  <c r="BA11" i="4" a="1"/>
  <c r="BD13" i="4" a="1"/>
  <c r="CL14" i="4" a="1"/>
  <c r="CE16" i="4" a="1"/>
  <c r="AT12" i="4" a="1"/>
  <c r="BS9" i="4" a="1"/>
  <c r="DN11" i="4" a="1"/>
  <c r="DE9" i="4" a="1"/>
  <c r="N8" i="4" a="1"/>
  <c r="C12" i="2"/>
  <c r="T7" i="4" a="1"/>
  <c r="BF14" i="4" a="1"/>
  <c r="CV5" i="4" a="1"/>
  <c r="DX9" i="4" a="1"/>
  <c r="DC16" i="4" a="1"/>
  <c r="DU6" i="4" a="1"/>
  <c r="CX16" i="4" a="1"/>
  <c r="EB9" i="4" a="1"/>
  <c r="BZ15" i="4" a="1"/>
  <c r="DJ8" i="4" a="1"/>
  <c r="AY14" i="4" a="1"/>
  <c r="DR9" i="4" a="1"/>
  <c r="CR7" i="4" a="1"/>
  <c r="R12" i="4" a="1"/>
  <c r="AR14" i="4" a="1"/>
  <c r="DD14" i="4" a="1"/>
  <c r="T14" i="4" a="1"/>
  <c r="CK12" i="4" a="1"/>
  <c r="BP13" i="4" a="1"/>
  <c r="DV14" i="4" a="1"/>
  <c r="AR57" i="3"/>
  <c r="F30" i="2"/>
  <c r="G26" i="3"/>
  <c r="AN46" i="3"/>
  <c r="BO14" i="4" a="1"/>
  <c r="DU7" i="4" a="1"/>
  <c r="CT14" i="4" a="1"/>
  <c r="AE6" i="4" a="1"/>
  <c r="CN14" i="4" a="1"/>
  <c r="CU9" i="4" a="1"/>
  <c r="EE12" i="4" a="1"/>
  <c r="P8" i="4" a="1"/>
  <c r="AY11" i="4" a="1"/>
  <c r="DP7" i="4" a="1"/>
  <c r="BE5" i="4" a="1"/>
  <c r="DH6" i="4" a="1"/>
  <c r="AN13" i="4" a="1"/>
  <c r="E9" i="4" a="1"/>
  <c r="Y12" i="4" a="1"/>
  <c r="AX15" i="4" a="1"/>
  <c r="AO7" i="4" a="1"/>
  <c r="BG15" i="4" a="1"/>
  <c r="G7" i="4" a="1"/>
  <c r="O8" i="4" a="1"/>
  <c r="BT5" i="4" a="1"/>
  <c r="DC11" i="4" a="1"/>
  <c r="AQ7" i="4" a="1"/>
  <c r="ED11" i="4" a="1"/>
  <c r="AE13" i="4" a="1"/>
  <c r="DJ9" i="4" a="1"/>
  <c r="AY16" i="4" a="1"/>
  <c r="DJ7" i="4" a="1"/>
  <c r="DI5" i="4" a="1"/>
  <c r="O9" i="4" a="1"/>
  <c r="EF6" i="4" a="1"/>
  <c r="BD14" i="4" a="1"/>
  <c r="EB11" i="4" a="1"/>
  <c r="S7" i="4" a="1"/>
  <c r="AH6" i="4" a="1"/>
  <c r="BF5" i="4" a="1"/>
  <c r="R7" i="4" a="1"/>
  <c r="T13" i="4" a="1"/>
  <c r="DN7" i="4" a="1"/>
  <c r="DJ11" i="4" a="1"/>
  <c r="DO13" i="4" a="1"/>
  <c r="EI8" i="4" a="1"/>
  <c r="CG11" i="4" a="1"/>
  <c r="BB7" i="4" a="1"/>
  <c r="Q15" i="4" a="1"/>
  <c r="AP6" i="4" a="1"/>
  <c r="CW12" i="4" a="1"/>
  <c r="O5" i="4" a="1"/>
  <c r="DH16" i="4" a="1"/>
  <c r="H11" i="4" a="1"/>
  <c r="BC6" i="4" a="1"/>
  <c r="CQ16" i="4" a="1"/>
  <c r="DL8" i="4" a="1"/>
  <c r="S6" i="4" a="1"/>
  <c r="DW12" i="4" a="1"/>
  <c r="AX5" i="4" a="1"/>
  <c r="DK8" i="4" a="1"/>
  <c r="CL6" i="4" a="1"/>
  <c r="BL11" i="4" a="1"/>
  <c r="AK16" i="4" a="1"/>
  <c r="EE8" i="4" a="1"/>
  <c r="DL7" i="4" a="1"/>
  <c r="DV8" i="4" a="1"/>
  <c r="BT12" i="4" a="1"/>
  <c r="CV16" i="4" a="1"/>
  <c r="E5" i="4" a="1"/>
  <c r="DB5" i="4" a="1"/>
  <c r="BW14" i="4" a="1"/>
  <c r="CZ14" i="4" a="1"/>
  <c r="BO11" i="4" a="1"/>
  <c r="BU5" i="4" a="1"/>
  <c r="D12" i="3"/>
  <c r="AO6" i="3"/>
  <c r="DO14" i="4" a="1"/>
  <c r="BH5" i="4" a="1"/>
  <c r="W5" i="4" a="1"/>
  <c r="AY9" i="4" a="1"/>
  <c r="CR5" i="4" a="1"/>
  <c r="EH7" i="4" a="1"/>
  <c r="BN6" i="4" a="1"/>
  <c r="AN12" i="4" a="1"/>
  <c r="CY13" i="4" a="1"/>
  <c r="F14" i="4" a="1"/>
  <c r="EE9" i="4" a="1"/>
  <c r="DZ15" i="4" a="1"/>
  <c r="CL8" i="4" a="1"/>
  <c r="DC6" i="4" a="1"/>
  <c r="CY12" i="4" a="1"/>
  <c r="DE7" i="4" a="1"/>
  <c r="AR50" i="3"/>
  <c r="K15" i="2"/>
  <c r="E32" i="3"/>
  <c r="E31" i="3"/>
  <c r="BB8" i="4" a="1"/>
  <c r="DK5" i="4" a="1"/>
  <c r="BK13" i="4" a="1"/>
  <c r="BU8" i="4" a="1"/>
  <c r="CV12" i="4" a="1"/>
  <c r="C7" i="4" a="1"/>
  <c r="Q5" i="4" a="1"/>
  <c r="EJ16" i="4" a="1"/>
  <c r="DQ15" i="4" a="1"/>
  <c r="L6" i="4" a="1"/>
  <c r="AR8" i="4" a="1"/>
  <c r="DP8" i="4" a="1"/>
  <c r="AS9" i="4" a="1"/>
  <c r="EC9" i="4" a="1"/>
  <c r="CD9" i="4" a="1"/>
  <c r="F7" i="4" a="1"/>
  <c r="BO15" i="4" a="1"/>
  <c r="EA6" i="4" a="1"/>
  <c r="BJ14" i="4" a="1"/>
  <c r="CG6" i="4" a="1"/>
  <c r="G9" i="4" a="1"/>
  <c r="BN8" i="4" a="1"/>
  <c r="AR15" i="4" a="1"/>
  <c r="G13" i="4" a="1"/>
  <c r="AX7" i="4" a="1"/>
  <c r="DN5" i="4" a="1"/>
  <c r="H14" i="2"/>
  <c r="F18" i="2"/>
  <c r="E17" i="3"/>
  <c r="G19" i="3"/>
  <c r="EC15" i="4" a="1"/>
  <c r="C15" i="4" a="1"/>
  <c r="DR5" i="4" a="1"/>
  <c r="M5" i="4" a="1"/>
  <c r="P9" i="4" a="1"/>
  <c r="DP11" i="4" a="1"/>
  <c r="Y6" i="4" a="1"/>
  <c r="BX5" i="4" a="1"/>
  <c r="DJ6" i="4" a="1"/>
  <c r="AA11" i="4" a="1"/>
  <c r="M6" i="4" a="1"/>
  <c r="CG7" i="4" a="1"/>
  <c r="CK5" i="4" a="1"/>
  <c r="BS13" i="4" a="1"/>
  <c r="J14" i="4" a="1"/>
  <c r="AQ5" i="4" a="1"/>
  <c r="DX5" i="4" a="1"/>
  <c r="BW6" i="4" a="1"/>
  <c r="M16" i="4" a="1"/>
  <c r="EI5" i="4" a="1"/>
  <c r="BM5" i="4" a="1"/>
  <c r="EK12" i="4" a="1"/>
  <c r="AC9" i="4" a="1"/>
  <c r="N11" i="4" a="1"/>
  <c r="EE15" i="4" a="1"/>
  <c r="S12" i="4" a="1"/>
  <c r="DO15" i="4" a="1"/>
  <c r="DW13" i="4" a="1"/>
  <c r="DA13" i="4" a="1"/>
  <c r="AT13" i="4" a="1"/>
  <c r="DK9" i="4" a="1"/>
  <c r="P12" i="4" a="1"/>
  <c r="M12" i="4" a="1"/>
  <c r="CC5" i="4" a="1"/>
  <c r="J15" i="4" a="1"/>
  <c r="CV11" i="4" a="1"/>
  <c r="EF9" i="4" a="1"/>
  <c r="BG16" i="4" a="1"/>
  <c r="AW11" i="4" a="1"/>
  <c r="BN13" i="4" a="1"/>
  <c r="CN6" i="4" a="1"/>
  <c r="AD13" i="4" a="1"/>
  <c r="CW16" i="4" a="1"/>
  <c r="O14" i="4" a="1"/>
  <c r="AZ11" i="4" a="1"/>
  <c r="CK7" i="4" a="1"/>
  <c r="CE9" i="4" a="1"/>
  <c r="AU14" i="4" a="1"/>
  <c r="CJ16" i="4" a="1"/>
  <c r="EA12" i="4" a="1"/>
  <c r="AT11" i="4" a="1"/>
  <c r="Y15" i="4" a="1"/>
  <c r="BG14" i="4" a="1"/>
  <c r="EB13" i="4" a="1"/>
  <c r="E7" i="4" a="1"/>
  <c r="Z14" i="4" a="1"/>
  <c r="AN14" i="4" a="1"/>
  <c r="EB14" i="4" a="1"/>
  <c r="K11" i="4" a="1"/>
  <c r="W16" i="4" a="1"/>
  <c r="BI8" i="4" a="1"/>
  <c r="S13" i="4" a="1"/>
  <c r="DG6" i="4" a="1"/>
  <c r="EG15" i="4" a="1"/>
  <c r="Q9" i="4" a="1"/>
  <c r="EH12" i="4" a="1"/>
  <c r="BH11" i="4" a="1"/>
  <c r="BF8" i="4" a="1"/>
  <c r="DK11" i="4" a="1"/>
  <c r="CU16" i="4" a="1"/>
  <c r="BX7" i="4" a="1"/>
  <c r="AU9" i="4" a="1"/>
  <c r="BO7" i="4" a="1"/>
  <c r="EH15" i="4" a="1"/>
  <c r="AY15" i="4" a="1"/>
  <c r="H9" i="4" a="1"/>
  <c r="H7" i="4" a="1"/>
  <c r="CX13" i="4" a="1"/>
  <c r="AN16" i="4" a="1"/>
  <c r="BX11" i="4" a="1"/>
  <c r="DN13" i="4" a="1"/>
  <c r="Q11" i="4" a="1"/>
  <c r="CA13" i="4" a="1"/>
  <c r="DD15" i="4" a="1"/>
  <c r="CR14" i="4" a="1"/>
  <c r="DA6" i="4" a="1"/>
  <c r="BA16" i="4" a="1"/>
  <c r="CS9" i="4" a="1"/>
  <c r="CU12" i="4" a="1"/>
  <c r="BA8" i="4" a="1"/>
  <c r="G15" i="4" a="1"/>
  <c r="DA15" i="4" a="1"/>
  <c r="N16" i="4" a="1"/>
  <c r="AT7" i="4" a="1"/>
  <c r="DT8" i="4" a="1"/>
  <c r="EA16" i="4" a="1"/>
  <c r="CY14" i="4" a="1"/>
  <c r="BD7" i="4" a="1"/>
  <c r="AR77" i="3"/>
  <c r="AG9" i="4" a="1"/>
  <c r="BU14" i="4" a="1"/>
  <c r="BJ7" i="4" a="1"/>
  <c r="DB13" i="4" a="1"/>
  <c r="BL6" i="4" a="1"/>
  <c r="F93" i="3"/>
  <c r="F56" i="3"/>
  <c r="F71" i="3"/>
  <c r="F70" i="3"/>
  <c r="F75" i="3"/>
  <c r="F78" i="3"/>
  <c r="F97" i="3"/>
  <c r="F49" i="3"/>
  <c r="F61" i="3"/>
  <c r="F65" i="3"/>
  <c r="F55" i="3"/>
  <c r="F79" i="3"/>
  <c r="F89" i="3"/>
  <c r="F66" i="3"/>
  <c r="F88" i="3"/>
  <c r="F60" i="3"/>
  <c r="F83" i="3"/>
  <c r="F69" i="3"/>
  <c r="F58" i="3"/>
  <c r="F82" i="3"/>
  <c r="F62" i="3"/>
  <c r="F86" i="3"/>
  <c r="F74" i="3"/>
  <c r="F64" i="3"/>
  <c r="F95" i="3"/>
  <c r="F77" i="3"/>
  <c r="F81" i="3"/>
  <c r="F63" i="3"/>
  <c r="F80" i="3"/>
  <c r="F54" i="3"/>
  <c r="F57" i="3"/>
  <c r="F47" i="3"/>
  <c r="F68" i="3"/>
  <c r="F92" i="3"/>
  <c r="F91" i="3"/>
  <c r="F67" i="3"/>
  <c r="F94" i="3"/>
  <c r="F59" i="3"/>
  <c r="F50" i="3"/>
  <c r="E57" i="3" l="1"/>
  <c r="E70" i="3"/>
  <c r="D92" i="3"/>
  <c r="AD57" i="3"/>
  <c r="E95" i="3"/>
  <c r="D69" i="3"/>
  <c r="G65" i="3"/>
  <c r="E85" i="3"/>
  <c r="AD78" i="3"/>
  <c r="G90" i="3"/>
  <c r="D61" i="3"/>
  <c r="E60" i="3"/>
  <c r="AD83" i="3"/>
  <c r="D80" i="3"/>
  <c r="E90" i="3"/>
  <c r="D90" i="3"/>
  <c r="E67" i="3"/>
  <c r="G76" i="3"/>
  <c r="AD58" i="3"/>
  <c r="E93" i="3"/>
  <c r="D86" i="3"/>
  <c r="G68" i="3"/>
  <c r="D76" i="3"/>
  <c r="G88" i="3"/>
  <c r="E89" i="3"/>
  <c r="G73" i="3"/>
  <c r="E54" i="3"/>
  <c r="D67" i="3"/>
  <c r="G55" i="3"/>
  <c r="E55" i="3"/>
  <c r="D93" i="3"/>
  <c r="AD72" i="3"/>
  <c r="G54" i="3"/>
  <c r="E84" i="3"/>
  <c r="E74" i="3"/>
  <c r="D66" i="3"/>
  <c r="AD79" i="3"/>
  <c r="E82" i="3"/>
  <c r="D88" i="3"/>
  <c r="E62" i="3"/>
  <c r="D72" i="3"/>
  <c r="D95" i="3"/>
  <c r="G86" i="3"/>
  <c r="E61" i="3"/>
  <c r="D63" i="3"/>
  <c r="E56" i="3"/>
  <c r="G81" i="3"/>
  <c r="D91" i="3"/>
  <c r="E78" i="3"/>
  <c r="E75" i="3"/>
  <c r="G71" i="3"/>
  <c r="E96" i="3"/>
  <c r="E77" i="3"/>
  <c r="AD80" i="3"/>
  <c r="D62" i="3"/>
  <c r="D64" i="3"/>
  <c r="AD61" i="3"/>
  <c r="AD93" i="3"/>
  <c r="E65" i="3"/>
  <c r="D79" i="3"/>
  <c r="AD55" i="3"/>
  <c r="D96" i="3"/>
  <c r="D68" i="3"/>
  <c r="AD73" i="3"/>
  <c r="E83" i="3"/>
  <c r="D84" i="3"/>
  <c r="AD87" i="3"/>
  <c r="D78" i="3"/>
  <c r="D82" i="3"/>
  <c r="AD91" i="3"/>
  <c r="AD56" i="3"/>
  <c r="AD67" i="3"/>
  <c r="G58" i="3"/>
  <c r="E69" i="3"/>
  <c r="D58" i="3"/>
  <c r="AD77" i="3"/>
  <c r="AD90" i="3"/>
  <c r="D87" i="3"/>
  <c r="E76" i="3"/>
  <c r="D97" i="3"/>
  <c r="E91" i="3"/>
  <c r="AD76" i="3"/>
  <c r="G83" i="3"/>
  <c r="AD60" i="3"/>
  <c r="AD66" i="3"/>
  <c r="E81" i="3"/>
  <c r="D83" i="3"/>
  <c r="AD54" i="3"/>
  <c r="D75" i="3"/>
  <c r="D89" i="3"/>
  <c r="E73" i="3"/>
  <c r="AD81" i="3"/>
  <c r="G89" i="3"/>
  <c r="E97" i="3"/>
  <c r="E66" i="3"/>
  <c r="D85" i="3"/>
  <c r="AD70" i="3"/>
  <c r="E80" i="3"/>
  <c r="D73" i="3"/>
  <c r="AD65" i="3"/>
  <c r="E58" i="3"/>
  <c r="E86" i="3"/>
  <c r="D74" i="3"/>
  <c r="E92" i="3"/>
  <c r="AD82" i="3"/>
  <c r="D71" i="3"/>
  <c r="D65" i="3"/>
  <c r="E63" i="3"/>
  <c r="AD75" i="3"/>
  <c r="AD62" i="3"/>
  <c r="AD59" i="3"/>
  <c r="AD64" i="3"/>
  <c r="G97" i="3"/>
  <c r="AD96" i="3"/>
  <c r="E64" i="3"/>
  <c r="D77" i="3"/>
  <c r="AD86" i="3"/>
  <c r="AD97" i="3"/>
  <c r="G64" i="3"/>
  <c r="D56" i="3"/>
  <c r="D81" i="3"/>
  <c r="E59" i="3"/>
  <c r="AD68" i="3"/>
  <c r="E88" i="3"/>
  <c r="G61" i="3"/>
  <c r="E71" i="3"/>
  <c r="D94" i="3"/>
  <c r="AD84" i="3"/>
  <c r="AD69" i="3"/>
  <c r="G75" i="3"/>
  <c r="E68" i="3"/>
  <c r="E94" i="3"/>
  <c r="AD85" i="3"/>
  <c r="G62" i="3"/>
  <c r="AD88" i="3"/>
  <c r="G80" i="3"/>
  <c r="AD63" i="3"/>
  <c r="AD74" i="3"/>
  <c r="D55" i="3"/>
  <c r="AD71" i="3"/>
  <c r="AD95" i="3"/>
  <c r="D59" i="3"/>
  <c r="D57" i="3"/>
  <c r="AD94" i="3"/>
  <c r="G84" i="3"/>
  <c r="AD89" i="3"/>
  <c r="G93" i="3"/>
  <c r="G59" i="3"/>
  <c r="AD92" i="3"/>
  <c r="D60" i="3"/>
  <c r="E72" i="3"/>
  <c r="E87" i="3"/>
  <c r="D70" i="3"/>
  <c r="E79" i="3"/>
  <c r="D54" i="3"/>
  <c r="G92" i="3"/>
  <c r="G74" i="3"/>
  <c r="G96" i="3"/>
  <c r="G63" i="3"/>
  <c r="G95" i="3"/>
  <c r="G69" i="3"/>
  <c r="G67" i="3"/>
  <c r="G78" i="3"/>
  <c r="G77" i="3"/>
  <c r="G82" i="3"/>
  <c r="G72" i="3"/>
  <c r="G66" i="3"/>
  <c r="G56" i="3"/>
  <c r="G79" i="3"/>
  <c r="G91" i="3"/>
  <c r="G70" i="3"/>
  <c r="G57" i="3"/>
  <c r="G87" i="3"/>
  <c r="F87" i="3"/>
  <c r="G60" i="3"/>
  <c r="G94" i="3"/>
  <c r="F85" i="3"/>
  <c r="F84" i="3"/>
  <c r="F72" i="3"/>
  <c r="F76" i="3"/>
  <c r="F48" i="3"/>
  <c r="G85" i="3"/>
  <c r="F90" i="3"/>
  <c r="F73" i="3"/>
  <c r="F96" i="3"/>
  <c r="HY9" i="4" s="1"/>
  <c r="BX151" i="1"/>
  <c r="IG7" i="4" s="1"/>
  <c r="JD8" i="4" s="1"/>
  <c r="IX15" i="4" s="1"/>
  <c r="JH15" i="4" s="1"/>
  <c r="IN7" i="4" s="1"/>
  <c r="IU16" i="4" s="1"/>
  <c r="IU21" i="4" s="1"/>
  <c r="BO88" i="1" s="1"/>
  <c r="JF14" i="4" s="1"/>
  <c r="IQ7" i="4" s="1"/>
  <c r="JG15" i="4" s="1"/>
  <c r="AK32" i="1"/>
  <c r="E36" i="1"/>
  <c r="G31" i="1"/>
  <c r="IC9" i="4" s="1"/>
  <c r="J34" i="1"/>
  <c r="BX85" i="1"/>
  <c r="JG9" i="4" s="1"/>
  <c r="IE9" i="4" s="1"/>
  <c r="AJ25" i="1"/>
  <c r="IW14" i="4" s="1"/>
  <c r="JA8" i="4" s="1"/>
  <c r="HT15" i="4" s="1"/>
  <c r="HU7" i="4" s="1"/>
  <c r="IG14" i="4" s="1"/>
  <c r="HS9" i="4" s="1"/>
  <c r="IE16" i="4" s="1"/>
  <c r="IZ9" i="4" s="1"/>
  <c r="IC7" i="4" s="1"/>
  <c r="HS8" i="4" s="1"/>
  <c r="IU9" i="4" s="1"/>
  <c r="E50" i="1"/>
  <c r="BX129" i="1"/>
  <c r="BY129" i="1" s="1"/>
  <c r="JD14" i="4" s="1"/>
  <c r="IN15" i="4" s="1"/>
  <c r="JF9" i="4" s="1"/>
  <c r="IV16" i="4" s="1"/>
  <c r="IV21" i="4" s="1"/>
  <c r="BP88" i="1" s="1"/>
  <c r="B26" i="1"/>
  <c r="IT16" i="4" s="1"/>
  <c r="IT21" i="4" s="1"/>
  <c r="BN88" i="1" s="1"/>
  <c r="IX16" i="4" s="1"/>
  <c r="JI9" i="4" s="1"/>
  <c r="HP9" i="4" s="1"/>
  <c r="IX7" i="4" s="1"/>
  <c r="HP16" i="4" s="1"/>
  <c r="JA15" i="4" s="1"/>
  <c r="BJ26" i="1"/>
  <c r="Q50" i="1"/>
  <c r="HX14" i="4" s="1"/>
  <c r="IE14" i="4" s="1"/>
  <c r="JG8" i="4" s="1"/>
  <c r="HW9" i="4" s="1"/>
  <c r="O36" i="1"/>
  <c r="II16" i="4" s="1"/>
  <c r="II21" i="4" s="1"/>
  <c r="BC88" i="1" s="1"/>
  <c r="IS8" i="4" s="1"/>
  <c r="JB7" i="4" s="1"/>
  <c r="HR15" i="4" s="1"/>
  <c r="JE9" i="4" s="1"/>
  <c r="HU14" i="4" s="1"/>
  <c r="HQ9" i="4" s="1"/>
  <c r="AJ31" i="1"/>
  <c r="B34" i="1"/>
  <c r="K24" i="1"/>
  <c r="HS16" i="4" s="1"/>
  <c r="IE8" i="4" s="1"/>
  <c r="IT7" i="4" s="1"/>
  <c r="IZ16" i="4" s="1"/>
  <c r="IN16" i="4" s="1"/>
  <c r="IN21" i="4" s="1"/>
  <c r="BH88" i="1" s="1"/>
  <c r="HY7" i="4" s="1"/>
  <c r="JB9" i="4" s="1"/>
  <c r="AL20" i="1"/>
  <c r="W32" i="1"/>
  <c r="JI7" i="4" s="1"/>
  <c r="HV7" i="4" s="1"/>
  <c r="JI16" i="4" s="1"/>
  <c r="JA16" i="4" s="1"/>
  <c r="IJ9" i="4" s="1"/>
  <c r="IX14" i="4" s="1"/>
  <c r="IZ8" i="4" s="1"/>
  <c r="BX46" i="1"/>
  <c r="AK26" i="1"/>
  <c r="BX171" i="1"/>
  <c r="IU7" i="4" s="1"/>
  <c r="IM9" i="4" s="1"/>
  <c r="IZ7" i="4" s="1"/>
  <c r="IW9" i="4" s="1"/>
  <c r="HZ9" i="4" s="1"/>
  <c r="IQ9" i="4" s="1"/>
  <c r="JC9" i="4" s="1"/>
  <c r="IC16" i="4" s="1"/>
  <c r="II9" i="4" s="1"/>
  <c r="JG16" i="4" s="1"/>
  <c r="AL32" i="1"/>
  <c r="BX157" i="1"/>
  <c r="BY157" i="1" s="1"/>
  <c r="D34" i="1"/>
  <c r="IP15" i="4" s="1"/>
  <c r="IY9" i="4" s="1"/>
  <c r="BX62" i="1"/>
  <c r="HT7" i="4" s="1"/>
  <c r="IR7" i="4" s="1"/>
  <c r="IC14" i="4" s="1"/>
  <c r="HW16" i="4" s="1"/>
  <c r="IR16" i="4" s="1"/>
  <c r="IR21" i="4" s="1"/>
  <c r="BL88" i="1" s="1"/>
  <c r="BL105" i="1" s="1"/>
  <c r="IY8" i="4" s="1"/>
  <c r="IW16" i="4" s="1"/>
  <c r="IG16" i="4" s="1"/>
  <c r="JI8" i="4" s="1"/>
  <c r="IO9" i="4" s="1"/>
  <c r="JD9" i="4" s="1"/>
  <c r="JC15" i="4" s="1"/>
  <c r="JH8" i="4" s="1"/>
  <c r="IS16" i="4" s="1"/>
  <c r="JB15" i="4" s="1"/>
  <c r="HV15" i="4" s="1"/>
  <c r="J33" i="1"/>
  <c r="E57" i="1"/>
  <c r="JH7" i="4" s="1"/>
  <c r="HY8" i="4" s="1"/>
  <c r="IV9" i="4" s="1"/>
  <c r="IA9" i="4" s="1"/>
  <c r="HT9" i="4" s="1"/>
  <c r="IK16" i="4" s="1"/>
  <c r="IQ16" i="4" s="1"/>
  <c r="IQ21" i="4" s="1"/>
  <c r="BK88" i="1" s="1"/>
  <c r="HQ7" i="4" s="1"/>
  <c r="HW8" i="4" s="1"/>
  <c r="IK7" i="4" s="1"/>
  <c r="II8" i="4" s="1"/>
  <c r="AJ20" i="1"/>
  <c r="W56" i="1"/>
  <c r="IL15" i="4" s="1"/>
  <c r="IF9" i="4" s="1"/>
  <c r="BX32" i="1"/>
  <c r="BJ35" i="1"/>
  <c r="AK43" i="1"/>
  <c r="AK205" i="1" s="1"/>
  <c r="U34" i="1"/>
  <c r="I50" i="1"/>
  <c r="C31" i="1"/>
  <c r="BX136" i="1"/>
  <c r="BY136" i="1" s="1"/>
  <c r="R31" i="1"/>
  <c r="I58" i="1"/>
  <c r="S46" i="1"/>
  <c r="N46" i="1"/>
  <c r="BX164" i="1"/>
  <c r="S35" i="1"/>
  <c r="R46" i="1"/>
  <c r="P24" i="1"/>
  <c r="HR16" i="4" s="1"/>
  <c r="HP15" i="4" s="1"/>
  <c r="IL16" i="4" s="1"/>
  <c r="IL21" i="4" s="1"/>
  <c r="BF88" i="1" s="1"/>
  <c r="IZ14" i="4" s="1"/>
  <c r="IR9" i="4" s="1"/>
  <c r="IB16" i="4" s="1"/>
  <c r="JE16" i="4" s="1"/>
  <c r="JE21" i="4" s="1"/>
  <c r="BY88" i="1" s="1"/>
  <c r="HU16" i="4" s="1"/>
  <c r="IB7" i="4" s="1"/>
  <c r="IP16" i="4" s="1"/>
  <c r="AM47" i="1"/>
  <c r="AM50" i="1"/>
  <c r="AL31" i="1"/>
  <c r="AM43" i="1"/>
  <c r="AM205" i="1" s="1"/>
  <c r="AL56" i="1"/>
  <c r="AJ62" i="1"/>
  <c r="BX26" i="1"/>
  <c r="AK24" i="1"/>
  <c r="F36" i="1"/>
  <c r="BX165" i="1"/>
  <c r="BY165" i="1" s="1"/>
  <c r="B46" i="1"/>
  <c r="C24" i="1"/>
  <c r="P56" i="1"/>
  <c r="J19" i="1"/>
  <c r="E58" i="1"/>
  <c r="B62" i="1"/>
  <c r="S43" i="1"/>
  <c r="S205" i="1" s="1"/>
  <c r="Q19" i="1"/>
  <c r="Q242" i="1" s="1"/>
  <c r="IF7" i="4" s="1"/>
  <c r="IF16" i="4" s="1"/>
  <c r="IF8" i="4" s="1"/>
  <c r="IH14" i="4" s="1"/>
  <c r="IU8" i="4" s="1"/>
  <c r="IE7" i="4" s="1"/>
  <c r="IL9" i="4" s="1"/>
  <c r="JG7" i="4" s="1"/>
  <c r="ID9" i="4" s="1"/>
  <c r="AL57" i="1"/>
  <c r="BX43" i="1"/>
  <c r="BX205" i="1" s="1"/>
  <c r="AJ19" i="1"/>
  <c r="AJ242" i="1" s="1"/>
  <c r="BJ34" i="1"/>
  <c r="BX155" i="1"/>
  <c r="B50" i="1"/>
  <c r="J31" i="1"/>
  <c r="E56" i="1"/>
  <c r="T57" i="1"/>
  <c r="U24" i="1"/>
  <c r="H57" i="1"/>
  <c r="J50" i="1"/>
  <c r="M47" i="1"/>
  <c r="AL43" i="1"/>
  <c r="AL205" i="1" s="1"/>
  <c r="AJ36" i="1"/>
  <c r="AL35" i="1"/>
  <c r="BX19" i="1"/>
  <c r="BX242" i="1" s="1"/>
  <c r="AM36" i="1"/>
  <c r="AJ33" i="1"/>
  <c r="BJ36" i="1"/>
  <c r="AL50" i="1"/>
  <c r="BX174" i="1"/>
  <c r="BY174" i="1" s="1"/>
  <c r="B35" i="1"/>
  <c r="O26" i="1"/>
  <c r="U32" i="1"/>
  <c r="B20" i="1"/>
  <c r="B47" i="1"/>
  <c r="G20" i="1"/>
  <c r="Q36" i="1"/>
  <c r="M58" i="1"/>
  <c r="HX16" i="4" s="1"/>
  <c r="IK8" i="4" s="1"/>
  <c r="ID16" i="4" s="1"/>
  <c r="IL7" i="4" s="1"/>
  <c r="IM7" i="4" s="1"/>
  <c r="BX31" i="1"/>
  <c r="AM31" i="1"/>
  <c r="AL34" i="1"/>
  <c r="AL24" i="1"/>
  <c r="L19" i="1"/>
  <c r="L242" i="1" s="1"/>
  <c r="W58" i="1"/>
  <c r="BX161" i="1"/>
  <c r="BY161" i="1" s="1"/>
  <c r="I31" i="1"/>
  <c r="BX138" i="1"/>
  <c r="BY138" i="1" s="1"/>
  <c r="G56" i="1"/>
  <c r="P34" i="1"/>
  <c r="O50" i="1"/>
  <c r="Q34" i="1"/>
  <c r="E47" i="1"/>
  <c r="I19" i="1"/>
  <c r="I242" i="1" s="1"/>
  <c r="HX7" i="4" s="1"/>
  <c r="IA16" i="4" s="1"/>
  <c r="IA21" i="4" s="1"/>
  <c r="AU88" i="1" s="1"/>
  <c r="JA9" i="4" s="1"/>
  <c r="IH9" i="4" s="1"/>
  <c r="JH9" i="4" s="1"/>
  <c r="HQ15" i="4" s="1"/>
  <c r="IS14" i="4" s="1"/>
  <c r="IG15" i="4" s="1"/>
  <c r="ID15" i="4" s="1"/>
  <c r="IM16" i="4" s="1"/>
  <c r="IM21" i="4" s="1"/>
  <c r="BG88" i="1" s="1"/>
  <c r="HV9" i="4" s="1"/>
  <c r="JD15" i="4" s="1"/>
  <c r="JB16" i="4" s="1"/>
  <c r="IS9" i="4" s="1"/>
  <c r="AJ34" i="1"/>
  <c r="AM20" i="1"/>
  <c r="AK62" i="1"/>
  <c r="AK36" i="1"/>
  <c r="AK58" i="1"/>
  <c r="G47" i="1"/>
  <c r="R58" i="1"/>
  <c r="U50" i="1"/>
  <c r="M26" i="1"/>
  <c r="BX135" i="1"/>
  <c r="BY135" i="1" s="1"/>
  <c r="M46" i="1"/>
  <c r="V31" i="1"/>
  <c r="B56" i="1"/>
  <c r="O32" i="1"/>
  <c r="U31" i="1"/>
  <c r="N43" i="1"/>
  <c r="N205" i="1" s="1"/>
  <c r="IO16" i="4" s="1"/>
  <c r="IS7" i="4" s="1"/>
  <c r="BX50" i="1"/>
  <c r="BX34" i="1"/>
  <c r="AL26" i="1"/>
  <c r="AK34" i="1"/>
  <c r="S32" i="1"/>
  <c r="J43" i="1"/>
  <c r="J205" i="1" s="1"/>
  <c r="Q20" i="1"/>
  <c r="I46" i="1"/>
  <c r="BX84" i="1"/>
  <c r="Q43" i="1"/>
  <c r="Q205" i="1" s="1"/>
  <c r="O58" i="1"/>
  <c r="R20" i="1"/>
  <c r="L58" i="1"/>
  <c r="Q31" i="1"/>
  <c r="Q37" i="1" s="1"/>
  <c r="E24" i="1"/>
  <c r="J26" i="1"/>
  <c r="HR9" i="4" s="1"/>
  <c r="AJ57" i="1"/>
  <c r="BJ31" i="1"/>
  <c r="BX58" i="1"/>
  <c r="AM35" i="1"/>
  <c r="AJ56" i="1"/>
  <c r="BX153" i="1"/>
  <c r="BY153" i="1" s="1"/>
  <c r="E34" i="1"/>
  <c r="B24" i="1"/>
  <c r="Q33" i="1"/>
  <c r="I24" i="1"/>
  <c r="BX133" i="1"/>
  <c r="BY133" i="1" s="1"/>
  <c r="W50" i="1"/>
  <c r="N58" i="1"/>
  <c r="J47" i="1"/>
  <c r="H26" i="1"/>
  <c r="L34" i="1"/>
  <c r="L35" i="1"/>
  <c r="L26" i="1"/>
  <c r="U57" i="1"/>
  <c r="IX9" i="4" s="1"/>
  <c r="IV15" i="4" s="1"/>
  <c r="IR14" i="4" s="1"/>
  <c r="IZ15" i="4" s="1"/>
  <c r="JD7" i="4" s="1"/>
  <c r="AJ47" i="1"/>
  <c r="AK50" i="1"/>
  <c r="AJ26" i="1"/>
  <c r="AJ35" i="1"/>
  <c r="AK20" i="1"/>
  <c r="BJ32" i="1"/>
  <c r="AK47" i="1"/>
  <c r="BX142" i="1"/>
  <c r="BX137" i="1"/>
  <c r="BY137" i="1" s="1"/>
  <c r="K50" i="1"/>
  <c r="D26" i="1"/>
  <c r="G36" i="1"/>
  <c r="D62" i="1"/>
  <c r="S57" i="1"/>
  <c r="JC16" i="4" s="1"/>
  <c r="JC21" i="4" s="1"/>
  <c r="BW88" i="1" s="1"/>
  <c r="JF7" i="4" s="1"/>
  <c r="JE7" i="4" s="1"/>
  <c r="HZ16" i="4" s="1"/>
  <c r="IA8" i="4" s="1"/>
  <c r="HQ14" i="4" s="1"/>
  <c r="IM8" i="4" s="1"/>
  <c r="HQ16" i="4" s="1"/>
  <c r="HU9" i="4" s="1"/>
  <c r="HR7" i="4" s="1"/>
  <c r="IJ16" i="4" s="1"/>
  <c r="IA14" i="4" s="1"/>
  <c r="IA7" i="4" s="1"/>
  <c r="JB14" i="4" s="1"/>
  <c r="HT16" i="4" s="1"/>
  <c r="AL58" i="1"/>
  <c r="AK35" i="1"/>
  <c r="AK25" i="1"/>
  <c r="AM24" i="1"/>
  <c r="AL19" i="1"/>
  <c r="BX47" i="1"/>
  <c r="AJ58" i="1"/>
  <c r="AM26" i="1"/>
  <c r="D133" i="1"/>
  <c r="U47" i="1"/>
  <c r="U263" i="1" s="1"/>
  <c r="D35" i="1"/>
  <c r="S56" i="1"/>
  <c r="BX146" i="1"/>
  <c r="BY146" i="1" s="1"/>
  <c r="BX128" i="1"/>
  <c r="BY128" i="1" s="1"/>
  <c r="B58" i="1"/>
  <c r="C35" i="1"/>
  <c r="V57" i="1"/>
  <c r="W34" i="1"/>
  <c r="H56" i="1"/>
  <c r="BX175" i="1"/>
  <c r="BY175" i="1" s="1"/>
  <c r="S24" i="1"/>
  <c r="O47" i="1"/>
  <c r="B31" i="1"/>
  <c r="D46" i="1"/>
  <c r="K19" i="1"/>
  <c r="K242" i="1" s="1"/>
  <c r="F24" i="1"/>
  <c r="O56" i="1"/>
  <c r="G24" i="1"/>
  <c r="E33" i="1"/>
  <c r="C57" i="1"/>
  <c r="G43" i="1"/>
  <c r="G205" i="1" s="1"/>
  <c r="F47" i="1"/>
  <c r="T35" i="1"/>
  <c r="W143" i="1"/>
  <c r="R34" i="1"/>
  <c r="I20" i="1"/>
  <c r="I21" i="1" s="1"/>
  <c r="M31" i="1"/>
  <c r="M62" i="1"/>
  <c r="V26" i="1"/>
  <c r="H33" i="1"/>
  <c r="J32" i="1"/>
  <c r="O46" i="1"/>
  <c r="T24" i="1"/>
  <c r="T47" i="1"/>
  <c r="S26" i="1"/>
  <c r="E19" i="1"/>
  <c r="Q57" i="1"/>
  <c r="J57" i="1"/>
  <c r="P138" i="1"/>
  <c r="C56" i="1"/>
  <c r="M24" i="1"/>
  <c r="F32" i="1"/>
  <c r="C33" i="1"/>
  <c r="W33" i="1"/>
  <c r="S62" i="1"/>
  <c r="I32" i="1"/>
  <c r="S19" i="1"/>
  <c r="S242" i="1" s="1"/>
  <c r="B36" i="1"/>
  <c r="V34" i="1"/>
  <c r="M19" i="1"/>
  <c r="M242" i="1" s="1"/>
  <c r="S31" i="1"/>
  <c r="S37" i="1" s="1"/>
  <c r="M20" i="1"/>
  <c r="M21" i="1" s="1"/>
  <c r="W43" i="1"/>
  <c r="W264" i="1" s="1"/>
  <c r="N24" i="1"/>
  <c r="O19" i="1"/>
  <c r="G19" i="1"/>
  <c r="G242" i="1" s="1"/>
  <c r="K56" i="1"/>
  <c r="I47" i="1"/>
  <c r="I263" i="1" s="1"/>
  <c r="S50" i="1"/>
  <c r="I34" i="1"/>
  <c r="E62" i="1"/>
  <c r="J46" i="1"/>
  <c r="F57" i="1"/>
  <c r="P50" i="1"/>
  <c r="K26" i="1"/>
  <c r="R47" i="1"/>
  <c r="L36" i="1"/>
  <c r="T26" i="1"/>
  <c r="JD16" i="4" s="1"/>
  <c r="JD21" i="4" s="1"/>
  <c r="BX88" i="1" s="1"/>
  <c r="BX57" i="1"/>
  <c r="BX24" i="1"/>
  <c r="AM46" i="1"/>
  <c r="AM33" i="1"/>
  <c r="BX35" i="1"/>
  <c r="AM34" i="1"/>
  <c r="AL25" i="1"/>
  <c r="AL47" i="1"/>
  <c r="BJ24" i="1"/>
  <c r="BX56" i="1"/>
  <c r="M34" i="1"/>
  <c r="W26" i="1"/>
  <c r="C47" i="1"/>
  <c r="P164" i="1"/>
  <c r="G57" i="1"/>
  <c r="V33" i="1"/>
  <c r="BX170" i="1"/>
  <c r="P166" i="1"/>
  <c r="J36" i="1"/>
  <c r="D20" i="1"/>
  <c r="BY84" i="1"/>
  <c r="D32" i="1"/>
  <c r="L24" i="1"/>
  <c r="L20" i="1"/>
  <c r="L21" i="1" s="1"/>
  <c r="O35" i="1"/>
  <c r="F31" i="1"/>
  <c r="G46" i="1"/>
  <c r="S58" i="1"/>
  <c r="V50" i="1"/>
  <c r="M57" i="1"/>
  <c r="Q35" i="1"/>
  <c r="N47" i="1"/>
  <c r="S34" i="1"/>
  <c r="M43" i="1"/>
  <c r="M205" i="1" s="1"/>
  <c r="N33" i="1"/>
  <c r="V32" i="1"/>
  <c r="V37" i="1" s="1"/>
  <c r="U62" i="1"/>
  <c r="N19" i="1"/>
  <c r="N242" i="1" s="1"/>
  <c r="N20" i="1"/>
  <c r="J24" i="1"/>
  <c r="P36" i="1"/>
  <c r="T33" i="1"/>
  <c r="E35" i="1"/>
  <c r="AK56" i="1"/>
  <c r="BX36" i="1"/>
  <c r="BJ25" i="1"/>
  <c r="AK57" i="1"/>
  <c r="AK46" i="1"/>
  <c r="AJ50" i="1"/>
  <c r="BX25" i="1"/>
  <c r="N31" i="1"/>
  <c r="K43" i="1"/>
  <c r="K205" i="1" s="1"/>
  <c r="G62" i="1"/>
  <c r="H24" i="1"/>
  <c r="U33" i="1"/>
  <c r="L50" i="1"/>
  <c r="Q24" i="1"/>
  <c r="BX143" i="1"/>
  <c r="Q32" i="1"/>
  <c r="I56" i="1"/>
  <c r="H47" i="1"/>
  <c r="G34" i="1"/>
  <c r="O62" i="1"/>
  <c r="L56" i="1"/>
  <c r="S33" i="1"/>
  <c r="K36" i="1"/>
  <c r="F43" i="1"/>
  <c r="U36" i="1"/>
  <c r="M33" i="1"/>
  <c r="I33" i="1"/>
  <c r="F56" i="1"/>
  <c r="Q46" i="1"/>
  <c r="C20" i="1"/>
  <c r="N26" i="1"/>
  <c r="Q58" i="1"/>
  <c r="N34" i="1"/>
  <c r="J56" i="1"/>
  <c r="N32" i="1"/>
  <c r="O20" i="1"/>
  <c r="K32" i="1"/>
  <c r="E170" i="1"/>
  <c r="H31" i="1"/>
  <c r="H37" i="1" s="1"/>
  <c r="P19" i="1"/>
  <c r="F46" i="1"/>
  <c r="L31" i="1"/>
  <c r="L37" i="1" s="1"/>
  <c r="F62" i="1"/>
  <c r="H32" i="1"/>
  <c r="H62" i="1"/>
  <c r="P43" i="1"/>
  <c r="P205" i="1" s="1"/>
  <c r="R33" i="1"/>
  <c r="J20" i="1"/>
  <c r="K33" i="1"/>
  <c r="U46" i="1"/>
  <c r="V62" i="1"/>
  <c r="R32" i="1"/>
  <c r="R37" i="1" s="1"/>
  <c r="P31" i="1"/>
  <c r="P37" i="1" s="1"/>
  <c r="C58" i="1"/>
  <c r="K57" i="1"/>
  <c r="J35" i="1"/>
  <c r="D33" i="1"/>
  <c r="T50" i="1"/>
  <c r="R26" i="1"/>
  <c r="B19" i="1"/>
  <c r="W24" i="1"/>
  <c r="K46" i="1"/>
  <c r="P171" i="1"/>
  <c r="N56" i="1"/>
  <c r="T58" i="1"/>
  <c r="T43" i="1"/>
  <c r="T205" i="1" s="1"/>
  <c r="E46" i="1"/>
  <c r="E31" i="1"/>
  <c r="D43" i="1"/>
  <c r="BX163" i="1"/>
  <c r="BY163" i="1" s="1"/>
  <c r="D36" i="1"/>
  <c r="P20" i="1"/>
  <c r="L32" i="1"/>
  <c r="H20" i="1"/>
  <c r="V20" i="1"/>
  <c r="V21" i="1" s="1"/>
  <c r="V109" i="1" s="1"/>
  <c r="C36" i="1"/>
  <c r="U35" i="1"/>
  <c r="U37" i="1" s="1"/>
  <c r="P58" i="1"/>
  <c r="H50" i="1"/>
  <c r="R19" i="1"/>
  <c r="R242" i="1" s="1"/>
  <c r="S36" i="1"/>
  <c r="F50" i="1"/>
  <c r="C62" i="1"/>
  <c r="M32" i="1"/>
  <c r="C34" i="1"/>
  <c r="V56" i="1"/>
  <c r="O31" i="1"/>
  <c r="G174" i="1"/>
  <c r="T62" i="1"/>
  <c r="O34" i="1"/>
  <c r="V35" i="1"/>
  <c r="N62" i="1"/>
  <c r="F33" i="1"/>
  <c r="T34" i="1"/>
  <c r="F19" i="1"/>
  <c r="F242" i="1" s="1"/>
  <c r="D57" i="1"/>
  <c r="W20" i="1"/>
  <c r="W21" i="1" s="1"/>
  <c r="O57" i="1"/>
  <c r="V58" i="1"/>
  <c r="V24" i="1"/>
  <c r="T20" i="1"/>
  <c r="G164" i="1"/>
  <c r="C26" i="1"/>
  <c r="G35" i="1"/>
  <c r="H34" i="1"/>
  <c r="P26" i="1"/>
  <c r="R35" i="1"/>
  <c r="E32" i="1"/>
  <c r="P57" i="1"/>
  <c r="T36" i="1"/>
  <c r="I57" i="1"/>
  <c r="F58" i="1"/>
  <c r="M36" i="1"/>
  <c r="M37" i="1" s="1"/>
  <c r="T46" i="1"/>
  <c r="T31" i="1"/>
  <c r="P33" i="1"/>
  <c r="H46" i="1"/>
  <c r="U58" i="1"/>
  <c r="K34" i="1"/>
  <c r="I26" i="1"/>
  <c r="D58" i="1"/>
  <c r="S20" i="1"/>
  <c r="N50" i="1"/>
  <c r="C32" i="1"/>
  <c r="D31" i="1"/>
  <c r="D37" i="1" s="1"/>
  <c r="J58" i="1"/>
  <c r="B32" i="1"/>
  <c r="Q164" i="1"/>
  <c r="W46" i="1"/>
  <c r="C135" i="1"/>
  <c r="U26" i="1"/>
  <c r="T19" i="1"/>
  <c r="T242" i="1" s="1"/>
  <c r="W128" i="1"/>
  <c r="R62" i="1"/>
  <c r="E43" i="1"/>
  <c r="E205" i="1" s="1"/>
  <c r="O43" i="1"/>
  <c r="O205" i="1" s="1"/>
  <c r="U20" i="1"/>
  <c r="U21" i="1" s="1"/>
  <c r="G58" i="1"/>
  <c r="W31" i="1"/>
  <c r="R43" i="1"/>
  <c r="I36" i="1"/>
  <c r="H43" i="1"/>
  <c r="H205" i="1" s="1"/>
  <c r="W57" i="1"/>
  <c r="IV14" i="4" s="1"/>
  <c r="IY14" i="4" s="1"/>
  <c r="JH16" i="4" s="1"/>
  <c r="JH21" i="4" s="1"/>
  <c r="CB88" i="1" s="1"/>
  <c r="IQ15" i="4" s="1"/>
  <c r="HX9" i="4" s="1"/>
  <c r="BJ19" i="1"/>
  <c r="BJ242" i="1" s="1"/>
  <c r="AL46" i="1"/>
  <c r="BX20" i="1"/>
  <c r="AJ46" i="1"/>
  <c r="AK19" i="1"/>
  <c r="AJ32" i="1"/>
  <c r="BX33" i="1"/>
  <c r="AL36" i="1"/>
  <c r="BX162" i="1"/>
  <c r="BY162" i="1" s="1"/>
  <c r="R24" i="1"/>
  <c r="U43" i="1"/>
  <c r="B57" i="1"/>
  <c r="F26" i="1"/>
  <c r="C50" i="1"/>
  <c r="BX158" i="1"/>
  <c r="BY158" i="1" s="1"/>
  <c r="S47" i="1"/>
  <c r="BX166" i="1"/>
  <c r="BY166" i="1" s="1"/>
  <c r="BX160" i="1"/>
  <c r="BY160" i="1" s="1"/>
  <c r="L46" i="1"/>
  <c r="K47" i="1"/>
  <c r="K263" i="1" s="1"/>
  <c r="K31" i="1"/>
  <c r="D19" i="1"/>
  <c r="J130" i="1"/>
  <c r="D24" i="1"/>
  <c r="P46" i="1"/>
  <c r="V43" i="1"/>
  <c r="V205" i="1" s="1"/>
  <c r="E26" i="1"/>
  <c r="W36" i="1"/>
  <c r="W47" i="1"/>
  <c r="W263" i="1" s="1"/>
  <c r="E20" i="1"/>
  <c r="E21" i="1" s="1"/>
  <c r="H58" i="1"/>
  <c r="R50" i="1"/>
  <c r="L43" i="1"/>
  <c r="V36" i="1"/>
  <c r="L47" i="1"/>
  <c r="D50" i="1"/>
  <c r="Q56" i="1"/>
  <c r="G33" i="1"/>
  <c r="V46" i="1"/>
  <c r="L33" i="1"/>
  <c r="W35" i="1"/>
  <c r="W37" i="1" s="1"/>
  <c r="W38" i="1" s="1"/>
  <c r="K62" i="1"/>
  <c r="Q26" i="1"/>
  <c r="Q47" i="1"/>
  <c r="Q263" i="1" s="1"/>
  <c r="R57" i="1"/>
  <c r="Q62" i="1"/>
  <c r="F34" i="1"/>
  <c r="T32" i="1"/>
  <c r="F20" i="1"/>
  <c r="R56" i="1"/>
  <c r="U56" i="1"/>
  <c r="IT9" i="4" s="1"/>
  <c r="IB9" i="4" s="1"/>
  <c r="IN8" i="4" s="1"/>
  <c r="IB8" i="4" s="1"/>
  <c r="AJ43" i="1"/>
  <c r="AJ205" i="1" s="1"/>
  <c r="AL33" i="1"/>
  <c r="AM25" i="1"/>
  <c r="AK31" i="1"/>
  <c r="AM19" i="1"/>
  <c r="AM242" i="1" s="1"/>
  <c r="AJ24" i="1"/>
  <c r="AK33" i="1"/>
  <c r="AL62" i="1"/>
  <c r="AM32" i="1"/>
  <c r="F35" i="1"/>
  <c r="BX156" i="1"/>
  <c r="BX191" i="1" s="1"/>
  <c r="BY191" i="1" s="1"/>
  <c r="T56" i="1"/>
  <c r="H35" i="1"/>
  <c r="M56" i="1"/>
  <c r="W62" i="1"/>
  <c r="BX154" i="1"/>
  <c r="BY154" i="1" s="1"/>
  <c r="BX130" i="1"/>
  <c r="BY130" i="1" s="1"/>
  <c r="BX148" i="1"/>
  <c r="BY148" i="1" s="1"/>
  <c r="H19" i="1"/>
  <c r="H242" i="1" s="1"/>
  <c r="M35" i="1"/>
  <c r="BL85" i="1"/>
  <c r="BX144" i="1"/>
  <c r="R36" i="1"/>
  <c r="P47" i="1"/>
  <c r="P263" i="1" s="1"/>
  <c r="I62" i="1"/>
  <c r="C43" i="1"/>
  <c r="C205" i="1" s="1"/>
  <c r="P35" i="1"/>
  <c r="M50" i="1"/>
  <c r="D47" i="1"/>
  <c r="O24" i="1"/>
  <c r="L62" i="1"/>
  <c r="O33" i="1"/>
  <c r="C46" i="1"/>
  <c r="J62" i="1"/>
  <c r="N36" i="1"/>
  <c r="B43" i="1"/>
  <c r="B264" i="1" s="1"/>
  <c r="B33" i="1"/>
  <c r="B37" i="1" s="1"/>
  <c r="L57" i="1"/>
  <c r="P32" i="1"/>
  <c r="N57" i="1"/>
  <c r="H36" i="1"/>
  <c r="G50" i="1"/>
  <c r="K20" i="1"/>
  <c r="P62" i="1"/>
  <c r="I35" i="1"/>
  <c r="D56" i="1"/>
  <c r="K58" i="1"/>
  <c r="N35" i="1"/>
  <c r="G32" i="1"/>
  <c r="K35" i="1"/>
  <c r="I43" i="1"/>
  <c r="I205" i="1" s="1"/>
  <c r="G26" i="1"/>
  <c r="C19" i="1"/>
  <c r="V47" i="1"/>
  <c r="V263" i="1" s="1"/>
  <c r="AL166" i="1"/>
  <c r="AM166" i="1" s="1"/>
  <c r="AL85" i="1"/>
  <c r="AL156" i="1"/>
  <c r="AL161" i="1"/>
  <c r="AM161" i="1" s="1"/>
  <c r="AL153" i="1"/>
  <c r="AM153" i="1" s="1"/>
  <c r="AL142" i="1"/>
  <c r="AL136" i="1"/>
  <c r="AM136" i="1" s="1"/>
  <c r="AL175" i="1"/>
  <c r="AM175" i="1" s="1"/>
  <c r="AL160" i="1"/>
  <c r="AM160" i="1" s="1"/>
  <c r="AL130" i="1"/>
  <c r="AL144" i="1"/>
  <c r="AL162" i="1"/>
  <c r="AM162" i="1" s="1"/>
  <c r="AL133" i="1"/>
  <c r="AM133" i="1" s="1"/>
  <c r="AL164" i="1"/>
  <c r="AL170" i="1"/>
  <c r="AL155" i="1"/>
  <c r="AL165" i="1"/>
  <c r="AM165" i="1" s="1"/>
  <c r="AL128" i="1"/>
  <c r="AM128" i="1" s="1"/>
  <c r="AL129" i="1"/>
  <c r="AM129" i="1" s="1"/>
  <c r="AL135" i="1"/>
  <c r="AM135" i="1" s="1"/>
  <c r="AL143" i="1"/>
  <c r="AL171" i="1"/>
  <c r="AL138" i="1"/>
  <c r="AM138" i="1" s="1"/>
  <c r="AL84" i="1"/>
  <c r="AL151" i="1"/>
  <c r="AM151" i="1" s="1"/>
  <c r="AM213" i="1" s="1"/>
  <c r="AL148" i="1"/>
  <c r="AM148" i="1" s="1"/>
  <c r="IG8" i="4"/>
  <c r="IJ21" i="4"/>
  <c r="BD88" i="1" s="1"/>
  <c r="IF14" i="4"/>
  <c r="HX21" i="4"/>
  <c r="AR88" i="1" s="1"/>
  <c r="AL264" i="1"/>
  <c r="JI14" i="4"/>
  <c r="HQ8" i="4"/>
  <c r="JC7" i="4"/>
  <c r="IL8" i="4"/>
  <c r="HR8" i="4"/>
  <c r="HP21" i="4"/>
  <c r="AJ88" i="1" s="1"/>
  <c r="IC21" i="4"/>
  <c r="AW88" i="1" s="1"/>
  <c r="IS15" i="4"/>
  <c r="JF15" i="4"/>
  <c r="IC15" i="4"/>
  <c r="IZ21" i="4"/>
  <c r="BT88" i="1" s="1"/>
  <c r="II7" i="4"/>
  <c r="JG21" i="4"/>
  <c r="CA88" i="1" s="1"/>
  <c r="IH15" i="4"/>
  <c r="IO21" i="4"/>
  <c r="BI88" i="1" s="1"/>
  <c r="HP8" i="4"/>
  <c r="IO15" i="4"/>
  <c r="JA21" i="4"/>
  <c r="BU88" i="1" s="1"/>
  <c r="HS7" i="4"/>
  <c r="JB8" i="4"/>
  <c r="IW8" i="4"/>
  <c r="JA7" i="4"/>
  <c r="II15" i="4"/>
  <c r="ID8" i="4"/>
  <c r="HS14" i="4"/>
  <c r="JI15" i="4"/>
  <c r="JG14" i="4"/>
  <c r="HU8" i="4"/>
  <c r="IW7" i="4"/>
  <c r="IB15" i="4"/>
  <c r="AL242" i="1"/>
  <c r="JE14" i="4"/>
  <c r="HX8" i="4"/>
  <c r="IT14" i="4"/>
  <c r="IK15" i="4"/>
  <c r="IU14" i="4"/>
  <c r="HZ7" i="4"/>
  <c r="HY14" i="4"/>
  <c r="AL21" i="1"/>
  <c r="IN14" i="4"/>
  <c r="F37" i="1"/>
  <c r="IX21" i="4"/>
  <c r="BR88" i="1" s="1"/>
  <c r="IT15" i="4"/>
  <c r="IF15" i="4"/>
  <c r="ID21" i="4"/>
  <c r="AX88" i="1" s="1"/>
  <c r="IY7" i="4"/>
  <c r="IJ8" i="4"/>
  <c r="IH8" i="4"/>
  <c r="HS21" i="4"/>
  <c r="AM88" i="1" s="1"/>
  <c r="IO8" i="4"/>
  <c r="JI21" i="4"/>
  <c r="CC88" i="1" s="1"/>
  <c r="CC96" i="1" s="1"/>
  <c r="HR21" i="4"/>
  <c r="AL88" i="1" s="1"/>
  <c r="X22" i="1"/>
  <c r="G264" i="1"/>
  <c r="O263" i="1"/>
  <c r="IJ15" i="4"/>
  <c r="IC8" i="4"/>
  <c r="II14" i="4"/>
  <c r="O21" i="1"/>
  <c r="N264" i="1"/>
  <c r="X199" i="1"/>
  <c r="IJ14" i="4"/>
  <c r="C242" i="1"/>
  <c r="IE15" i="4"/>
  <c r="JC14" i="4"/>
  <c r="HS15" i="4"/>
  <c r="HW7" i="4"/>
  <c r="T263" i="1"/>
  <c r="IR15" i="4"/>
  <c r="HW14" i="4"/>
  <c r="AK21" i="1"/>
  <c r="AK242" i="1"/>
  <c r="HU15" i="4"/>
  <c r="G21" i="1"/>
  <c r="JF8" i="4"/>
  <c r="O242" i="1"/>
  <c r="W109" i="1"/>
  <c r="O264" i="1"/>
  <c r="HR14" i="4"/>
  <c r="IH7" i="4"/>
  <c r="IK14" i="4"/>
  <c r="HW15" i="4"/>
  <c r="IB21" i="4"/>
  <c r="AV88" i="1" s="1"/>
  <c r="E242" i="1"/>
  <c r="S263" i="1"/>
  <c r="U264" i="1"/>
  <c r="U205" i="1"/>
  <c r="J264" i="1"/>
  <c r="JH14" i="4"/>
  <c r="IR8" i="4"/>
  <c r="D242" i="1"/>
  <c r="D21" i="1"/>
  <c r="CP88" i="1"/>
  <c r="CN74" i="1"/>
  <c r="CM76" i="1"/>
  <c r="T37" i="1" l="1"/>
  <c r="C21" i="1"/>
  <c r="E37" i="1"/>
  <c r="C263" i="1"/>
  <c r="HW21" i="4"/>
  <c r="AQ88" i="1" s="1"/>
  <c r="HQ21" i="4"/>
  <c r="AK88" i="1" s="1"/>
  <c r="IG9" i="4" s="1"/>
  <c r="IF21" i="4"/>
  <c r="AZ88" i="1" s="1"/>
  <c r="HY16" i="4" s="1"/>
  <c r="M263" i="1"/>
  <c r="HV16" i="4" s="1"/>
  <c r="HV21" i="4" s="1"/>
  <c r="AP88" i="1" s="1"/>
  <c r="IV7" i="4" s="1"/>
  <c r="IX8" i="4" s="1"/>
  <c r="HY15" i="4" s="1"/>
  <c r="JF16" i="4" s="1"/>
  <c r="IS21" i="4"/>
  <c r="BM88" i="1" s="1"/>
  <c r="IP9" i="4" s="1"/>
  <c r="HP14" i="4" s="1"/>
  <c r="G263" i="1"/>
  <c r="J263" i="1"/>
  <c r="W27" i="1"/>
  <c r="P21" i="1"/>
  <c r="F263" i="1"/>
  <c r="V38" i="1"/>
  <c r="T21" i="1"/>
  <c r="G194" i="1"/>
  <c r="C37" i="1"/>
  <c r="V22" i="1"/>
  <c r="AL191" i="1"/>
  <c r="AM191" i="1" s="1"/>
  <c r="AL194" i="1"/>
  <c r="AM194" i="1" s="1"/>
  <c r="AL190" i="1"/>
  <c r="AM190" i="1" s="1"/>
  <c r="S21" i="1"/>
  <c r="N263" i="1"/>
  <c r="F264" i="1"/>
  <c r="P264" i="1"/>
  <c r="J242" i="1"/>
  <c r="J21" i="1"/>
  <c r="B263" i="1"/>
  <c r="AL263" i="1"/>
  <c r="D205" i="1"/>
  <c r="D264" i="1"/>
  <c r="IW21" i="4"/>
  <c r="BQ88" i="1" s="1"/>
  <c r="N21" i="1"/>
  <c r="H264" i="1"/>
  <c r="D263" i="1"/>
  <c r="IG21" i="4"/>
  <c r="BA88" i="1" s="1"/>
  <c r="IP21" i="4"/>
  <c r="BJ88" i="1" s="1"/>
  <c r="M264" i="1"/>
  <c r="R21" i="1"/>
  <c r="R109" i="1" s="1"/>
  <c r="F205" i="1"/>
  <c r="R205" i="1"/>
  <c r="R264" i="1"/>
  <c r="B242" i="1"/>
  <c r="B21" i="1"/>
  <c r="B27" i="1" s="1"/>
  <c r="B28" i="1" s="1"/>
  <c r="HU21" i="4"/>
  <c r="AO88" i="1" s="1"/>
  <c r="P194" i="1"/>
  <c r="IE21" i="4"/>
  <c r="AY88" i="1" s="1"/>
  <c r="S264" i="1"/>
  <c r="AM21" i="1"/>
  <c r="R263" i="1"/>
  <c r="I264" i="1"/>
  <c r="BY151" i="1"/>
  <c r="BZ213" i="1" s="1"/>
  <c r="AJ48" i="1"/>
  <c r="AK37" i="1"/>
  <c r="BJ174" i="1"/>
  <c r="BK174" i="1" s="1"/>
  <c r="BJ165" i="1"/>
  <c r="BK165" i="1" s="1"/>
  <c r="BJ155" i="1"/>
  <c r="BJ190" i="1" s="1"/>
  <c r="BK190" i="1" s="1"/>
  <c r="AJ135" i="1"/>
  <c r="AK135" i="1" s="1"/>
  <c r="AJ174" i="1"/>
  <c r="AK174" i="1" s="1"/>
  <c r="AJ138" i="1"/>
  <c r="AK138" i="1" s="1"/>
  <c r="BJ138" i="1"/>
  <c r="BK138" i="1" s="1"/>
  <c r="AJ133" i="1"/>
  <c r="AK133" i="1" s="1"/>
  <c r="BJ170" i="1"/>
  <c r="BJ171" i="1"/>
  <c r="BJ158" i="1"/>
  <c r="BK158" i="1" s="1"/>
  <c r="BJ160" i="1"/>
  <c r="AJ164" i="1"/>
  <c r="AJ162" i="1"/>
  <c r="AK162" i="1" s="1"/>
  <c r="BJ166" i="1"/>
  <c r="BK166" i="1" s="1"/>
  <c r="AJ160" i="1"/>
  <c r="AK160" i="1" s="1"/>
  <c r="BJ135" i="1"/>
  <c r="BK135" i="1" s="1"/>
  <c r="BJ156" i="1"/>
  <c r="BJ175" i="1"/>
  <c r="AJ163" i="1"/>
  <c r="AK163" i="1" s="1"/>
  <c r="AJ153" i="1"/>
  <c r="AK153" i="1" s="1"/>
  <c r="AJ165" i="1"/>
  <c r="AK165" i="1" s="1"/>
  <c r="BJ130" i="1"/>
  <c r="BJ137" i="1"/>
  <c r="BK137" i="1" s="1"/>
  <c r="BJ163" i="1"/>
  <c r="BK163" i="1" s="1"/>
  <c r="BJ146" i="1"/>
  <c r="BK146" i="1" s="1"/>
  <c r="BJ136" i="1"/>
  <c r="BK136" i="1" s="1"/>
  <c r="BJ153" i="1"/>
  <c r="BK153" i="1" s="1"/>
  <c r="BJ143" i="1"/>
  <c r="AJ144" i="1"/>
  <c r="AJ156" i="1"/>
  <c r="AJ171" i="1"/>
  <c r="AJ130" i="1"/>
  <c r="AJ157" i="1"/>
  <c r="AK157" i="1" s="1"/>
  <c r="AJ136" i="1"/>
  <c r="AK136" i="1" s="1"/>
  <c r="BJ157" i="1"/>
  <c r="BK157" i="1" s="1"/>
  <c r="AJ128" i="1"/>
  <c r="AK128" i="1" s="1"/>
  <c r="BJ129" i="1"/>
  <c r="BK129" i="1" s="1"/>
  <c r="BJ164" i="1"/>
  <c r="BJ194" i="1" s="1"/>
  <c r="BK194" i="1" s="1"/>
  <c r="BJ161" i="1"/>
  <c r="BK161" i="1" s="1"/>
  <c r="BJ144" i="1"/>
  <c r="AJ175" i="1"/>
  <c r="AK175" i="1" s="1"/>
  <c r="AJ137" i="1"/>
  <c r="AK137" i="1" s="1"/>
  <c r="AJ143" i="1"/>
  <c r="AJ166" i="1"/>
  <c r="AK166" i="1" s="1"/>
  <c r="AJ129" i="1"/>
  <c r="AK129" i="1" s="1"/>
  <c r="AJ151" i="1"/>
  <c r="AK151" i="1" s="1"/>
  <c r="BJ128" i="1"/>
  <c r="AJ142" i="1"/>
  <c r="AJ146" i="1"/>
  <c r="AK146" i="1" s="1"/>
  <c r="AJ158" i="1"/>
  <c r="AK158" i="1" s="1"/>
  <c r="AJ154" i="1"/>
  <c r="AK154" i="1" s="1"/>
  <c r="BJ148" i="1"/>
  <c r="BK148" i="1" s="1"/>
  <c r="BJ154" i="1"/>
  <c r="BX172" i="1"/>
  <c r="BY220" i="1" s="1"/>
  <c r="AJ170" i="1"/>
  <c r="AJ161" i="1"/>
  <c r="AK161" i="1" s="1"/>
  <c r="BJ142" i="1"/>
  <c r="BJ151" i="1"/>
  <c r="BK151" i="1" s="1"/>
  <c r="BL213" i="1" s="1"/>
  <c r="AJ155" i="1"/>
  <c r="BJ162" i="1"/>
  <c r="BK162" i="1" s="1"/>
  <c r="BJ133" i="1"/>
  <c r="BK133" i="1" s="1"/>
  <c r="AJ148" i="1"/>
  <c r="AK148" i="1" s="1"/>
  <c r="AM264" i="1"/>
  <c r="AM37" i="1"/>
  <c r="BY131" i="1"/>
  <c r="BX145" i="1"/>
  <c r="BY145" i="1" s="1"/>
  <c r="AL163" i="1"/>
  <c r="AM163" i="1" s="1"/>
  <c r="BX194" i="1"/>
  <c r="BY194" i="1" s="1"/>
  <c r="AM263" i="1"/>
  <c r="AL154" i="1"/>
  <c r="AL146" i="1"/>
  <c r="AM146" i="1" s="1"/>
  <c r="AL174" i="1"/>
  <c r="AM174" i="1" s="1"/>
  <c r="AL157" i="1"/>
  <c r="AM157" i="1" s="1"/>
  <c r="AL137" i="1"/>
  <c r="AM137" i="1" s="1"/>
  <c r="AL158" i="1"/>
  <c r="AM158" i="1" s="1"/>
  <c r="IP7" i="4"/>
  <c r="IP8" i="4"/>
  <c r="IO7" i="4"/>
  <c r="IU15" i="4"/>
  <c r="ID14" i="4"/>
  <c r="BY139" i="1"/>
  <c r="BX159" i="1"/>
  <c r="BX193" i="1" s="1"/>
  <c r="HZ15" i="4"/>
  <c r="ID7" i="4"/>
  <c r="Q21" i="1"/>
  <c r="AJ190" i="1"/>
  <c r="AL37" i="1"/>
  <c r="AL38" i="1" s="1"/>
  <c r="L264" i="1"/>
  <c r="K37" i="1"/>
  <c r="O37" i="1"/>
  <c r="H263" i="1"/>
  <c r="V27" i="1"/>
  <c r="V28" i="1" s="1"/>
  <c r="HV8" i="4"/>
  <c r="IQ14" i="4"/>
  <c r="IQ19" i="4" s="1"/>
  <c r="BK89" i="1" s="1"/>
  <c r="BK118" i="1" s="1"/>
  <c r="I37" i="1"/>
  <c r="IQ8" i="4"/>
  <c r="IQ20" i="4" s="1"/>
  <c r="BK90" i="1" s="1"/>
  <c r="BK119" i="1" s="1"/>
  <c r="AJ37" i="1"/>
  <c r="JE8" i="4"/>
  <c r="HT21" i="4"/>
  <c r="AN88" i="1" s="1"/>
  <c r="J37" i="1"/>
  <c r="IJ7" i="4"/>
  <c r="HV14" i="4"/>
  <c r="HZ21" i="4"/>
  <c r="AT88" i="1" s="1"/>
  <c r="IP14" i="4"/>
  <c r="JC8" i="4"/>
  <c r="IV8" i="4"/>
  <c r="IV20" i="4" s="1"/>
  <c r="BP90" i="1" s="1"/>
  <c r="BP119" i="1" s="1"/>
  <c r="JB21" i="4"/>
  <c r="BV88" i="1" s="1"/>
  <c r="IA15" i="4"/>
  <c r="IA20" i="4" s="1"/>
  <c r="AU90" i="1" s="1"/>
  <c r="AU119" i="1" s="1"/>
  <c r="HX15" i="4"/>
  <c r="HT8" i="4"/>
  <c r="HT20" i="4" s="1"/>
  <c r="AN90" i="1" s="1"/>
  <c r="AN119" i="1" s="1"/>
  <c r="IM14" i="4"/>
  <c r="IM19" i="4" s="1"/>
  <c r="BG89" i="1" s="1"/>
  <c r="BG118" i="1" s="1"/>
  <c r="IB14" i="4"/>
  <c r="L263" i="1"/>
  <c r="P242" i="1"/>
  <c r="V264" i="1"/>
  <c r="G37" i="1"/>
  <c r="N37" i="1"/>
  <c r="BX21" i="1"/>
  <c r="BY23" i="1" s="1"/>
  <c r="U109" i="1"/>
  <c r="BX37" i="1"/>
  <c r="IM15" i="4"/>
  <c r="BX264" i="1"/>
  <c r="U27" i="1"/>
  <c r="V199" i="1"/>
  <c r="K21" i="1"/>
  <c r="BX139" i="1"/>
  <c r="H21" i="1"/>
  <c r="H27" i="1" s="1"/>
  <c r="H28" i="1" s="1"/>
  <c r="CA109" i="1"/>
  <c r="CA110" i="1" s="1"/>
  <c r="CA113" i="1" s="1"/>
  <c r="Q264" i="1"/>
  <c r="W22" i="1"/>
  <c r="Q194" i="1"/>
  <c r="BX190" i="1"/>
  <c r="BY190" i="1" s="1"/>
  <c r="K264" i="1"/>
  <c r="AM27" i="1"/>
  <c r="AM28" i="1" s="1"/>
  <c r="BX263" i="1"/>
  <c r="F21" i="1"/>
  <c r="W199" i="1"/>
  <c r="C264" i="1"/>
  <c r="W205" i="1"/>
  <c r="AJ44" i="1"/>
  <c r="T264" i="1"/>
  <c r="BX167" i="1"/>
  <c r="BX196" i="1" s="1"/>
  <c r="AJ194" i="1"/>
  <c r="L205" i="1"/>
  <c r="AL27" i="1"/>
  <c r="AL28" i="1" s="1"/>
  <c r="AM109" i="1"/>
  <c r="AM110" i="1" s="1"/>
  <c r="AM113" i="1" s="1"/>
  <c r="AJ21" i="1"/>
  <c r="AJ27" i="1" s="1"/>
  <c r="AJ28" i="1" s="1"/>
  <c r="BX131" i="1"/>
  <c r="BX103" i="1" s="1"/>
  <c r="BX105" i="1" s="1"/>
  <c r="BJ172" i="1"/>
  <c r="BK220" i="1" s="1"/>
  <c r="AJ172" i="1"/>
  <c r="AK220" i="1" s="1"/>
  <c r="AM139" i="1"/>
  <c r="AL172" i="1"/>
  <c r="AM220" i="1" s="1"/>
  <c r="AL145" i="1"/>
  <c r="AM145" i="1" s="1"/>
  <c r="AM149" i="1" s="1"/>
  <c r="BK160" i="1"/>
  <c r="BJ139" i="1"/>
  <c r="AJ139" i="1"/>
  <c r="AL167" i="1"/>
  <c r="AL196" i="1" s="1"/>
  <c r="AL195" i="1" s="1"/>
  <c r="AJ213" i="1"/>
  <c r="AL131" i="1"/>
  <c r="AL139" i="1"/>
  <c r="AI207" i="1"/>
  <c r="AI209" i="1" s="1"/>
  <c r="AJ145" i="1"/>
  <c r="AK44" i="1" s="1"/>
  <c r="AJ159" i="1"/>
  <c r="AJ191" i="1"/>
  <c r="AK191" i="1" s="1"/>
  <c r="AK139" i="1"/>
  <c r="AJ167" i="1"/>
  <c r="AL159" i="1"/>
  <c r="IG20" i="4"/>
  <c r="BA90" i="1" s="1"/>
  <c r="BA119" i="1" s="1"/>
  <c r="B38" i="1"/>
  <c r="CB105" i="1"/>
  <c r="CB113" i="1"/>
  <c r="CB96" i="1"/>
  <c r="HP20" i="4"/>
  <c r="AJ90" i="1" s="1"/>
  <c r="ID20" i="4"/>
  <c r="AX90" i="1" s="1"/>
  <c r="AX119" i="1" s="1"/>
  <c r="JF19" i="4"/>
  <c r="BZ89" i="1" s="1"/>
  <c r="IF19" i="4"/>
  <c r="AZ89" i="1" s="1"/>
  <c r="AZ118" i="1" s="1"/>
  <c r="IL20" i="4"/>
  <c r="BF90" i="1" s="1"/>
  <c r="BF119" i="1" s="1"/>
  <c r="HR20" i="4"/>
  <c r="AL90" i="1" s="1"/>
  <c r="IX19" i="4"/>
  <c r="BR89" i="1" s="1"/>
  <c r="BR118" i="1" s="1"/>
  <c r="HS19" i="4"/>
  <c r="AM89" i="1" s="1"/>
  <c r="S109" i="1"/>
  <c r="S27" i="1"/>
  <c r="S28" i="1" s="1"/>
  <c r="J27" i="1"/>
  <c r="J28" i="1" s="1"/>
  <c r="J109" i="1"/>
  <c r="L27" i="1"/>
  <c r="L109" i="1"/>
  <c r="M199" i="1"/>
  <c r="M27" i="1"/>
  <c r="M28" i="1" s="1"/>
  <c r="N22" i="1"/>
  <c r="HX19" i="4"/>
  <c r="AR89" i="1" s="1"/>
  <c r="AR118" i="1" s="1"/>
  <c r="JD19" i="4"/>
  <c r="BX89" i="1" s="1"/>
  <c r="II19" i="4"/>
  <c r="BC89" i="1" s="1"/>
  <c r="BC118" i="1" s="1"/>
  <c r="JC20" i="4"/>
  <c r="BW90" i="1" s="1"/>
  <c r="BW119" i="1" s="1"/>
  <c r="IA19" i="4"/>
  <c r="AU89" i="1" s="1"/>
  <c r="AU118" i="1" s="1"/>
  <c r="JC19" i="4"/>
  <c r="BW89" i="1" s="1"/>
  <c r="BW118" i="1" s="1"/>
  <c r="II20" i="4"/>
  <c r="BC90" i="1" s="1"/>
  <c r="BC119" i="1" s="1"/>
  <c r="IC19" i="4"/>
  <c r="AW89" i="1" s="1"/>
  <c r="AW118" i="1" s="1"/>
  <c r="IS20" i="4"/>
  <c r="BM90" i="1" s="1"/>
  <c r="BM119" i="1" s="1"/>
  <c r="E38" i="1"/>
  <c r="IR19" i="4"/>
  <c r="BL89" i="1" s="1"/>
  <c r="IH20" i="4"/>
  <c r="BB90" i="1" s="1"/>
  <c r="BB119" i="1" s="1"/>
  <c r="P199" i="1"/>
  <c r="JG20" i="4"/>
  <c r="CA90" i="1" s="1"/>
  <c r="HQ20" i="4"/>
  <c r="AK90" i="1" s="1"/>
  <c r="HV20" i="4"/>
  <c r="AP90" i="1" s="1"/>
  <c r="AP119" i="1" s="1"/>
  <c r="JH19" i="4"/>
  <c r="CB89" i="1" s="1"/>
  <c r="I27" i="1"/>
  <c r="I109" i="1"/>
  <c r="J22" i="1"/>
  <c r="J199" i="1"/>
  <c r="N109" i="1"/>
  <c r="N27" i="1"/>
  <c r="U22" i="1"/>
  <c r="T199" i="1"/>
  <c r="T27" i="1"/>
  <c r="U199" i="1"/>
  <c r="CA105" i="1"/>
  <c r="IO20" i="4"/>
  <c r="BI90" i="1" s="1"/>
  <c r="BI119" i="1" s="1"/>
  <c r="HY20" i="4"/>
  <c r="AS90" i="1" s="1"/>
  <c r="AS119" i="1" s="1"/>
  <c r="IN19" i="4"/>
  <c r="BH89" i="1" s="1"/>
  <c r="BH118" i="1" s="1"/>
  <c r="JI19" i="4"/>
  <c r="CC89" i="1" s="1"/>
  <c r="O27" i="1"/>
  <c r="O28" i="1" s="1"/>
  <c r="D38" i="1"/>
  <c r="IM20" i="4"/>
  <c r="BG90" i="1" s="1"/>
  <c r="BG119" i="1" s="1"/>
  <c r="T22" i="1"/>
  <c r="T109" i="1"/>
  <c r="JB20" i="4"/>
  <c r="BV90" i="1" s="1"/>
  <c r="BV119" i="1" s="1"/>
  <c r="IV19" i="4"/>
  <c r="BP89" i="1" s="1"/>
  <c r="BP118" i="1" s="1"/>
  <c r="IS19" i="4"/>
  <c r="BM89" i="1" s="1"/>
  <c r="BM118" i="1" s="1"/>
  <c r="O109" i="1"/>
  <c r="O22" i="1"/>
  <c r="IX20" i="4"/>
  <c r="BR90" i="1" s="1"/>
  <c r="BR119" i="1" s="1"/>
  <c r="IC20" i="4"/>
  <c r="AW90" i="1" s="1"/>
  <c r="AW119" i="1" s="1"/>
  <c r="JI20" i="4"/>
  <c r="CC90" i="1" s="1"/>
  <c r="C38" i="1"/>
  <c r="V39" i="1"/>
  <c r="HR19" i="4"/>
  <c r="AL89" i="1" s="1"/>
  <c r="B39" i="1"/>
  <c r="B40" i="1" s="1"/>
  <c r="HP19" i="4"/>
  <c r="AJ89" i="1" s="1"/>
  <c r="IJ20" i="4"/>
  <c r="BD90" i="1" s="1"/>
  <c r="BD119" i="1" s="1"/>
  <c r="R199" i="1"/>
  <c r="JF20" i="4"/>
  <c r="BZ90" i="1" s="1"/>
  <c r="HV19" i="4"/>
  <c r="AP89" i="1" s="1"/>
  <c r="AP118" i="1" s="1"/>
  <c r="CC113" i="1"/>
  <c r="JH20" i="4"/>
  <c r="CB90" i="1" s="1"/>
  <c r="HU20" i="4"/>
  <c r="AO90" i="1" s="1"/>
  <c r="AO119" i="1" s="1"/>
  <c r="JA20" i="4"/>
  <c r="BU90" i="1" s="1"/>
  <c r="BU119" i="1" s="1"/>
  <c r="ID19" i="4"/>
  <c r="AX89" i="1" s="1"/>
  <c r="AX118" i="1" s="1"/>
  <c r="IZ19" i="4"/>
  <c r="BT89" i="1" s="1"/>
  <c r="BT118" i="1" s="1"/>
  <c r="IP20" i="4"/>
  <c r="BJ90" i="1" s="1"/>
  <c r="BJ119" i="1" s="1"/>
  <c r="IE19" i="4"/>
  <c r="AY89" i="1" s="1"/>
  <c r="AY118" i="1" s="1"/>
  <c r="CC105" i="1"/>
  <c r="IG19" i="4"/>
  <c r="BA89" i="1" s="1"/>
  <c r="BA118" i="1" s="1"/>
  <c r="IN20" i="4"/>
  <c r="BH90" i="1" s="1"/>
  <c r="BH119" i="1" s="1"/>
  <c r="IK20" i="4"/>
  <c r="BE90" i="1" s="1"/>
  <c r="BE119" i="1" s="1"/>
  <c r="IP19" i="4"/>
  <c r="BJ89" i="1" s="1"/>
  <c r="BJ118" i="1" s="1"/>
  <c r="IE20" i="4"/>
  <c r="AY90" i="1" s="1"/>
  <c r="AY119" i="1" s="1"/>
  <c r="IY19" i="4"/>
  <c r="BS89" i="1" s="1"/>
  <c r="BS118" i="1" s="1"/>
  <c r="JG19" i="4"/>
  <c r="CA89" i="1" s="1"/>
  <c r="IT20" i="4"/>
  <c r="BN90" i="1" s="1"/>
  <c r="BN119" i="1" s="1"/>
  <c r="IW19" i="4"/>
  <c r="BQ89" i="1" s="1"/>
  <c r="BQ118" i="1" s="1"/>
  <c r="IF20" i="4"/>
  <c r="AZ90" i="1" s="1"/>
  <c r="AZ119" i="1" s="1"/>
  <c r="IU19" i="4"/>
  <c r="BO89" i="1" s="1"/>
  <c r="BO118" i="1" s="1"/>
  <c r="IJ19" i="4"/>
  <c r="BD89" i="1" s="1"/>
  <c r="BD118" i="1" s="1"/>
  <c r="IZ20" i="4"/>
  <c r="BT90" i="1" s="1"/>
  <c r="BT119" i="1" s="1"/>
  <c r="HZ20" i="4"/>
  <c r="AT90" i="1" s="1"/>
  <c r="AT119" i="1" s="1"/>
  <c r="HY19" i="4"/>
  <c r="AS89" i="1" s="1"/>
  <c r="AS118" i="1" s="1"/>
  <c r="IB20" i="4"/>
  <c r="AV90" i="1" s="1"/>
  <c r="AV119" i="1" s="1"/>
  <c r="M22" i="1"/>
  <c r="R27" i="1"/>
  <c r="HW19" i="4"/>
  <c r="AQ89" i="1" s="1"/>
  <c r="AQ118" i="1" s="1"/>
  <c r="HS20" i="4"/>
  <c r="AM90" i="1" s="1"/>
  <c r="JB19" i="4"/>
  <c r="BV89" i="1" s="1"/>
  <c r="BV118" i="1" s="1"/>
  <c r="HW20" i="4"/>
  <c r="AQ90" i="1" s="1"/>
  <c r="AQ119" i="1" s="1"/>
  <c r="I22" i="1"/>
  <c r="HU19" i="4"/>
  <c r="AO89" i="1" s="1"/>
  <c r="AO118" i="1" s="1"/>
  <c r="HQ19" i="4"/>
  <c r="AK89" i="1" s="1"/>
  <c r="JE19" i="4"/>
  <c r="BY89" i="1" s="1"/>
  <c r="F109" i="1"/>
  <c r="F27" i="1"/>
  <c r="F28" i="1" s="1"/>
  <c r="IR20" i="4"/>
  <c r="BL90" i="1" s="1"/>
  <c r="BL107" i="1" s="1"/>
  <c r="S22" i="1"/>
  <c r="S199" i="1"/>
  <c r="M109" i="1"/>
  <c r="N199" i="1"/>
  <c r="IK19" i="4"/>
  <c r="BE89" i="1" s="1"/>
  <c r="BE118" i="1" s="1"/>
  <c r="JD20" i="4"/>
  <c r="BX90" i="1" s="1"/>
  <c r="BX119" i="1" s="1"/>
  <c r="IH19" i="4"/>
  <c r="BB89" i="1" s="1"/>
  <c r="BB118" i="1" s="1"/>
  <c r="IT19" i="4"/>
  <c r="BN89" i="1" s="1"/>
  <c r="BN118" i="1" s="1"/>
  <c r="X29" i="1"/>
  <c r="W28" i="1"/>
  <c r="W39" i="1"/>
  <c r="E199" i="1"/>
  <c r="E109" i="1"/>
  <c r="E22" i="1"/>
  <c r="F199" i="1"/>
  <c r="F22" i="1"/>
  <c r="E27" i="1"/>
  <c r="U28" i="1"/>
  <c r="V29" i="1"/>
  <c r="G109" i="1"/>
  <c r="G27" i="1"/>
  <c r="G199" i="1"/>
  <c r="G22" i="1"/>
  <c r="C27" i="1"/>
  <c r="C199" i="1"/>
  <c r="C22" i="1"/>
  <c r="H199" i="1"/>
  <c r="AL23" i="1"/>
  <c r="AK27" i="1"/>
  <c r="K22" i="1"/>
  <c r="K109" i="1"/>
  <c r="K27" i="1"/>
  <c r="L199" i="1"/>
  <c r="Q199" i="1"/>
  <c r="Q27" i="1"/>
  <c r="Q28" i="1" s="1"/>
  <c r="Q109" i="1"/>
  <c r="Q22" i="1"/>
  <c r="AM23" i="1"/>
  <c r="P109" i="1"/>
  <c r="P27" i="1"/>
  <c r="P22" i="1"/>
  <c r="O199" i="1"/>
  <c r="D199" i="1"/>
  <c r="D22" i="1"/>
  <c r="D27" i="1"/>
  <c r="BY213" i="1"/>
  <c r="L22" i="1"/>
  <c r="AK38" i="1"/>
  <c r="W29" i="1"/>
  <c r="CL214" i="1"/>
  <c r="CL212" i="1" s="1"/>
  <c r="CM43" i="1"/>
  <c r="AB88" i="1"/>
  <c r="CQ88" i="1"/>
  <c r="AC151" i="1"/>
  <c r="CN76" i="1"/>
  <c r="CO74" i="1"/>
  <c r="HY21" i="4" l="1"/>
  <c r="AS88" i="1" s="1"/>
  <c r="IO14" i="4"/>
  <c r="JF21" i="4"/>
  <c r="BZ88" i="1" s="1"/>
  <c r="BZ105" i="1" s="1"/>
  <c r="IL14" i="4"/>
  <c r="AJ131" i="1"/>
  <c r="AM154" i="1"/>
  <c r="HX20" i="4"/>
  <c r="AR90" i="1" s="1"/>
  <c r="AR119" i="1" s="1"/>
  <c r="IU20" i="4"/>
  <c r="BO90" i="1" s="1"/>
  <c r="BO119" i="1" s="1"/>
  <c r="K199" i="1"/>
  <c r="R22" i="1"/>
  <c r="IB19" i="4"/>
  <c r="AV89" i="1" s="1"/>
  <c r="AV118" i="1" s="1"/>
  <c r="BX197" i="1"/>
  <c r="CB200" i="1" s="1"/>
  <c r="BJ191" i="1"/>
  <c r="BK191" i="1" s="1"/>
  <c r="BJ145" i="1"/>
  <c r="BK139" i="1"/>
  <c r="BL260" i="1" s="1"/>
  <c r="BK128" i="1"/>
  <c r="BJ131" i="1"/>
  <c r="BJ167" i="1"/>
  <c r="BJ196" i="1" s="1"/>
  <c r="BJ195" i="1" s="1"/>
  <c r="BK154" i="1"/>
  <c r="BJ159" i="1"/>
  <c r="BX149" i="1"/>
  <c r="BY149" i="1"/>
  <c r="BZ214" i="1" s="1"/>
  <c r="BZ212" i="1" s="1"/>
  <c r="BZ44" i="1"/>
  <c r="AM38" i="1"/>
  <c r="BY103" i="1"/>
  <c r="BZ218" i="1"/>
  <c r="AL213" i="1"/>
  <c r="AK213" i="1"/>
  <c r="BK213" i="1"/>
  <c r="BY44" i="1"/>
  <c r="BZ260" i="1"/>
  <c r="BZ262" i="1" s="1"/>
  <c r="BZ217" i="1"/>
  <c r="BY217" i="1"/>
  <c r="BY260" i="1"/>
  <c r="BY140" i="1"/>
  <c r="AM30" i="1"/>
  <c r="BX179" i="1"/>
  <c r="BY218" i="1"/>
  <c r="AL39" i="1"/>
  <c r="AM39" i="1"/>
  <c r="AJ39" i="1"/>
  <c r="BX106" i="1"/>
  <c r="BX192" i="1"/>
  <c r="BX38" i="1"/>
  <c r="I199" i="1"/>
  <c r="BX195" i="1"/>
  <c r="BX27" i="1"/>
  <c r="CC199" i="1"/>
  <c r="H22" i="1"/>
  <c r="BL217" i="1"/>
  <c r="CB22" i="1"/>
  <c r="BX259" i="1"/>
  <c r="H109" i="1"/>
  <c r="BX140" i="1"/>
  <c r="AM236" i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15" i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AK23" i="1"/>
  <c r="BK260" i="1"/>
  <c r="AJ38" i="1"/>
  <c r="AJ140" i="1"/>
  <c r="BX168" i="1"/>
  <c r="BX176" i="1" s="1"/>
  <c r="AK217" i="1"/>
  <c r="AM260" i="1"/>
  <c r="BK145" i="1"/>
  <c r="BJ149" i="1"/>
  <c r="BJ257" i="1" s="1"/>
  <c r="BJ103" i="1"/>
  <c r="BJ259" i="1"/>
  <c r="AJ217" i="1"/>
  <c r="AJ179" i="1"/>
  <c r="AK48" i="1" s="1"/>
  <c r="AM44" i="1"/>
  <c r="AL149" i="1"/>
  <c r="AL103" i="1"/>
  <c r="AL107" i="1" s="1"/>
  <c r="AL259" i="1"/>
  <c r="AL217" i="1"/>
  <c r="AM217" i="1"/>
  <c r="AJ208" i="1"/>
  <c r="AJ196" i="1"/>
  <c r="AK145" i="1"/>
  <c r="AL179" i="1"/>
  <c r="AJ168" i="1"/>
  <c r="BJ140" i="1"/>
  <c r="BJ179" i="1"/>
  <c r="BJ120" i="1" s="1"/>
  <c r="AJ149" i="1"/>
  <c r="AJ176" i="1" s="1"/>
  <c r="BK217" i="1"/>
  <c r="AL260" i="1"/>
  <c r="AL140" i="1"/>
  <c r="AJ207" i="1"/>
  <c r="AJ193" i="1"/>
  <c r="BJ193" i="1"/>
  <c r="BJ168" i="1"/>
  <c r="AL193" i="1"/>
  <c r="AL168" i="1"/>
  <c r="AL119" i="1"/>
  <c r="AM114" i="1"/>
  <c r="AM118" i="1"/>
  <c r="L28" i="1"/>
  <c r="M29" i="1"/>
  <c r="BZ106" i="1"/>
  <c r="BZ100" i="1"/>
  <c r="BZ118" i="1"/>
  <c r="BZ121" i="1" s="1"/>
  <c r="AM119" i="1"/>
  <c r="AM115" i="1"/>
  <c r="S29" i="1"/>
  <c r="K29" i="1"/>
  <c r="I28" i="1"/>
  <c r="I29" i="1"/>
  <c r="J29" i="1"/>
  <c r="BX257" i="1"/>
  <c r="BX100" i="1"/>
  <c r="BX118" i="1"/>
  <c r="BL118" i="1"/>
  <c r="BL121" i="1" s="1"/>
  <c r="BL106" i="1"/>
  <c r="CA107" i="1"/>
  <c r="CA119" i="1"/>
  <c r="CA115" i="1"/>
  <c r="CB97" i="1"/>
  <c r="CB114" i="1"/>
  <c r="CB106" i="1"/>
  <c r="CB118" i="1"/>
  <c r="CB121" i="1" s="1"/>
  <c r="CB124" i="1" s="1"/>
  <c r="N28" i="1"/>
  <c r="N29" i="1"/>
  <c r="T29" i="1"/>
  <c r="U29" i="1"/>
  <c r="T28" i="1"/>
  <c r="CC106" i="1"/>
  <c r="CC118" i="1"/>
  <c r="CC114" i="1"/>
  <c r="CC97" i="1"/>
  <c r="CF101" i="1" s="1"/>
  <c r="CC107" i="1"/>
  <c r="CC115" i="1"/>
  <c r="CC119" i="1"/>
  <c r="V45" i="1"/>
  <c r="V49" i="1" s="1"/>
  <c r="V123" i="1"/>
  <c r="V243" i="1"/>
  <c r="V244" i="1" s="1"/>
  <c r="AL118" i="1"/>
  <c r="BZ119" i="1"/>
  <c r="BZ122" i="1" s="1"/>
  <c r="BZ107" i="1"/>
  <c r="CB107" i="1"/>
  <c r="CB119" i="1"/>
  <c r="CB122" i="1" s="1"/>
  <c r="CB125" i="1" s="1"/>
  <c r="O29" i="1"/>
  <c r="P29" i="1"/>
  <c r="CC98" i="1"/>
  <c r="V40" i="1"/>
  <c r="B123" i="1"/>
  <c r="BY216" i="1"/>
  <c r="R28" i="1"/>
  <c r="BX107" i="1"/>
  <c r="CB115" i="1"/>
  <c r="BL119" i="1"/>
  <c r="BL122" i="1" s="1"/>
  <c r="CB98" i="1"/>
  <c r="CA114" i="1"/>
  <c r="CA118" i="1"/>
  <c r="CA106" i="1"/>
  <c r="BY118" i="1"/>
  <c r="BY100" i="1"/>
  <c r="AJ40" i="1"/>
  <c r="AJ45" i="1"/>
  <c r="AJ49" i="1" s="1"/>
  <c r="AJ243" i="1"/>
  <c r="AJ244" i="1" s="1"/>
  <c r="D28" i="1"/>
  <c r="D39" i="1"/>
  <c r="E29" i="1"/>
  <c r="BX120" i="1"/>
  <c r="BY48" i="1"/>
  <c r="R29" i="1"/>
  <c r="Q29" i="1"/>
  <c r="P28" i="1"/>
  <c r="C29" i="1"/>
  <c r="C39" i="1"/>
  <c r="D29" i="1"/>
  <c r="C28" i="1"/>
  <c r="AL30" i="1"/>
  <c r="AK39" i="1"/>
  <c r="AK28" i="1"/>
  <c r="AK30" i="1"/>
  <c r="W243" i="1"/>
  <c r="W244" i="1" s="1"/>
  <c r="X41" i="1"/>
  <c r="X261" i="1"/>
  <c r="W45" i="1"/>
  <c r="W49" i="1" s="1"/>
  <c r="W41" i="1"/>
  <c r="W40" i="1"/>
  <c r="W123" i="1"/>
  <c r="W261" i="1"/>
  <c r="K28" i="1"/>
  <c r="L29" i="1"/>
  <c r="G28" i="1"/>
  <c r="H29" i="1"/>
  <c r="G29" i="1"/>
  <c r="E39" i="1"/>
  <c r="E40" i="1" s="1"/>
  <c r="F29" i="1"/>
  <c r="E28" i="1"/>
  <c r="CM205" i="1"/>
  <c r="CM143" i="1"/>
  <c r="CR88" i="1"/>
  <c r="AC213" i="1"/>
  <c r="AB160" i="1"/>
  <c r="AB128" i="1"/>
  <c r="CO76" i="1"/>
  <c r="CP74" i="1"/>
  <c r="CA236" i="1"/>
  <c r="IO19" i="4" l="1"/>
  <c r="BI89" i="1" s="1"/>
  <c r="BI118" i="1" s="1"/>
  <c r="JE15" i="4"/>
  <c r="IL19" i="4"/>
  <c r="BF89" i="1" s="1"/>
  <c r="BF118" i="1" s="1"/>
  <c r="IH16" i="4"/>
  <c r="AM40" i="1"/>
  <c r="BY105" i="1"/>
  <c r="BY106" i="1"/>
  <c r="AL243" i="1"/>
  <c r="AL244" i="1" s="1"/>
  <c r="AM42" i="1"/>
  <c r="AL45" i="1"/>
  <c r="AL49" i="1" s="1"/>
  <c r="AL40" i="1"/>
  <c r="AM243" i="1"/>
  <c r="AM244" i="1" s="1"/>
  <c r="BY214" i="1"/>
  <c r="BY212" i="1" s="1"/>
  <c r="BZ216" i="1"/>
  <c r="BX28" i="1"/>
  <c r="CB29" i="1"/>
  <c r="BY30" i="1"/>
  <c r="BX39" i="1"/>
  <c r="AM45" i="1"/>
  <c r="AM49" i="1" s="1"/>
  <c r="AM261" i="1"/>
  <c r="BX177" i="1"/>
  <c r="AJ177" i="1"/>
  <c r="AJ209" i="1"/>
  <c r="AM262" i="1"/>
  <c r="BL44" i="1"/>
  <c r="BK149" i="1"/>
  <c r="BL214" i="1" s="1"/>
  <c r="BL212" i="1" s="1"/>
  <c r="BJ105" i="1"/>
  <c r="BJ106" i="1"/>
  <c r="BJ107" i="1"/>
  <c r="AL257" i="1"/>
  <c r="AM214" i="1"/>
  <c r="AM212" i="1" s="1"/>
  <c r="BJ122" i="1"/>
  <c r="BJ121" i="1"/>
  <c r="AL176" i="1"/>
  <c r="AL177" i="1" s="1"/>
  <c r="AL120" i="1"/>
  <c r="AL122" i="1" s="1"/>
  <c r="AM48" i="1"/>
  <c r="AL105" i="1"/>
  <c r="AL106" i="1"/>
  <c r="AK149" i="1"/>
  <c r="AL214" i="1" s="1"/>
  <c r="AL212" i="1" s="1"/>
  <c r="AL44" i="1"/>
  <c r="CM149" i="1"/>
  <c r="CM214" i="1" s="1"/>
  <c r="CM212" i="1" s="1"/>
  <c r="CM142" i="1"/>
  <c r="AJ214" i="1"/>
  <c r="AJ212" i="1" s="1"/>
  <c r="BJ197" i="1"/>
  <c r="BJ192" i="1"/>
  <c r="AL192" i="1"/>
  <c r="AL197" i="1"/>
  <c r="CE101" i="1"/>
  <c r="AL261" i="1"/>
  <c r="AL262" i="1" s="1"/>
  <c r="AM237" i="1"/>
  <c r="V52" i="1"/>
  <c r="V51" i="1"/>
  <c r="AJ52" i="1"/>
  <c r="AJ51" i="1"/>
  <c r="BX121" i="1"/>
  <c r="BX122" i="1"/>
  <c r="D40" i="1"/>
  <c r="D45" i="1"/>
  <c r="D49" i="1" s="1"/>
  <c r="D243" i="1"/>
  <c r="D244" i="1" s="1"/>
  <c r="D261" i="1"/>
  <c r="E41" i="1"/>
  <c r="D123" i="1"/>
  <c r="AL52" i="1"/>
  <c r="AL51" i="1"/>
  <c r="W52" i="1"/>
  <c r="W51" i="1"/>
  <c r="C261" i="1"/>
  <c r="C40" i="1"/>
  <c r="D41" i="1"/>
  <c r="C41" i="1"/>
  <c r="AK243" i="1"/>
  <c r="AK244" i="1" s="1"/>
  <c r="AL42" i="1"/>
  <c r="AK40" i="1"/>
  <c r="AK45" i="1"/>
  <c r="AK49" i="1" s="1"/>
  <c r="AM123" i="1"/>
  <c r="AK42" i="1"/>
  <c r="BX40" i="1"/>
  <c r="BX45" i="1"/>
  <c r="CB41" i="1"/>
  <c r="CA123" i="1"/>
  <c r="CN43" i="1"/>
  <c r="CS88" i="1"/>
  <c r="AB174" i="1"/>
  <c r="CP76" i="1"/>
  <c r="CQ74" i="1"/>
  <c r="AC128" i="1"/>
  <c r="AC160" i="1"/>
  <c r="CB236" i="1"/>
  <c r="BQ1" i="1"/>
  <c r="BR1" i="1" s="1"/>
  <c r="BS1" i="1" s="1"/>
  <c r="BT1" i="1" s="1"/>
  <c r="JE20" i="4" l="1"/>
  <c r="BY90" i="1" s="1"/>
  <c r="IY16" i="4"/>
  <c r="IY21" i="4" s="1"/>
  <c r="BS88" i="1" s="1"/>
  <c r="IK9" i="4" s="1"/>
  <c r="IK21" i="4" s="1"/>
  <c r="BE88" i="1" s="1"/>
  <c r="IN9" i="4" s="1"/>
  <c r="HT14" i="4" s="1"/>
  <c r="IH21" i="4"/>
  <c r="BB88" i="1" s="1"/>
  <c r="IT8" i="4"/>
  <c r="HP7" i="4" s="1"/>
  <c r="IY15" i="4" s="1"/>
  <c r="AM52" i="1"/>
  <c r="AM53" i="1" s="1"/>
  <c r="AM256" i="1" s="1"/>
  <c r="BX243" i="1"/>
  <c r="BX244" i="1" s="1"/>
  <c r="BY42" i="1"/>
  <c r="BY261" i="1"/>
  <c r="BY262" i="1" s="1"/>
  <c r="AM51" i="1"/>
  <c r="AK214" i="1"/>
  <c r="AK212" i="1" s="1"/>
  <c r="AL121" i="1"/>
  <c r="V53" i="1"/>
  <c r="V256" i="1" s="1"/>
  <c r="V59" i="1"/>
  <c r="AJ53" i="1"/>
  <c r="AJ59" i="1"/>
  <c r="AJ245" i="1"/>
  <c r="AL245" i="1"/>
  <c r="AM55" i="1"/>
  <c r="AL59" i="1"/>
  <c r="AL53" i="1"/>
  <c r="AL256" i="1" s="1"/>
  <c r="BX49" i="1"/>
  <c r="CA66" i="1"/>
  <c r="AK52" i="1"/>
  <c r="AK51" i="1"/>
  <c r="D52" i="1"/>
  <c r="D51" i="1"/>
  <c r="W59" i="1"/>
  <c r="W63" i="1" s="1"/>
  <c r="W245" i="1"/>
  <c r="W53" i="1"/>
  <c r="W256" i="1" s="1"/>
  <c r="W54" i="1"/>
  <c r="X54" i="1"/>
  <c r="CN143" i="1"/>
  <c r="CT88" i="1"/>
  <c r="AB148" i="1"/>
  <c r="AD160" i="1"/>
  <c r="AE160" i="1"/>
  <c r="AD128" i="1"/>
  <c r="AE128" i="1"/>
  <c r="CQ76" i="1"/>
  <c r="CR74" i="1"/>
  <c r="AC174" i="1"/>
  <c r="BU1" i="1"/>
  <c r="Q38" i="1"/>
  <c r="P38" i="1"/>
  <c r="O38" i="1"/>
  <c r="I38" i="1"/>
  <c r="H38" i="1"/>
  <c r="G38" i="1"/>
  <c r="U38" i="1"/>
  <c r="T38" i="1"/>
  <c r="S38" i="1"/>
  <c r="R38" i="1"/>
  <c r="N38" i="1"/>
  <c r="M38" i="1"/>
  <c r="L38" i="1"/>
  <c r="K38" i="1"/>
  <c r="J38" i="1"/>
  <c r="F38" i="1"/>
  <c r="BY107" i="1" l="1"/>
  <c r="BY119" i="1"/>
  <c r="HT19" i="4"/>
  <c r="AN89" i="1" s="1"/>
  <c r="AN118" i="1" s="1"/>
  <c r="HZ8" i="4"/>
  <c r="HZ14" i="4" s="1"/>
  <c r="HZ19" i="4" s="1"/>
  <c r="AT89" i="1" s="1"/>
  <c r="AT118" i="1" s="1"/>
  <c r="IY20" i="4"/>
  <c r="BS90" i="1" s="1"/>
  <c r="BS119" i="1" s="1"/>
  <c r="JA14" i="4"/>
  <c r="CO43" i="1"/>
  <c r="CN142" i="1"/>
  <c r="AJ204" i="1"/>
  <c r="AJ206" i="1" s="1"/>
  <c r="AJ210" i="1" s="1"/>
  <c r="AJ224" i="1" s="1"/>
  <c r="AJ218" i="1"/>
  <c r="AJ216" i="1" s="1"/>
  <c r="AJ63" i="1"/>
  <c r="AJ77" i="1"/>
  <c r="AK245" i="1"/>
  <c r="AK59" i="1"/>
  <c r="AK130" i="1" s="1"/>
  <c r="AK131" i="1" s="1"/>
  <c r="AK140" i="1" s="1"/>
  <c r="AK53" i="1"/>
  <c r="AK55" i="1"/>
  <c r="AL55" i="1"/>
  <c r="AL204" i="1"/>
  <c r="AL206" i="1" s="1"/>
  <c r="AL77" i="1"/>
  <c r="AL63" i="1"/>
  <c r="D245" i="1"/>
  <c r="D53" i="1"/>
  <c r="D59" i="1"/>
  <c r="BX51" i="1"/>
  <c r="BX52" i="1"/>
  <c r="CN149" i="1"/>
  <c r="CN205" i="1"/>
  <c r="AC88" i="1"/>
  <c r="CU88" i="1"/>
  <c r="AD174" i="1"/>
  <c r="AE174" i="1"/>
  <c r="AD151" i="1"/>
  <c r="CR76" i="1"/>
  <c r="CS74" i="1"/>
  <c r="AC148" i="1"/>
  <c r="BV1" i="1"/>
  <c r="BW1" i="1" s="1"/>
  <c r="BX1" i="1" s="1"/>
  <c r="AM238" i="1"/>
  <c r="AM245" i="1"/>
  <c r="B243" i="1"/>
  <c r="B244" i="1" s="1"/>
  <c r="BL243" i="1"/>
  <c r="BL244" i="1" s="1"/>
  <c r="G39" i="1"/>
  <c r="O39" i="1"/>
  <c r="H39" i="1"/>
  <c r="P39" i="1"/>
  <c r="I39" i="1"/>
  <c r="Q39" i="1"/>
  <c r="J39" i="1"/>
  <c r="R39" i="1"/>
  <c r="K39" i="1"/>
  <c r="S39" i="1"/>
  <c r="L39" i="1"/>
  <c r="T39" i="1"/>
  <c r="M39" i="1"/>
  <c r="U39" i="1"/>
  <c r="F39" i="1"/>
  <c r="F261" i="1" s="1"/>
  <c r="N39" i="1"/>
  <c r="JA19" i="4" l="1"/>
  <c r="BU89" i="1" s="1"/>
  <c r="BU118" i="1" s="1"/>
  <c r="IW15" i="4"/>
  <c r="IW20" i="4" s="1"/>
  <c r="BQ90" i="1" s="1"/>
  <c r="BQ119" i="1" s="1"/>
  <c r="CO205" i="1"/>
  <c r="CO143" i="1"/>
  <c r="CO142" i="1" s="1"/>
  <c r="AJ221" i="1"/>
  <c r="AJ222" i="1" s="1"/>
  <c r="T261" i="1"/>
  <c r="P261" i="1"/>
  <c r="D204" i="1"/>
  <c r="D206" i="1" s="1"/>
  <c r="D63" i="1"/>
  <c r="CB54" i="1"/>
  <c r="BX245" i="1"/>
  <c r="BX53" i="1"/>
  <c r="BX256" i="1" s="1"/>
  <c r="BX59" i="1"/>
  <c r="BY55" i="1"/>
  <c r="AK204" i="1"/>
  <c r="AK206" i="1" s="1"/>
  <c r="AK77" i="1"/>
  <c r="AK63" i="1"/>
  <c r="M261" i="1"/>
  <c r="R261" i="1"/>
  <c r="I261" i="1"/>
  <c r="K261" i="1"/>
  <c r="G261" i="1"/>
  <c r="H261" i="1"/>
  <c r="L261" i="1"/>
  <c r="S261" i="1"/>
  <c r="O261" i="1"/>
  <c r="J261" i="1"/>
  <c r="N261" i="1"/>
  <c r="U261" i="1"/>
  <c r="V261" i="1"/>
  <c r="Q261" i="1"/>
  <c r="R123" i="1"/>
  <c r="S41" i="1"/>
  <c r="T123" i="1"/>
  <c r="U41" i="1"/>
  <c r="U123" i="1"/>
  <c r="V41" i="1"/>
  <c r="P123" i="1"/>
  <c r="Q41" i="1"/>
  <c r="Q123" i="1"/>
  <c r="R41" i="1"/>
  <c r="I123" i="1"/>
  <c r="J41" i="1"/>
  <c r="S123" i="1"/>
  <c r="T41" i="1"/>
  <c r="H123" i="1"/>
  <c r="I41" i="1"/>
  <c r="E123" i="1"/>
  <c r="F41" i="1"/>
  <c r="L123" i="1"/>
  <c r="M41" i="1"/>
  <c r="O123" i="1"/>
  <c r="P41" i="1"/>
  <c r="N123" i="1"/>
  <c r="O41" i="1"/>
  <c r="K123" i="1"/>
  <c r="L41" i="1"/>
  <c r="F123" i="1"/>
  <c r="G41" i="1"/>
  <c r="G123" i="1"/>
  <c r="H41" i="1"/>
  <c r="M123" i="1"/>
  <c r="N41" i="1"/>
  <c r="J123" i="1"/>
  <c r="K41" i="1"/>
  <c r="CN214" i="1"/>
  <c r="CN212" i="1" s="1"/>
  <c r="CV88" i="1"/>
  <c r="AD213" i="1"/>
  <c r="AB153" i="1"/>
  <c r="AE148" i="1"/>
  <c r="AD148" i="1"/>
  <c r="CT74" i="1"/>
  <c r="CS76" i="1"/>
  <c r="C123" i="1"/>
  <c r="BY1" i="1"/>
  <c r="L40" i="1"/>
  <c r="N40" i="1"/>
  <c r="F40" i="1"/>
  <c r="O40" i="1"/>
  <c r="U45" i="1"/>
  <c r="U49" i="1" s="1"/>
  <c r="U40" i="1"/>
  <c r="G40" i="1"/>
  <c r="S40" i="1"/>
  <c r="M40" i="1"/>
  <c r="R40" i="1"/>
  <c r="J40" i="1"/>
  <c r="I40" i="1"/>
  <c r="P40" i="1"/>
  <c r="H40" i="1"/>
  <c r="K40" i="1"/>
  <c r="T40" i="1"/>
  <c r="Q40" i="1"/>
  <c r="T243" i="1"/>
  <c r="T244" i="1" s="1"/>
  <c r="Q243" i="1"/>
  <c r="Q244" i="1" s="1"/>
  <c r="K243" i="1"/>
  <c r="K244" i="1" s="1"/>
  <c r="O243" i="1"/>
  <c r="O244" i="1" s="1"/>
  <c r="U243" i="1"/>
  <c r="U244" i="1" s="1"/>
  <c r="L243" i="1"/>
  <c r="L244" i="1" s="1"/>
  <c r="C243" i="1"/>
  <c r="C244" i="1" s="1"/>
  <c r="I243" i="1"/>
  <c r="I244" i="1" s="1"/>
  <c r="G243" i="1"/>
  <c r="G244" i="1" s="1"/>
  <c r="R243" i="1"/>
  <c r="R244" i="1" s="1"/>
  <c r="P243" i="1"/>
  <c r="P244" i="1" s="1"/>
  <c r="F243" i="1"/>
  <c r="F244" i="1" s="1"/>
  <c r="M243" i="1"/>
  <c r="M244" i="1" s="1"/>
  <c r="N243" i="1"/>
  <c r="N244" i="1" s="1"/>
  <c r="E243" i="1"/>
  <c r="E244" i="1" s="1"/>
  <c r="S243" i="1"/>
  <c r="S244" i="1" s="1"/>
  <c r="J243" i="1"/>
  <c r="J244" i="1" s="1"/>
  <c r="H243" i="1"/>
  <c r="H244" i="1" s="1"/>
  <c r="B45" i="1"/>
  <c r="L45" i="1"/>
  <c r="Q45" i="1"/>
  <c r="T45" i="1"/>
  <c r="N45" i="1"/>
  <c r="S45" i="1"/>
  <c r="F45" i="1"/>
  <c r="K45" i="1"/>
  <c r="H45" i="1"/>
  <c r="I45" i="1"/>
  <c r="P45" i="1"/>
  <c r="C45" i="1"/>
  <c r="O45" i="1"/>
  <c r="R45" i="1"/>
  <c r="M45" i="1"/>
  <c r="G45" i="1"/>
  <c r="E45" i="1"/>
  <c r="J45" i="1"/>
  <c r="CA65" i="1" l="1"/>
  <c r="BX77" i="1"/>
  <c r="CA80" i="1" s="1"/>
  <c r="BX204" i="1"/>
  <c r="BX206" i="1" s="1"/>
  <c r="BX63" i="1"/>
  <c r="AK218" i="1"/>
  <c r="AK216" i="1" s="1"/>
  <c r="AL218" i="1"/>
  <c r="AL216" i="1" s="1"/>
  <c r="BK175" i="1"/>
  <c r="BM175" i="1"/>
  <c r="CO149" i="1"/>
  <c r="CP43" i="1"/>
  <c r="CW88" i="1"/>
  <c r="AE151" i="1"/>
  <c r="AE213" i="1" s="1"/>
  <c r="CT76" i="1"/>
  <c r="CU74" i="1"/>
  <c r="BZ1" i="1"/>
  <c r="U52" i="1"/>
  <c r="V54" i="1" s="1"/>
  <c r="U51" i="1"/>
  <c r="P49" i="1"/>
  <c r="P52" i="1" s="1"/>
  <c r="R49" i="1"/>
  <c r="R52" i="1" s="1"/>
  <c r="E49" i="1"/>
  <c r="S49" i="1"/>
  <c r="S51" i="1" s="1"/>
  <c r="G49" i="1"/>
  <c r="G52" i="1" s="1"/>
  <c r="K49" i="1"/>
  <c r="K52" i="1" s="1"/>
  <c r="B49" i="1"/>
  <c r="O49" i="1"/>
  <c r="O52" i="1" s="1"/>
  <c r="H49" i="1"/>
  <c r="H52" i="1" s="1"/>
  <c r="N49" i="1"/>
  <c r="N52" i="1" s="1"/>
  <c r="L49" i="1"/>
  <c r="L51" i="1" s="1"/>
  <c r="C49" i="1"/>
  <c r="M49" i="1"/>
  <c r="M51" i="1" s="1"/>
  <c r="T49" i="1"/>
  <c r="T52" i="1" s="1"/>
  <c r="F49" i="1"/>
  <c r="F51" i="1" s="1"/>
  <c r="J49" i="1"/>
  <c r="J51" i="1" s="1"/>
  <c r="I49" i="1"/>
  <c r="I51" i="1" s="1"/>
  <c r="Q49" i="1"/>
  <c r="Q52" i="1" s="1"/>
  <c r="V245" i="1"/>
  <c r="R54" i="1" l="1"/>
  <c r="CE81" i="1"/>
  <c r="CA98" i="1"/>
  <c r="CA97" i="1"/>
  <c r="CD101" i="1" s="1"/>
  <c r="BW100" i="1"/>
  <c r="CA96" i="1"/>
  <c r="U54" i="1"/>
  <c r="O54" i="1"/>
  <c r="AB43" i="1"/>
  <c r="B52" i="1"/>
  <c r="B51" i="1"/>
  <c r="C52" i="1"/>
  <c r="C51" i="1"/>
  <c r="E52" i="1"/>
  <c r="E59" i="1" s="1"/>
  <c r="E51" i="1"/>
  <c r="P54" i="1"/>
  <c r="H54" i="1"/>
  <c r="Q54" i="1"/>
  <c r="BJ176" i="1"/>
  <c r="BJ177" i="1" s="1"/>
  <c r="BL176" i="1"/>
  <c r="BL177" i="1" s="1"/>
  <c r="CP205" i="1"/>
  <c r="CP143" i="1"/>
  <c r="CP142" i="1" s="1"/>
  <c r="AB142" i="1" s="1"/>
  <c r="CO214" i="1"/>
  <c r="CO212" i="1" s="1"/>
  <c r="CX88" i="1"/>
  <c r="CV74" i="1"/>
  <c r="CU76" i="1"/>
  <c r="CA1" i="1"/>
  <c r="CB1" i="1" s="1"/>
  <c r="O51" i="1"/>
  <c r="BL245" i="1"/>
  <c r="S52" i="1"/>
  <c r="U53" i="1"/>
  <c r="U256" i="1" s="1"/>
  <c r="P53" i="1"/>
  <c r="P256" i="1" s="1"/>
  <c r="Q59" i="1"/>
  <c r="Q53" i="1"/>
  <c r="Q256" i="1" s="1"/>
  <c r="L52" i="1"/>
  <c r="P51" i="1"/>
  <c r="H53" i="1"/>
  <c r="H256" i="1" s="1"/>
  <c r="G53" i="1"/>
  <c r="G256" i="1" s="1"/>
  <c r="U59" i="1"/>
  <c r="N53" i="1"/>
  <c r="N256" i="1" s="1"/>
  <c r="R53" i="1"/>
  <c r="R256" i="1" s="1"/>
  <c r="K53" i="1"/>
  <c r="K256" i="1" s="1"/>
  <c r="O59" i="1"/>
  <c r="O53" i="1"/>
  <c r="O256" i="1" s="1"/>
  <c r="T59" i="1"/>
  <c r="T53" i="1"/>
  <c r="T256" i="1" s="1"/>
  <c r="R51" i="1"/>
  <c r="K51" i="1"/>
  <c r="N51" i="1"/>
  <c r="G51" i="1"/>
  <c r="H51" i="1"/>
  <c r="J52" i="1"/>
  <c r="K54" i="1" s="1"/>
  <c r="M52" i="1"/>
  <c r="N54" i="1" s="1"/>
  <c r="T51" i="1"/>
  <c r="F52" i="1"/>
  <c r="G54" i="1" s="1"/>
  <c r="I52" i="1"/>
  <c r="I54" i="1" s="1"/>
  <c r="O245" i="1"/>
  <c r="Q51" i="1"/>
  <c r="P245" i="1"/>
  <c r="P59" i="1"/>
  <c r="K245" i="1"/>
  <c r="K59" i="1"/>
  <c r="H245" i="1"/>
  <c r="H59" i="1"/>
  <c r="R59" i="1"/>
  <c r="N59" i="1"/>
  <c r="G59" i="1"/>
  <c r="G245" i="1"/>
  <c r="R245" i="1"/>
  <c r="N245" i="1"/>
  <c r="Q245" i="1"/>
  <c r="U245" i="1"/>
  <c r="T245" i="1"/>
  <c r="V63" i="1"/>
  <c r="V204" i="1"/>
  <c r="V206" i="1" s="1"/>
  <c r="E245" i="1" l="1"/>
  <c r="AB205" i="1"/>
  <c r="E53" i="1"/>
  <c r="E256" i="1" s="1"/>
  <c r="E54" i="1"/>
  <c r="D54" i="1"/>
  <c r="C53" i="1"/>
  <c r="B53" i="1"/>
  <c r="C54" i="1"/>
  <c r="F54" i="1"/>
  <c r="M54" i="1"/>
  <c r="S53" i="1"/>
  <c r="S256" i="1" s="1"/>
  <c r="T54" i="1"/>
  <c r="L54" i="1"/>
  <c r="J54" i="1"/>
  <c r="S54" i="1"/>
  <c r="AB143" i="1"/>
  <c r="AB145" i="1" s="1"/>
  <c r="AB44" i="1" s="1"/>
  <c r="AD88" i="1"/>
  <c r="CY88" i="1"/>
  <c r="CV76" i="1"/>
  <c r="CW74" i="1"/>
  <c r="CC1" i="1"/>
  <c r="K63" i="1"/>
  <c r="G63" i="1"/>
  <c r="E63" i="1"/>
  <c r="S59" i="1"/>
  <c r="S245" i="1"/>
  <c r="L245" i="1"/>
  <c r="L59" i="1"/>
  <c r="O204" i="1"/>
  <c r="O206" i="1" s="1"/>
  <c r="O63" i="1"/>
  <c r="B245" i="1"/>
  <c r="B59" i="1"/>
  <c r="M59" i="1"/>
  <c r="M53" i="1"/>
  <c r="M256" i="1" s="1"/>
  <c r="C245" i="1"/>
  <c r="I59" i="1"/>
  <c r="I53" i="1"/>
  <c r="I256" i="1" s="1"/>
  <c r="J59" i="1"/>
  <c r="J53" i="1"/>
  <c r="J256" i="1" s="1"/>
  <c r="F59" i="1"/>
  <c r="F53" i="1"/>
  <c r="F256" i="1" s="1"/>
  <c r="L53" i="1"/>
  <c r="L256" i="1" s="1"/>
  <c r="J245" i="1"/>
  <c r="E204" i="1"/>
  <c r="E206" i="1" s="1"/>
  <c r="R204" i="1"/>
  <c r="R206" i="1" s="1"/>
  <c r="M245" i="1"/>
  <c r="R63" i="1"/>
  <c r="I245" i="1"/>
  <c r="H63" i="1"/>
  <c r="H204" i="1"/>
  <c r="H206" i="1" s="1"/>
  <c r="F245" i="1"/>
  <c r="C59" i="1"/>
  <c r="N204" i="1"/>
  <c r="N206" i="1" s="1"/>
  <c r="N63" i="1"/>
  <c r="G204" i="1"/>
  <c r="G206" i="1" s="1"/>
  <c r="P63" i="1"/>
  <c r="K204" i="1"/>
  <c r="K206" i="1" s="1"/>
  <c r="P204" i="1"/>
  <c r="P206" i="1" s="1"/>
  <c r="U63" i="1"/>
  <c r="U204" i="1"/>
  <c r="U206" i="1" s="1"/>
  <c r="Q63" i="1"/>
  <c r="Q204" i="1"/>
  <c r="Q206" i="1" s="1"/>
  <c r="T63" i="1"/>
  <c r="T204" i="1"/>
  <c r="T206" i="1" s="1"/>
  <c r="CP149" i="1" l="1"/>
  <c r="CP214" i="1" s="1"/>
  <c r="CP212" i="1" s="1"/>
  <c r="CQ43" i="1"/>
  <c r="CZ88" i="1"/>
  <c r="AC153" i="1"/>
  <c r="CX74" i="1"/>
  <c r="CW76" i="1"/>
  <c r="CD1" i="1"/>
  <c r="CE1" i="1" s="1"/>
  <c r="CF1" i="1" s="1"/>
  <c r="CG1" i="1" s="1"/>
  <c r="CH1" i="1" s="1"/>
  <c r="CI1" i="1" s="1"/>
  <c r="CJ1" i="1" s="1"/>
  <c r="CK1" i="1" s="1"/>
  <c r="L204" i="1"/>
  <c r="L206" i="1" s="1"/>
  <c r="J204" i="1"/>
  <c r="J206" i="1" s="1"/>
  <c r="M204" i="1"/>
  <c r="M206" i="1" s="1"/>
  <c r="B63" i="1"/>
  <c r="F63" i="1"/>
  <c r="I63" i="1"/>
  <c r="C63" i="1"/>
  <c r="L63" i="1"/>
  <c r="S63" i="1"/>
  <c r="J63" i="1"/>
  <c r="S204" i="1"/>
  <c r="S206" i="1" s="1"/>
  <c r="M63" i="1"/>
  <c r="I204" i="1"/>
  <c r="I206" i="1" s="1"/>
  <c r="F204" i="1"/>
  <c r="F206" i="1" s="1"/>
  <c r="C204" i="1"/>
  <c r="C206" i="1" s="1"/>
  <c r="CQ205" i="1" l="1"/>
  <c r="CQ143" i="1"/>
  <c r="CQ142" i="1" s="1"/>
  <c r="DA88" i="1"/>
  <c r="CX76" i="1"/>
  <c r="CY74" i="1"/>
  <c r="AB13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J92" i="2"/>
  <c r="O48" i="2"/>
  <c r="R90" i="2"/>
  <c r="R44" i="2"/>
  <c r="X75" i="2"/>
  <c r="W63" i="2"/>
  <c r="G73" i="2"/>
  <c r="S104" i="2"/>
  <c r="E61" i="2"/>
  <c r="W113" i="2"/>
  <c r="M54" i="2"/>
  <c r="L72" i="2"/>
  <c r="S78" i="2"/>
  <c r="X46" i="2"/>
  <c r="O105" i="2"/>
  <c r="O58" i="2"/>
  <c r="S92" i="2"/>
  <c r="L71" i="2"/>
  <c r="X72" i="2"/>
  <c r="S84" i="2"/>
  <c r="V111" i="2"/>
  <c r="N66" i="2"/>
  <c r="C109" i="2"/>
  <c r="O96" i="2"/>
  <c r="X51" i="2"/>
  <c r="N62" i="2"/>
  <c r="L56" i="2"/>
  <c r="H96" i="2"/>
  <c r="X58" i="2"/>
  <c r="N83" i="2"/>
  <c r="H52" i="2"/>
  <c r="P89" i="2"/>
  <c r="E44" i="2"/>
  <c r="S75" i="2"/>
  <c r="D104" i="2"/>
  <c r="S113" i="2"/>
  <c r="F58" i="2"/>
  <c r="Q111" i="2"/>
  <c r="Q72" i="2"/>
  <c r="C78" i="2"/>
  <c r="I105" i="2"/>
  <c r="X97" i="2"/>
  <c r="D68" i="2"/>
  <c r="K73" i="2"/>
  <c r="D94" i="2"/>
  <c r="N67" i="2"/>
  <c r="N63" i="2"/>
  <c r="U108" i="2"/>
  <c r="S66" i="2"/>
  <c r="E78" i="2"/>
  <c r="M108" i="2"/>
  <c r="O47" i="2"/>
  <c r="L97" i="2"/>
  <c r="C63" i="2"/>
  <c r="AP96" i="3"/>
  <c r="AP97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E90" i="2"/>
  <c r="I95" i="2"/>
  <c r="M85" i="2"/>
  <c r="X65" i="2"/>
  <c r="P64" i="2"/>
  <c r="L93" i="2"/>
  <c r="K52" i="2"/>
  <c r="U75" i="2"/>
  <c r="M76" i="2"/>
  <c r="Q87" i="2"/>
  <c r="G81" i="2"/>
  <c r="J55" i="2"/>
  <c r="F87" i="2"/>
  <c r="G84" i="2"/>
  <c r="T54" i="2"/>
  <c r="E58" i="2"/>
  <c r="E67" i="2"/>
  <c r="X82" i="2"/>
  <c r="D79" i="2"/>
  <c r="V48" i="2"/>
  <c r="X110" i="2"/>
  <c r="W66" i="2"/>
  <c r="W55" i="2"/>
  <c r="S93" i="2"/>
  <c r="M98" i="2"/>
  <c r="D87" i="2"/>
  <c r="K84" i="2"/>
  <c r="E68" i="2"/>
  <c r="Q75" i="2"/>
  <c r="K81" i="2"/>
  <c r="M83" i="2"/>
  <c r="G63" i="2"/>
  <c r="X52" i="2"/>
  <c r="C77" i="2"/>
  <c r="C75" i="2"/>
  <c r="H42" i="2"/>
  <c r="C104" i="2"/>
  <c r="P58" i="2"/>
  <c r="M68" i="2"/>
  <c r="D40" i="2"/>
  <c r="J51" i="2"/>
  <c r="D106" i="2"/>
  <c r="H88" i="2"/>
  <c r="S42" i="2"/>
  <c r="T105" i="2"/>
  <c r="C51" i="2"/>
  <c r="L46" i="2"/>
  <c r="G62" i="2"/>
  <c r="S54" i="2"/>
  <c r="C95" i="2"/>
  <c r="I73" i="2"/>
  <c r="O108" i="2"/>
  <c r="C91" i="2"/>
  <c r="AB65" i="3"/>
  <c r="AP75" i="3"/>
  <c r="AB72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T45" i="2"/>
  <c r="I108" i="2"/>
  <c r="R109" i="2"/>
  <c r="T88" i="2"/>
  <c r="V106" i="2"/>
  <c r="N51" i="2"/>
  <c r="P91" i="2"/>
  <c r="T64" i="2"/>
  <c r="U105" i="2"/>
  <c r="D70" i="2"/>
  <c r="J78" i="2"/>
  <c r="T67" i="2"/>
  <c r="W73" i="2"/>
  <c r="I76" i="2"/>
  <c r="C72" i="2"/>
  <c r="R55" i="2"/>
  <c r="P87" i="2"/>
  <c r="H95" i="2"/>
  <c r="G82" i="2"/>
  <c r="H41" i="2"/>
  <c r="N76" i="2"/>
  <c r="L69" i="2"/>
  <c r="M77" i="2"/>
  <c r="K42" i="2"/>
  <c r="E89" i="2"/>
  <c r="E69" i="2"/>
  <c r="G110" i="2"/>
  <c r="I59" i="2"/>
  <c r="W69" i="2"/>
  <c r="Q79" i="2"/>
  <c r="C82" i="2"/>
  <c r="U61" i="2"/>
  <c r="O44" i="2"/>
  <c r="O53" i="2"/>
  <c r="H62" i="2"/>
  <c r="N99" i="2"/>
  <c r="Q107" i="2"/>
  <c r="K71" i="2"/>
  <c r="R71" i="2"/>
  <c r="M74" i="2"/>
  <c r="R73" i="2"/>
  <c r="I81" i="2"/>
  <c r="M63" i="2"/>
  <c r="S56" i="2"/>
  <c r="T52" i="2"/>
  <c r="X86" i="2"/>
  <c r="H90" i="2"/>
  <c r="T49" i="2"/>
  <c r="D41" i="2"/>
  <c r="G70" i="2"/>
  <c r="I58" i="2"/>
  <c r="H97" i="2"/>
  <c r="P92" i="2"/>
  <c r="N61" i="2"/>
  <c r="O109" i="2"/>
  <c r="U40" i="2"/>
  <c r="E106" i="2"/>
  <c r="G66" i="2"/>
  <c r="O84" i="2"/>
  <c r="F40" i="2"/>
  <c r="E52" i="2"/>
  <c r="K49" i="2"/>
  <c r="F99" i="2"/>
  <c r="V65" i="2"/>
  <c r="P71" i="2"/>
  <c r="S99" i="2"/>
  <c r="K80" i="2"/>
  <c r="H53" i="2"/>
  <c r="W47" i="2"/>
  <c r="G61" i="2"/>
  <c r="W40" i="2"/>
  <c r="O85" i="2"/>
  <c r="W95" i="2"/>
  <c r="X113" i="2"/>
  <c r="L111" i="2"/>
  <c r="T48" i="2"/>
  <c r="E66" i="2"/>
  <c r="C55" i="2"/>
  <c r="U83" i="2"/>
  <c r="D74" i="2"/>
  <c r="R84" i="2"/>
  <c r="Q41" i="2"/>
  <c r="C106" i="2"/>
  <c r="D71" i="2"/>
  <c r="F61" i="2"/>
  <c r="M81" i="2"/>
  <c r="J97" i="2"/>
  <c r="L80" i="2"/>
  <c r="W53" i="2"/>
  <c r="V81" i="2"/>
  <c r="Q42" i="2"/>
  <c r="N49" i="2"/>
  <c r="X87" i="2"/>
  <c r="T96" i="2"/>
  <c r="Q98" i="2"/>
  <c r="C80" i="2"/>
  <c r="O91" i="2"/>
  <c r="S90" i="2"/>
  <c r="I75" i="2"/>
  <c r="E112" i="2"/>
  <c r="C66" i="2"/>
  <c r="R99" i="2"/>
  <c r="O66" i="2"/>
  <c r="V45" i="2"/>
  <c r="X54" i="2"/>
  <c r="U65" i="2"/>
  <c r="N92" i="2"/>
  <c r="D42" i="2"/>
  <c r="X45" i="2"/>
  <c r="AB61" i="3"/>
  <c r="C48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S69" i="2"/>
  <c r="L84" i="2"/>
  <c r="E84" i="2"/>
  <c r="X73" i="2"/>
  <c r="F105" i="2"/>
  <c r="K76" i="2"/>
  <c r="X50" i="2"/>
  <c r="G96" i="2"/>
  <c r="R106" i="2"/>
  <c r="R79" i="2"/>
  <c r="R110" i="2"/>
  <c r="X90" i="2"/>
  <c r="G48" i="2"/>
  <c r="W62" i="2"/>
  <c r="I107" i="2"/>
  <c r="K60" i="2"/>
  <c r="L44" i="2"/>
  <c r="P80" i="2"/>
  <c r="U47" i="2"/>
  <c r="L62" i="2"/>
  <c r="K70" i="2"/>
  <c r="X69" i="2"/>
  <c r="K110" i="2"/>
  <c r="S107" i="2"/>
  <c r="J89" i="2"/>
  <c r="D46" i="2"/>
  <c r="L60" i="2"/>
  <c r="U77" i="2"/>
  <c r="F43" i="2"/>
  <c r="L96" i="2"/>
  <c r="O65" i="2"/>
  <c r="X107" i="2"/>
  <c r="E56" i="2"/>
  <c r="U59" i="2"/>
  <c r="I55" i="2"/>
  <c r="H67" i="2"/>
  <c r="O97" i="2"/>
  <c r="J49" i="2"/>
  <c r="D67" i="2"/>
  <c r="J96" i="2"/>
  <c r="E97" i="2"/>
  <c r="G67" i="2"/>
  <c r="X80" i="2"/>
  <c r="G86" i="2"/>
  <c r="T57" i="2"/>
  <c r="T70" i="2"/>
  <c r="P77" i="2"/>
  <c r="W52" i="2"/>
  <c r="K64" i="2"/>
  <c r="P45" i="2"/>
  <c r="H107" i="2"/>
  <c r="R67" i="2"/>
  <c r="J109" i="2"/>
  <c r="S44" i="2"/>
  <c r="T77" i="2"/>
  <c r="G107" i="2"/>
  <c r="R78" i="2"/>
  <c r="U82" i="2"/>
  <c r="M105" i="2"/>
  <c r="F41" i="2"/>
  <c r="X108" i="2"/>
  <c r="T90" i="2"/>
  <c r="R81" i="2"/>
  <c r="E104" i="2"/>
  <c r="M86" i="2"/>
  <c r="P75" i="2"/>
  <c r="R91" i="2"/>
  <c r="F109" i="2"/>
  <c r="R77" i="2"/>
  <c r="P99" i="2"/>
  <c r="Q92" i="2"/>
  <c r="V89" i="2"/>
  <c r="K67" i="2"/>
  <c r="H72" i="2"/>
  <c r="W89" i="2"/>
  <c r="S50" i="2"/>
  <c r="S71" i="2"/>
  <c r="U90" i="2"/>
  <c r="I46" i="2"/>
  <c r="H92" i="2"/>
  <c r="J64" i="2"/>
  <c r="M107" i="2"/>
  <c r="D77" i="2"/>
  <c r="T60" i="2"/>
  <c r="J86" i="2"/>
  <c r="G56" i="2"/>
  <c r="P93" i="2"/>
  <c r="X91" i="2"/>
  <c r="X53" i="2"/>
  <c r="Q60" i="2"/>
  <c r="T109" i="2"/>
  <c r="E73" i="2"/>
  <c r="V97" i="2"/>
  <c r="F66" i="2"/>
  <c r="X78" i="2"/>
  <c r="E87" i="2"/>
  <c r="W79" i="2"/>
  <c r="I40" i="2"/>
  <c r="N55" i="2"/>
  <c r="G51" i="2"/>
  <c r="E77" i="2"/>
  <c r="U64" i="2"/>
  <c r="X84" i="2"/>
  <c r="V79" i="2"/>
  <c r="AB68" i="3"/>
  <c r="AB78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Q62" i="2"/>
  <c r="D99" i="2"/>
  <c r="O95" i="2"/>
  <c r="M62" i="2"/>
  <c r="L81" i="2"/>
  <c r="O68" i="2"/>
  <c r="D85" i="2"/>
  <c r="G47" i="2"/>
  <c r="M82" i="2"/>
  <c r="S86" i="2"/>
  <c r="J80" i="2"/>
  <c r="C71" i="2"/>
  <c r="J47" i="2"/>
  <c r="H70" i="2"/>
  <c r="M99" i="2"/>
  <c r="N104" i="2"/>
  <c r="W48" i="2"/>
  <c r="P88" i="2"/>
  <c r="E46" i="2"/>
  <c r="U74" i="2"/>
  <c r="N88" i="2"/>
  <c r="M110" i="2"/>
  <c r="J50" i="2"/>
  <c r="O54" i="2"/>
  <c r="J65" i="2"/>
  <c r="N107" i="2"/>
  <c r="W71" i="2"/>
  <c r="E70" i="2"/>
  <c r="L113" i="2"/>
  <c r="C98" i="2"/>
  <c r="P106" i="2"/>
  <c r="X79" i="2"/>
  <c r="F72" i="2"/>
  <c r="D52" i="2"/>
  <c r="T75" i="2"/>
  <c r="H94" i="2"/>
  <c r="V105" i="2"/>
  <c r="I47" i="2"/>
  <c r="F48" i="2"/>
  <c r="R89" i="2"/>
  <c r="N73" i="2"/>
  <c r="P108" i="2"/>
  <c r="W67" i="2"/>
  <c r="N53" i="2"/>
  <c r="D112" i="2"/>
  <c r="T83" i="2"/>
  <c r="R76" i="2"/>
  <c r="E91" i="2"/>
  <c r="N69" i="2"/>
  <c r="N113" i="2"/>
  <c r="X48" i="2"/>
  <c r="Q80" i="2"/>
  <c r="O79" i="2"/>
  <c r="K112" i="2"/>
  <c r="G80" i="2"/>
  <c r="E113" i="2"/>
  <c r="R45" i="2"/>
  <c r="S65" i="2"/>
  <c r="F45" i="2"/>
  <c r="R104" i="2"/>
  <c r="T62" i="2"/>
  <c r="Q44" i="2"/>
  <c r="E48" i="2"/>
  <c r="R40" i="2"/>
  <c r="H93" i="2"/>
  <c r="X81" i="2"/>
  <c r="O61" i="2"/>
  <c r="L105" i="2"/>
  <c r="M59" i="2"/>
  <c r="U113" i="2"/>
  <c r="AB88" i="3"/>
  <c r="AP86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E109" i="2"/>
  <c r="H104" i="2"/>
  <c r="L85" i="2"/>
  <c r="E110" i="2"/>
  <c r="H64" i="2"/>
  <c r="J56" i="2"/>
  <c r="S77" i="2"/>
  <c r="W57" i="2"/>
  <c r="V40" i="2"/>
  <c r="O81" i="2"/>
  <c r="T99" i="2"/>
  <c r="K45" i="2"/>
  <c r="J75" i="2"/>
  <c r="O83" i="2"/>
  <c r="R58" i="2"/>
  <c r="W59" i="2"/>
  <c r="I90" i="2"/>
  <c r="P98" i="2"/>
  <c r="D76" i="2"/>
  <c r="T107" i="2"/>
  <c r="T68" i="2"/>
  <c r="P40" i="2"/>
  <c r="S49" i="2"/>
  <c r="V94" i="2"/>
  <c r="I99" i="2"/>
  <c r="U109" i="2"/>
  <c r="V84" i="2"/>
  <c r="E98" i="2"/>
  <c r="G50" i="2"/>
  <c r="E107" i="2"/>
  <c r="J58" i="2"/>
  <c r="K40" i="2"/>
  <c r="V93" i="2"/>
  <c r="K89" i="2"/>
  <c r="U106" i="2"/>
  <c r="P86" i="2"/>
  <c r="S83" i="2"/>
  <c r="S59" i="2"/>
  <c r="K78" i="2"/>
  <c r="K85" i="2"/>
  <c r="V68" i="2"/>
  <c r="F77" i="2"/>
  <c r="J88" i="2"/>
  <c r="T74" i="2"/>
  <c r="P48" i="2"/>
  <c r="G78" i="2"/>
  <c r="G55" i="2"/>
  <c r="N70" i="2"/>
  <c r="N98" i="2"/>
  <c r="K63" i="2"/>
  <c r="J81" i="2"/>
  <c r="X85" i="2"/>
  <c r="G83" i="2"/>
  <c r="N47" i="2"/>
  <c r="AP56" i="3"/>
  <c r="AB55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E95" i="2"/>
  <c r="D109" i="2"/>
  <c r="I49" i="2"/>
  <c r="F70" i="2"/>
  <c r="U84" i="2"/>
  <c r="F113" i="2"/>
  <c r="M53" i="2"/>
  <c r="D108" i="2"/>
  <c r="T42" i="2"/>
  <c r="O98" i="2"/>
  <c r="H84" i="2"/>
  <c r="R62" i="2"/>
  <c r="Q74" i="2"/>
  <c r="D72" i="2"/>
  <c r="P111" i="2"/>
  <c r="S108" i="2"/>
  <c r="V113" i="2"/>
  <c r="O87" i="2"/>
  <c r="N89" i="2"/>
  <c r="E92" i="2"/>
  <c r="F68" i="2"/>
  <c r="K98" i="2"/>
  <c r="K72" i="2"/>
  <c r="N94" i="2"/>
  <c r="J76" i="2"/>
  <c r="X89" i="2"/>
  <c r="M112" i="2"/>
  <c r="N43" i="2"/>
  <c r="F112" i="2"/>
  <c r="J87" i="2"/>
  <c r="V47" i="2"/>
  <c r="I42" i="2"/>
  <c r="E88" i="2"/>
  <c r="C93" i="2"/>
  <c r="N91" i="2"/>
  <c r="U57" i="2"/>
  <c r="M48" i="2"/>
  <c r="M93" i="2"/>
  <c r="L95" i="2"/>
  <c r="T84" i="2"/>
  <c r="N84" i="2"/>
  <c r="V74" i="2"/>
  <c r="D50" i="2"/>
  <c r="I83" i="2"/>
  <c r="Q66" i="2"/>
  <c r="F71" i="2"/>
  <c r="K82" i="2"/>
  <c r="J57" i="2"/>
  <c r="Q68" i="2"/>
  <c r="W83" i="2"/>
  <c r="N41" i="2"/>
  <c r="E41" i="2"/>
  <c r="U78" i="2"/>
  <c r="Q106" i="2"/>
  <c r="I56" i="2"/>
  <c r="J106" i="2"/>
  <c r="U67" i="2"/>
  <c r="M94" i="2"/>
  <c r="V76" i="2"/>
  <c r="N52" i="2"/>
  <c r="H98" i="2"/>
  <c r="V99" i="2"/>
  <c r="T41" i="2"/>
  <c r="J70" i="2"/>
  <c r="I43" i="2"/>
  <c r="G105" i="2"/>
  <c r="X56" i="2"/>
  <c r="J69" i="2"/>
  <c r="Q61" i="2"/>
  <c r="M109" i="2"/>
  <c r="J48" i="2"/>
  <c r="C83" i="2"/>
  <c r="X111" i="2"/>
  <c r="H106" i="2"/>
  <c r="V77" i="2"/>
  <c r="G85" i="2"/>
  <c r="M56" i="2"/>
  <c r="K41" i="2"/>
  <c r="I88" i="2"/>
  <c r="U70" i="2"/>
  <c r="G64" i="2"/>
  <c r="U85" i="2"/>
  <c r="F62" i="2"/>
  <c r="L67" i="2"/>
  <c r="Q47" i="2"/>
  <c r="D107" i="2"/>
  <c r="K111" i="2"/>
  <c r="M47" i="2"/>
  <c r="F88" i="2"/>
  <c r="AB73" i="3"/>
  <c r="AB7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V107" i="2"/>
  <c r="K95" i="2"/>
  <c r="M52" i="2"/>
  <c r="V63" i="2"/>
  <c r="M75" i="2"/>
  <c r="W45" i="2"/>
  <c r="N54" i="2"/>
  <c r="J95" i="2"/>
  <c r="C108" i="2"/>
  <c r="N77" i="2"/>
  <c r="AB47" i="3"/>
  <c r="AP92" i="3"/>
  <c r="AP67" i="3"/>
  <c r="H17" i="3"/>
  <c r="N26" i="3"/>
  <c r="O29" i="3"/>
  <c r="P10" i="3"/>
  <c r="AE24" i="3"/>
  <c r="AB41" i="3"/>
  <c r="AI11" i="3"/>
  <c r="N39" i="3"/>
  <c r="K36" i="3"/>
  <c r="W19" i="3"/>
  <c r="U41" i="3"/>
  <c r="AB22" i="3"/>
  <c r="AA36" i="3"/>
  <c r="C22" i="3"/>
  <c r="M22" i="3"/>
  <c r="AI10" i="3"/>
  <c r="V33" i="3"/>
  <c r="AP26" i="3"/>
  <c r="AM13" i="3"/>
  <c r="W6" i="3"/>
  <c r="C34" i="3"/>
  <c r="Q5" i="3"/>
  <c r="C27" i="3"/>
  <c r="V38" i="3"/>
  <c r="H25" i="3"/>
  <c r="AQ21" i="3"/>
  <c r="I40" i="3"/>
  <c r="AQ14" i="3"/>
  <c r="T11" i="3"/>
  <c r="AE6" i="3"/>
  <c r="N30" i="3"/>
  <c r="Z26" i="3"/>
  <c r="X22" i="3"/>
  <c r="AH32" i="3"/>
  <c r="Q41" i="3"/>
  <c r="AO16" i="3"/>
  <c r="Y33" i="3"/>
  <c r="AQ24" i="3"/>
  <c r="J13" i="3"/>
  <c r="S26" i="3"/>
  <c r="U14" i="3"/>
  <c r="Q14" i="3"/>
  <c r="P31" i="3"/>
  <c r="AB7" i="3"/>
  <c r="C14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B8" i="3"/>
  <c r="AG29" i="3"/>
  <c r="AG11" i="3"/>
  <c r="O41" i="2"/>
  <c r="F76" i="2"/>
  <c r="H111" i="2"/>
  <c r="J105" i="2"/>
  <c r="D59" i="2"/>
  <c r="T61" i="2"/>
  <c r="J90" i="2"/>
  <c r="J98" i="2"/>
  <c r="S64" i="2"/>
  <c r="E42" i="2"/>
  <c r="AP88" i="3"/>
  <c r="AP62" i="3"/>
  <c r="AP64" i="3"/>
  <c r="T8" i="3"/>
  <c r="AJ31" i="3"/>
  <c r="S16" i="3"/>
  <c r="AH33" i="3"/>
  <c r="AE32" i="3"/>
  <c r="X7" i="3"/>
  <c r="AN9" i="3"/>
  <c r="AG17" i="3"/>
  <c r="AD20" i="3"/>
  <c r="W29" i="3"/>
  <c r="AB38" i="3"/>
  <c r="AJ16" i="3"/>
  <c r="AB37" i="3"/>
  <c r="AM12" i="3"/>
  <c r="L31" i="3"/>
  <c r="AI5" i="3"/>
  <c r="C17" i="3"/>
  <c r="W7" i="3"/>
  <c r="Q19" i="3"/>
  <c r="AA21" i="3"/>
  <c r="M31" i="3"/>
  <c r="R26" i="3"/>
  <c r="AE8" i="3"/>
  <c r="AP11" i="3"/>
  <c r="AG30" i="3"/>
  <c r="AJ34" i="3"/>
  <c r="X25" i="3"/>
  <c r="AB13" i="3"/>
  <c r="L36" i="3"/>
  <c r="M30" i="3"/>
  <c r="AK20" i="3"/>
  <c r="AJ32" i="3"/>
  <c r="AQ40" i="3"/>
  <c r="L27" i="3"/>
  <c r="AD21" i="3"/>
  <c r="AA33" i="3"/>
  <c r="H15" i="3"/>
  <c r="AM37" i="3"/>
  <c r="AL13" i="3"/>
  <c r="U9" i="3"/>
  <c r="R21" i="3"/>
  <c r="Z38" i="3"/>
  <c r="U35" i="3"/>
  <c r="AM17" i="3"/>
  <c r="AI25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Q34" i="3"/>
  <c r="M7" i="3"/>
  <c r="AG8" i="3"/>
  <c r="T14" i="3"/>
  <c r="P24" i="3"/>
  <c r="I10" i="3"/>
  <c r="S39" i="3"/>
  <c r="AL29" i="3"/>
  <c r="Y8" i="3"/>
  <c r="AQ26" i="3"/>
  <c r="H26" i="3"/>
  <c r="Y42" i="3"/>
  <c r="AJ42" i="3"/>
  <c r="D48" i="3"/>
  <c r="N17" i="3"/>
  <c r="L34" i="3"/>
  <c r="AI17" i="3"/>
  <c r="AE40" i="3"/>
  <c r="J26" i="3"/>
  <c r="N22" i="3"/>
  <c r="X6" i="3"/>
  <c r="AQ10" i="3"/>
  <c r="T36" i="3"/>
  <c r="G76" i="2"/>
  <c r="R18" i="3"/>
  <c r="R25" i="3"/>
  <c r="AB19" i="3"/>
  <c r="AP37" i="3"/>
  <c r="O42" i="3"/>
  <c r="AE20" i="3"/>
  <c r="P15" i="3"/>
  <c r="Z5" i="3"/>
  <c r="AN39" i="3"/>
  <c r="X11" i="3"/>
  <c r="J35" i="3"/>
  <c r="AA39" i="3"/>
  <c r="Z33" i="3"/>
  <c r="R95" i="2"/>
  <c r="L47" i="2"/>
  <c r="U94" i="2"/>
  <c r="O99" i="2"/>
  <c r="C90" i="2"/>
  <c r="T86" i="2"/>
  <c r="R68" i="2"/>
  <c r="H77" i="2"/>
  <c r="T110" i="2"/>
  <c r="AB83" i="3"/>
  <c r="AP83" i="3"/>
  <c r="AP87" i="3"/>
  <c r="AB76" i="3"/>
  <c r="AL33" i="3"/>
  <c r="O23" i="3"/>
  <c r="AE10" i="3"/>
  <c r="AO15" i="3"/>
  <c r="O28" i="3"/>
  <c r="O37" i="3"/>
  <c r="L11" i="3"/>
  <c r="W18" i="3"/>
  <c r="AE14" i="3"/>
  <c r="AL37" i="3"/>
  <c r="AE39" i="3"/>
  <c r="AM14" i="3"/>
  <c r="AC42" i="3"/>
  <c r="Z28" i="3"/>
  <c r="AA42" i="3"/>
  <c r="AC13" i="3"/>
  <c r="N20" i="3"/>
  <c r="AJ14" i="3"/>
  <c r="AN6" i="3"/>
  <c r="AK9" i="3"/>
  <c r="C15" i="3"/>
  <c r="O6" i="3"/>
  <c r="K19" i="3"/>
  <c r="Y30" i="3"/>
  <c r="AH10" i="3"/>
  <c r="K15" i="3"/>
  <c r="Z37" i="3"/>
  <c r="V7" i="3"/>
  <c r="AE5" i="3"/>
  <c r="K24" i="3"/>
  <c r="T12" i="3"/>
  <c r="V11" i="3"/>
  <c r="Z29" i="3"/>
  <c r="P40" i="3"/>
  <c r="AE30" i="3"/>
  <c r="U26" i="3"/>
  <c r="J32" i="3"/>
  <c r="Z40" i="3"/>
  <c r="U25" i="3"/>
  <c r="R23" i="3"/>
  <c r="AQ15" i="3"/>
  <c r="I33" i="3"/>
  <c r="AI22" i="3"/>
  <c r="Z22" i="3"/>
  <c r="AL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E17" i="3"/>
  <c r="AC28" i="3"/>
  <c r="J5" i="3"/>
  <c r="AH26" i="3"/>
  <c r="AP42" i="3"/>
  <c r="AO34" i="3"/>
  <c r="R9" i="3"/>
  <c r="AJ28" i="3"/>
  <c r="AA7" i="3"/>
  <c r="S29" i="3"/>
  <c r="W20" i="3"/>
  <c r="AG14" i="3"/>
  <c r="K32" i="3"/>
  <c r="X19" i="3"/>
  <c r="S13" i="3"/>
  <c r="H112" i="2"/>
  <c r="H46" i="2"/>
  <c r="H79" i="2"/>
  <c r="E50" i="2"/>
  <c r="F56" i="2"/>
  <c r="T112" i="2"/>
  <c r="S111" i="2"/>
  <c r="C79" i="2"/>
  <c r="X68" i="2"/>
  <c r="AP68" i="3"/>
  <c r="AB90" i="3"/>
  <c r="AB82" i="3"/>
  <c r="AP69" i="3"/>
  <c r="L19" i="3"/>
  <c r="AO33" i="3"/>
  <c r="R24" i="3"/>
  <c r="P5" i="3"/>
  <c r="W33" i="3"/>
  <c r="U15" i="3"/>
  <c r="U19" i="3"/>
  <c r="X24" i="3"/>
  <c r="AJ41" i="3"/>
  <c r="AE34" i="3"/>
  <c r="AM21" i="3"/>
  <c r="U31" i="3"/>
  <c r="AC36" i="3"/>
  <c r="AN37" i="3"/>
  <c r="M13" i="3"/>
  <c r="O16" i="3"/>
  <c r="Y19" i="3"/>
  <c r="AK22" i="3"/>
  <c r="R17" i="3"/>
  <c r="J17" i="3"/>
  <c r="M33" i="3"/>
  <c r="Y31" i="3"/>
  <c r="G50" i="3"/>
  <c r="X5" i="3"/>
  <c r="AB42" i="3"/>
  <c r="AK36" i="3"/>
  <c r="H18" i="3"/>
  <c r="AG18" i="3"/>
  <c r="AM30" i="3"/>
  <c r="G39" i="3"/>
  <c r="AI42" i="3"/>
  <c r="AE38" i="3"/>
  <c r="N42" i="3"/>
  <c r="V13" i="3"/>
  <c r="I6" i="3"/>
  <c r="AB27" i="3"/>
  <c r="AO17" i="3"/>
  <c r="M8" i="3"/>
  <c r="AH25" i="3"/>
  <c r="U39" i="3"/>
  <c r="X40" i="3"/>
  <c r="Z32" i="3"/>
  <c r="J40" i="3"/>
  <c r="Y14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E96" i="2"/>
  <c r="AB58" i="3"/>
  <c r="AP80" i="3"/>
  <c r="H34" i="3"/>
  <c r="L32" i="3"/>
  <c r="I23" i="3"/>
  <c r="K38" i="3"/>
  <c r="S35" i="3"/>
  <c r="N5" i="3"/>
  <c r="Z12" i="3"/>
  <c r="C32" i="3"/>
  <c r="AN27" i="3"/>
  <c r="Q29" i="3"/>
  <c r="R20" i="3"/>
  <c r="AN42" i="3"/>
  <c r="W25" i="3"/>
  <c r="U32" i="3"/>
  <c r="T40" i="3"/>
  <c r="AA15" i="3"/>
  <c r="G34" i="3"/>
  <c r="R7" i="3"/>
  <c r="H39" i="3"/>
  <c r="Q39" i="3"/>
  <c r="AH6" i="3"/>
  <c r="AC35" i="3"/>
  <c r="AH30" i="3"/>
  <c r="AA38" i="3"/>
  <c r="AE12" i="3"/>
  <c r="K26" i="3"/>
  <c r="AP21" i="3"/>
  <c r="C89" i="2"/>
  <c r="F93" i="2"/>
  <c r="AP89" i="3"/>
  <c r="S12" i="3"/>
  <c r="G37" i="3"/>
  <c r="AP36" i="3"/>
  <c r="C12" i="3"/>
  <c r="AG21" i="3"/>
  <c r="E48" i="3"/>
  <c r="R10" i="3"/>
  <c r="G49" i="3"/>
  <c r="AE23" i="3"/>
  <c r="Q15" i="3"/>
  <c r="AJ26" i="3"/>
  <c r="W17" i="3"/>
  <c r="K17" i="3"/>
  <c r="AL5" i="3"/>
  <c r="Q8" i="3"/>
  <c r="L24" i="3"/>
  <c r="AO37" i="3"/>
  <c r="D45" i="2"/>
  <c r="E81" i="2"/>
  <c r="Q94" i="2"/>
  <c r="F107" i="2"/>
  <c r="N79" i="2"/>
  <c r="I51" i="2"/>
  <c r="P74" i="2"/>
  <c r="X112" i="2"/>
  <c r="T63" i="2"/>
  <c r="AB81" i="3"/>
  <c r="AP59" i="3"/>
  <c r="AP95" i="3"/>
  <c r="AB85" i="3"/>
  <c r="AI12" i="3"/>
  <c r="AL20" i="3"/>
  <c r="Z6" i="3"/>
  <c r="AE31" i="3"/>
  <c r="W37" i="3"/>
  <c r="AA9" i="3"/>
  <c r="Y6" i="3"/>
  <c r="X34" i="3"/>
  <c r="O5" i="3"/>
  <c r="AI15" i="3"/>
  <c r="W15" i="3"/>
  <c r="Z35" i="3"/>
  <c r="AG27" i="3"/>
  <c r="H19" i="3"/>
  <c r="Q26" i="3"/>
  <c r="K23" i="3"/>
  <c r="AN23" i="3"/>
  <c r="H9" i="3"/>
  <c r="T22" i="3"/>
  <c r="AO32" i="3"/>
  <c r="K42" i="3"/>
  <c r="Y16" i="3"/>
  <c r="AH40" i="3"/>
  <c r="L22" i="3"/>
  <c r="I7" i="3"/>
  <c r="AO10" i="3"/>
  <c r="H37" i="3"/>
  <c r="AQ22" i="3"/>
  <c r="AB33" i="3"/>
  <c r="I18" i="3"/>
  <c r="N8" i="3"/>
  <c r="K6" i="3"/>
  <c r="X21" i="3"/>
  <c r="AG34" i="3"/>
  <c r="AC31" i="3"/>
  <c r="M37" i="3"/>
  <c r="AL12" i="3"/>
  <c r="Y20" i="3"/>
  <c r="AH28" i="3"/>
  <c r="G38" i="3"/>
  <c r="T19" i="3"/>
  <c r="P42" i="3"/>
  <c r="AD36" i="3"/>
  <c r="AM7" i="3"/>
  <c r="AM34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O50" i="2"/>
  <c r="AP61" i="3"/>
  <c r="AG42" i="3"/>
  <c r="H14" i="3"/>
  <c r="X28" i="3"/>
  <c r="Y39" i="3"/>
  <c r="V9" i="3"/>
  <c r="AO24" i="3"/>
  <c r="AP14" i="3"/>
  <c r="U28" i="3"/>
  <c r="V27" i="3"/>
  <c r="C9" i="3"/>
  <c r="G48" i="3"/>
  <c r="AQ41" i="3"/>
  <c r="AO23" i="3"/>
  <c r="L39" i="3"/>
  <c r="AJ13" i="3"/>
  <c r="AL38" i="3"/>
  <c r="R33" i="3"/>
  <c r="P37" i="3"/>
  <c r="AG20" i="3"/>
  <c r="Z18" i="3"/>
  <c r="X37" i="3"/>
  <c r="AL32" i="3"/>
  <c r="AG13" i="3"/>
  <c r="T6" i="3"/>
  <c r="Y27" i="3"/>
  <c r="U8" i="3"/>
  <c r="AI14" i="3"/>
  <c r="U16" i="3"/>
  <c r="I50" i="2"/>
  <c r="C56" i="2"/>
  <c r="AB48" i="3"/>
  <c r="S11" i="3"/>
  <c r="AG32" i="3"/>
  <c r="Y24" i="3"/>
  <c r="K18" i="3"/>
  <c r="AP20" i="3"/>
  <c r="Y26" i="3"/>
  <c r="T29" i="3"/>
  <c r="R11" i="3"/>
  <c r="AB9" i="3"/>
  <c r="F95" i="2"/>
  <c r="U55" i="2"/>
  <c r="M41" i="2"/>
  <c r="J44" i="2"/>
  <c r="S47" i="2"/>
  <c r="H63" i="2"/>
  <c r="K83" i="2"/>
  <c r="K106" i="2"/>
  <c r="F97" i="2"/>
  <c r="AB89" i="3"/>
  <c r="AB79" i="3"/>
  <c r="AP54" i="3"/>
  <c r="AB74" i="3"/>
  <c r="Z19" i="3"/>
  <c r="J16" i="3"/>
  <c r="AL27" i="3"/>
  <c r="AC39" i="3"/>
  <c r="H28" i="3"/>
  <c r="J12" i="3"/>
  <c r="Z25" i="3"/>
  <c r="T33" i="3"/>
  <c r="X14" i="3"/>
  <c r="W34" i="3"/>
  <c r="R15" i="3"/>
  <c r="Y25" i="3"/>
  <c r="M32" i="3"/>
  <c r="P22" i="3"/>
  <c r="AQ36" i="3"/>
  <c r="T30" i="3"/>
  <c r="Y28" i="3"/>
  <c r="J27" i="3"/>
  <c r="AE42" i="3"/>
  <c r="X38" i="3"/>
  <c r="C30" i="3"/>
  <c r="U37" i="3"/>
  <c r="P21" i="3"/>
  <c r="AB24" i="3"/>
  <c r="AC9" i="3"/>
  <c r="I21" i="3"/>
  <c r="AN24" i="3"/>
  <c r="L38" i="3"/>
  <c r="AP22" i="3"/>
  <c r="S24" i="3"/>
  <c r="Z36" i="3"/>
  <c r="AL21" i="3"/>
  <c r="R37" i="3"/>
  <c r="Y32" i="3"/>
  <c r="AA13" i="3"/>
  <c r="I30" i="3"/>
  <c r="AO9" i="3"/>
  <c r="N9" i="3"/>
  <c r="AN40" i="3"/>
  <c r="AL36" i="3"/>
  <c r="O25" i="3"/>
  <c r="L42" i="3"/>
  <c r="W42" i="3"/>
  <c r="AG31" i="3"/>
  <c r="AK33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W60" i="2"/>
  <c r="E99" i="2"/>
  <c r="G68" i="2"/>
  <c r="M58" i="2"/>
  <c r="O111" i="2"/>
  <c r="R107" i="2"/>
  <c r="X74" i="2"/>
  <c r="AA12" i="3"/>
  <c r="I25" i="3"/>
  <c r="R38" i="3"/>
  <c r="Z23" i="3"/>
  <c r="O10" i="3"/>
  <c r="AD47" i="3"/>
  <c r="AK35" i="3"/>
  <c r="AK14" i="3"/>
  <c r="AA16" i="3"/>
  <c r="AI37" i="3"/>
  <c r="AK40" i="3"/>
  <c r="M42" i="3"/>
  <c r="N31" i="3"/>
  <c r="P12" i="3"/>
  <c r="P36" i="3"/>
  <c r="Y21" i="3"/>
  <c r="AK28" i="3"/>
  <c r="AD41" i="3"/>
  <c r="N12" i="3"/>
  <c r="C26" i="3"/>
  <c r="I45" i="2"/>
  <c r="AN20" i="3"/>
  <c r="AG10" i="3"/>
  <c r="H32" i="3"/>
  <c r="Y37" i="3"/>
  <c r="J23" i="3"/>
  <c r="U5" i="3"/>
  <c r="K34" i="3"/>
  <c r="R16" i="3"/>
  <c r="AQ20" i="3"/>
  <c r="C11" i="3"/>
  <c r="C49" i="2"/>
  <c r="W109" i="2"/>
  <c r="O63" i="2"/>
  <c r="N106" i="2"/>
  <c r="R43" i="2"/>
  <c r="U43" i="2"/>
  <c r="T58" i="2"/>
  <c r="X109" i="2"/>
  <c r="L40" i="2"/>
  <c r="AB57" i="3"/>
  <c r="AB50" i="3"/>
  <c r="AB49" i="3"/>
  <c r="AM33" i="3"/>
  <c r="O39" i="3"/>
  <c r="W28" i="3"/>
  <c r="Y17" i="3"/>
  <c r="X12" i="3"/>
  <c r="AI16" i="3"/>
  <c r="I9" i="3"/>
  <c r="AE21" i="3"/>
  <c r="H13" i="3"/>
  <c r="AI21" i="3"/>
  <c r="AN12" i="3"/>
  <c r="AG28" i="3"/>
  <c r="AG15" i="3"/>
  <c r="P8" i="3"/>
  <c r="O41" i="3"/>
  <c r="I13" i="3"/>
  <c r="AM5" i="3"/>
  <c r="AL22" i="3"/>
  <c r="AK11" i="3"/>
  <c r="M26" i="3"/>
  <c r="AC7" i="3"/>
  <c r="AC25" i="3"/>
  <c r="W16" i="3"/>
  <c r="O11" i="3"/>
  <c r="I29" i="3"/>
  <c r="T10" i="3"/>
  <c r="AB26" i="3"/>
  <c r="Q22" i="3"/>
  <c r="AQ37" i="3"/>
  <c r="I34" i="3"/>
  <c r="H7" i="3"/>
  <c r="O27" i="3"/>
  <c r="AE41" i="3"/>
  <c r="AE29" i="3"/>
  <c r="P23" i="3"/>
  <c r="T21" i="3"/>
  <c r="K10" i="3"/>
  <c r="Z7" i="3"/>
  <c r="M27" i="3"/>
  <c r="I24" i="3"/>
  <c r="AN38" i="3"/>
  <c r="AJ18" i="3"/>
  <c r="AE36" i="3"/>
  <c r="AL6" i="3"/>
  <c r="AI35" i="3"/>
  <c r="Z21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O14" i="3"/>
  <c r="AQ16" i="3"/>
  <c r="M21" i="3"/>
  <c r="AJ7" i="3"/>
  <c r="D75" i="2"/>
  <c r="AP19" i="3"/>
  <c r="H27" i="3"/>
  <c r="I15" i="3"/>
  <c r="AE33" i="3"/>
  <c r="AQ30" i="3"/>
  <c r="C31" i="3"/>
  <c r="C16" i="3"/>
  <c r="C35" i="3"/>
  <c r="W75" i="2"/>
  <c r="K109" i="2"/>
  <c r="R80" i="2"/>
  <c r="K92" i="2"/>
  <c r="H68" i="2"/>
  <c r="U110" i="2"/>
  <c r="L61" i="2"/>
  <c r="J67" i="2"/>
  <c r="F69" i="2"/>
  <c r="AB59" i="3"/>
  <c r="AP57" i="3"/>
  <c r="AP50" i="3"/>
  <c r="R29" i="3"/>
  <c r="H41" i="3"/>
  <c r="I38" i="3"/>
  <c r="O21" i="3"/>
  <c r="Z8" i="3"/>
  <c r="AI41" i="3"/>
  <c r="P41" i="3"/>
  <c r="S32" i="3"/>
  <c r="AP13" i="3"/>
  <c r="I8" i="3"/>
  <c r="AM8" i="3"/>
  <c r="R32" i="3"/>
  <c r="K35" i="3"/>
  <c r="AM39" i="3"/>
  <c r="N10" i="3"/>
  <c r="AB18" i="3"/>
  <c r="G32" i="3"/>
  <c r="AI38" i="3"/>
  <c r="L30" i="3"/>
  <c r="Z9" i="3"/>
  <c r="J38" i="3"/>
  <c r="C42" i="3"/>
  <c r="AQ19" i="3"/>
  <c r="R14" i="3"/>
  <c r="S38" i="3"/>
  <c r="AP31" i="3"/>
  <c r="AI32" i="3"/>
  <c r="AN19" i="3"/>
  <c r="I42" i="3"/>
  <c r="AP17" i="3"/>
  <c r="AO41" i="3"/>
  <c r="AN29" i="3"/>
  <c r="S21" i="3"/>
  <c r="AL7" i="3"/>
  <c r="AM29" i="3"/>
  <c r="Y23" i="3"/>
  <c r="AA11" i="3"/>
  <c r="AD33" i="3"/>
  <c r="AI18" i="3"/>
  <c r="H23" i="3"/>
  <c r="AO28" i="3"/>
  <c r="Z20" i="3"/>
  <c r="AD26" i="3"/>
  <c r="AO18" i="3"/>
  <c r="L17" i="3"/>
  <c r="AQ27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M89" i="2"/>
  <c r="AB80" i="3"/>
  <c r="AB75" i="3"/>
  <c r="AB70" i="3"/>
  <c r="I22" i="3"/>
  <c r="P39" i="3"/>
  <c r="T25" i="3"/>
  <c r="Q36" i="3"/>
  <c r="I37" i="3"/>
  <c r="L37" i="3"/>
  <c r="M11" i="3"/>
  <c r="P25" i="3"/>
  <c r="AG7" i="3"/>
  <c r="H40" i="3"/>
  <c r="R30" i="3"/>
  <c r="V34" i="3"/>
  <c r="S17" i="3"/>
  <c r="AB30" i="3"/>
  <c r="AP28" i="3"/>
  <c r="AC6" i="3"/>
  <c r="O24" i="3"/>
  <c r="AG23" i="3"/>
  <c r="AK34" i="3"/>
  <c r="X13" i="3"/>
  <c r="W35" i="3"/>
  <c r="X29" i="3"/>
  <c r="AC5" i="3"/>
  <c r="H10" i="3"/>
  <c r="AD40" i="3"/>
  <c r="AI20" i="3"/>
  <c r="AD30" i="3"/>
  <c r="AM23" i="3"/>
  <c r="X32" i="3"/>
  <c r="AL40" i="3"/>
  <c r="AL25" i="3"/>
  <c r="AN10" i="3"/>
  <c r="AK42" i="3"/>
  <c r="C29" i="3"/>
  <c r="Q13" i="3"/>
  <c r="K31" i="3"/>
  <c r="AD42" i="3"/>
  <c r="AD22" i="3"/>
  <c r="K33" i="3"/>
  <c r="AN13" i="3"/>
  <c r="I5" i="3"/>
  <c r="AA35" i="3"/>
  <c r="W76" i="2"/>
  <c r="AB63" i="3"/>
  <c r="U12" i="3"/>
  <c r="T40" i="2"/>
  <c r="G53" i="2"/>
  <c r="I112" i="2"/>
  <c r="M79" i="2"/>
  <c r="G49" i="2"/>
  <c r="N110" i="2"/>
  <c r="M67" i="2"/>
  <c r="G60" i="2"/>
  <c r="R60" i="2"/>
  <c r="AP66" i="3"/>
  <c r="AB96" i="3"/>
  <c r="AB67" i="3"/>
  <c r="Z30" i="3"/>
  <c r="U21" i="3"/>
  <c r="T24" i="3"/>
  <c r="AJ22" i="3"/>
  <c r="V24" i="3"/>
  <c r="AA25" i="3"/>
  <c r="N19" i="3"/>
  <c r="AA8" i="3"/>
  <c r="W40" i="3"/>
  <c r="X35" i="3"/>
  <c r="V41" i="3"/>
  <c r="Y11" i="3"/>
  <c r="AC27" i="3"/>
  <c r="J42" i="3"/>
  <c r="AD32" i="3"/>
  <c r="AN25" i="3"/>
  <c r="H36" i="3"/>
  <c r="AN7" i="3"/>
  <c r="AN34" i="3"/>
  <c r="O20" i="3"/>
  <c r="V25" i="3"/>
  <c r="S27" i="3"/>
  <c r="R28" i="3"/>
  <c r="AG38" i="3"/>
  <c r="AI28" i="3"/>
  <c r="O19" i="3"/>
  <c r="AB29" i="3"/>
  <c r="E50" i="3"/>
  <c r="AC16" i="3"/>
  <c r="X26" i="3"/>
  <c r="AD48" i="3"/>
  <c r="Q40" i="3"/>
  <c r="Y36" i="3"/>
  <c r="W13" i="3"/>
  <c r="O26" i="3"/>
  <c r="AO30" i="3"/>
  <c r="M12" i="3"/>
  <c r="AB25" i="3"/>
  <c r="J20" i="3"/>
  <c r="L9" i="3"/>
  <c r="AD25" i="3"/>
  <c r="AL17" i="3"/>
  <c r="AN28" i="3"/>
  <c r="Q30" i="3"/>
  <c r="R41" i="3"/>
  <c r="R13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W99" i="2"/>
  <c r="M73" i="2"/>
  <c r="U69" i="2"/>
  <c r="M51" i="2"/>
  <c r="P52" i="2"/>
  <c r="K77" i="2"/>
  <c r="H59" i="2"/>
  <c r="L78" i="2"/>
  <c r="S36" i="3"/>
  <c r="M15" i="3"/>
  <c r="I39" i="3"/>
  <c r="AB23" i="3"/>
  <c r="AN35" i="3"/>
  <c r="AN17" i="3"/>
  <c r="C40" i="3"/>
  <c r="AL15" i="3"/>
  <c r="AC23" i="3"/>
  <c r="AQ42" i="3"/>
  <c r="P17" i="3"/>
  <c r="H16" i="3"/>
  <c r="AO12" i="3"/>
  <c r="L15" i="3"/>
  <c r="T7" i="3"/>
  <c r="N6" i="3"/>
  <c r="U18" i="3"/>
  <c r="AD27" i="3"/>
  <c r="AQ25" i="3"/>
  <c r="U7" i="3"/>
  <c r="P26" i="3"/>
  <c r="M19" i="3"/>
  <c r="AE13" i="3"/>
  <c r="AA27" i="3"/>
  <c r="T82" i="2"/>
  <c r="AN8" i="3"/>
  <c r="AA34" i="3"/>
  <c r="S42" i="3"/>
  <c r="AJ23" i="3"/>
  <c r="AL39" i="3"/>
  <c r="Q9" i="3"/>
  <c r="AK10" i="3"/>
  <c r="V30" i="3"/>
  <c r="I20" i="3"/>
  <c r="AA20" i="3"/>
  <c r="Y5" i="3"/>
  <c r="AC40" i="3"/>
  <c r="AQ17" i="3"/>
  <c r="L61" i="3"/>
  <c r="L70" i="3"/>
  <c r="AO66" i="3"/>
  <c r="M67" i="3"/>
  <c r="AO48" i="3"/>
  <c r="AH83" i="3"/>
  <c r="Y62" i="3"/>
  <c r="S81" i="3"/>
  <c r="AJ83" i="3"/>
  <c r="I50" i="3"/>
  <c r="AI65" i="3"/>
  <c r="H64" i="3"/>
  <c r="L77" i="3"/>
  <c r="Q96" i="3"/>
  <c r="AO54" i="3"/>
  <c r="I79" i="3"/>
  <c r="AJ96" i="3"/>
  <c r="AO96" i="3"/>
  <c r="Z84" i="3"/>
  <c r="M80" i="3"/>
  <c r="AO77" i="3"/>
  <c r="AI85" i="3"/>
  <c r="L72" i="3"/>
  <c r="Q70" i="3"/>
  <c r="AO59" i="3"/>
  <c r="W77" i="3"/>
  <c r="S88" i="3"/>
  <c r="AK83" i="3"/>
  <c r="Q56" i="3"/>
  <c r="M97" i="3"/>
  <c r="M87" i="3"/>
  <c r="S72" i="3"/>
  <c r="AC84" i="3"/>
  <c r="W87" i="3"/>
  <c r="S97" i="3"/>
  <c r="Y86" i="3"/>
  <c r="H68" i="3"/>
  <c r="L68" i="3"/>
  <c r="Q82" i="3"/>
  <c r="W55" i="3"/>
  <c r="AO86" i="3"/>
  <c r="S66" i="3"/>
  <c r="I76" i="3"/>
  <c r="AK77" i="3"/>
  <c r="M96" i="3"/>
  <c r="H97" i="3"/>
  <c r="O50" i="3"/>
  <c r="AO97" i="3"/>
  <c r="W86" i="3"/>
  <c r="W78" i="3"/>
  <c r="R93" i="3"/>
  <c r="R80" i="3"/>
  <c r="Q72" i="3"/>
  <c r="AO69" i="3"/>
  <c r="L96" i="3"/>
  <c r="H92" i="3"/>
  <c r="AE85" i="3"/>
  <c r="Q75" i="3"/>
  <c r="W56" i="3"/>
  <c r="AA87" i="3"/>
  <c r="Z76" i="3"/>
  <c r="AO49" i="3"/>
  <c r="Q74" i="3"/>
  <c r="AQ58" i="3"/>
  <c r="Q71" i="3"/>
  <c r="X80" i="3"/>
  <c r="AI69" i="3"/>
  <c r="M60" i="3"/>
  <c r="O83" i="3"/>
  <c r="H96" i="3"/>
  <c r="AI88" i="3"/>
  <c r="AO58" i="3"/>
  <c r="Z48" i="3"/>
  <c r="M94" i="3"/>
  <c r="AE67" i="3"/>
  <c r="AJ95" i="3"/>
  <c r="AA59" i="3"/>
  <c r="AK85" i="3"/>
  <c r="AH71" i="3"/>
  <c r="T58" i="3"/>
  <c r="AH77" i="3"/>
  <c r="AJ65" i="3"/>
  <c r="AJ54" i="3"/>
  <c r="AJ74" i="3"/>
  <c r="Y63" i="3"/>
  <c r="AK56" i="3"/>
  <c r="AI58" i="3"/>
  <c r="H81" i="3"/>
  <c r="M61" i="3"/>
  <c r="M91" i="3"/>
  <c r="Z49" i="3"/>
  <c r="W48" i="3"/>
  <c r="AK48" i="3"/>
  <c r="U60" i="3"/>
  <c r="N71" i="3"/>
  <c r="AO71" i="3"/>
  <c r="AK49" i="3"/>
  <c r="AI92" i="3"/>
  <c r="AE81" i="3"/>
  <c r="M65" i="3"/>
  <c r="S95" i="3"/>
  <c r="W67" i="3"/>
  <c r="N82" i="3"/>
  <c r="M49" i="3"/>
  <c r="V60" i="3"/>
  <c r="AG64" i="3"/>
  <c r="X55" i="3"/>
  <c r="AL73" i="3"/>
  <c r="U87" i="3"/>
  <c r="W70" i="3"/>
  <c r="Z61" i="3"/>
  <c r="T70" i="3"/>
  <c r="Q78" i="3"/>
  <c r="AO47" i="3"/>
  <c r="N72" i="3"/>
  <c r="AG97" i="3"/>
  <c r="AL59" i="3"/>
  <c r="Z83" i="3"/>
  <c r="M85" i="3"/>
  <c r="L81" i="3"/>
  <c r="AK72" i="3"/>
  <c r="AJ80" i="3"/>
  <c r="L91" i="3"/>
  <c r="J93" i="3"/>
  <c r="AQ83" i="3"/>
  <c r="W49" i="3"/>
  <c r="AG69" i="3"/>
  <c r="J58" i="3"/>
  <c r="AK63" i="3"/>
  <c r="AA73" i="3"/>
  <c r="W88" i="3"/>
  <c r="AG77" i="3"/>
  <c r="AQ63" i="3"/>
  <c r="O80" i="3"/>
  <c r="T72" i="3"/>
  <c r="W73" i="3"/>
  <c r="AO94" i="3"/>
  <c r="AE63" i="3"/>
  <c r="AK76" i="3"/>
  <c r="Q77" i="3"/>
  <c r="Y71" i="3"/>
  <c r="M79" i="3"/>
  <c r="AO91" i="3"/>
  <c r="R77" i="3"/>
  <c r="U67" i="3"/>
  <c r="Q61" i="3"/>
  <c r="W47" i="3"/>
  <c r="AL47" i="3"/>
  <c r="Q55" i="3"/>
  <c r="Z58" i="3"/>
  <c r="AC81" i="3"/>
  <c r="M54" i="3"/>
  <c r="Z85" i="3"/>
  <c r="Z73" i="3"/>
  <c r="Z47" i="3"/>
  <c r="Q81" i="3"/>
  <c r="Y80" i="3"/>
  <c r="V96" i="3"/>
  <c r="T79" i="3"/>
  <c r="H71" i="3"/>
  <c r="AK81" i="3"/>
  <c r="AA83" i="3"/>
  <c r="P96" i="3"/>
  <c r="AJ87" i="3"/>
  <c r="Q59" i="3"/>
  <c r="M62" i="3"/>
  <c r="Q67" i="3"/>
  <c r="Y47" i="3"/>
  <c r="AE69" i="3"/>
  <c r="U85" i="3"/>
  <c r="W69" i="3"/>
  <c r="N88" i="3"/>
  <c r="AA54" i="3"/>
  <c r="Z78" i="3"/>
  <c r="AQ76" i="3"/>
  <c r="N65" i="3"/>
  <c r="I88" i="3"/>
  <c r="K50" i="3"/>
  <c r="R58" i="3"/>
  <c r="M58" i="3"/>
  <c r="AK66" i="3"/>
  <c r="AG63" i="3"/>
  <c r="R92" i="3"/>
  <c r="R73" i="3"/>
  <c r="O65" i="3"/>
  <c r="Q91" i="3"/>
  <c r="AK55" i="3"/>
  <c r="AI72" i="3"/>
  <c r="P90" i="3"/>
  <c r="M68" i="3"/>
  <c r="M89" i="3"/>
  <c r="N81" i="3"/>
  <c r="AG48" i="3"/>
  <c r="AL81" i="3"/>
  <c r="Y55" i="3"/>
  <c r="AK90" i="3"/>
  <c r="AJ77" i="3"/>
  <c r="M55" i="3"/>
  <c r="W90" i="3"/>
  <c r="AQ49" i="3"/>
  <c r="U59" i="3"/>
  <c r="W91" i="3"/>
  <c r="Z66" i="3"/>
  <c r="AO56" i="3"/>
  <c r="Q92" i="3"/>
  <c r="AL88" i="3"/>
  <c r="AJ71" i="3"/>
  <c r="Y66" i="3"/>
  <c r="AJ49" i="3"/>
  <c r="AL75" i="3"/>
  <c r="Q65" i="3"/>
  <c r="AH92" i="3"/>
  <c r="V59" i="3"/>
  <c r="S64" i="3"/>
  <c r="Z91" i="3"/>
  <c r="I83" i="3"/>
  <c r="R97" i="3"/>
  <c r="I78" i="3"/>
  <c r="P79" i="3"/>
  <c r="V66" i="3"/>
  <c r="U84" i="3"/>
  <c r="I87" i="3"/>
  <c r="J70" i="3"/>
  <c r="L84" i="3"/>
  <c r="AJ82" i="3"/>
  <c r="V69" i="3"/>
  <c r="W94" i="3"/>
  <c r="Z63" i="3"/>
  <c r="H58" i="3"/>
  <c r="AG58" i="3"/>
  <c r="Y88" i="3"/>
  <c r="AL50" i="3"/>
  <c r="AQ81" i="3"/>
  <c r="W80" i="3"/>
  <c r="AK59" i="3"/>
  <c r="AM62" i="3"/>
  <c r="H74" i="3"/>
  <c r="AA56" i="3"/>
  <c r="W62" i="3"/>
  <c r="U83" i="3"/>
  <c r="J77" i="3"/>
  <c r="AO95" i="3"/>
  <c r="AL69" i="3"/>
  <c r="AQ48" i="3"/>
  <c r="X61" i="3"/>
  <c r="N96" i="3"/>
  <c r="U91" i="3"/>
  <c r="P54" i="3"/>
  <c r="AL57" i="3"/>
  <c r="V77" i="3"/>
  <c r="AJ64" i="3"/>
  <c r="K47" i="3"/>
  <c r="AQ85" i="3"/>
  <c r="T76" i="3"/>
  <c r="AQ75" i="3"/>
  <c r="AH60" i="3"/>
  <c r="Q80" i="3"/>
  <c r="H49" i="3"/>
  <c r="J86" i="3"/>
  <c r="AC97" i="3"/>
  <c r="AC56" i="3"/>
  <c r="AM76" i="3"/>
  <c r="AE70" i="3"/>
  <c r="Y56" i="3"/>
  <c r="AE65" i="3"/>
  <c r="AQ57" i="3"/>
  <c r="Q48" i="3"/>
  <c r="AA88" i="3"/>
  <c r="S47" i="3"/>
  <c r="AL91" i="3"/>
  <c r="H78" i="3"/>
  <c r="R74" i="3"/>
  <c r="AK61" i="3"/>
  <c r="AM87" i="3"/>
  <c r="AJ70" i="3"/>
  <c r="O59" i="3"/>
  <c r="AO64" i="3"/>
  <c r="AE89" i="3"/>
  <c r="H84" i="3"/>
  <c r="O62" i="3"/>
  <c r="AE49" i="3"/>
  <c r="AA72" i="3"/>
  <c r="AO72" i="3"/>
  <c r="W68" i="3"/>
  <c r="AK71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X48" i="3"/>
  <c r="N60" i="3"/>
  <c r="W54" i="3"/>
  <c r="U72" i="3"/>
  <c r="I91" i="3"/>
  <c r="AJ78" i="3"/>
  <c r="J67" i="3"/>
  <c r="X87" i="3"/>
  <c r="W72" i="3"/>
  <c r="AE77" i="3"/>
  <c r="AA68" i="3"/>
  <c r="AM70" i="3"/>
  <c r="X74" i="3"/>
  <c r="AQ50" i="3"/>
  <c r="AG89" i="3"/>
  <c r="AL80" i="3"/>
  <c r="AO87" i="3"/>
  <c r="S62" i="3"/>
  <c r="AK88" i="3"/>
  <c r="M81" i="3"/>
  <c r="AO85" i="3"/>
  <c r="K65" i="3"/>
  <c r="AG82" i="3"/>
  <c r="N86" i="3"/>
  <c r="J89" i="3"/>
  <c r="Y59" i="3"/>
  <c r="AJ76" i="3"/>
  <c r="AQ92" i="3"/>
  <c r="W76" i="3"/>
  <c r="T47" i="3"/>
  <c r="AI96" i="3"/>
  <c r="P47" i="3"/>
  <c r="AO76" i="3"/>
  <c r="R79" i="3"/>
  <c r="O92" i="3"/>
  <c r="S84" i="3"/>
  <c r="L59" i="3"/>
  <c r="N79" i="3"/>
  <c r="O57" i="3"/>
  <c r="T64" i="3"/>
  <c r="AQ94" i="3"/>
  <c r="AG47" i="3"/>
  <c r="S59" i="3"/>
  <c r="Z89" i="3"/>
  <c r="Y79" i="3"/>
  <c r="AA74" i="3"/>
  <c r="H65" i="3"/>
  <c r="H50" i="3"/>
  <c r="X50" i="3"/>
  <c r="W82" i="3"/>
  <c r="AK93" i="3"/>
  <c r="J47" i="3"/>
  <c r="V78" i="3"/>
  <c r="T69" i="3"/>
  <c r="AL86" i="3"/>
  <c r="AC63" i="3"/>
  <c r="AK69" i="3"/>
  <c r="O66" i="3"/>
  <c r="M59" i="3"/>
  <c r="M48" i="3"/>
  <c r="Z70" i="3"/>
  <c r="Y70" i="3"/>
  <c r="AE92" i="3"/>
  <c r="AQ80" i="3"/>
  <c r="N50" i="3"/>
  <c r="AO81" i="3"/>
  <c r="AH48" i="3"/>
  <c r="S69" i="3"/>
  <c r="AK57" i="3"/>
  <c r="L94" i="3"/>
  <c r="L73" i="3"/>
  <c r="AI66" i="3"/>
  <c r="H87" i="3"/>
  <c r="M76" i="3"/>
  <c r="AJ60" i="3"/>
  <c r="Z60" i="3"/>
  <c r="AO74" i="3"/>
  <c r="W66" i="3"/>
  <c r="AK82" i="3"/>
  <c r="Q50" i="3"/>
  <c r="AH85" i="3"/>
  <c r="Q84" i="3"/>
  <c r="AC47" i="3"/>
  <c r="K87" i="3"/>
  <c r="AH91" i="3"/>
  <c r="Y65" i="3"/>
  <c r="M63" i="3"/>
  <c r="AH65" i="3"/>
  <c r="AO55" i="3"/>
  <c r="I90" i="3"/>
  <c r="S74" i="3"/>
  <c r="I63" i="3"/>
  <c r="L74" i="3"/>
  <c r="L85" i="3"/>
  <c r="AA77" i="3"/>
  <c r="AI62" i="3"/>
  <c r="AK84" i="3"/>
  <c r="H59" i="3"/>
  <c r="H83" i="3"/>
  <c r="L87" i="3"/>
  <c r="L71" i="3"/>
  <c r="AA62" i="3"/>
  <c r="AK47" i="3"/>
  <c r="AH75" i="3"/>
  <c r="I61" i="3"/>
  <c r="H57" i="3"/>
  <c r="Q83" i="3"/>
  <c r="AH47" i="3"/>
  <c r="AJ68" i="3"/>
  <c r="AJ62" i="3"/>
  <c r="AJ90" i="3"/>
  <c r="Z71" i="3"/>
  <c r="H56" i="3"/>
  <c r="AA67" i="3"/>
  <c r="AC62" i="3"/>
  <c r="AQ68" i="3"/>
  <c r="AJ92" i="3"/>
  <c r="AH93" i="3"/>
  <c r="Q95" i="3"/>
  <c r="AA81" i="3"/>
  <c r="S87" i="3"/>
  <c r="AK95" i="3"/>
  <c r="AA58" i="3"/>
  <c r="AA55" i="3"/>
  <c r="AJ57" i="3"/>
  <c r="AC73" i="3"/>
  <c r="AK62" i="3"/>
  <c r="L50" i="3"/>
  <c r="AA91" i="3"/>
  <c r="Q60" i="3"/>
  <c r="M93" i="3"/>
  <c r="M83" i="3"/>
  <c r="W60" i="3"/>
  <c r="AK87" i="3"/>
  <c r="Q79" i="3"/>
  <c r="AC54" i="3"/>
  <c r="AH82" i="3"/>
  <c r="Y81" i="3"/>
  <c r="I67" i="3"/>
  <c r="AH54" i="3"/>
  <c r="W83" i="3"/>
  <c r="L55" i="3"/>
  <c r="AJ73" i="3"/>
  <c r="AK92" i="3"/>
  <c r="AA78" i="3"/>
  <c r="AH78" i="3"/>
  <c r="S50" i="3"/>
  <c r="Y50" i="3"/>
  <c r="AK73" i="3"/>
  <c r="AC89" i="3"/>
  <c r="AA84" i="3"/>
  <c r="W95" i="3"/>
  <c r="AO57" i="3"/>
  <c r="Q49" i="3"/>
  <c r="AH97" i="3"/>
  <c r="AC64" i="3"/>
  <c r="AC66" i="3"/>
  <c r="W63" i="3"/>
  <c r="I93" i="3"/>
  <c r="AJ81" i="3"/>
  <c r="Q66" i="3"/>
  <c r="W59" i="3"/>
  <c r="W50" i="3"/>
  <c r="L90" i="3"/>
  <c r="AO89" i="3"/>
  <c r="AH61" i="3"/>
  <c r="AC48" i="3"/>
  <c r="W61" i="3"/>
  <c r="AC83" i="3"/>
  <c r="I62" i="3"/>
  <c r="AJ89" i="3"/>
  <c r="W84" i="3"/>
  <c r="AK86" i="3"/>
  <c r="Q85" i="3"/>
  <c r="AC78" i="3"/>
  <c r="AJ97" i="3"/>
  <c r="AO83" i="3"/>
  <c r="I48" i="3"/>
  <c r="AA60" i="3"/>
  <c r="Q69" i="3"/>
  <c r="W93" i="3"/>
  <c r="AO60" i="3"/>
  <c r="S67" i="3"/>
  <c r="AA69" i="3"/>
  <c r="M75" i="3"/>
  <c r="H54" i="3"/>
  <c r="AK91" i="3"/>
  <c r="M56" i="3"/>
  <c r="M70" i="3"/>
  <c r="M90" i="3"/>
  <c r="W79" i="3"/>
  <c r="S75" i="3"/>
  <c r="AH84" i="3"/>
  <c r="I75" i="3"/>
  <c r="AO50" i="3"/>
  <c r="AO63" i="3"/>
  <c r="AO67" i="3"/>
  <c r="Y85" i="3"/>
  <c r="H69" i="3"/>
  <c r="L63" i="3"/>
  <c r="Q63" i="3"/>
  <c r="W71" i="3"/>
  <c r="AJ59" i="3"/>
  <c r="AO62" i="3"/>
  <c r="AJ75" i="3"/>
  <c r="AO84" i="3"/>
  <c r="AC57" i="3"/>
  <c r="AA85" i="3"/>
  <c r="S48" i="3"/>
  <c r="AH55" i="3"/>
  <c r="AH49" i="3"/>
  <c r="AK97" i="3"/>
  <c r="AK54" i="3"/>
  <c r="L62" i="3"/>
  <c r="Q73" i="3"/>
  <c r="Q88" i="3"/>
  <c r="M57" i="3"/>
  <c r="AO78" i="3"/>
  <c r="M72" i="3"/>
  <c r="I58" i="3"/>
  <c r="AO88" i="3"/>
  <c r="AJ58" i="3"/>
  <c r="S63" i="3"/>
  <c r="Y67" i="3"/>
  <c r="Y69" i="3"/>
  <c r="Q93" i="3"/>
  <c r="Z96" i="3"/>
  <c r="L97" i="3"/>
  <c r="AC72" i="3"/>
  <c r="AJ55" i="3"/>
  <c r="AC67" i="3"/>
  <c r="I84" i="3"/>
  <c r="M66" i="3"/>
  <c r="AH90" i="3"/>
  <c r="AC85" i="3"/>
  <c r="AH74" i="3"/>
  <c r="W85" i="3"/>
  <c r="L75" i="3"/>
  <c r="AK94" i="3"/>
  <c r="AA82" i="3"/>
  <c r="AI90" i="3"/>
  <c r="AO73" i="3"/>
  <c r="AO79" i="3"/>
  <c r="R56" i="3"/>
  <c r="L88" i="3"/>
  <c r="Q54" i="3"/>
  <c r="AC74" i="3"/>
  <c r="AO65" i="3"/>
  <c r="AG70" i="3"/>
  <c r="AO68" i="3"/>
  <c r="S65" i="3"/>
  <c r="Y64" i="3"/>
  <c r="AJ50" i="3"/>
  <c r="AQ82" i="3"/>
  <c r="Q97" i="3"/>
  <c r="Y91" i="3"/>
  <c r="X56" i="3"/>
  <c r="N89" i="3"/>
  <c r="AA63" i="3"/>
  <c r="Q89" i="3"/>
  <c r="AH94" i="3"/>
  <c r="R83" i="3"/>
  <c r="J75" i="3"/>
  <c r="M88" i="3"/>
  <c r="AA86" i="3"/>
  <c r="AL79" i="3"/>
  <c r="AH87" i="3"/>
  <c r="AO92" i="3"/>
  <c r="Q90" i="3"/>
  <c r="AO80" i="3"/>
  <c r="AH58" i="3"/>
  <c r="S83" i="3"/>
  <c r="W75" i="3"/>
  <c r="H67" i="3"/>
  <c r="H55" i="3"/>
  <c r="AH79" i="3"/>
  <c r="Q64" i="3"/>
  <c r="I86" i="3"/>
  <c r="AA92" i="3"/>
  <c r="M95" i="3"/>
  <c r="AA80" i="3"/>
  <c r="L47" i="3"/>
  <c r="AJ93" i="3"/>
  <c r="AC58" i="3"/>
  <c r="Z86" i="3"/>
  <c r="Y92" i="3"/>
  <c r="AA97" i="3"/>
  <c r="AA90" i="3"/>
  <c r="S82" i="3"/>
  <c r="W97" i="3"/>
  <c r="Y82" i="3"/>
  <c r="H90" i="3"/>
  <c r="M78" i="3"/>
  <c r="M82" i="3"/>
  <c r="AM47" i="3"/>
  <c r="K62" i="3"/>
  <c r="AK67" i="3"/>
  <c r="M50" i="3"/>
  <c r="AC87" i="3"/>
  <c r="L92" i="3"/>
  <c r="Q57" i="3"/>
  <c r="M47" i="3"/>
  <c r="X70" i="3"/>
  <c r="H77" i="3"/>
  <c r="W64" i="3"/>
  <c r="AK80" i="3"/>
  <c r="AA57" i="3"/>
  <c r="AI47" i="3"/>
  <c r="L54" i="3"/>
  <c r="AC91" i="3"/>
  <c r="AO82" i="3"/>
  <c r="AC71" i="3"/>
  <c r="AO93" i="3"/>
  <c r="AL78" i="3"/>
  <c r="AQ64" i="3"/>
  <c r="T92" i="3"/>
  <c r="AQ55" i="3"/>
  <c r="AA94" i="3"/>
  <c r="AJ56" i="3"/>
  <c r="W58" i="3"/>
  <c r="AO90" i="3"/>
  <c r="S86" i="3"/>
  <c r="AI86" i="3"/>
  <c r="AO61" i="3"/>
  <c r="AH63" i="3"/>
  <c r="M73" i="3"/>
  <c r="R94" i="3"/>
  <c r="H66" i="3"/>
  <c r="M74" i="3"/>
  <c r="U80" i="3"/>
  <c r="AA70" i="3"/>
  <c r="AH59" i="3"/>
  <c r="AI89" i="3" l="1"/>
  <c r="AA93" i="3"/>
  <c r="S55" i="3"/>
  <c r="Z88" i="3"/>
  <c r="L67" i="3"/>
  <c r="AH68" i="3"/>
  <c r="R89" i="3"/>
  <c r="AI74" i="3"/>
  <c r="R91" i="3"/>
  <c r="AA96" i="3"/>
  <c r="L80" i="3"/>
  <c r="U62" i="3"/>
  <c r="X57" i="3"/>
  <c r="AI60" i="3"/>
  <c r="AA65" i="3"/>
  <c r="AQ56" i="3"/>
  <c r="AM68" i="3"/>
  <c r="H75" i="3"/>
  <c r="Z75" i="3"/>
  <c r="I92" i="3"/>
  <c r="H76" i="3"/>
  <c r="V87" i="3"/>
  <c r="AH56" i="3"/>
  <c r="AH64" i="3"/>
  <c r="Y84" i="3"/>
  <c r="H47" i="3"/>
  <c r="P69" i="3"/>
  <c r="S58" i="3"/>
  <c r="P84" i="3"/>
  <c r="AK68" i="3"/>
  <c r="AH66" i="3"/>
  <c r="R47" i="3"/>
  <c r="I57" i="3"/>
  <c r="AH73" i="3"/>
  <c r="AI95" i="3"/>
  <c r="L64" i="3"/>
  <c r="H91" i="3"/>
  <c r="T49" i="3"/>
  <c r="J48" i="3"/>
  <c r="AH76" i="3"/>
  <c r="AI84" i="3"/>
  <c r="I80" i="3"/>
  <c r="N87" i="3"/>
  <c r="L56" i="3"/>
  <c r="AC90" i="3"/>
  <c r="AQ54" i="3"/>
  <c r="AH89" i="3"/>
  <c r="T65" i="3"/>
  <c r="AG66" i="3"/>
  <c r="S56" i="3"/>
  <c r="AQ79" i="3"/>
  <c r="R76" i="3"/>
  <c r="K56" i="3"/>
  <c r="R72" i="3"/>
  <c r="AQ65" i="3"/>
  <c r="R96" i="3"/>
  <c r="AM82" i="3"/>
  <c r="L83" i="3"/>
  <c r="AA66" i="3"/>
  <c r="J96" i="3"/>
  <c r="AC60" i="3"/>
  <c r="V83" i="3"/>
  <c r="Y57" i="3"/>
  <c r="AQ74" i="3"/>
  <c r="O72" i="3"/>
  <c r="AI91" i="3"/>
  <c r="S77" i="3"/>
  <c r="S68" i="3"/>
  <c r="R67" i="3"/>
  <c r="AA49" i="3"/>
  <c r="X71" i="3"/>
  <c r="AC92" i="3"/>
  <c r="V73" i="3"/>
  <c r="I73" i="3"/>
  <c r="T91" i="3"/>
  <c r="AQ97" i="3"/>
  <c r="N66" i="3"/>
  <c r="AL85" i="3"/>
  <c r="P94" i="3"/>
  <c r="P78" i="3"/>
  <c r="AA47" i="3"/>
  <c r="N84" i="3"/>
  <c r="R90" i="3"/>
  <c r="P85" i="3"/>
  <c r="J76" i="3"/>
  <c r="AK60" i="3"/>
  <c r="AA89" i="3"/>
  <c r="AM71" i="3"/>
  <c r="J69" i="3"/>
  <c r="H86" i="3"/>
  <c r="AM97" i="3"/>
  <c r="AL71" i="3"/>
  <c r="J49" i="3"/>
  <c r="AM66" i="3"/>
  <c r="T96" i="3"/>
  <c r="AL65" i="3"/>
  <c r="S78" i="3"/>
  <c r="AG87" i="3"/>
  <c r="AL67" i="3"/>
  <c r="S57" i="3"/>
  <c r="Y49" i="3"/>
  <c r="AC59" i="3"/>
  <c r="T97" i="3"/>
  <c r="AA71" i="3"/>
  <c r="K67" i="3"/>
  <c r="AC61" i="3"/>
  <c r="AM85" i="3"/>
  <c r="O49" i="3"/>
  <c r="L89" i="3"/>
  <c r="AE48" i="3"/>
  <c r="AL82" i="3"/>
  <c r="R60" i="3"/>
  <c r="AK64" i="3"/>
  <c r="AG78" i="3"/>
  <c r="S90" i="3"/>
  <c r="R87" i="3"/>
  <c r="AG50" i="3"/>
  <c r="Y72" i="3"/>
  <c r="AE94" i="3"/>
  <c r="AM73" i="3"/>
  <c r="AH95" i="3"/>
  <c r="T87" i="3"/>
  <c r="Z50" i="3"/>
  <c r="P81" i="3"/>
  <c r="Z95" i="3"/>
  <c r="T56" i="3"/>
  <c r="AC49" i="3"/>
  <c r="Y77" i="3"/>
  <c r="K58" i="3"/>
  <c r="K85" i="3"/>
  <c r="AH50" i="3"/>
  <c r="Z82" i="3"/>
  <c r="AQ93" i="3"/>
  <c r="AC50" i="3"/>
  <c r="AA48" i="3"/>
  <c r="Z56" i="3"/>
  <c r="L57" i="3"/>
  <c r="R84" i="3"/>
  <c r="L86" i="3"/>
  <c r="AA50" i="3"/>
  <c r="AH62" i="3"/>
  <c r="AH80" i="3"/>
  <c r="AI55" i="3"/>
  <c r="AI59" i="3"/>
  <c r="Y68" i="3"/>
  <c r="AA75" i="3"/>
  <c r="Z72" i="3"/>
  <c r="AC79" i="3"/>
  <c r="Y90" i="3"/>
  <c r="AQ84" i="3"/>
  <c r="AH96" i="3"/>
  <c r="S76" i="3"/>
  <c r="AI71" i="3"/>
  <c r="L78" i="3"/>
  <c r="AH69" i="3"/>
  <c r="S73" i="3"/>
  <c r="H73" i="3"/>
  <c r="AQ70" i="3"/>
  <c r="Z93" i="3"/>
  <c r="AG86" i="3"/>
  <c r="P76" i="3"/>
  <c r="AI93" i="3"/>
  <c r="Z77" i="3"/>
  <c r="AM88" i="3"/>
  <c r="AH70" i="3"/>
  <c r="I54" i="3"/>
  <c r="AI49" i="3"/>
  <c r="V67" i="3"/>
  <c r="H93" i="3"/>
  <c r="X76" i="3"/>
  <c r="Y60" i="3"/>
  <c r="Y48" i="3"/>
  <c r="Z67" i="3"/>
  <c r="Y89" i="3"/>
  <c r="L60" i="3"/>
  <c r="AQ73" i="3"/>
  <c r="AH72" i="3"/>
  <c r="AE74" i="3"/>
  <c r="H72" i="3"/>
  <c r="U65" i="3"/>
  <c r="AH57" i="3"/>
  <c r="Z90" i="3"/>
  <c r="I69" i="3"/>
  <c r="X84" i="3"/>
  <c r="AC70" i="3"/>
  <c r="L49" i="3"/>
  <c r="O79" i="3"/>
  <c r="AK79" i="3"/>
  <c r="AH88" i="3"/>
  <c r="Z62" i="3"/>
  <c r="P73" i="3"/>
  <c r="Z92" i="3"/>
  <c r="Z74" i="3"/>
  <c r="AQ47" i="3"/>
  <c r="AQ67" i="3"/>
  <c r="R48" i="3"/>
  <c r="AI76" i="3"/>
  <c r="AQ62" i="3"/>
  <c r="AQ59" i="3"/>
  <c r="R95" i="3"/>
  <c r="Z87" i="3"/>
  <c r="AI78" i="3"/>
  <c r="AE75" i="3"/>
  <c r="AE55" i="3"/>
  <c r="U68" i="3"/>
  <c r="N59" i="3"/>
  <c r="X67" i="3"/>
  <c r="U64" i="3"/>
  <c r="AQ88" i="3"/>
  <c r="AE88" i="3"/>
  <c r="Z80" i="3"/>
  <c r="V92" i="3"/>
  <c r="U86" i="3"/>
  <c r="AQ87" i="3"/>
  <c r="T67" i="3"/>
  <c r="O47" i="3"/>
  <c r="AM93" i="3"/>
  <c r="AI63" i="3"/>
  <c r="AI77" i="3"/>
  <c r="X89" i="3"/>
  <c r="O84" i="3"/>
  <c r="AL70" i="3"/>
  <c r="R69" i="3"/>
  <c r="O82" i="3"/>
  <c r="T88" i="3"/>
  <c r="AQ89" i="3"/>
  <c r="R85" i="3"/>
  <c r="R57" i="3"/>
  <c r="R81" i="3"/>
  <c r="Z54" i="3"/>
  <c r="Z57" i="3"/>
  <c r="AQ72" i="3"/>
  <c r="Z64" i="3"/>
  <c r="AQ86" i="3"/>
  <c r="AI80" i="3"/>
  <c r="R64" i="3"/>
  <c r="Z94" i="3"/>
  <c r="R68" i="3"/>
  <c r="AI48" i="3"/>
  <c r="R65" i="3"/>
  <c r="R78" i="3"/>
  <c r="AI83" i="3"/>
  <c r="AI61" i="3"/>
  <c r="Z55" i="3"/>
  <c r="R59" i="3"/>
  <c r="AI81" i="3"/>
  <c r="Z69" i="3"/>
  <c r="AQ71" i="3"/>
  <c r="Z68" i="3"/>
  <c r="AQ95" i="3"/>
  <c r="R86" i="3"/>
  <c r="AQ78" i="3"/>
  <c r="AQ91" i="3"/>
  <c r="Z97" i="3"/>
  <c r="R55" i="3"/>
  <c r="AG84" i="3"/>
  <c r="R66" i="3"/>
  <c r="U78" i="3"/>
  <c r="K75" i="3"/>
  <c r="R70" i="3"/>
  <c r="AQ96" i="3"/>
  <c r="AG65" i="3"/>
  <c r="V61" i="3"/>
  <c r="Z65" i="3"/>
  <c r="AM56" i="3"/>
  <c r="AE83" i="3"/>
  <c r="N70" i="3"/>
  <c r="AQ66" i="3"/>
  <c r="U93" i="3"/>
  <c r="AQ60" i="3"/>
  <c r="AG91" i="3"/>
  <c r="N58" i="3"/>
  <c r="AI54" i="3"/>
  <c r="AE59" i="3"/>
  <c r="X58" i="3"/>
  <c r="X62" i="3"/>
  <c r="AI70" i="3"/>
  <c r="AG67" i="3"/>
  <c r="Z81" i="3"/>
  <c r="AQ61" i="3"/>
  <c r="K82" i="3"/>
  <c r="R71" i="3"/>
  <c r="AQ77" i="3"/>
  <c r="AI79" i="3"/>
  <c r="K69" i="3"/>
  <c r="AE86" i="3"/>
  <c r="AG79" i="3"/>
  <c r="N75" i="3"/>
  <c r="AE54" i="3"/>
  <c r="AE80" i="3"/>
  <c r="V56" i="3"/>
  <c r="T55" i="3"/>
  <c r="N78" i="3"/>
  <c r="AN70" i="3"/>
  <c r="AG93" i="3"/>
  <c r="AE64" i="3"/>
  <c r="AL54" i="3"/>
  <c r="AE82" i="3"/>
  <c r="X92" i="3"/>
  <c r="U97" i="3"/>
  <c r="AN74" i="3"/>
  <c r="AN92" i="3"/>
  <c r="X79" i="3"/>
  <c r="AE61" i="3"/>
  <c r="P71" i="3"/>
  <c r="X69" i="3"/>
  <c r="P92" i="3"/>
  <c r="X91" i="3"/>
  <c r="AN57" i="3"/>
  <c r="V80" i="3"/>
  <c r="AN95" i="3"/>
  <c r="J82" i="3"/>
  <c r="J54" i="3"/>
  <c r="T86" i="3"/>
  <c r="O60" i="3"/>
  <c r="P60" i="3"/>
  <c r="J72" i="3"/>
  <c r="P86" i="3"/>
  <c r="T80" i="3"/>
  <c r="AN86" i="3"/>
  <c r="T59" i="3"/>
  <c r="O87" i="3"/>
  <c r="AG76" i="3"/>
  <c r="AL60" i="3"/>
  <c r="X93" i="3"/>
  <c r="T50" i="3"/>
  <c r="P59" i="3"/>
  <c r="AE72" i="3"/>
  <c r="J95" i="3"/>
  <c r="X59" i="3"/>
  <c r="AN49" i="3"/>
  <c r="AG74" i="3"/>
  <c r="N67" i="3"/>
  <c r="J80" i="3"/>
  <c r="P61" i="3"/>
  <c r="X54" i="3"/>
  <c r="AG49" i="3"/>
  <c r="AL61" i="3"/>
  <c r="J92" i="3"/>
  <c r="X49" i="3"/>
  <c r="J90" i="3"/>
  <c r="O86" i="3"/>
  <c r="N91" i="3"/>
  <c r="P58" i="3"/>
  <c r="AN90" i="3"/>
  <c r="X63" i="3"/>
  <c r="K72" i="3"/>
  <c r="V97" i="3"/>
  <c r="P87" i="3"/>
  <c r="K63" i="3"/>
  <c r="AE84" i="3"/>
  <c r="AN60" i="3"/>
  <c r="V85" i="3"/>
  <c r="N93" i="3"/>
  <c r="AN61" i="3"/>
  <c r="X96" i="3"/>
  <c r="AM57" i="3"/>
  <c r="U75" i="3"/>
  <c r="V89" i="3"/>
  <c r="AN93" i="3"/>
  <c r="O89" i="3"/>
  <c r="T81" i="3"/>
  <c r="K71" i="3"/>
  <c r="T82" i="3"/>
  <c r="AN55" i="3"/>
  <c r="AE71" i="3"/>
  <c r="N63" i="3"/>
  <c r="U55" i="3"/>
  <c r="K76" i="3"/>
  <c r="X64" i="3"/>
  <c r="AN56" i="3"/>
  <c r="N55" i="3"/>
  <c r="K95" i="3"/>
  <c r="J63" i="3"/>
  <c r="U70" i="3"/>
  <c r="P56" i="3"/>
  <c r="AE58" i="3"/>
  <c r="U66" i="3"/>
  <c r="V88" i="3"/>
  <c r="AE73" i="3"/>
  <c r="T78" i="3"/>
  <c r="N68" i="3"/>
  <c r="AL90" i="3"/>
  <c r="AE93" i="3"/>
  <c r="X81" i="3"/>
  <c r="AL77" i="3"/>
  <c r="U79" i="3"/>
  <c r="T84" i="3"/>
  <c r="O77" i="3"/>
  <c r="AM74" i="3"/>
  <c r="O74" i="3"/>
  <c r="P57" i="3"/>
  <c r="J81" i="3"/>
  <c r="AN54" i="3"/>
  <c r="V65" i="3"/>
  <c r="J64" i="3"/>
  <c r="K84" i="3"/>
  <c r="U81" i="3"/>
  <c r="K68" i="3"/>
  <c r="AL76" i="3"/>
  <c r="J55" i="3"/>
  <c r="T61" i="3"/>
  <c r="U71" i="3"/>
  <c r="V74" i="3"/>
  <c r="V91" i="3"/>
  <c r="AM49" i="3"/>
  <c r="AL72" i="3"/>
  <c r="AM65" i="3"/>
  <c r="V68" i="3"/>
  <c r="P74" i="3"/>
  <c r="P63" i="3"/>
  <c r="T77" i="3"/>
  <c r="J65" i="3"/>
  <c r="X66" i="3"/>
  <c r="AM54" i="3"/>
  <c r="U50" i="3"/>
  <c r="V58" i="3"/>
  <c r="P65" i="3"/>
  <c r="P77" i="3"/>
  <c r="AE60" i="3"/>
  <c r="AN97" i="3"/>
  <c r="U89" i="3"/>
  <c r="X75" i="3"/>
  <c r="K57" i="3"/>
  <c r="V75" i="3"/>
  <c r="V94" i="3"/>
  <c r="AE76" i="3"/>
  <c r="AN79" i="3"/>
  <c r="X86" i="3"/>
  <c r="P66" i="3"/>
  <c r="AN89" i="3"/>
  <c r="X97" i="3"/>
  <c r="N76" i="3"/>
  <c r="V64" i="3"/>
  <c r="P67" i="3"/>
  <c r="O55" i="3"/>
  <c r="AG55" i="3"/>
  <c r="AE68" i="3"/>
  <c r="AN91" i="3"/>
  <c r="X60" i="3"/>
  <c r="K49" i="3"/>
  <c r="N61" i="3"/>
  <c r="N49" i="3"/>
  <c r="X47" i="3"/>
  <c r="T54" i="3"/>
  <c r="K59" i="3"/>
  <c r="V49" i="3"/>
  <c r="AM69" i="3"/>
  <c r="J83" i="3"/>
  <c r="AE47" i="3"/>
  <c r="J94" i="3"/>
  <c r="X78" i="3"/>
  <c r="K48" i="3"/>
  <c r="AE91" i="3"/>
  <c r="AG96" i="3"/>
  <c r="J57" i="3"/>
  <c r="T66" i="3"/>
  <c r="K83" i="3"/>
  <c r="AL95" i="3"/>
  <c r="AE57" i="3"/>
  <c r="O61" i="3"/>
  <c r="K66" i="3"/>
  <c r="AE78" i="3"/>
  <c r="AM79" i="3"/>
  <c r="AG57" i="3"/>
  <c r="AL55" i="3"/>
  <c r="V90" i="3"/>
  <c r="T85" i="3"/>
  <c r="N80" i="3"/>
  <c r="AL97" i="3"/>
  <c r="U49" i="3"/>
  <c r="AE87" i="3"/>
  <c r="T68" i="3"/>
  <c r="V76" i="3"/>
  <c r="X72" i="3"/>
  <c r="J74" i="3"/>
  <c r="AE66" i="3"/>
  <c r="N56" i="3"/>
  <c r="AN48" i="3"/>
  <c r="AN67" i="3"/>
  <c r="J85" i="3"/>
  <c r="AE79" i="3"/>
  <c r="AG75" i="3"/>
  <c r="AM50" i="3"/>
  <c r="AM81" i="3"/>
  <c r="P75" i="3"/>
  <c r="J88" i="3"/>
  <c r="AN82" i="3"/>
  <c r="AE95" i="3"/>
  <c r="X73" i="3"/>
  <c r="J50" i="3"/>
  <c r="K73" i="3"/>
  <c r="AG85" i="3"/>
  <c r="U58" i="3"/>
  <c r="K55" i="3"/>
  <c r="K64" i="3"/>
  <c r="X94" i="3"/>
  <c r="AM89" i="3"/>
  <c r="O76" i="3"/>
  <c r="AM58" i="3"/>
  <c r="V47" i="3"/>
  <c r="AN59" i="3"/>
  <c r="X83" i="3"/>
  <c r="O64" i="3"/>
  <c r="V72" i="3"/>
  <c r="K93" i="3"/>
  <c r="P50" i="3"/>
  <c r="AL94" i="3"/>
  <c r="J73" i="3"/>
  <c r="X90" i="3"/>
  <c r="AM75" i="3"/>
  <c r="V71" i="3"/>
  <c r="P80" i="3"/>
  <c r="X68" i="3"/>
  <c r="U92" i="3"/>
  <c r="AN63" i="3"/>
  <c r="V86" i="3"/>
  <c r="T93" i="3"/>
  <c r="V84" i="3"/>
  <c r="U61" i="3"/>
  <c r="AE96" i="3"/>
  <c r="P93" i="3"/>
  <c r="U69" i="3"/>
  <c r="X65" i="3"/>
  <c r="AE90" i="3"/>
  <c r="AG95" i="3"/>
  <c r="AE56" i="3"/>
  <c r="U94" i="3"/>
  <c r="AN88" i="3"/>
  <c r="J97" i="3"/>
  <c r="J59" i="3"/>
  <c r="P72" i="3"/>
  <c r="T73" i="3"/>
  <c r="X77" i="3"/>
  <c r="AN76" i="3"/>
  <c r="AN77" i="3"/>
  <c r="AN66" i="3"/>
  <c r="AG59" i="3"/>
  <c r="K77" i="3"/>
  <c r="X88" i="3"/>
  <c r="AG56" i="3"/>
  <c r="AE50" i="3"/>
  <c r="P62" i="3"/>
  <c r="J79" i="3"/>
  <c r="V70" i="3"/>
  <c r="U77" i="3"/>
  <c r="X82" i="3"/>
  <c r="N90" i="3"/>
  <c r="AN73" i="3"/>
  <c r="P97" i="3"/>
  <c r="J78" i="3"/>
  <c r="O56" i="3"/>
  <c r="AN80" i="3"/>
  <c r="AL84" i="3"/>
  <c r="V62" i="3"/>
  <c r="X85" i="3"/>
  <c r="V93" i="3"/>
  <c r="T71" i="3"/>
  <c r="AM77" i="3"/>
  <c r="AN68" i="3"/>
  <c r="T89" i="3"/>
  <c r="T94" i="3"/>
  <c r="AE97" i="3"/>
  <c r="AN64" i="3"/>
  <c r="AN78" i="3"/>
  <c r="AN62" i="3"/>
  <c r="AN75" i="3"/>
  <c r="AN96" i="3"/>
  <c r="AN69" i="3"/>
  <c r="AN47" i="3"/>
  <c r="AN58" i="3"/>
  <c r="AN65" i="3"/>
  <c r="AN81" i="3"/>
  <c r="AN50" i="3"/>
  <c r="AN83" i="3"/>
  <c r="AN85" i="3"/>
  <c r="AN87" i="3"/>
  <c r="AN72" i="3"/>
  <c r="AN71" i="3"/>
  <c r="AN94" i="3"/>
  <c r="AN84" i="3"/>
  <c r="N94" i="3"/>
  <c r="J68" i="3"/>
  <c r="AG62" i="3"/>
  <c r="AJ85" i="3"/>
  <c r="I64" i="3"/>
  <c r="V95" i="3"/>
  <c r="N69" i="3"/>
  <c r="H62" i="3"/>
  <c r="H48" i="3"/>
  <c r="AM61" i="3"/>
  <c r="AG81" i="3"/>
  <c r="S54" i="3"/>
  <c r="Y75" i="3"/>
  <c r="AL56" i="3"/>
  <c r="P68" i="3"/>
  <c r="AG68" i="3"/>
  <c r="S94" i="3"/>
  <c r="Y73" i="3"/>
  <c r="Y78" i="3"/>
  <c r="AL63" i="3"/>
  <c r="R63" i="3"/>
  <c r="V81" i="3"/>
  <c r="AK58" i="3"/>
  <c r="V63" i="3"/>
  <c r="AC93" i="3"/>
  <c r="P82" i="3"/>
  <c r="AK74" i="3"/>
  <c r="AI73" i="3"/>
  <c r="M86" i="3"/>
  <c r="H63" i="3"/>
  <c r="H88" i="3"/>
  <c r="H89" i="3"/>
  <c r="AC82" i="3"/>
  <c r="J87" i="3"/>
  <c r="AM86" i="3"/>
  <c r="R88" i="3"/>
  <c r="V55" i="3"/>
  <c r="AL58" i="3"/>
  <c r="T48" i="3"/>
  <c r="O96" i="3"/>
  <c r="O78" i="3"/>
  <c r="H82" i="3"/>
  <c r="T63" i="3"/>
  <c r="AM78" i="3"/>
  <c r="R61" i="3"/>
  <c r="T62" i="3"/>
  <c r="K97" i="3"/>
  <c r="AM83" i="3"/>
  <c r="J91" i="3"/>
  <c r="Q87" i="3"/>
  <c r="AJ94" i="3"/>
  <c r="U48" i="3"/>
  <c r="V54" i="3"/>
  <c r="S96" i="3"/>
  <c r="R62" i="3"/>
  <c r="S80" i="3"/>
  <c r="AM48" i="3"/>
  <c r="AI82" i="3"/>
  <c r="AK96" i="3"/>
  <c r="L82" i="3"/>
  <c r="J56" i="3"/>
  <c r="AJ67" i="3"/>
  <c r="AA95" i="3"/>
  <c r="AK89" i="3"/>
  <c r="AL89" i="3"/>
  <c r="R54" i="3"/>
  <c r="S85" i="3"/>
  <c r="H70" i="3"/>
  <c r="S71" i="3"/>
  <c r="AI87" i="3"/>
  <c r="P88" i="3"/>
  <c r="AC75" i="3"/>
  <c r="J60" i="3"/>
  <c r="W89" i="3"/>
  <c r="AI75" i="3"/>
  <c r="AJ61" i="3"/>
  <c r="L69" i="3"/>
  <c r="AJ72" i="3"/>
  <c r="W96" i="3"/>
  <c r="AA76" i="3"/>
  <c r="S79" i="3"/>
  <c r="M69" i="3"/>
  <c r="W65" i="3"/>
  <c r="AI56" i="3"/>
  <c r="AI57" i="3"/>
  <c r="AI64" i="3"/>
  <c r="Q58" i="3"/>
  <c r="O95" i="3"/>
  <c r="N85" i="3"/>
  <c r="K79" i="3"/>
  <c r="J66" i="3"/>
  <c r="Q76" i="3"/>
  <c r="AM80" i="3"/>
  <c r="Y96" i="3"/>
  <c r="AC94" i="3"/>
  <c r="O97" i="3"/>
  <c r="H85" i="3"/>
  <c r="Q68" i="3"/>
  <c r="Y58" i="3"/>
  <c r="N73" i="3"/>
  <c r="L48" i="3"/>
  <c r="AA79" i="3"/>
  <c r="AM90" i="3"/>
  <c r="U73" i="3"/>
  <c r="Y76" i="3"/>
  <c r="I60" i="3"/>
  <c r="T60" i="3"/>
  <c r="K96" i="3"/>
  <c r="AK78" i="3"/>
  <c r="M77" i="3"/>
  <c r="P64" i="3"/>
  <c r="S92" i="3"/>
  <c r="AI67" i="3"/>
  <c r="S91" i="3"/>
  <c r="AC80" i="3"/>
  <c r="K70" i="3"/>
  <c r="AL48" i="3"/>
  <c r="P55" i="3"/>
  <c r="AI68" i="3"/>
  <c r="AG83" i="3"/>
  <c r="L66" i="3"/>
  <c r="V79" i="3"/>
  <c r="I81" i="3"/>
  <c r="L65" i="3"/>
  <c r="H80" i="3"/>
  <c r="AJ47" i="3"/>
  <c r="Y87" i="3"/>
  <c r="N48" i="3"/>
  <c r="U57" i="3"/>
  <c r="L93" i="3"/>
  <c r="AI94" i="3"/>
  <c r="AJ69" i="3"/>
  <c r="Q94" i="3"/>
  <c r="S70" i="3"/>
  <c r="H60" i="3"/>
  <c r="Y83" i="3"/>
  <c r="AK65" i="3"/>
  <c r="AJ88" i="3"/>
  <c r="K92" i="3"/>
  <c r="Y61" i="3"/>
  <c r="N64" i="3"/>
  <c r="M64" i="3"/>
  <c r="M71" i="3"/>
  <c r="I66" i="3"/>
  <c r="L76" i="3"/>
  <c r="I68" i="3"/>
  <c r="W81" i="3"/>
  <c r="AL64" i="3"/>
  <c r="K86" i="3"/>
  <c r="U88" i="3"/>
  <c r="H79" i="3"/>
  <c r="H61" i="3"/>
  <c r="O48" i="3"/>
  <c r="AJ84" i="3"/>
  <c r="J71" i="3"/>
  <c r="W92" i="3"/>
  <c r="AJ66" i="3"/>
  <c r="S93" i="3"/>
  <c r="AJ48" i="3"/>
  <c r="N54" i="3"/>
  <c r="L79" i="3"/>
  <c r="L58" i="3"/>
  <c r="K94" i="3"/>
  <c r="AM64" i="3"/>
  <c r="O70" i="3"/>
  <c r="R49" i="3"/>
  <c r="L95" i="3"/>
  <c r="S60" i="3"/>
  <c r="J84" i="3"/>
  <c r="M92" i="3"/>
  <c r="AL66" i="3"/>
  <c r="R50" i="3"/>
  <c r="AJ79" i="3"/>
  <c r="I74" i="3"/>
  <c r="AI97" i="3"/>
  <c r="AI50" i="3"/>
  <c r="I65" i="3"/>
  <c r="V57" i="3"/>
  <c r="Q62" i="3"/>
  <c r="AG90" i="3"/>
  <c r="Q86" i="3"/>
  <c r="W57" i="3"/>
  <c r="AJ91" i="3"/>
  <c r="AJ63" i="3"/>
  <c r="Q47" i="3"/>
  <c r="W74" i="3"/>
  <c r="T57" i="3"/>
  <c r="S49" i="3"/>
  <c r="AA64" i="3"/>
  <c r="V48" i="3"/>
  <c r="N57" i="3"/>
  <c r="P89" i="3"/>
  <c r="P70" i="3"/>
  <c r="Y97" i="3"/>
  <c r="P48" i="3"/>
  <c r="AL49" i="3"/>
  <c r="M84" i="3"/>
  <c r="O93" i="3"/>
  <c r="H94" i="3"/>
  <c r="U90" i="3"/>
  <c r="U82" i="3"/>
  <c r="R82" i="3"/>
  <c r="V50" i="3"/>
  <c r="AM59" i="3"/>
  <c r="Y54" i="3"/>
  <c r="AM60" i="3"/>
  <c r="U47" i="3"/>
  <c r="U56" i="3"/>
  <c r="N47" i="3"/>
  <c r="U63" i="3"/>
  <c r="I47" i="3"/>
  <c r="N95" i="3"/>
  <c r="AG92" i="3"/>
  <c r="AM84" i="3"/>
  <c r="O54" i="3"/>
  <c r="O69" i="3"/>
  <c r="O88" i="3"/>
  <c r="AC68" i="3"/>
  <c r="N62" i="3"/>
  <c r="AM92" i="3"/>
  <c r="AC55" i="3"/>
  <c r="U96" i="3"/>
  <c r="I56" i="3"/>
  <c r="AC95" i="3"/>
  <c r="I96" i="3"/>
  <c r="AL62" i="3"/>
  <c r="O67" i="3"/>
  <c r="N83" i="3"/>
  <c r="AG88" i="3"/>
  <c r="I59" i="3"/>
  <c r="O81" i="3"/>
  <c r="AC77" i="3"/>
  <c r="I97" i="3"/>
  <c r="AL87" i="3"/>
  <c r="O75" i="3"/>
  <c r="U54" i="3"/>
  <c r="N77" i="3"/>
  <c r="AG61" i="3"/>
  <c r="AL83" i="3"/>
  <c r="K90" i="3"/>
  <c r="K60" i="3"/>
  <c r="T74" i="3"/>
  <c r="AM67" i="3"/>
  <c r="AC86" i="3"/>
  <c r="I77" i="3"/>
  <c r="K54" i="3"/>
  <c r="O63" i="3"/>
  <c r="AM91" i="3"/>
  <c r="O90" i="3"/>
  <c r="K80" i="3"/>
  <c r="AL96" i="3"/>
  <c r="AC65" i="3"/>
  <c r="Y94" i="3"/>
  <c r="O71" i="3"/>
  <c r="AC69" i="3"/>
  <c r="AL68" i="3"/>
  <c r="AC76" i="3"/>
  <c r="AG73" i="3"/>
  <c r="T75" i="3"/>
  <c r="I95" i="3"/>
  <c r="T90" i="3"/>
  <c r="O68" i="3"/>
  <c r="AC88" i="3"/>
  <c r="I70" i="3"/>
  <c r="O85" i="3"/>
  <c r="AM55" i="3"/>
  <c r="T83" i="3"/>
  <c r="AG71" i="3"/>
  <c r="AL93" i="3"/>
  <c r="AM72" i="3"/>
  <c r="I49" i="3"/>
  <c r="K91" i="3"/>
  <c r="O58" i="3"/>
  <c r="I55" i="3"/>
  <c r="Y93" i="3"/>
  <c r="K78" i="3"/>
  <c r="T95" i="3"/>
  <c r="AG94" i="3"/>
  <c r="AM63" i="3"/>
  <c r="O91" i="3"/>
  <c r="AM96" i="3"/>
  <c r="Y74" i="3"/>
  <c r="U95" i="3"/>
  <c r="N97" i="3"/>
  <c r="AG80" i="3"/>
  <c r="K89" i="3"/>
  <c r="U74" i="3"/>
  <c r="K61" i="3"/>
  <c r="N92" i="3"/>
  <c r="AG60" i="3"/>
  <c r="U76" i="3"/>
  <c r="AG54" i="3"/>
  <c r="I89" i="3"/>
  <c r="I72" i="3"/>
  <c r="AL74" i="3"/>
  <c r="O94" i="3"/>
  <c r="BW32" i="1"/>
  <c r="BG20" i="1"/>
  <c r="AO20" i="1"/>
  <c r="BQ24" i="1"/>
  <c r="BP46" i="1"/>
  <c r="AY62" i="1"/>
  <c r="BG56" i="1"/>
  <c r="AV58" i="1"/>
  <c r="BW47" i="1"/>
  <c r="BA36" i="1"/>
  <c r="AT19" i="1"/>
  <c r="AR35" i="1"/>
  <c r="BU25" i="1"/>
  <c r="AN31" i="1"/>
  <c r="AV32" i="1"/>
  <c r="BW62" i="1"/>
  <c r="BI46" i="1"/>
  <c r="BR35" i="1"/>
  <c r="BT32" i="1"/>
  <c r="BT57" i="1"/>
  <c r="BH46" i="1"/>
  <c r="AS35" i="1"/>
  <c r="K171" i="1"/>
  <c r="J156" i="1"/>
  <c r="J191" i="1" s="1"/>
  <c r="O162" i="1"/>
  <c r="L161" i="1"/>
  <c r="L154" i="1"/>
  <c r="BB46" i="1"/>
  <c r="AQ31" i="1"/>
  <c r="BU58" i="1"/>
  <c r="BQ35" i="1"/>
  <c r="BR26" i="1"/>
  <c r="BU19" i="1"/>
  <c r="BU242" i="1" s="1"/>
  <c r="BJ84" i="1"/>
  <c r="BD20" i="1"/>
  <c r="AY43" i="1"/>
  <c r="AY205" i="1" s="1"/>
  <c r="BD36" i="1"/>
  <c r="AN50" i="1"/>
  <c r="BH32" i="1"/>
  <c r="BA62" i="1"/>
  <c r="AY47" i="1"/>
  <c r="BK31" i="1"/>
  <c r="BO50" i="1"/>
  <c r="BP24" i="1"/>
  <c r="BS43" i="1"/>
  <c r="BS205" i="1" s="1"/>
  <c r="AS43" i="1"/>
  <c r="BQ19" i="1"/>
  <c r="BQ242" i="1" s="1"/>
  <c r="BA50" i="1"/>
  <c r="BR36" i="1"/>
  <c r="BT43" i="1"/>
  <c r="BR32" i="1"/>
  <c r="BJ47" i="1"/>
  <c r="BJ263" i="1" s="1"/>
  <c r="AP20" i="1"/>
  <c r="BH47" i="1"/>
  <c r="AS25" i="1"/>
  <c r="AU58" i="1"/>
  <c r="BD58" i="1"/>
  <c r="BI31" i="1"/>
  <c r="AK85" i="1"/>
  <c r="BH50" i="1"/>
  <c r="BO43" i="1"/>
  <c r="BO205" i="1" s="1"/>
  <c r="AX43" i="1"/>
  <c r="AX205" i="1" s="1"/>
  <c r="BB47" i="1"/>
  <c r="AU20" i="1"/>
  <c r="BT56" i="1"/>
  <c r="BT47" i="1"/>
  <c r="AP62" i="1"/>
  <c r="BE26" i="1"/>
  <c r="BD57" i="1"/>
  <c r="BG47" i="1"/>
  <c r="BA33" i="1"/>
  <c r="BH174" i="1"/>
  <c r="BI174" i="1" s="1"/>
  <c r="BV162" i="1"/>
  <c r="BW162" i="1" s="1"/>
  <c r="L148" i="1"/>
  <c r="M78" i="1"/>
  <c r="F174" i="1"/>
  <c r="L157" i="1"/>
  <c r="H84" i="1"/>
  <c r="BA25" i="1"/>
  <c r="BH136" i="1"/>
  <c r="BI136" i="1" s="1"/>
  <c r="V155" i="1"/>
  <c r="V190" i="1" s="1"/>
  <c r="BG57" i="1"/>
  <c r="BJ62" i="1"/>
  <c r="AI50" i="1"/>
  <c r="BQ62" i="1"/>
  <c r="BT24" i="1"/>
  <c r="BR47" i="1"/>
  <c r="BS46" i="1"/>
  <c r="BO20" i="1"/>
  <c r="AN24" i="1"/>
  <c r="BD50" i="1"/>
  <c r="BC57" i="1"/>
  <c r="BQ56" i="1"/>
  <c r="BM46" i="1"/>
  <c r="BI19" i="1"/>
  <c r="BI242" i="1" s="1"/>
  <c r="BV43" i="1"/>
  <c r="BV205" i="1" s="1"/>
  <c r="AY32" i="1"/>
  <c r="BB56" i="1"/>
  <c r="AV47" i="1"/>
  <c r="AS26" i="1"/>
  <c r="AZ47" i="1"/>
  <c r="BH144" i="1"/>
  <c r="BH170" i="1"/>
  <c r="AR57" i="1"/>
  <c r="BB20" i="1"/>
  <c r="AR33" i="1"/>
  <c r="BT35" i="1"/>
  <c r="AO32" i="1"/>
  <c r="AY35" i="1"/>
  <c r="AT46" i="1"/>
  <c r="BI26" i="1"/>
  <c r="AZ36" i="1"/>
  <c r="BB33" i="1"/>
  <c r="AQ25" i="1"/>
  <c r="BT26" i="1"/>
  <c r="BE50" i="1"/>
  <c r="BR43" i="1"/>
  <c r="BD32" i="1"/>
  <c r="AW25" i="1"/>
  <c r="AO25" i="1"/>
  <c r="AR32" i="1"/>
  <c r="BU36" i="1"/>
  <c r="BJ58" i="1"/>
  <c r="BF20" i="1"/>
  <c r="BU43" i="1"/>
  <c r="AN46" i="1"/>
  <c r="BO36" i="1"/>
  <c r="BG26" i="1"/>
  <c r="BE46" i="1"/>
  <c r="BS50" i="1"/>
  <c r="AY33" i="1"/>
  <c r="BT50" i="1"/>
  <c r="BV32" i="1"/>
  <c r="AO62" i="1"/>
  <c r="AX34" i="1"/>
  <c r="AI62" i="1"/>
  <c r="AM58" i="1"/>
  <c r="BH36" i="1"/>
  <c r="AT24" i="1"/>
  <c r="AQ57" i="1"/>
  <c r="AU33" i="1"/>
  <c r="AX50" i="1"/>
  <c r="BV85" i="1"/>
  <c r="BV129" i="1"/>
  <c r="BW129" i="1" s="1"/>
  <c r="I148" i="1"/>
  <c r="T78" i="1"/>
  <c r="G147" i="1"/>
  <c r="Q158" i="1"/>
  <c r="V170" i="1"/>
  <c r="AI57" i="1"/>
  <c r="AI31" i="1"/>
  <c r="AO35" i="1"/>
  <c r="C170" i="1"/>
  <c r="AS33" i="1"/>
  <c r="BW31" i="1"/>
  <c r="AU34" i="1"/>
  <c r="BP19" i="1"/>
  <c r="BP242" i="1" s="1"/>
  <c r="BO58" i="1"/>
  <c r="BD46" i="1"/>
  <c r="BA32" i="1"/>
  <c r="BQ31" i="1"/>
  <c r="AS34" i="1"/>
  <c r="AI36" i="1"/>
  <c r="BB24" i="1"/>
  <c r="BB32" i="1"/>
  <c r="BJ56" i="1"/>
  <c r="BR34" i="1"/>
  <c r="AW20" i="1"/>
  <c r="AI24" i="1"/>
  <c r="BV50" i="1"/>
  <c r="BE24" i="1"/>
  <c r="BE25" i="1"/>
  <c r="BF62" i="1"/>
  <c r="BS24" i="1"/>
  <c r="BH34" i="1"/>
  <c r="BF33" i="1"/>
  <c r="BO57" i="1"/>
  <c r="BR19" i="1"/>
  <c r="BR242" i="1" s="1"/>
  <c r="BP36" i="1"/>
  <c r="AQ24" i="1"/>
  <c r="AZ33" i="1"/>
  <c r="AV46" i="1"/>
  <c r="BK50" i="1"/>
  <c r="AO56" i="1"/>
  <c r="BH58" i="1"/>
  <c r="AZ24" i="1"/>
  <c r="AO50" i="1"/>
  <c r="AU26" i="1"/>
  <c r="BC31" i="1"/>
  <c r="BI47" i="1"/>
  <c r="AS58" i="1"/>
  <c r="BQ26" i="1"/>
  <c r="BM35" i="1"/>
  <c r="BM43" i="1"/>
  <c r="BT25" i="1"/>
  <c r="BO33" i="1"/>
  <c r="BK33" i="1"/>
  <c r="BO31" i="1"/>
  <c r="BD25" i="1"/>
  <c r="BE32" i="1"/>
  <c r="BC43" i="1"/>
  <c r="BC205" i="1" s="1"/>
  <c r="BH84" i="1"/>
  <c r="BH85" i="1"/>
  <c r="BH129" i="1"/>
  <c r="BI129" i="1" s="1"/>
  <c r="T130" i="1"/>
  <c r="Q130" i="1"/>
  <c r="M88" i="1"/>
  <c r="N143" i="1"/>
  <c r="B174" i="1"/>
  <c r="AI26" i="1"/>
  <c r="BW20" i="1"/>
  <c r="AX31" i="1"/>
  <c r="AQ56" i="1"/>
  <c r="AP46" i="1"/>
  <c r="BM24" i="1"/>
  <c r="BT20" i="1"/>
  <c r="H133" i="1"/>
  <c r="AI58" i="1"/>
  <c r="AT25" i="1"/>
  <c r="BQ43" i="1"/>
  <c r="BQ205" i="1" s="1"/>
  <c r="BE33" i="1"/>
  <c r="AV25" i="1"/>
  <c r="AS62" i="1"/>
  <c r="BG31" i="1"/>
  <c r="BQ34" i="1"/>
  <c r="BQ57" i="1"/>
  <c r="AU24" i="1"/>
  <c r="BF46" i="1"/>
  <c r="AO47" i="1"/>
  <c r="BG25" i="1"/>
  <c r="Q89" i="1"/>
  <c r="F147" i="1"/>
  <c r="AP26" i="1"/>
  <c r="BP50" i="1"/>
  <c r="AW24" i="1"/>
  <c r="BW26" i="1"/>
  <c r="BW43" i="1"/>
  <c r="BW205" i="1" s="1"/>
  <c r="BG58" i="1"/>
  <c r="AN25" i="1"/>
  <c r="AY20" i="1"/>
  <c r="AQ43" i="1"/>
  <c r="BQ46" i="1"/>
  <c r="BS36" i="1"/>
  <c r="BV57" i="1"/>
  <c r="BI24" i="1"/>
  <c r="AT26" i="1"/>
  <c r="AZ62" i="1"/>
  <c r="AO26" i="1"/>
  <c r="BS57" i="1"/>
  <c r="BT31" i="1"/>
  <c r="BI33" i="1"/>
  <c r="AZ20" i="1"/>
  <c r="BC62" i="1"/>
  <c r="AR62" i="1"/>
  <c r="AU47" i="1"/>
  <c r="BR33" i="1"/>
  <c r="AO33" i="1"/>
  <c r="AV33" i="1"/>
  <c r="BK62" i="1"/>
  <c r="BE43" i="1"/>
  <c r="BE205" i="1" s="1"/>
  <c r="BE47" i="1"/>
  <c r="AX35" i="1"/>
  <c r="BC56" i="1"/>
  <c r="BD34" i="1"/>
  <c r="BF47" i="1"/>
  <c r="AP25" i="1"/>
  <c r="AN43" i="1"/>
  <c r="AP31" i="1"/>
  <c r="BH148" i="1"/>
  <c r="BI148" i="1" s="1"/>
  <c r="BH154" i="1"/>
  <c r="BI154" i="1" s="1"/>
  <c r="BH164" i="1"/>
  <c r="J88" i="1"/>
  <c r="J175" i="1"/>
  <c r="G143" i="1"/>
  <c r="R135" i="1"/>
  <c r="R139" i="1" s="1"/>
  <c r="R48" i="1" s="1"/>
  <c r="L128" i="1"/>
  <c r="E182" i="1"/>
  <c r="AX26" i="1"/>
  <c r="AZ50" i="1"/>
  <c r="BE58" i="1"/>
  <c r="BV20" i="1"/>
  <c r="AQ36" i="1"/>
  <c r="AY26" i="1"/>
  <c r="B138" i="1"/>
  <c r="H160" i="1"/>
  <c r="BA31" i="1"/>
  <c r="BO34" i="1"/>
  <c r="AZ19" i="1"/>
  <c r="BF36" i="1"/>
  <c r="BM20" i="1"/>
  <c r="BU46" i="1"/>
  <c r="BA43" i="1"/>
  <c r="BV34" i="1"/>
  <c r="BD43" i="1"/>
  <c r="BD205" i="1" s="1"/>
  <c r="AN34" i="1"/>
  <c r="BM62" i="1"/>
  <c r="N160" i="1"/>
  <c r="AS36" i="1"/>
  <c r="AR24" i="1"/>
  <c r="AT36" i="1"/>
  <c r="AP24" i="1"/>
  <c r="AW36" i="1"/>
  <c r="BI56" i="1"/>
  <c r="AY24" i="1"/>
  <c r="BG43" i="1"/>
  <c r="BG205" i="1" s="1"/>
  <c r="BB62" i="1"/>
  <c r="AW62" i="1"/>
  <c r="AQ34" i="1"/>
  <c r="AW33" i="1"/>
  <c r="BA24" i="1"/>
  <c r="AY19" i="1"/>
  <c r="BS56" i="1"/>
  <c r="AV62" i="1"/>
  <c r="BN43" i="1"/>
  <c r="BE20" i="1"/>
  <c r="BR25" i="1"/>
  <c r="BM56" i="1"/>
  <c r="BD33" i="1"/>
  <c r="AQ19" i="1"/>
  <c r="AQ242" i="1" s="1"/>
  <c r="AO36" i="1"/>
  <c r="BU24" i="1"/>
  <c r="BE31" i="1"/>
  <c r="AQ62" i="1"/>
  <c r="BT46" i="1"/>
  <c r="AQ46" i="1"/>
  <c r="AW58" i="1"/>
  <c r="BF57" i="1"/>
  <c r="BC35" i="1"/>
  <c r="BO35" i="1"/>
  <c r="BD56" i="1"/>
  <c r="BE19" i="1"/>
  <c r="BE242" i="1" s="1"/>
  <c r="BF19" i="1"/>
  <c r="BR20" i="1"/>
  <c r="BO25" i="1"/>
  <c r="BH158" i="1"/>
  <c r="BI158" i="1" s="1"/>
  <c r="BV175" i="1"/>
  <c r="BW175" i="1" s="1"/>
  <c r="BH155" i="1"/>
  <c r="S143" i="1"/>
  <c r="W84" i="1"/>
  <c r="H161" i="1"/>
  <c r="M157" i="1"/>
  <c r="E89" i="1"/>
  <c r="C133" i="1"/>
  <c r="AQ32" i="1"/>
  <c r="BC32" i="1"/>
  <c r="BP58" i="1"/>
  <c r="AW35" i="1"/>
  <c r="BK46" i="1"/>
  <c r="AM84" i="1"/>
  <c r="AX24" i="1"/>
  <c r="BM33" i="1"/>
  <c r="AI25" i="1"/>
  <c r="AY25" i="1"/>
  <c r="BV164" i="1"/>
  <c r="E183" i="1"/>
  <c r="BV33" i="1"/>
  <c r="AQ58" i="1"/>
  <c r="BK25" i="1"/>
  <c r="BI57" i="1"/>
  <c r="BN19" i="1"/>
  <c r="BN264" i="1" s="1"/>
  <c r="AM56" i="1"/>
  <c r="BG35" i="1"/>
  <c r="BC47" i="1"/>
  <c r="BT62" i="1"/>
  <c r="AX20" i="1"/>
  <c r="AW50" i="1"/>
  <c r="BF25" i="1"/>
  <c r="AY57" i="1"/>
  <c r="AO46" i="1"/>
  <c r="AN56" i="1"/>
  <c r="BV170" i="1"/>
  <c r="BH130" i="1"/>
  <c r="AQ20" i="1"/>
  <c r="BB35" i="1"/>
  <c r="BN20" i="1"/>
  <c r="AW32" i="1"/>
  <c r="BC34" i="1"/>
  <c r="BJ46" i="1"/>
  <c r="BN36" i="1"/>
  <c r="AZ35" i="1"/>
  <c r="BS19" i="1"/>
  <c r="BS242" i="1" s="1"/>
  <c r="BK58" i="1"/>
  <c r="AU25" i="1"/>
  <c r="BB43" i="1"/>
  <c r="BB205" i="1" s="1"/>
  <c r="BB57" i="1"/>
  <c r="BW57" i="1"/>
  <c r="AV43" i="1"/>
  <c r="AV205" i="1" s="1"/>
  <c r="AR25" i="1"/>
  <c r="BU57" i="1"/>
  <c r="BP57" i="1"/>
  <c r="BE34" i="1"/>
  <c r="BN47" i="1"/>
  <c r="BU32" i="1"/>
  <c r="AO19" i="1"/>
  <c r="AT62" i="1"/>
  <c r="BO62" i="1"/>
  <c r="BM36" i="1"/>
  <c r="AN36" i="1"/>
  <c r="BH62" i="1"/>
  <c r="AM85" i="1"/>
  <c r="AP32" i="1"/>
  <c r="AX32" i="1"/>
  <c r="AU31" i="1"/>
  <c r="BS33" i="1"/>
  <c r="BK56" i="1"/>
  <c r="BA35" i="1"/>
  <c r="BV143" i="1"/>
  <c r="BH156" i="1"/>
  <c r="BH137" i="1"/>
  <c r="BI137" i="1" s="1"/>
  <c r="BV142" i="1"/>
  <c r="W147" i="1"/>
  <c r="B157" i="1"/>
  <c r="S84" i="1"/>
  <c r="E138" i="1"/>
  <c r="D160" i="1"/>
  <c r="G157" i="1"/>
  <c r="G84" i="1"/>
  <c r="BM34" i="1"/>
  <c r="BC20" i="1"/>
  <c r="AY50" i="1"/>
  <c r="BP43" i="1"/>
  <c r="BU56" i="1"/>
  <c r="BV62" i="1"/>
  <c r="BN58" i="1"/>
  <c r="BI43" i="1"/>
  <c r="BK32" i="1"/>
  <c r="BD62" i="1"/>
  <c r="BK35" i="1"/>
  <c r="BH35" i="1"/>
  <c r="BA20" i="1"/>
  <c r="BJ50" i="1"/>
  <c r="BM47" i="1"/>
  <c r="BQ36" i="1"/>
  <c r="AX25" i="1"/>
  <c r="BH31" i="1"/>
  <c r="AS31" i="1"/>
  <c r="BR57" i="1"/>
  <c r="BW56" i="1"/>
  <c r="BF31" i="1"/>
  <c r="BM31" i="1"/>
  <c r="BE35" i="1"/>
  <c r="BG50" i="1"/>
  <c r="BB58" i="1"/>
  <c r="AX56" i="1"/>
  <c r="BI25" i="1"/>
  <c r="BC46" i="1"/>
  <c r="AP19" i="1"/>
  <c r="AP242" i="1" s="1"/>
  <c r="BR58" i="1"/>
  <c r="BW35" i="1"/>
  <c r="AX46" i="1"/>
  <c r="BA47" i="1"/>
  <c r="BA58" i="1"/>
  <c r="BF50" i="1"/>
  <c r="BB26" i="1"/>
  <c r="AZ25" i="1"/>
  <c r="AQ35" i="1"/>
  <c r="BN24" i="1"/>
  <c r="AU19" i="1"/>
  <c r="AI35" i="1"/>
  <c r="BT19" i="1"/>
  <c r="BP34" i="1"/>
  <c r="AT20" i="1"/>
  <c r="BG62" i="1"/>
  <c r="BF43" i="1"/>
  <c r="BF205" i="1" s="1"/>
  <c r="BI62" i="1"/>
  <c r="BS34" i="1"/>
  <c r="BK34" i="1"/>
  <c r="BC36" i="1"/>
  <c r="AR26" i="1"/>
  <c r="AU43" i="1"/>
  <c r="AU205" i="1" s="1"/>
  <c r="BU35" i="1"/>
  <c r="BK24" i="1"/>
  <c r="AU46" i="1"/>
  <c r="BV163" i="1"/>
  <c r="BW163" i="1" s="1"/>
  <c r="BV171" i="1"/>
  <c r="BH171" i="1"/>
  <c r="S78" i="1"/>
  <c r="G156" i="1"/>
  <c r="G191" i="1" s="1"/>
  <c r="Q147" i="1"/>
  <c r="S146" i="1"/>
  <c r="S142" i="1" s="1"/>
  <c r="K135" i="1"/>
  <c r="Q182" i="1"/>
  <c r="AP57" i="1"/>
  <c r="BD26" i="1"/>
  <c r="AV35" i="1"/>
  <c r="BK20" i="1"/>
  <c r="AU62" i="1"/>
  <c r="AX47" i="1"/>
  <c r="AX36" i="1"/>
  <c r="F155" i="1"/>
  <c r="F190" i="1" s="1"/>
  <c r="BW24" i="1"/>
  <c r="BD19" i="1"/>
  <c r="AP58" i="1"/>
  <c r="BO32" i="1"/>
  <c r="AR56" i="1"/>
  <c r="AT32" i="1"/>
  <c r="BP62" i="1"/>
  <c r="BE62" i="1"/>
  <c r="AN58" i="1"/>
  <c r="BW58" i="1"/>
  <c r="BR50" i="1"/>
  <c r="AO24" i="1"/>
  <c r="AZ34" i="1"/>
  <c r="AW56" i="1"/>
  <c r="BI35" i="1"/>
  <c r="AP34" i="1"/>
  <c r="BS62" i="1"/>
  <c r="AW47" i="1"/>
  <c r="AQ47" i="1"/>
  <c r="AY34" i="1"/>
  <c r="BP33" i="1"/>
  <c r="BF32" i="1"/>
  <c r="AU56" i="1"/>
  <c r="BS35" i="1"/>
  <c r="BF34" i="1"/>
  <c r="BQ58" i="1"/>
  <c r="AT31" i="1"/>
  <c r="AP43" i="1"/>
  <c r="BG36" i="1"/>
  <c r="BK57" i="1"/>
  <c r="BE57" i="1"/>
  <c r="BT33" i="1"/>
  <c r="AI20" i="1"/>
  <c r="BO47" i="1"/>
  <c r="BS32" i="1"/>
  <c r="BA57" i="1"/>
  <c r="AX33" i="1"/>
  <c r="AN35" i="1"/>
  <c r="BJ33" i="1"/>
  <c r="BJ37" i="1" s="1"/>
  <c r="BQ20" i="1"/>
  <c r="BD47" i="1"/>
  <c r="BP56" i="1"/>
  <c r="BV26" i="1"/>
  <c r="AX58" i="1"/>
  <c r="BG33" i="1"/>
  <c r="AI32" i="1"/>
  <c r="BS25" i="1"/>
  <c r="BP31" i="1"/>
  <c r="BC50" i="1"/>
  <c r="BJ20" i="1"/>
  <c r="BJ21" i="1" s="1"/>
  <c r="BJ27" i="1" s="1"/>
  <c r="BJ39" i="1" s="1"/>
  <c r="BM32" i="1"/>
  <c r="AY31" i="1"/>
  <c r="BV160" i="1"/>
  <c r="BW160" i="1" s="1"/>
  <c r="BV135" i="1"/>
  <c r="BW135" i="1" s="1"/>
  <c r="BV138" i="1"/>
  <c r="BW138" i="1" s="1"/>
  <c r="D129" i="1"/>
  <c r="R144" i="1"/>
  <c r="E155" i="1"/>
  <c r="E190" i="1" s="1"/>
  <c r="N128" i="1"/>
  <c r="BM26" i="1"/>
  <c r="BM50" i="1"/>
  <c r="AT47" i="1"/>
  <c r="BM57" i="1"/>
  <c r="AW26" i="1"/>
  <c r="AY36" i="1"/>
  <c r="BN25" i="1"/>
  <c r="AV34" i="1"/>
  <c r="BQ47" i="1"/>
  <c r="BT58" i="1"/>
  <c r="BB34" i="1"/>
  <c r="BU62" i="1"/>
  <c r="BR46" i="1"/>
  <c r="AJ84" i="1"/>
  <c r="BM25" i="1"/>
  <c r="BT36" i="1"/>
  <c r="AQ26" i="1"/>
  <c r="BH43" i="1"/>
  <c r="BH205" i="1" s="1"/>
  <c r="BA56" i="1"/>
  <c r="AI34" i="1"/>
  <c r="AW34" i="1"/>
  <c r="BA34" i="1"/>
  <c r="AY58" i="1"/>
  <c r="BU31" i="1"/>
  <c r="BF58" i="1"/>
  <c r="BK19" i="1"/>
  <c r="AZ26" i="1"/>
  <c r="BW34" i="1"/>
  <c r="BW33" i="1"/>
  <c r="AN47" i="1"/>
  <c r="AI56" i="1"/>
  <c r="BC19" i="1"/>
  <c r="BC242" i="1" s="1"/>
  <c r="BV58" i="1"/>
  <c r="BO24" i="1"/>
  <c r="BO26" i="1"/>
  <c r="AV24" i="1"/>
  <c r="AU50" i="1"/>
  <c r="AT58" i="1"/>
  <c r="AN32" i="1"/>
  <c r="BV166" i="1"/>
  <c r="BW166" i="1" s="1"/>
  <c r="M156" i="1"/>
  <c r="M191" i="1" s="1"/>
  <c r="B90" i="1"/>
  <c r="I182" i="1"/>
  <c r="M164" i="1"/>
  <c r="M194" i="1" s="1"/>
  <c r="V133" i="1"/>
  <c r="L170" i="1"/>
  <c r="U143" i="1"/>
  <c r="L162" i="1"/>
  <c r="J182" i="1"/>
  <c r="U89" i="1"/>
  <c r="BG34" i="1"/>
  <c r="AW43" i="1"/>
  <c r="AW205" i="1" s="1"/>
  <c r="BN56" i="1"/>
  <c r="AP50" i="1"/>
  <c r="AY46" i="1"/>
  <c r="BI34" i="1"/>
  <c r="BU50" i="1"/>
  <c r="AP33" i="1"/>
  <c r="AO57" i="1"/>
  <c r="BS20" i="1"/>
  <c r="BH19" i="1"/>
  <c r="BH242" i="1" s="1"/>
  <c r="AN57" i="1"/>
  <c r="AR58" i="1"/>
  <c r="BW46" i="1"/>
  <c r="AR43" i="1"/>
  <c r="AR205" i="1" s="1"/>
  <c r="AV36" i="1"/>
  <c r="BH33" i="1"/>
  <c r="AP56" i="1"/>
  <c r="BH26" i="1"/>
  <c r="BV31" i="1"/>
  <c r="BB36" i="1"/>
  <c r="BN34" i="1"/>
  <c r="AZ57" i="1"/>
  <c r="BE36" i="1"/>
  <c r="BC25" i="1"/>
  <c r="BH56" i="1"/>
  <c r="AN19" i="1"/>
  <c r="BB25" i="1"/>
  <c r="AW31" i="1"/>
  <c r="BF35" i="1"/>
  <c r="BQ25" i="1"/>
  <c r="AV56" i="1"/>
  <c r="AT35" i="1"/>
  <c r="AN20" i="1"/>
  <c r="BH165" i="1"/>
  <c r="BI165" i="1" s="1"/>
  <c r="BH151" i="1"/>
  <c r="BI151" i="1" s="1"/>
  <c r="BJ213" i="1" s="1"/>
  <c r="L135" i="1"/>
  <c r="C89" i="1"/>
  <c r="P135" i="1"/>
  <c r="K148" i="1"/>
  <c r="T181" i="1"/>
  <c r="F144" i="1"/>
  <c r="J128" i="1"/>
  <c r="L138" i="1"/>
  <c r="F181" i="1"/>
  <c r="U156" i="1"/>
  <c r="U191" i="1" s="1"/>
  <c r="G88" i="1"/>
  <c r="B175" i="1"/>
  <c r="I136" i="1"/>
  <c r="W138" i="1"/>
  <c r="H130" i="1"/>
  <c r="S128" i="1"/>
  <c r="M162" i="1"/>
  <c r="U155" i="1"/>
  <c r="U190" i="1" s="1"/>
  <c r="T148" i="1"/>
  <c r="I88" i="1"/>
  <c r="H138" i="1"/>
  <c r="P88" i="1"/>
  <c r="T171" i="1"/>
  <c r="D128" i="1"/>
  <c r="M128" i="1"/>
  <c r="V175" i="1"/>
  <c r="P147" i="1"/>
  <c r="I166" i="1"/>
  <c r="E151" i="1"/>
  <c r="H175" i="1"/>
  <c r="C160" i="1"/>
  <c r="K182" i="1"/>
  <c r="L183" i="1"/>
  <c r="L136" i="1"/>
  <c r="T166" i="1"/>
  <c r="B183" i="1"/>
  <c r="H129" i="1"/>
  <c r="U135" i="1"/>
  <c r="I137" i="1"/>
  <c r="I165" i="1" s="1"/>
  <c r="E84" i="1"/>
  <c r="M130" i="1"/>
  <c r="L84" i="1"/>
  <c r="I155" i="1"/>
  <c r="I190" i="1" s="1"/>
  <c r="J153" i="1"/>
  <c r="J159" i="1" s="1"/>
  <c r="E147" i="1"/>
  <c r="N137" i="1"/>
  <c r="N165" i="1" s="1"/>
  <c r="U85" i="1"/>
  <c r="R90" i="1"/>
  <c r="C153" i="1"/>
  <c r="S129" i="1"/>
  <c r="C90" i="1"/>
  <c r="E85" i="1"/>
  <c r="H174" i="1"/>
  <c r="D182" i="1"/>
  <c r="AW46" i="1"/>
  <c r="AR20" i="1"/>
  <c r="AN33" i="1"/>
  <c r="AU35" i="1"/>
  <c r="BS58" i="1"/>
  <c r="BQ50" i="1"/>
  <c r="BV56" i="1"/>
  <c r="BI50" i="1"/>
  <c r="BU33" i="1"/>
  <c r="AO58" i="1"/>
  <c r="BF26" i="1"/>
  <c r="BA26" i="1"/>
  <c r="AR50" i="1"/>
  <c r="AT34" i="1"/>
  <c r="BN31" i="1"/>
  <c r="BJ57" i="1"/>
  <c r="AO43" i="1"/>
  <c r="AO205" i="1" s="1"/>
  <c r="AK84" i="1"/>
  <c r="BV24" i="1"/>
  <c r="BN46" i="1"/>
  <c r="BH175" i="1"/>
  <c r="BI175" i="1" s="1"/>
  <c r="BH160" i="1"/>
  <c r="BV156" i="1"/>
  <c r="BV136" i="1"/>
  <c r="BW136" i="1" s="1"/>
  <c r="BV128" i="1"/>
  <c r="M135" i="1"/>
  <c r="F175" i="1"/>
  <c r="W181" i="1"/>
  <c r="J143" i="1"/>
  <c r="F171" i="1"/>
  <c r="F172" i="1" s="1"/>
  <c r="O136" i="1"/>
  <c r="E156" i="1"/>
  <c r="E191" i="1" s="1"/>
  <c r="U147" i="1"/>
  <c r="J181" i="1"/>
  <c r="J171" i="1"/>
  <c r="R175" i="1"/>
  <c r="O146" i="1"/>
  <c r="O142" i="1" s="1"/>
  <c r="T88" i="1"/>
  <c r="U183" i="1"/>
  <c r="D89" i="1"/>
  <c r="F160" i="1"/>
  <c r="F167" i="1" s="1"/>
  <c r="F196" i="1" s="1"/>
  <c r="R174" i="1"/>
  <c r="S147" i="1"/>
  <c r="S89" i="1"/>
  <c r="C155" i="1"/>
  <c r="C190" i="1" s="1"/>
  <c r="N175" i="1"/>
  <c r="I170" i="1"/>
  <c r="J133" i="1"/>
  <c r="V166" i="1"/>
  <c r="R156" i="1"/>
  <c r="R191" i="1" s="1"/>
  <c r="I138" i="1"/>
  <c r="G144" i="1"/>
  <c r="D78" i="1"/>
  <c r="K181" i="1"/>
  <c r="BI32" i="1"/>
  <c r="AN62" i="1"/>
  <c r="BO56" i="1"/>
  <c r="BR31" i="1"/>
  <c r="AX19" i="1"/>
  <c r="BG19" i="1"/>
  <c r="BN26" i="1"/>
  <c r="AI47" i="1"/>
  <c r="BV19" i="1"/>
  <c r="BV242" i="1" s="1"/>
  <c r="AS20" i="1"/>
  <c r="AY56" i="1"/>
  <c r="BN62" i="1"/>
  <c r="BW36" i="1"/>
  <c r="AT56" i="1"/>
  <c r="AQ50" i="1"/>
  <c r="BJ43" i="1"/>
  <c r="AS50" i="1"/>
  <c r="BH20" i="1"/>
  <c r="BQ33" i="1"/>
  <c r="AR47" i="1"/>
  <c r="BF24" i="1"/>
  <c r="BS31" i="1"/>
  <c r="BH157" i="1"/>
  <c r="BI157" i="1" s="1"/>
  <c r="BH143" i="1"/>
  <c r="BH128" i="1"/>
  <c r="BH135" i="1"/>
  <c r="BV154" i="1"/>
  <c r="BW154" i="1" s="1"/>
  <c r="BH166" i="1"/>
  <c r="BI166" i="1" s="1"/>
  <c r="BH138" i="1"/>
  <c r="BI138" i="1" s="1"/>
  <c r="T85" i="1"/>
  <c r="G183" i="1"/>
  <c r="D136" i="1"/>
  <c r="E133" i="1"/>
  <c r="Q133" i="1"/>
  <c r="D85" i="1"/>
  <c r="F158" i="1"/>
  <c r="J84" i="1"/>
  <c r="N157" i="1"/>
  <c r="P158" i="1"/>
  <c r="W136" i="1"/>
  <c r="M85" i="1"/>
  <c r="Q155" i="1"/>
  <c r="Q190" i="1" s="1"/>
  <c r="S175" i="1"/>
  <c r="C84" i="1"/>
  <c r="V148" i="1"/>
  <c r="O90" i="1"/>
  <c r="M154" i="1"/>
  <c r="E136" i="1"/>
  <c r="E139" i="1" s="1"/>
  <c r="H135" i="1"/>
  <c r="S170" i="1"/>
  <c r="C162" i="1"/>
  <c r="E153" i="1"/>
  <c r="W157" i="1"/>
  <c r="O88" i="1"/>
  <c r="K85" i="1"/>
  <c r="V151" i="1"/>
  <c r="W213" i="1" s="1"/>
  <c r="M89" i="1"/>
  <c r="N164" i="1"/>
  <c r="N194" i="1" s="1"/>
  <c r="I160" i="1"/>
  <c r="I167" i="1" s="1"/>
  <c r="L78" i="1"/>
  <c r="V136" i="1"/>
  <c r="I135" i="1"/>
  <c r="B151" i="1"/>
  <c r="I158" i="1"/>
  <c r="R146" i="1"/>
  <c r="R142" i="1" s="1"/>
  <c r="F135" i="1"/>
  <c r="C181" i="1"/>
  <c r="N147" i="1"/>
  <c r="N182" i="1"/>
  <c r="AV50" i="1"/>
  <c r="BG24" i="1"/>
  <c r="BC24" i="1"/>
  <c r="AR36" i="1"/>
  <c r="BP26" i="1"/>
  <c r="BR62" i="1"/>
  <c r="AV31" i="1"/>
  <c r="AZ58" i="1"/>
  <c r="BW25" i="1"/>
  <c r="AV57" i="1"/>
  <c r="AR46" i="1"/>
  <c r="BU26" i="1"/>
  <c r="AR34" i="1"/>
  <c r="AV19" i="1"/>
  <c r="AV242" i="1" s="1"/>
  <c r="AZ43" i="1"/>
  <c r="BP35" i="1"/>
  <c r="AU36" i="1"/>
  <c r="AR19" i="1"/>
  <c r="AR242" i="1" s="1"/>
  <c r="AU57" i="1"/>
  <c r="BD35" i="1"/>
  <c r="BD24" i="1"/>
  <c r="AN26" i="1"/>
  <c r="BW19" i="1"/>
  <c r="AW57" i="1"/>
  <c r="BU20" i="1"/>
  <c r="BC33" i="1"/>
  <c r="AU32" i="1"/>
  <c r="BF56" i="1"/>
  <c r="AS56" i="1"/>
  <c r="BI20" i="1"/>
  <c r="BI36" i="1"/>
  <c r="BV151" i="1"/>
  <c r="BW151" i="1" s="1"/>
  <c r="BX213" i="1" s="1"/>
  <c r="BV158" i="1"/>
  <c r="BW158" i="1" s="1"/>
  <c r="BV155" i="1"/>
  <c r="BV161" i="1"/>
  <c r="BW161" i="1" s="1"/>
  <c r="BH153" i="1"/>
  <c r="BI153" i="1" s="1"/>
  <c r="BH142" i="1"/>
  <c r="U157" i="1"/>
  <c r="T144" i="1"/>
  <c r="D156" i="1"/>
  <c r="D191" i="1" s="1"/>
  <c r="F161" i="1"/>
  <c r="V157" i="1"/>
  <c r="D137" i="1"/>
  <c r="D165" i="1" s="1"/>
  <c r="W171" i="1"/>
  <c r="D154" i="1"/>
  <c r="O183" i="1"/>
  <c r="F138" i="1"/>
  <c r="I146" i="1"/>
  <c r="I142" i="1" s="1"/>
  <c r="C156" i="1"/>
  <c r="C191" i="1" s="1"/>
  <c r="L89" i="1"/>
  <c r="I144" i="1"/>
  <c r="R151" i="1"/>
  <c r="R160" i="1"/>
  <c r="G153" i="1"/>
  <c r="J148" i="1"/>
  <c r="Q156" i="1"/>
  <c r="Q191" i="1" s="1"/>
  <c r="O170" i="1"/>
  <c r="L146" i="1"/>
  <c r="L142" i="1" s="1"/>
  <c r="D74" i="1"/>
  <c r="W90" i="1"/>
  <c r="E128" i="1"/>
  <c r="Q171" i="1"/>
  <c r="Q172" i="1" s="1"/>
  <c r="R220" i="1" s="1"/>
  <c r="F89" i="1"/>
  <c r="S156" i="1"/>
  <c r="S191" i="1" s="1"/>
  <c r="Q148" i="1"/>
  <c r="G89" i="1"/>
  <c r="O133" i="1"/>
  <c r="J144" i="1"/>
  <c r="V162" i="1"/>
  <c r="O156" i="1"/>
  <c r="O191" i="1" s="1"/>
  <c r="S166" i="1"/>
  <c r="F146" i="1"/>
  <c r="F142" i="1" s="1"/>
  <c r="W158" i="1"/>
  <c r="F148" i="1"/>
  <c r="C148" i="1"/>
  <c r="I174" i="1"/>
  <c r="G148" i="1"/>
  <c r="D138" i="1"/>
  <c r="W89" i="1"/>
  <c r="E130" i="1"/>
  <c r="T156" i="1"/>
  <c r="T191" i="1" s="1"/>
  <c r="R89" i="1"/>
  <c r="J78" i="1"/>
  <c r="T135" i="1"/>
  <c r="O158" i="1"/>
  <c r="H89" i="1"/>
  <c r="F136" i="1"/>
  <c r="F139" i="1" s="1"/>
  <c r="Q78" i="1"/>
  <c r="Q157" i="1"/>
  <c r="Q88" i="1"/>
  <c r="W160" i="1"/>
  <c r="J155" i="1"/>
  <c r="J190" i="1" s="1"/>
  <c r="W154" i="1"/>
  <c r="AI19" i="1"/>
  <c r="BP25" i="1"/>
  <c r="BK43" i="1"/>
  <c r="AT43" i="1"/>
  <c r="AT205" i="1" s="1"/>
  <c r="AT50" i="1"/>
  <c r="BA19" i="1"/>
  <c r="BA242" i="1" s="1"/>
  <c r="AJ85" i="1"/>
  <c r="AX62" i="1"/>
  <c r="AQ33" i="1"/>
  <c r="BO46" i="1"/>
  <c r="BN57" i="1"/>
  <c r="BV35" i="1"/>
  <c r="BP20" i="1"/>
  <c r="AR31" i="1"/>
  <c r="BR24" i="1"/>
  <c r="AT33" i="1"/>
  <c r="AT57" i="1"/>
  <c r="BB50" i="1"/>
  <c r="AV20" i="1"/>
  <c r="BK26" i="1"/>
  <c r="AP47" i="1"/>
  <c r="BG32" i="1"/>
  <c r="BQ32" i="1"/>
  <c r="BE56" i="1"/>
  <c r="AZ56" i="1"/>
  <c r="BN35" i="1"/>
  <c r="BS26" i="1"/>
  <c r="BK47" i="1"/>
  <c r="AO31" i="1"/>
  <c r="BS47" i="1"/>
  <c r="BP47" i="1"/>
  <c r="BW50" i="1"/>
  <c r="BC58" i="1"/>
  <c r="BV47" i="1"/>
  <c r="BP32" i="1"/>
  <c r="BB31" i="1"/>
  <c r="BV25" i="1"/>
  <c r="AI33" i="1"/>
  <c r="BV133" i="1"/>
  <c r="BW133" i="1" s="1"/>
  <c r="BV146" i="1"/>
  <c r="BW146" i="1" s="1"/>
  <c r="BV148" i="1"/>
  <c r="BW148" i="1" s="1"/>
  <c r="BV137" i="1"/>
  <c r="BW137" i="1" s="1"/>
  <c r="W133" i="1"/>
  <c r="C129" i="1"/>
  <c r="W164" i="1"/>
  <c r="U133" i="1"/>
  <c r="D84" i="1"/>
  <c r="H170" i="1"/>
  <c r="B158" i="1"/>
  <c r="W137" i="1"/>
  <c r="W165" i="1" s="1"/>
  <c r="M174" i="1"/>
  <c r="P129" i="1"/>
  <c r="K158" i="1"/>
  <c r="C151" i="1"/>
  <c r="C213" i="1" s="1"/>
  <c r="B88" i="1"/>
  <c r="P128" i="1"/>
  <c r="T175" i="1"/>
  <c r="S136" i="1"/>
  <c r="W85" i="1"/>
  <c r="V182" i="1"/>
  <c r="N181" i="1"/>
  <c r="V135" i="1"/>
  <c r="J158" i="1"/>
  <c r="O151" i="1"/>
  <c r="O213" i="1" s="1"/>
  <c r="J174" i="1"/>
  <c r="D162" i="1"/>
  <c r="D167" i="1" s="1"/>
  <c r="D88" i="1"/>
  <c r="C128" i="1"/>
  <c r="S174" i="1"/>
  <c r="W146" i="1"/>
  <c r="W142" i="1" s="1"/>
  <c r="S162" i="1"/>
  <c r="R138" i="1"/>
  <c r="L143" i="1"/>
  <c r="Q154" i="1"/>
  <c r="Q151" i="1"/>
  <c r="R213" i="1" s="1"/>
  <c r="J151" i="1"/>
  <c r="P89" i="1"/>
  <c r="P157" i="1"/>
  <c r="F78" i="1"/>
  <c r="J129" i="1"/>
  <c r="L156" i="1"/>
  <c r="L191" i="1" s="1"/>
  <c r="M155" i="1"/>
  <c r="M190" i="1" s="1"/>
  <c r="G128" i="1"/>
  <c r="G182" i="1"/>
  <c r="O137" i="1"/>
  <c r="O165" i="1" s="1"/>
  <c r="B153" i="1"/>
  <c r="H155" i="1"/>
  <c r="H190" i="1" s="1"/>
  <c r="V154" i="1"/>
  <c r="S148" i="1"/>
  <c r="I171" i="1"/>
  <c r="I172" i="1" s="1"/>
  <c r="J220" i="1" s="1"/>
  <c r="S144" i="1"/>
  <c r="M161" i="1"/>
  <c r="U88" i="1"/>
  <c r="H90" i="1"/>
  <c r="S133" i="1"/>
  <c r="BN33" i="1"/>
  <c r="AS24" i="1"/>
  <c r="AZ32" i="1"/>
  <c r="AI43" i="1"/>
  <c r="AI205" i="1" s="1"/>
  <c r="BV84" i="1"/>
  <c r="BV130" i="1"/>
  <c r="BH146" i="1"/>
  <c r="BI146" i="1" s="1"/>
  <c r="BH161" i="1"/>
  <c r="BI161" i="1" s="1"/>
  <c r="N90" i="1"/>
  <c r="H154" i="1"/>
  <c r="B182" i="1"/>
  <c r="R164" i="1"/>
  <c r="R194" i="1" s="1"/>
  <c r="B161" i="1"/>
  <c r="R129" i="1"/>
  <c r="C88" i="1"/>
  <c r="I161" i="1"/>
  <c r="L147" i="1"/>
  <c r="B74" i="1"/>
  <c r="G129" i="1"/>
  <c r="B170" i="1"/>
  <c r="B156" i="1"/>
  <c r="B191" i="1" s="1"/>
  <c r="W162" i="1"/>
  <c r="F143" i="1"/>
  <c r="L175" i="1"/>
  <c r="P170" i="1"/>
  <c r="P172" i="1" s="1"/>
  <c r="Q220" i="1" s="1"/>
  <c r="D147" i="1"/>
  <c r="C137" i="1"/>
  <c r="C165" i="1" s="1"/>
  <c r="R183" i="1"/>
  <c r="W78" i="1"/>
  <c r="U136" i="1"/>
  <c r="C157" i="1"/>
  <c r="D148" i="1"/>
  <c r="S164" i="1"/>
  <c r="S194" i="1" s="1"/>
  <c r="E137" i="1"/>
  <c r="E165" i="1" s="1"/>
  <c r="P137" i="1"/>
  <c r="P165" i="1" s="1"/>
  <c r="L155" i="1"/>
  <c r="L190" i="1" s="1"/>
  <c r="T170" i="1"/>
  <c r="J162" i="1"/>
  <c r="K183" i="1"/>
  <c r="O144" i="1"/>
  <c r="L181" i="1"/>
  <c r="H182" i="1"/>
  <c r="AW19" i="1"/>
  <c r="BB19" i="1"/>
  <c r="BB242" i="1" s="1"/>
  <c r="BH57" i="1"/>
  <c r="BI58" i="1"/>
  <c r="AV26" i="1"/>
  <c r="BA46" i="1"/>
  <c r="BG46" i="1"/>
  <c r="BV36" i="1"/>
  <c r="BR56" i="1"/>
  <c r="AO34" i="1"/>
  <c r="BN50" i="1"/>
  <c r="BC26" i="1"/>
  <c r="AS19" i="1"/>
  <c r="AS242" i="1" s="1"/>
  <c r="BM19" i="1"/>
  <c r="BU47" i="1"/>
  <c r="BT34" i="1"/>
  <c r="AZ31" i="1"/>
  <c r="AP35" i="1"/>
  <c r="BH25" i="1"/>
  <c r="BK36" i="1"/>
  <c r="BH24" i="1"/>
  <c r="BM58" i="1"/>
  <c r="AP36" i="1"/>
  <c r="BU34" i="1"/>
  <c r="AS47" i="1"/>
  <c r="AS263" i="1" s="1"/>
  <c r="BD31" i="1"/>
  <c r="AM57" i="1"/>
  <c r="AS46" i="1"/>
  <c r="BV46" i="1"/>
  <c r="BN32" i="1"/>
  <c r="AX57" i="1"/>
  <c r="AM62" i="1"/>
  <c r="BJ85" i="1"/>
  <c r="AS32" i="1"/>
  <c r="AI46" i="1"/>
  <c r="AS57" i="1"/>
  <c r="BO19" i="1"/>
  <c r="BO242" i="1" s="1"/>
  <c r="AZ46" i="1"/>
  <c r="BH162" i="1"/>
  <c r="BI162" i="1" s="1"/>
  <c r="AI84" i="1"/>
  <c r="BH163" i="1"/>
  <c r="BI163" i="1" s="1"/>
  <c r="BV165" i="1"/>
  <c r="BW165" i="1" s="1"/>
  <c r="BV153" i="1"/>
  <c r="BW153" i="1" s="1"/>
  <c r="BV174" i="1"/>
  <c r="BW174" i="1" s="1"/>
  <c r="B143" i="1"/>
  <c r="N135" i="1"/>
  <c r="L90" i="1"/>
  <c r="D171" i="1"/>
  <c r="T90" i="1"/>
  <c r="M143" i="1"/>
  <c r="M148" i="1"/>
  <c r="J154" i="1"/>
  <c r="C147" i="1"/>
  <c r="B171" i="1"/>
  <c r="P153" i="1"/>
  <c r="R85" i="1"/>
  <c r="C74" i="1"/>
  <c r="R170" i="1"/>
  <c r="G162" i="1"/>
  <c r="M175" i="1"/>
  <c r="K138" i="1"/>
  <c r="W161" i="1"/>
  <c r="W153" i="1"/>
  <c r="K151" i="1"/>
  <c r="R171" i="1"/>
  <c r="K153" i="1"/>
  <c r="L164" i="1"/>
  <c r="L194" i="1" s="1"/>
  <c r="V85" i="1"/>
  <c r="F154" i="1"/>
  <c r="V143" i="1"/>
  <c r="W170" i="1"/>
  <c r="N136" i="1"/>
  <c r="O130" i="1"/>
  <c r="D164" i="1"/>
  <c r="D194" i="1" s="1"/>
  <c r="B142" i="1"/>
  <c r="V88" i="1"/>
  <c r="F162" i="1"/>
  <c r="J161" i="1"/>
  <c r="K90" i="1"/>
  <c r="D161" i="1"/>
  <c r="C164" i="1"/>
  <c r="C194" i="1" s="1"/>
  <c r="T137" i="1"/>
  <c r="T165" i="1" s="1"/>
  <c r="P183" i="1"/>
  <c r="Q144" i="1"/>
  <c r="U151" i="1"/>
  <c r="K133" i="1"/>
  <c r="G181" i="1"/>
  <c r="Q161" i="1"/>
  <c r="O135" i="1"/>
  <c r="L171" i="1"/>
  <c r="J137" i="1"/>
  <c r="J165" i="1" s="1"/>
  <c r="B129" i="1"/>
  <c r="D157" i="1"/>
  <c r="L133" i="1"/>
  <c r="U158" i="1"/>
  <c r="U154" i="1"/>
  <c r="C78" i="1"/>
  <c r="K160" i="1"/>
  <c r="Q138" i="1"/>
  <c r="W183" i="1"/>
  <c r="T147" i="1"/>
  <c r="O89" i="1"/>
  <c r="E166" i="1"/>
  <c r="K84" i="1"/>
  <c r="D144" i="1"/>
  <c r="H158" i="1"/>
  <c r="U170" i="1"/>
  <c r="M160" i="1"/>
  <c r="H88" i="1"/>
  <c r="O147" i="1"/>
  <c r="Q146" i="1"/>
  <c r="Q142" i="1" s="1"/>
  <c r="J160" i="1"/>
  <c r="H171" i="1"/>
  <c r="M144" i="1"/>
  <c r="E160" i="1"/>
  <c r="C171" i="1"/>
  <c r="C158" i="1"/>
  <c r="K146" i="1"/>
  <c r="K142" i="1" s="1"/>
  <c r="N156" i="1"/>
  <c r="N191" i="1" s="1"/>
  <c r="K144" i="1"/>
  <c r="B162" i="1"/>
  <c r="B167" i="1" s="1"/>
  <c r="B196" i="1" s="1"/>
  <c r="B195" i="1" s="1"/>
  <c r="L153" i="1"/>
  <c r="Q153" i="1"/>
  <c r="W155" i="1"/>
  <c r="G151" i="1"/>
  <c r="R153" i="1"/>
  <c r="I154" i="1"/>
  <c r="Q175" i="1"/>
  <c r="Q85" i="1"/>
  <c r="V158" i="1"/>
  <c r="N146" i="1"/>
  <c r="N142" i="1" s="1"/>
  <c r="E161" i="1"/>
  <c r="E167" i="1" s="1"/>
  <c r="D151" i="1"/>
  <c r="E213" i="1" s="1"/>
  <c r="T143" i="1"/>
  <c r="I157" i="1"/>
  <c r="I143" i="1"/>
  <c r="V89" i="1"/>
  <c r="D181" i="1"/>
  <c r="K156" i="1"/>
  <c r="K191" i="1" s="1"/>
  <c r="S158" i="1"/>
  <c r="M153" i="1"/>
  <c r="V147" i="1"/>
  <c r="R143" i="1"/>
  <c r="V137" i="1"/>
  <c r="V165" i="1" s="1"/>
  <c r="P155" i="1"/>
  <c r="P190" i="1" s="1"/>
  <c r="K161" i="1"/>
  <c r="H85" i="1"/>
  <c r="N171" i="1"/>
  <c r="S160" i="1"/>
  <c r="C143" i="1"/>
  <c r="M84" i="1"/>
  <c r="S182" i="1"/>
  <c r="S130" i="1"/>
  <c r="S131" i="1" s="1"/>
  <c r="L166" i="1"/>
  <c r="C142" i="1"/>
  <c r="O143" i="1"/>
  <c r="O145" i="1" s="1"/>
  <c r="D146" i="1"/>
  <c r="S171" i="1"/>
  <c r="D142" i="1"/>
  <c r="V183" i="1"/>
  <c r="V90" i="1"/>
  <c r="T153" i="1"/>
  <c r="W175" i="1"/>
  <c r="I130" i="1"/>
  <c r="J164" i="1"/>
  <c r="J194" i="1" s="1"/>
  <c r="R88" i="1"/>
  <c r="S90" i="1"/>
  <c r="L151" i="1"/>
  <c r="L213" i="1" s="1"/>
  <c r="U148" i="1"/>
  <c r="O160" i="1"/>
  <c r="N148" i="1"/>
  <c r="H78" i="1"/>
  <c r="P146" i="1"/>
  <c r="P142" i="1" s="1"/>
  <c r="I156" i="1"/>
  <c r="I191" i="1" s="1"/>
  <c r="D158" i="1"/>
  <c r="F137" i="1"/>
  <c r="F165" i="1" s="1"/>
  <c r="S151" i="1"/>
  <c r="S138" i="1"/>
  <c r="H137" i="1"/>
  <c r="H165" i="1" s="1"/>
  <c r="E157" i="1"/>
  <c r="L182" i="1"/>
  <c r="L130" i="1"/>
  <c r="D183" i="1"/>
  <c r="U138" i="1"/>
  <c r="V128" i="1"/>
  <c r="I129" i="1"/>
  <c r="D175" i="1"/>
  <c r="J136" i="1"/>
  <c r="N78" i="1"/>
  <c r="K157" i="1"/>
  <c r="M90" i="1"/>
  <c r="I147" i="1"/>
  <c r="W129" i="1"/>
  <c r="G138" i="1"/>
  <c r="H146" i="1"/>
  <c r="H142" i="1" s="1"/>
  <c r="Q84" i="1"/>
  <c r="C146" i="1"/>
  <c r="V164" i="1"/>
  <c r="V194" i="1" s="1"/>
  <c r="V129" i="1"/>
  <c r="Q143" i="1"/>
  <c r="B135" i="1"/>
  <c r="E174" i="1"/>
  <c r="Q137" i="1"/>
  <c r="Q165" i="1" s="1"/>
  <c r="O128" i="1"/>
  <c r="K128" i="1"/>
  <c r="K131" i="1" s="1"/>
  <c r="E88" i="1"/>
  <c r="N88" i="1"/>
  <c r="R157" i="1"/>
  <c r="E129" i="1"/>
  <c r="H156" i="1"/>
  <c r="H191" i="1" s="1"/>
  <c r="R130" i="1"/>
  <c r="K136" i="1"/>
  <c r="O129" i="1"/>
  <c r="Q136" i="1"/>
  <c r="J90" i="1"/>
  <c r="U153" i="1"/>
  <c r="U159" i="1" s="1"/>
  <c r="U193" i="1" s="1"/>
  <c r="U192" i="1" s="1"/>
  <c r="B148" i="1"/>
  <c r="I183" i="1"/>
  <c r="P143" i="1"/>
  <c r="H181" i="1"/>
  <c r="I151" i="1"/>
  <c r="G78" i="1"/>
  <c r="U174" i="1"/>
  <c r="E90" i="1"/>
  <c r="B128" i="1"/>
  <c r="M133" i="1"/>
  <c r="P181" i="1"/>
  <c r="F151" i="1"/>
  <c r="G213" i="1" s="1"/>
  <c r="T158" i="1"/>
  <c r="T159" i="1" s="1"/>
  <c r="O155" i="1"/>
  <c r="O190" i="1" s="1"/>
  <c r="S155" i="1"/>
  <c r="S190" i="1" s="1"/>
  <c r="O175" i="1"/>
  <c r="R158" i="1"/>
  <c r="N85" i="1"/>
  <c r="U90" i="1"/>
  <c r="S183" i="1"/>
  <c r="G158" i="1"/>
  <c r="R78" i="1"/>
  <c r="J166" i="1"/>
  <c r="G135" i="1"/>
  <c r="G139" i="1" s="1"/>
  <c r="N144" i="1"/>
  <c r="V171" i="1"/>
  <c r="V172" i="1" s="1"/>
  <c r="W220" i="1" s="1"/>
  <c r="R128" i="1"/>
  <c r="T84" i="1"/>
  <c r="D75" i="1"/>
  <c r="E164" i="1"/>
  <c r="E194" i="1" s="1"/>
  <c r="M182" i="1"/>
  <c r="S137" i="1"/>
  <c r="S165" i="1" s="1"/>
  <c r="S88" i="1"/>
  <c r="R133" i="1"/>
  <c r="D90" i="1"/>
  <c r="U160" i="1"/>
  <c r="U167" i="1" s="1"/>
  <c r="K166" i="1"/>
  <c r="W182" i="1"/>
  <c r="B133" i="1"/>
  <c r="R147" i="1"/>
  <c r="F84" i="1"/>
  <c r="G137" i="1"/>
  <c r="G165" i="1" s="1"/>
  <c r="K78" i="1"/>
  <c r="U78" i="1"/>
  <c r="V138" i="1"/>
  <c r="Q181" i="1"/>
  <c r="C75" i="1"/>
  <c r="P182" i="1"/>
  <c r="L85" i="1"/>
  <c r="T138" i="1"/>
  <c r="R84" i="1"/>
  <c r="P156" i="1"/>
  <c r="P191" i="1" s="1"/>
  <c r="E162" i="1"/>
  <c r="V156" i="1"/>
  <c r="V191" i="1" s="1"/>
  <c r="P174" i="1"/>
  <c r="C166" i="1"/>
  <c r="P148" i="1"/>
  <c r="U130" i="1"/>
  <c r="M171" i="1"/>
  <c r="M172" i="1" s="1"/>
  <c r="K162" i="1"/>
  <c r="B181" i="1"/>
  <c r="B184" i="1" s="1"/>
  <c r="R181" i="1"/>
  <c r="J157" i="1"/>
  <c r="E158" i="1"/>
  <c r="R161" i="1"/>
  <c r="J183" i="1"/>
  <c r="F156" i="1"/>
  <c r="F191" i="1" s="1"/>
  <c r="J146" i="1"/>
  <c r="J142" i="1" s="1"/>
  <c r="D143" i="1"/>
  <c r="D145" i="1" s="1"/>
  <c r="R148" i="1"/>
  <c r="O154" i="1"/>
  <c r="F153" i="1"/>
  <c r="D170" i="1"/>
  <c r="D172" i="1" s="1"/>
  <c r="O161" i="1"/>
  <c r="G161" i="1"/>
  <c r="T174" i="1"/>
  <c r="P130" i="1"/>
  <c r="J85" i="1"/>
  <c r="O148" i="1"/>
  <c r="C175" i="1"/>
  <c r="F133" i="1"/>
  <c r="N174" i="1"/>
  <c r="W174" i="1"/>
  <c r="N155" i="1"/>
  <c r="N159" i="1" s="1"/>
  <c r="H148" i="1"/>
  <c r="F88" i="1"/>
  <c r="I84" i="1"/>
  <c r="K170" i="1"/>
  <c r="I89" i="1"/>
  <c r="T129" i="1"/>
  <c r="T157" i="1"/>
  <c r="J89" i="1"/>
  <c r="O181" i="1"/>
  <c r="P175" i="1"/>
  <c r="J170" i="1"/>
  <c r="J172" i="1" s="1"/>
  <c r="N138" i="1"/>
  <c r="L88" i="1"/>
  <c r="BV144" i="1"/>
  <c r="B137" i="1"/>
  <c r="B165" i="1" s="1"/>
  <c r="L129" i="1"/>
  <c r="V84" i="1"/>
  <c r="P161" i="1"/>
  <c r="P154" i="1"/>
  <c r="O138" i="1"/>
  <c r="F129" i="1"/>
  <c r="O166" i="1"/>
  <c r="C138" i="1"/>
  <c r="P160" i="1"/>
  <c r="P167" i="1" s="1"/>
  <c r="P196" i="1" s="1"/>
  <c r="P195" i="1" s="1"/>
  <c r="V146" i="1"/>
  <c r="V142" i="1" s="1"/>
  <c r="V145" i="1" s="1"/>
  <c r="N162" i="1"/>
  <c r="V78" i="1"/>
  <c r="W130" i="1"/>
  <c r="F164" i="1"/>
  <c r="F194" i="1" s="1"/>
  <c r="E144" i="1"/>
  <c r="C182" i="1"/>
  <c r="C184" i="1" s="1"/>
  <c r="M146" i="1"/>
  <c r="M142" i="1" s="1"/>
  <c r="J147" i="1"/>
  <c r="I85" i="1"/>
  <c r="B75" i="1"/>
  <c r="N161" i="1"/>
  <c r="N167" i="1" s="1"/>
  <c r="N196" i="1" s="1"/>
  <c r="S135" i="1"/>
  <c r="S139" i="1" s="1"/>
  <c r="Q183" i="1"/>
  <c r="F183" i="1"/>
  <c r="R136" i="1"/>
  <c r="T154" i="1"/>
  <c r="B166" i="1"/>
  <c r="E146" i="1"/>
  <c r="E142" i="1" s="1"/>
  <c r="E145" i="1" s="1"/>
  <c r="S157" i="1"/>
  <c r="B130" i="1"/>
  <c r="V174" i="1"/>
  <c r="F166" i="1"/>
  <c r="T133" i="1"/>
  <c r="W135" i="1"/>
  <c r="W139" i="1" s="1"/>
  <c r="O153" i="1"/>
  <c r="Q166" i="1"/>
  <c r="G146" i="1"/>
  <c r="G142" i="1" s="1"/>
  <c r="T151" i="1"/>
  <c r="R154" i="1"/>
  <c r="D130" i="1"/>
  <c r="N166" i="1"/>
  <c r="I162" i="1"/>
  <c r="O157" i="1"/>
  <c r="H128" i="1"/>
  <c r="I128" i="1"/>
  <c r="N89" i="1"/>
  <c r="G85" i="1"/>
  <c r="P90" i="1"/>
  <c r="R166" i="1"/>
  <c r="N154" i="1"/>
  <c r="W88" i="1"/>
  <c r="U181" i="1"/>
  <c r="C183" i="1"/>
  <c r="W151" i="1"/>
  <c r="X213" i="1" s="1"/>
  <c r="T164" i="1"/>
  <c r="T194" i="1" s="1"/>
  <c r="F130" i="1"/>
  <c r="K164" i="1"/>
  <c r="K194" i="1" s="1"/>
  <c r="U129" i="1"/>
  <c r="I164" i="1"/>
  <c r="I194" i="1" s="1"/>
  <c r="BV157" i="1"/>
  <c r="BW157" i="1" s="1"/>
  <c r="U182" i="1"/>
  <c r="T161" i="1"/>
  <c r="U175" i="1"/>
  <c r="M166" i="1"/>
  <c r="R182" i="1"/>
  <c r="H157" i="1"/>
  <c r="C85" i="1"/>
  <c r="H183" i="1"/>
  <c r="L144" i="1"/>
  <c r="G166" i="1"/>
  <c r="V144" i="1"/>
  <c r="B78" i="1"/>
  <c r="O174" i="1"/>
  <c r="C130" i="1"/>
  <c r="C154" i="1"/>
  <c r="M170" i="1"/>
  <c r="I181" i="1"/>
  <c r="C144" i="1"/>
  <c r="B147" i="1"/>
  <c r="N158" i="1"/>
  <c r="P84" i="1"/>
  <c r="K154" i="1"/>
  <c r="K174" i="1"/>
  <c r="P144" i="1"/>
  <c r="Q135" i="1"/>
  <c r="R155" i="1"/>
  <c r="R190" i="1" s="1"/>
  <c r="D166" i="1"/>
  <c r="N133" i="1"/>
  <c r="K155" i="1"/>
  <c r="K190" i="1" s="1"/>
  <c r="T160" i="1"/>
  <c r="G154" i="1"/>
  <c r="U164" i="1"/>
  <c r="U194" i="1" s="1"/>
  <c r="H143" i="1"/>
  <c r="L174" i="1"/>
  <c r="V181" i="1"/>
  <c r="P136" i="1"/>
  <c r="Q170" i="1"/>
  <c r="I78" i="1"/>
  <c r="C174" i="1"/>
  <c r="Q90" i="1"/>
  <c r="V153" i="1"/>
  <c r="S181" i="1"/>
  <c r="J135" i="1"/>
  <c r="U161" i="1"/>
  <c r="M136" i="1"/>
  <c r="U171" i="1"/>
  <c r="O84" i="1"/>
  <c r="D135" i="1"/>
  <c r="S153" i="1"/>
  <c r="E175" i="1"/>
  <c r="D174" i="1"/>
  <c r="K147" i="1"/>
  <c r="B154" i="1"/>
  <c r="W166" i="1"/>
  <c r="F85" i="1"/>
  <c r="C136" i="1"/>
  <c r="C139" i="1" s="1"/>
  <c r="S161" i="1"/>
  <c r="H164" i="1"/>
  <c r="H194" i="1" s="1"/>
  <c r="U137" i="1"/>
  <c r="U165" i="1" s="1"/>
  <c r="L158" i="1"/>
  <c r="H136" i="1"/>
  <c r="L137" i="1"/>
  <c r="L165" i="1" s="1"/>
  <c r="B160" i="1"/>
  <c r="H147" i="1"/>
  <c r="G170" i="1"/>
  <c r="K89" i="1"/>
  <c r="M147" i="1"/>
  <c r="S154" i="1"/>
  <c r="S159" i="1" s="1"/>
  <c r="S193" i="1" s="1"/>
  <c r="H144" i="1"/>
  <c r="F90" i="1"/>
  <c r="H166" i="1"/>
  <c r="G130" i="1"/>
  <c r="P85" i="1"/>
  <c r="T162" i="1"/>
  <c r="G175" i="1"/>
  <c r="O164" i="1"/>
  <c r="O194" i="1" s="1"/>
  <c r="N130" i="1"/>
  <c r="T136" i="1"/>
  <c r="Q129" i="1"/>
  <c r="P151" i="1"/>
  <c r="I175" i="1"/>
  <c r="V130" i="1"/>
  <c r="E143" i="1"/>
  <c r="H151" i="1"/>
  <c r="T155" i="1"/>
  <c r="T190" i="1" s="1"/>
  <c r="N170" i="1"/>
  <c r="U144" i="1"/>
  <c r="E78" i="1"/>
  <c r="M138" i="1"/>
  <c r="P78" i="1"/>
  <c r="Q162" i="1"/>
  <c r="M181" i="1"/>
  <c r="Q128" i="1"/>
  <c r="Q131" i="1" s="1"/>
  <c r="E154" i="1"/>
  <c r="R137" i="1"/>
  <c r="R165" i="1" s="1"/>
  <c r="F170" i="1"/>
  <c r="V160" i="1"/>
  <c r="P133" i="1"/>
  <c r="M137" i="1"/>
  <c r="U166" i="1"/>
  <c r="BH133" i="1"/>
  <c r="BI133" i="1" s="1"/>
  <c r="K175" i="1"/>
  <c r="E148" i="1"/>
  <c r="Q160" i="1"/>
  <c r="Q167" i="1" s="1"/>
  <c r="G155" i="1"/>
  <c r="G190" i="1" s="1"/>
  <c r="T89" i="1"/>
  <c r="F157" i="1"/>
  <c r="G133" i="1"/>
  <c r="I133" i="1"/>
  <c r="K129" i="1"/>
  <c r="O78" i="1"/>
  <c r="M151" i="1"/>
  <c r="K88" i="1"/>
  <c r="T146" i="1"/>
  <c r="T142" i="1" s="1"/>
  <c r="E181" i="1"/>
  <c r="G90" i="1"/>
  <c r="R162" i="1"/>
  <c r="T183" i="1"/>
  <c r="M129" i="1"/>
  <c r="N84" i="1"/>
  <c r="N183" i="1"/>
  <c r="D153" i="1"/>
  <c r="B164" i="1"/>
  <c r="B194" i="1" s="1"/>
  <c r="U84" i="1"/>
  <c r="U128" i="1"/>
  <c r="T182" i="1"/>
  <c r="B146" i="1"/>
  <c r="V161" i="1"/>
  <c r="W148" i="1"/>
  <c r="B89" i="1"/>
  <c r="Q174" i="1"/>
  <c r="F182" i="1"/>
  <c r="N153" i="1"/>
  <c r="M158" i="1"/>
  <c r="G160" i="1"/>
  <c r="I90" i="1"/>
  <c r="H153" i="1"/>
  <c r="B144" i="1"/>
  <c r="U146" i="1"/>
  <c r="U142" i="1" s="1"/>
  <c r="O171" i="1"/>
  <c r="B155" i="1"/>
  <c r="B190" i="1" s="1"/>
  <c r="N129" i="1"/>
  <c r="K130" i="1"/>
  <c r="U162" i="1"/>
  <c r="P162" i="1"/>
  <c r="N151" i="1"/>
  <c r="T128" i="1"/>
  <c r="H162" i="1"/>
  <c r="W144" i="1"/>
  <c r="G171" i="1"/>
  <c r="G172" i="1" s="1"/>
  <c r="L160" i="1"/>
  <c r="M183" i="1"/>
  <c r="B136" i="1"/>
  <c r="G136" i="1"/>
  <c r="I153" i="1"/>
  <c r="E171" i="1"/>
  <c r="E172" i="1" s="1"/>
  <c r="F220" i="1" s="1"/>
  <c r="D155" i="1"/>
  <c r="D190" i="1" s="1"/>
  <c r="K137" i="1"/>
  <c r="K165" i="1" s="1"/>
  <c r="S85" i="1"/>
  <c r="E135" i="1"/>
  <c r="K143" i="1"/>
  <c r="C161" i="1"/>
  <c r="W156" i="1"/>
  <c r="O182" i="1"/>
  <c r="O85" i="1"/>
  <c r="F128" i="1"/>
  <c r="J138" i="1"/>
  <c r="D139" i="1"/>
  <c r="N213" i="1"/>
  <c r="L167" i="1"/>
  <c r="M165" i="1"/>
  <c r="AX151" i="1"/>
  <c r="AY151" i="1" s="1"/>
  <c r="BP166" i="1"/>
  <c r="BQ166" i="1" s="1"/>
  <c r="BP84" i="1"/>
  <c r="BF136" i="1"/>
  <c r="BG136" i="1" s="1"/>
  <c r="BR170" i="1"/>
  <c r="BF158" i="1"/>
  <c r="BG158" i="1" s="1"/>
  <c r="BN130" i="1"/>
  <c r="BW85" i="1"/>
  <c r="BN137" i="1"/>
  <c r="BO137" i="1" s="1"/>
  <c r="BF165" i="1"/>
  <c r="BG165" i="1" s="1"/>
  <c r="BR138" i="1"/>
  <c r="BS138" i="1" s="1"/>
  <c r="AN128" i="1"/>
  <c r="BF162" i="1"/>
  <c r="BG162" i="1" s="1"/>
  <c r="BN133" i="1"/>
  <c r="BO133" i="1" s="1"/>
  <c r="BF174" i="1"/>
  <c r="BG174" i="1" s="1"/>
  <c r="AW84" i="1"/>
  <c r="BP137" i="1"/>
  <c r="BQ137" i="1" s="1"/>
  <c r="BD163" i="1"/>
  <c r="BE163" i="1" s="1"/>
  <c r="BN163" i="1"/>
  <c r="BO163" i="1" s="1"/>
  <c r="BR143" i="1"/>
  <c r="BP155" i="1"/>
  <c r="AZ146" i="1"/>
  <c r="BA146" i="1" s="1"/>
  <c r="BP135" i="1"/>
  <c r="BQ135" i="1" s="1"/>
  <c r="BP153" i="1"/>
  <c r="BQ153" i="1" s="1"/>
  <c r="BP142" i="1"/>
  <c r="BW84" i="1"/>
  <c r="BN166" i="1"/>
  <c r="BO166" i="1" s="1"/>
  <c r="BP130" i="1"/>
  <c r="BD85" i="1"/>
  <c r="BN136" i="1"/>
  <c r="BO136" i="1" s="1"/>
  <c r="AT133" i="1"/>
  <c r="AU133" i="1" s="1"/>
  <c r="BB143" i="1"/>
  <c r="BP151" i="1"/>
  <c r="BQ151" i="1" s="1"/>
  <c r="AP151" i="1"/>
  <c r="AN129" i="1"/>
  <c r="AO129" i="1" s="1"/>
  <c r="AN85" i="1"/>
  <c r="BE85" i="1"/>
  <c r="AX171" i="1"/>
  <c r="AP130" i="1"/>
  <c r="BN157" i="1"/>
  <c r="BO157" i="1" s="1"/>
  <c r="AY85" i="1"/>
  <c r="BR155" i="1"/>
  <c r="BP156" i="1"/>
  <c r="AT155" i="1"/>
  <c r="BC84" i="1"/>
  <c r="BN153" i="1"/>
  <c r="BO153" i="1" s="1"/>
  <c r="AP135" i="1"/>
  <c r="AQ135" i="1" s="1"/>
  <c r="BP128" i="1"/>
  <c r="BQ128" i="1" s="1"/>
  <c r="BD175" i="1"/>
  <c r="BE175" i="1" s="1"/>
  <c r="AV137" i="1"/>
  <c r="AW137" i="1" s="1"/>
  <c r="AR165" i="1"/>
  <c r="AS165" i="1" s="1"/>
  <c r="AR163" i="1"/>
  <c r="AS163" i="1" s="1"/>
  <c r="BP170" i="1"/>
  <c r="AN161" i="1"/>
  <c r="AO161" i="1" s="1"/>
  <c r="AR135" i="1"/>
  <c r="AN171" i="1"/>
  <c r="AV175" i="1"/>
  <c r="AW175" i="1" s="1"/>
  <c r="AN137" i="1"/>
  <c r="AO137" i="1" s="1"/>
  <c r="AR157" i="1"/>
  <c r="AS157" i="1" s="1"/>
  <c r="AV84" i="1"/>
  <c r="AT164" i="1"/>
  <c r="AP144" i="1"/>
  <c r="BN84" i="1"/>
  <c r="AV171" i="1"/>
  <c r="AR155" i="1"/>
  <c r="BP160" i="1"/>
  <c r="BQ160" i="1" s="1"/>
  <c r="AR158" i="1"/>
  <c r="AS158" i="1" s="1"/>
  <c r="BB156" i="1"/>
  <c r="BB151" i="1"/>
  <c r="BC151" i="1" s="1"/>
  <c r="BD128" i="1"/>
  <c r="BF171" i="1"/>
  <c r="BP164" i="1"/>
  <c r="AX166" i="1"/>
  <c r="AY166" i="1" s="1"/>
  <c r="BN155" i="1"/>
  <c r="BR129" i="1"/>
  <c r="BS129" i="1" s="1"/>
  <c r="BQ85" i="1"/>
  <c r="AT146" i="1"/>
  <c r="AU146" i="1" s="1"/>
  <c r="AX130" i="1"/>
  <c r="AZ144" i="1"/>
  <c r="AZ166" i="1"/>
  <c r="BA166" i="1" s="1"/>
  <c r="BF164" i="1"/>
  <c r="BN161" i="1"/>
  <c r="BO161" i="1" s="1"/>
  <c r="AQ85" i="1"/>
  <c r="BR85" i="1"/>
  <c r="BP85" i="1"/>
  <c r="AV165" i="1"/>
  <c r="AW165" i="1" s="1"/>
  <c r="AN175" i="1"/>
  <c r="AO175" i="1" s="1"/>
  <c r="AT161" i="1"/>
  <c r="AX148" i="1"/>
  <c r="AY148" i="1" s="1"/>
  <c r="BN156" i="1"/>
  <c r="BN165" i="1"/>
  <c r="BO165" i="1" s="1"/>
  <c r="BR153" i="1"/>
  <c r="BS153" i="1" s="1"/>
  <c r="BB162" i="1"/>
  <c r="BC162" i="1" s="1"/>
  <c r="BF153" i="1"/>
  <c r="BG153" i="1" s="1"/>
  <c r="BN158" i="1"/>
  <c r="BO158" i="1" s="1"/>
  <c r="BR166" i="1"/>
  <c r="BS166" i="1" s="1"/>
  <c r="BB133" i="1"/>
  <c r="BC133" i="1" s="1"/>
  <c r="AZ143" i="1"/>
  <c r="AW85" i="1"/>
  <c r="AS84" i="1"/>
  <c r="AT138" i="1"/>
  <c r="AU138" i="1" s="1"/>
  <c r="AT156" i="1"/>
  <c r="BF130" i="1"/>
  <c r="BF133" i="1"/>
  <c r="BG133" i="1" s="1"/>
  <c r="BP133" i="1"/>
  <c r="BQ133" i="1" s="1"/>
  <c r="BK84" i="1"/>
  <c r="BB153" i="1"/>
  <c r="BC153" i="1" s="1"/>
  <c r="AZ160" i="1"/>
  <c r="BA160" i="1" s="1"/>
  <c r="AN157" i="1"/>
  <c r="AO157" i="1" s="1"/>
  <c r="AN163" i="1"/>
  <c r="AO163" i="1" s="1"/>
  <c r="AR136" i="1"/>
  <c r="AS136" i="1" s="1"/>
  <c r="AR85" i="1"/>
  <c r="BP163" i="1"/>
  <c r="BQ163" i="1" s="1"/>
  <c r="AN174" i="1"/>
  <c r="AO174" i="1" s="1"/>
  <c r="AV174" i="1"/>
  <c r="AW174" i="1" s="1"/>
  <c r="AP164" i="1"/>
  <c r="BP144" i="1"/>
  <c r="AR148" i="1"/>
  <c r="AS148" i="1" s="1"/>
  <c r="AS85" i="1"/>
  <c r="AN162" i="1"/>
  <c r="AO162" i="1" s="1"/>
  <c r="AR138" i="1"/>
  <c r="AS138" i="1" s="1"/>
  <c r="BQ84" i="1"/>
  <c r="AN143" i="1"/>
  <c r="AR174" i="1"/>
  <c r="AS174" i="1" s="1"/>
  <c r="AN153" i="1"/>
  <c r="AR137" i="1"/>
  <c r="AS137" i="1" s="1"/>
  <c r="BD170" i="1"/>
  <c r="BR165" i="1"/>
  <c r="BS165" i="1" s="1"/>
  <c r="AX128" i="1"/>
  <c r="BC85" i="1"/>
  <c r="AT85" i="1"/>
  <c r="AN151" i="1"/>
  <c r="BP161" i="1"/>
  <c r="BQ161" i="1" s="1"/>
  <c r="AX170" i="1"/>
  <c r="BB174" i="1"/>
  <c r="BC174" i="1" s="1"/>
  <c r="BU84" i="1"/>
  <c r="BF157" i="1"/>
  <c r="BG157" i="1" s="1"/>
  <c r="BD144" i="1"/>
  <c r="BN151" i="1"/>
  <c r="AZ130" i="1"/>
  <c r="BP171" i="1"/>
  <c r="BN171" i="1"/>
  <c r="BF144" i="1"/>
  <c r="BP174" i="1"/>
  <c r="BQ174" i="1" s="1"/>
  <c r="BU85" i="1"/>
  <c r="BP129" i="1"/>
  <c r="BQ129" i="1" s="1"/>
  <c r="BF84" i="1"/>
  <c r="AT174" i="1"/>
  <c r="AU174" i="1" s="1"/>
  <c r="AU85" i="1"/>
  <c r="BP175" i="1"/>
  <c r="BQ175" i="1" s="1"/>
  <c r="AN130" i="1"/>
  <c r="AR146" i="1"/>
  <c r="AS146" i="1" s="1"/>
  <c r="AR151" i="1"/>
  <c r="AS151" i="1" s="1"/>
  <c r="AR144" i="1"/>
  <c r="AR142" i="1"/>
  <c r="AN155" i="1"/>
  <c r="AN160" i="1"/>
  <c r="AO160" i="1" s="1"/>
  <c r="AR166" i="1"/>
  <c r="AS166" i="1" s="1"/>
  <c r="AN166" i="1"/>
  <c r="AO166" i="1" s="1"/>
  <c r="AN142" i="1"/>
  <c r="AN84" i="1"/>
  <c r="AO85" i="1"/>
  <c r="BP148" i="1"/>
  <c r="BQ148" i="1" s="1"/>
  <c r="BN148" i="1"/>
  <c r="BO148" i="1" s="1"/>
  <c r="BF154" i="1"/>
  <c r="AZ154" i="1"/>
  <c r="DB88" i="1"/>
  <c r="CY76" i="1"/>
  <c r="CZ74" i="1"/>
  <c r="T172" i="1" l="1"/>
  <c r="M159" i="1"/>
  <c r="M193" i="1" s="1"/>
  <c r="T145" i="1"/>
  <c r="D76" i="1"/>
  <c r="D118" i="1" s="1"/>
  <c r="K172" i="1"/>
  <c r="H131" i="1"/>
  <c r="I131" i="1"/>
  <c r="B145" i="1"/>
  <c r="C167" i="1"/>
  <c r="L159" i="1"/>
  <c r="R159" i="1"/>
  <c r="P139" i="1"/>
  <c r="H213" i="1"/>
  <c r="R172" i="1"/>
  <c r="Q159" i="1"/>
  <c r="K184" i="1"/>
  <c r="C172" i="1"/>
  <c r="G145" i="1"/>
  <c r="AY263" i="1"/>
  <c r="L172" i="1"/>
  <c r="J184" i="1"/>
  <c r="I139" i="1"/>
  <c r="D131" i="1"/>
  <c r="D184" i="1"/>
  <c r="W184" i="1"/>
  <c r="J145" i="1"/>
  <c r="M192" i="1"/>
  <c r="E131" i="1"/>
  <c r="P131" i="1"/>
  <c r="B76" i="1"/>
  <c r="G131" i="1"/>
  <c r="U139" i="1"/>
  <c r="H184" i="1"/>
  <c r="K139" i="1"/>
  <c r="Q145" i="1"/>
  <c r="U213" i="1"/>
  <c r="S172" i="1"/>
  <c r="T220" i="1" s="1"/>
  <c r="T213" i="1"/>
  <c r="B131" i="1"/>
  <c r="O159" i="1"/>
  <c r="U184" i="1"/>
  <c r="U131" i="1"/>
  <c r="L145" i="1"/>
  <c r="C131" i="1"/>
  <c r="K159" i="1"/>
  <c r="S184" i="1"/>
  <c r="M139" i="1"/>
  <c r="S167" i="1"/>
  <c r="Q213" i="1"/>
  <c r="V131" i="1"/>
  <c r="N172" i="1"/>
  <c r="O220" i="1" s="1"/>
  <c r="E159" i="1"/>
  <c r="R167" i="1"/>
  <c r="T184" i="1"/>
  <c r="O172" i="1"/>
  <c r="B139" i="1"/>
  <c r="F131" i="1"/>
  <c r="T131" i="1"/>
  <c r="C145" i="1"/>
  <c r="Q184" i="1"/>
  <c r="S145" i="1"/>
  <c r="K213" i="1"/>
  <c r="H172" i="1"/>
  <c r="N184" i="1"/>
  <c r="G184" i="1"/>
  <c r="J131" i="1"/>
  <c r="M145" i="1"/>
  <c r="P184" i="1"/>
  <c r="P145" i="1"/>
  <c r="W145" i="1"/>
  <c r="I184" i="1"/>
  <c r="R131" i="1"/>
  <c r="R184" i="1"/>
  <c r="J213" i="1"/>
  <c r="I213" i="1"/>
  <c r="AY37" i="1"/>
  <c r="BD21" i="1"/>
  <c r="BS263" i="1"/>
  <c r="BW139" i="1"/>
  <c r="AW264" i="1"/>
  <c r="BM21" i="1"/>
  <c r="AP37" i="1"/>
  <c r="BU37" i="1"/>
  <c r="BE84" i="1"/>
  <c r="BN174" i="1"/>
  <c r="BO174" i="1" s="1"/>
  <c r="AZ174" i="1"/>
  <c r="BA174" i="1" s="1"/>
  <c r="BG85" i="1"/>
  <c r="AT130" i="1"/>
  <c r="BD164" i="1"/>
  <c r="BF137" i="1"/>
  <c r="BG137" i="1" s="1"/>
  <c r="AV157" i="1"/>
  <c r="AW157" i="1" s="1"/>
  <c r="AP194" i="1"/>
  <c r="AQ194" i="1" s="1"/>
  <c r="BI85" i="1"/>
  <c r="AN146" i="1"/>
  <c r="AO146" i="1" s="1"/>
  <c r="AR160" i="1"/>
  <c r="AS160" i="1" s="1"/>
  <c r="AX164" i="1"/>
  <c r="AX165" i="1"/>
  <c r="AY165" i="1" s="1"/>
  <c r="AT163" i="1"/>
  <c r="AU163" i="1" s="1"/>
  <c r="BF163" i="1"/>
  <c r="BG163" i="1" s="1"/>
  <c r="BF160" i="1"/>
  <c r="BG160" i="1" s="1"/>
  <c r="AP143" i="1"/>
  <c r="BN142" i="1"/>
  <c r="BR158" i="1"/>
  <c r="BS158" i="1" s="1"/>
  <c r="AX157" i="1"/>
  <c r="AY157" i="1" s="1"/>
  <c r="BN129" i="1"/>
  <c r="BO129" i="1" s="1"/>
  <c r="BN162" i="1"/>
  <c r="BO162" i="1" s="1"/>
  <c r="BB166" i="1"/>
  <c r="BC166" i="1" s="1"/>
  <c r="BB163" i="1"/>
  <c r="BC163" i="1" s="1"/>
  <c r="BF166" i="1"/>
  <c r="BG166" i="1" s="1"/>
  <c r="BF170" i="1"/>
  <c r="AR170" i="1"/>
  <c r="AV158" i="1"/>
  <c r="AW158" i="1" s="1"/>
  <c r="BF148" i="1"/>
  <c r="BG148" i="1" s="1"/>
  <c r="AX154" i="1"/>
  <c r="BN154" i="1"/>
  <c r="AP264" i="1"/>
  <c r="BD242" i="1"/>
  <c r="AU242" i="1"/>
  <c r="AO109" i="1"/>
  <c r="AO110" i="1" s="1"/>
  <c r="BM37" i="1"/>
  <c r="AZ165" i="1"/>
  <c r="BA165" i="1" s="1"/>
  <c r="BI84" i="1"/>
  <c r="AX155" i="1"/>
  <c r="BF85" i="1"/>
  <c r="AZ163" i="1"/>
  <c r="BA163" i="1" s="1"/>
  <c r="AZ128" i="1"/>
  <c r="BA128" i="1" s="1"/>
  <c r="BN175" i="1"/>
  <c r="BO175" i="1" s="1"/>
  <c r="AX129" i="1"/>
  <c r="AY129" i="1" s="1"/>
  <c r="AX162" i="1"/>
  <c r="AY162" i="1" s="1"/>
  <c r="AT162" i="1"/>
  <c r="AU162" i="1" s="1"/>
  <c r="BF135" i="1"/>
  <c r="BG135" i="1" s="1"/>
  <c r="BG84" i="1"/>
  <c r="BM85" i="1"/>
  <c r="BN138" i="1"/>
  <c r="BO138" i="1" s="1"/>
  <c r="BF175" i="1"/>
  <c r="BG175" i="1" s="1"/>
  <c r="BF129" i="1"/>
  <c r="BG129" i="1" s="1"/>
  <c r="AX158" i="1"/>
  <c r="AY158" i="1" s="1"/>
  <c r="AX163" i="1"/>
  <c r="AY163" i="1" s="1"/>
  <c r="BF128" i="1"/>
  <c r="BG128" i="1" s="1"/>
  <c r="AV155" i="1"/>
  <c r="BF143" i="1"/>
  <c r="AX133" i="1"/>
  <c r="AY133" i="1" s="1"/>
  <c r="AT144" i="1"/>
  <c r="AX161" i="1"/>
  <c r="AY161" i="1" s="1"/>
  <c r="BN143" i="1"/>
  <c r="BB171" i="1"/>
  <c r="BR156" i="1"/>
  <c r="AR153" i="1"/>
  <c r="AS153" i="1" s="1"/>
  <c r="AP174" i="1"/>
  <c r="AQ174" i="1" s="1"/>
  <c r="AN148" i="1"/>
  <c r="AO148" i="1" s="1"/>
  <c r="AR129" i="1"/>
  <c r="AS129" i="1" s="1"/>
  <c r="AR164" i="1"/>
  <c r="AR133" i="1"/>
  <c r="AS133" i="1" s="1"/>
  <c r="AU84" i="1"/>
  <c r="AR171" i="1"/>
  <c r="AR84" i="1"/>
  <c r="BF161" i="1"/>
  <c r="BG161" i="1" s="1"/>
  <c r="BO84" i="1"/>
  <c r="AX174" i="1"/>
  <c r="AY174" i="1" s="1"/>
  <c r="BN170" i="1"/>
  <c r="AX142" i="1"/>
  <c r="BF156" i="1"/>
  <c r="BF142" i="1"/>
  <c r="AX146" i="1"/>
  <c r="AY146" i="1" s="1"/>
  <c r="BF146" i="1"/>
  <c r="BG146" i="1" s="1"/>
  <c r="AZ138" i="1"/>
  <c r="BA138" i="1" s="1"/>
  <c r="BD157" i="1"/>
  <c r="BE157" i="1" s="1"/>
  <c r="BD135" i="1"/>
  <c r="BE135" i="1" s="1"/>
  <c r="BN85" i="1"/>
  <c r="AX160" i="1"/>
  <c r="AX143" i="1"/>
  <c r="BN144" i="1"/>
  <c r="BN135" i="1"/>
  <c r="AX137" i="1"/>
  <c r="AY137" i="1" s="1"/>
  <c r="AX153" i="1"/>
  <c r="AY153" i="1" s="1"/>
  <c r="BR144" i="1"/>
  <c r="BR161" i="1"/>
  <c r="BS161" i="1" s="1"/>
  <c r="AT157" i="1"/>
  <c r="AU157" i="1" s="1"/>
  <c r="AZ161" i="1"/>
  <c r="BA161" i="1" s="1"/>
  <c r="BD130" i="1"/>
  <c r="BF151" i="1"/>
  <c r="BG151" i="1" s="1"/>
  <c r="BN164" i="1"/>
  <c r="AR128" i="1"/>
  <c r="AN165" i="1"/>
  <c r="AO165" i="1" s="1"/>
  <c r="AP84" i="1"/>
  <c r="AV153" i="1"/>
  <c r="AW153" i="1" s="1"/>
  <c r="BF155" i="1"/>
  <c r="AX175" i="1"/>
  <c r="AY175" i="1" s="1"/>
  <c r="BF138" i="1"/>
  <c r="BG138" i="1" s="1"/>
  <c r="BD129" i="1"/>
  <c r="BE129" i="1" s="1"/>
  <c r="AV143" i="1"/>
  <c r="AX144" i="1"/>
  <c r="BN160" i="1"/>
  <c r="BO160" i="1" s="1"/>
  <c r="BN128" i="1"/>
  <c r="BO128" i="1" s="1"/>
  <c r="BN146" i="1"/>
  <c r="BO146" i="1" s="1"/>
  <c r="AZ84" i="1"/>
  <c r="AV154" i="1"/>
  <c r="AT148" i="1"/>
  <c r="AU148" i="1" s="1"/>
  <c r="AP205" i="1"/>
  <c r="BD263" i="1"/>
  <c r="AU264" i="1"/>
  <c r="BT242" i="1"/>
  <c r="BC21" i="1"/>
  <c r="BR137" i="1"/>
  <c r="BS137" i="1" s="1"/>
  <c r="BT142" i="1"/>
  <c r="AT142" i="1"/>
  <c r="AZ142" i="1"/>
  <c r="AP154" i="1"/>
  <c r="AQ154" i="1" s="1"/>
  <c r="AZ153" i="1"/>
  <c r="BA153" i="1" s="1"/>
  <c r="BT128" i="1"/>
  <c r="BU128" i="1" s="1"/>
  <c r="BD160" i="1"/>
  <c r="BE160" i="1" s="1"/>
  <c r="BT157" i="1"/>
  <c r="BU157" i="1" s="1"/>
  <c r="BT85" i="1"/>
  <c r="AT136" i="1"/>
  <c r="AU136" i="1" s="1"/>
  <c r="AV151" i="1"/>
  <c r="BB130" i="1"/>
  <c r="AZ156" i="1"/>
  <c r="BA85" i="1"/>
  <c r="BB138" i="1"/>
  <c r="BC138" i="1" s="1"/>
  <c r="BT170" i="1"/>
  <c r="AZ155" i="1"/>
  <c r="AP161" i="1"/>
  <c r="AQ161" i="1" s="1"/>
  <c r="AV128" i="1"/>
  <c r="AW128" i="1" s="1"/>
  <c r="AP153" i="1"/>
  <c r="AV136" i="1"/>
  <c r="AW136" i="1" s="1"/>
  <c r="BT151" i="1"/>
  <c r="AV162" i="1"/>
  <c r="AW162" i="1" s="1"/>
  <c r="BT138" i="1"/>
  <c r="BU138" i="1" s="1"/>
  <c r="BR146" i="1"/>
  <c r="BS146" i="1" s="1"/>
  <c r="BS84" i="1"/>
  <c r="AT137" i="1"/>
  <c r="AU137" i="1" s="1"/>
  <c r="BD133" i="1"/>
  <c r="BE133" i="1" s="1"/>
  <c r="BB165" i="1"/>
  <c r="BC165" i="1" s="1"/>
  <c r="BB160" i="1"/>
  <c r="BC160" i="1" s="1"/>
  <c r="AZ162" i="1"/>
  <c r="BA162" i="1" s="1"/>
  <c r="BD156" i="1"/>
  <c r="BT171" i="1"/>
  <c r="AP129" i="1"/>
  <c r="AQ129" i="1" s="1"/>
  <c r="AP160" i="1"/>
  <c r="AQ160" i="1" s="1"/>
  <c r="AT165" i="1"/>
  <c r="AU165" i="1" s="1"/>
  <c r="BB161" i="1"/>
  <c r="BC161" i="1" s="1"/>
  <c r="BD151" i="1"/>
  <c r="BE151" i="1" s="1"/>
  <c r="AT154" i="1"/>
  <c r="AU154" i="1" s="1"/>
  <c r="BT156" i="1"/>
  <c r="BT191" i="1" s="1"/>
  <c r="BU191" i="1" s="1"/>
  <c r="BT161" i="1"/>
  <c r="BU161" i="1" s="1"/>
  <c r="AP137" i="1"/>
  <c r="AQ137" i="1" s="1"/>
  <c r="AV85" i="1"/>
  <c r="AV129" i="1"/>
  <c r="AW129" i="1" s="1"/>
  <c r="BD84" i="1"/>
  <c r="AP171" i="1"/>
  <c r="BS85" i="1"/>
  <c r="BB84" i="1"/>
  <c r="AZ157" i="1"/>
  <c r="BA157" i="1" s="1"/>
  <c r="BK85" i="1"/>
  <c r="BR151" i="1"/>
  <c r="AP166" i="1"/>
  <c r="AQ166" i="1" s="1"/>
  <c r="BD155" i="1"/>
  <c r="BT166" i="1"/>
  <c r="BU166" i="1" s="1"/>
  <c r="BT84" i="1"/>
  <c r="BD138" i="1"/>
  <c r="BE138" i="1" s="1"/>
  <c r="BT175" i="1"/>
  <c r="BU175" i="1" s="1"/>
  <c r="BR133" i="1"/>
  <c r="BS133" i="1" s="1"/>
  <c r="AZ170" i="1"/>
  <c r="BT144" i="1"/>
  <c r="AT153" i="1"/>
  <c r="BD136" i="1"/>
  <c r="BE136" i="1" s="1"/>
  <c r="BT153" i="1"/>
  <c r="BU153" i="1" s="1"/>
  <c r="BD165" i="1"/>
  <c r="BE165" i="1" s="1"/>
  <c r="BT174" i="1"/>
  <c r="BU174" i="1" s="1"/>
  <c r="AP146" i="1"/>
  <c r="AQ146" i="1" s="1"/>
  <c r="AP170" i="1"/>
  <c r="AP158" i="1"/>
  <c r="AQ158" i="1" s="1"/>
  <c r="BD143" i="1"/>
  <c r="AV130" i="1"/>
  <c r="AT84" i="1"/>
  <c r="AV148" i="1"/>
  <c r="AW148" i="1" s="1"/>
  <c r="AP148" i="1"/>
  <c r="AQ148" i="1" s="1"/>
  <c r="BB148" i="1"/>
  <c r="BC148" i="1" s="1"/>
  <c r="BT154" i="1"/>
  <c r="BD154" i="1"/>
  <c r="BR154" i="1"/>
  <c r="BV172" i="1"/>
  <c r="BW220" i="1" s="1"/>
  <c r="BD146" i="1"/>
  <c r="BE146" i="1" s="1"/>
  <c r="BT162" i="1"/>
  <c r="BU162" i="1" s="1"/>
  <c r="AP136" i="1"/>
  <c r="AQ136" i="1" s="1"/>
  <c r="AV146" i="1"/>
  <c r="AW146" i="1" s="1"/>
  <c r="BA84" i="1"/>
  <c r="BD171" i="1"/>
  <c r="BT163" i="1"/>
  <c r="BU163" i="1" s="1"/>
  <c r="AT170" i="1"/>
  <c r="AZ158" i="1"/>
  <c r="BA158" i="1" s="1"/>
  <c r="BB137" i="1"/>
  <c r="BC137" i="1" s="1"/>
  <c r="AV161" i="1"/>
  <c r="AW161" i="1" s="1"/>
  <c r="BT155" i="1"/>
  <c r="BT190" i="1" s="1"/>
  <c r="BU190" i="1" s="1"/>
  <c r="BT164" i="1"/>
  <c r="BT194" i="1" s="1"/>
  <c r="BU194" i="1" s="1"/>
  <c r="BD137" i="1"/>
  <c r="BE137" i="1" s="1"/>
  <c r="AV170" i="1"/>
  <c r="AZ151" i="1"/>
  <c r="BA151" i="1" s="1"/>
  <c r="BB142" i="1"/>
  <c r="BB164" i="1"/>
  <c r="BD161" i="1"/>
  <c r="BE161" i="1" s="1"/>
  <c r="BT146" i="1"/>
  <c r="BU146" i="1" s="1"/>
  <c r="BR175" i="1"/>
  <c r="BS175" i="1" s="1"/>
  <c r="AT128" i="1"/>
  <c r="BB144" i="1"/>
  <c r="BT158" i="1"/>
  <c r="BU158" i="1" s="1"/>
  <c r="AP138" i="1"/>
  <c r="AQ138" i="1" s="1"/>
  <c r="AV135" i="1"/>
  <c r="AV163" i="1"/>
  <c r="AW163" i="1" s="1"/>
  <c r="BT143" i="1"/>
  <c r="BT136" i="1"/>
  <c r="BU136" i="1" s="1"/>
  <c r="BB158" i="1"/>
  <c r="BC158" i="1" s="1"/>
  <c r="AP156" i="1"/>
  <c r="AP191" i="1" s="1"/>
  <c r="AQ191" i="1" s="1"/>
  <c r="AZ85" i="1"/>
  <c r="BT129" i="1"/>
  <c r="BU129" i="1" s="1"/>
  <c r="BT133" i="1"/>
  <c r="BU133" i="1" s="1"/>
  <c r="BB128" i="1"/>
  <c r="BD148" i="1"/>
  <c r="BE148" i="1" s="1"/>
  <c r="AZ164" i="1"/>
  <c r="BD158" i="1"/>
  <c r="BE158" i="1" s="1"/>
  <c r="BB146" i="1"/>
  <c r="BC146" i="1" s="1"/>
  <c r="AQ84" i="1"/>
  <c r="BB135" i="1"/>
  <c r="BB157" i="1"/>
  <c r="BC157" i="1" s="1"/>
  <c r="BD142" i="1"/>
  <c r="BR157" i="1"/>
  <c r="BS157" i="1" s="1"/>
  <c r="BD162" i="1"/>
  <c r="BE162" i="1" s="1"/>
  <c r="BD174" i="1"/>
  <c r="BE174" i="1" s="1"/>
  <c r="BT130" i="1"/>
  <c r="BT165" i="1"/>
  <c r="BU165" i="1" s="1"/>
  <c r="AP85" i="1"/>
  <c r="BD153" i="1"/>
  <c r="BE153" i="1" s="1"/>
  <c r="AP155" i="1"/>
  <c r="AP190" i="1" s="1"/>
  <c r="AQ190" i="1" s="1"/>
  <c r="BT135" i="1"/>
  <c r="BB170" i="1"/>
  <c r="BM84" i="1"/>
  <c r="BD166" i="1"/>
  <c r="BE166" i="1" s="1"/>
  <c r="BT137" i="1"/>
  <c r="BU137" i="1" s="1"/>
  <c r="AP175" i="1"/>
  <c r="AQ175" i="1" s="1"/>
  <c r="AV133" i="1"/>
  <c r="AW133" i="1" s="1"/>
  <c r="AV166" i="1"/>
  <c r="AW166" i="1" s="1"/>
  <c r="BT160" i="1"/>
  <c r="BU160" i="1" s="1"/>
  <c r="BT148" i="1"/>
  <c r="BU148" i="1" s="1"/>
  <c r="AT21" i="1"/>
  <c r="AT27" i="1" s="1"/>
  <c r="BD37" i="1"/>
  <c r="BR37" i="1"/>
  <c r="BA37" i="1"/>
  <c r="BK37" i="1"/>
  <c r="AZ37" i="1"/>
  <c r="BF37" i="1"/>
  <c r="AX37" i="1"/>
  <c r="BM109" i="1"/>
  <c r="BM110" i="1" s="1"/>
  <c r="AZ264" i="1"/>
  <c r="BC37" i="1"/>
  <c r="AU37" i="1"/>
  <c r="AR194" i="1"/>
  <c r="AR190" i="1"/>
  <c r="AS190" i="1" s="1"/>
  <c r="BB191" i="1"/>
  <c r="BC191" i="1" s="1"/>
  <c r="BI160" i="1"/>
  <c r="BH139" i="1"/>
  <c r="AN263" i="1"/>
  <c r="AP263" i="1"/>
  <c r="BF263" i="1"/>
  <c r="AZ242" i="1"/>
  <c r="AP21" i="1"/>
  <c r="AI196" i="1"/>
  <c r="AN205" i="1"/>
  <c r="BW264" i="1"/>
  <c r="BN263" i="1"/>
  <c r="BM242" i="1"/>
  <c r="BU21" i="1"/>
  <c r="BD264" i="1"/>
  <c r="BG109" i="1"/>
  <c r="BG110" i="1" s="1"/>
  <c r="AR264" i="1"/>
  <c r="BW109" i="1"/>
  <c r="BW110" i="1" s="1"/>
  <c r="AZ263" i="1"/>
  <c r="AT37" i="1"/>
  <c r="BG264" i="1"/>
  <c r="AL109" i="1"/>
  <c r="AL110" i="1" s="1"/>
  <c r="AL115" i="1" s="1"/>
  <c r="AV37" i="1"/>
  <c r="BH37" i="1"/>
  <c r="BV263" i="1"/>
  <c r="AI191" i="1"/>
  <c r="BE21" i="1"/>
  <c r="BT263" i="1"/>
  <c r="BM214" i="1"/>
  <c r="BM212" i="1" s="1"/>
  <c r="BP205" i="1"/>
  <c r="BF264" i="1"/>
  <c r="AX264" i="1"/>
  <c r="AQ21" i="1"/>
  <c r="AR263" i="1"/>
  <c r="BU264" i="1"/>
  <c r="BM263" i="1"/>
  <c r="AN21" i="1"/>
  <c r="AN242" i="1"/>
  <c r="BF21" i="1"/>
  <c r="BW242" i="1"/>
  <c r="BN44" i="1"/>
  <c r="BN205" i="1"/>
  <c r="AQ264" i="1"/>
  <c r="BN21" i="1"/>
  <c r="BI205" i="1"/>
  <c r="BE109" i="1"/>
  <c r="BE110" i="1" s="1"/>
  <c r="BE115" i="1" s="1"/>
  <c r="BE264" i="1"/>
  <c r="BV167" i="1"/>
  <c r="BV196" i="1" s="1"/>
  <c r="BJ205" i="1"/>
  <c r="AX242" i="1"/>
  <c r="BT21" i="1"/>
  <c r="AU263" i="1"/>
  <c r="AI190" i="1"/>
  <c r="BW213" i="1"/>
  <c r="BG263" i="1"/>
  <c r="BP190" i="1"/>
  <c r="BQ190" i="1" s="1"/>
  <c r="BP191" i="1"/>
  <c r="BQ191" i="1" s="1"/>
  <c r="BP194" i="1"/>
  <c r="BQ194" i="1" s="1"/>
  <c r="BF194" i="1"/>
  <c r="BG194" i="1" s="1"/>
  <c r="BN191" i="1"/>
  <c r="BO191" i="1" s="1"/>
  <c r="AN190" i="1"/>
  <c r="AO190" i="1" s="1"/>
  <c r="BH172" i="1"/>
  <c r="BI135" i="1"/>
  <c r="BI139" i="1" s="1"/>
  <c r="AZ21" i="1"/>
  <c r="AI48" i="1"/>
  <c r="AM59" i="1"/>
  <c r="AI194" i="1"/>
  <c r="AI193" i="1"/>
  <c r="AN44" i="1"/>
  <c r="BP263" i="1"/>
  <c r="BN242" i="1"/>
  <c r="BU263" i="1"/>
  <c r="AI37" i="1"/>
  <c r="BG37" i="1"/>
  <c r="BV159" i="1"/>
  <c r="AR21" i="1"/>
  <c r="BT264" i="1"/>
  <c r="AI21" i="1"/>
  <c r="BV109" i="1"/>
  <c r="BV110" i="1" s="1"/>
  <c r="AQ37" i="1"/>
  <c r="BP21" i="1"/>
  <c r="AU21" i="1"/>
  <c r="BS21" i="1"/>
  <c r="BV194" i="1"/>
  <c r="BM264" i="1"/>
  <c r="BM44" i="1"/>
  <c r="BM205" i="1"/>
  <c r="BP264" i="1"/>
  <c r="AI44" i="1"/>
  <c r="AQ263" i="1"/>
  <c r="BT205" i="1"/>
  <c r="BU205" i="1"/>
  <c r="BW128" i="1"/>
  <c r="BS37" i="1"/>
  <c r="AN109" i="1"/>
  <c r="AN110" i="1" s="1"/>
  <c r="BF109" i="1"/>
  <c r="BF110" i="1" s="1"/>
  <c r="BW21" i="1"/>
  <c r="BZ109" i="1"/>
  <c r="BZ110" i="1" s="1"/>
  <c r="AQ205" i="1"/>
  <c r="BW263" i="1"/>
  <c r="BF242" i="1"/>
  <c r="AN264" i="1"/>
  <c r="BC263" i="1"/>
  <c r="BC264" i="1"/>
  <c r="BV37" i="1"/>
  <c r="BJ264" i="1"/>
  <c r="BG242" i="1"/>
  <c r="AX21" i="1"/>
  <c r="BG21" i="1"/>
  <c r="BA205" i="1"/>
  <c r="AI242" i="1"/>
  <c r="BS264" i="1"/>
  <c r="BM48" i="1"/>
  <c r="AR37" i="1"/>
  <c r="BW37" i="1"/>
  <c r="BO37" i="1"/>
  <c r="AO37" i="1"/>
  <c r="BH131" i="1"/>
  <c r="BH103" i="1" s="1"/>
  <c r="BH107" i="1" s="1"/>
  <c r="AR175" i="1"/>
  <c r="AS175" i="1" s="1"/>
  <c r="AX85" i="1"/>
  <c r="AZ171" i="1"/>
  <c r="BR160" i="1"/>
  <c r="BS160" i="1" s="1"/>
  <c r="BB85" i="1"/>
  <c r="AV138" i="1"/>
  <c r="AW138" i="1" s="1"/>
  <c r="BP165" i="1"/>
  <c r="BQ165" i="1" s="1"/>
  <c r="AX136" i="1"/>
  <c r="AY136" i="1" s="1"/>
  <c r="BR128" i="1"/>
  <c r="BP158" i="1"/>
  <c r="BQ158" i="1" s="1"/>
  <c r="AX138" i="1"/>
  <c r="AY138" i="1" s="1"/>
  <c r="AT171" i="1"/>
  <c r="AP128" i="1"/>
  <c r="AQ128" i="1" s="1"/>
  <c r="AP142" i="1"/>
  <c r="AT143" i="1"/>
  <c r="BR148" i="1"/>
  <c r="BS148" i="1" s="1"/>
  <c r="AP157" i="1"/>
  <c r="AQ157" i="1" s="1"/>
  <c r="BP138" i="1"/>
  <c r="BQ138" i="1" s="1"/>
  <c r="AR154" i="1"/>
  <c r="AS154" i="1" s="1"/>
  <c r="AX84" i="1"/>
  <c r="BR84" i="1"/>
  <c r="BR135" i="1"/>
  <c r="BS135" i="1" s="1"/>
  <c r="BB136" i="1"/>
  <c r="BC136" i="1" s="1"/>
  <c r="AX135" i="1"/>
  <c r="BR130" i="1"/>
  <c r="BR174" i="1"/>
  <c r="BS174" i="1" s="1"/>
  <c r="AP162" i="1"/>
  <c r="AQ162" i="1" s="1"/>
  <c r="AT135" i="1"/>
  <c r="AU135" i="1" s="1"/>
  <c r="AN164" i="1"/>
  <c r="AN194" i="1" s="1"/>
  <c r="AO194" i="1" s="1"/>
  <c r="AR143" i="1"/>
  <c r="BB154" i="1"/>
  <c r="BB155" i="1"/>
  <c r="BR136" i="1"/>
  <c r="BS136" i="1" s="1"/>
  <c r="AZ136" i="1"/>
  <c r="BA136" i="1" s="1"/>
  <c r="BP146" i="1"/>
  <c r="BQ146" i="1" s="1"/>
  <c r="AR156" i="1"/>
  <c r="AP165" i="1"/>
  <c r="AQ165" i="1" s="1"/>
  <c r="AN133" i="1"/>
  <c r="AO133" i="1" s="1"/>
  <c r="BR162" i="1"/>
  <c r="BS162" i="1" s="1"/>
  <c r="AV160" i="1"/>
  <c r="AW160" i="1" s="1"/>
  <c r="BP143" i="1"/>
  <c r="AR130" i="1"/>
  <c r="AV144" i="1"/>
  <c r="AV164" i="1"/>
  <c r="AT160" i="1"/>
  <c r="AU160" i="1" s="1"/>
  <c r="BO85" i="1"/>
  <c r="AT129" i="1"/>
  <c r="AU129" i="1" s="1"/>
  <c r="AZ137" i="1"/>
  <c r="BA137" i="1" s="1"/>
  <c r="AZ133" i="1"/>
  <c r="BA133" i="1" s="1"/>
  <c r="AX156" i="1"/>
  <c r="AX191" i="1" s="1"/>
  <c r="AY191" i="1" s="1"/>
  <c r="AO84" i="1"/>
  <c r="AY84" i="1"/>
  <c r="BP154" i="1"/>
  <c r="BQ154" i="1" s="1"/>
  <c r="BP162" i="1"/>
  <c r="BQ162" i="1" s="1"/>
  <c r="AZ129" i="1"/>
  <c r="BA129" i="1" s="1"/>
  <c r="AT166" i="1"/>
  <c r="AU166" i="1" s="1"/>
  <c r="AZ175" i="1"/>
  <c r="BA175" i="1" s="1"/>
  <c r="AP133" i="1"/>
  <c r="AQ133" i="1" s="1"/>
  <c r="BP157" i="1"/>
  <c r="BQ157" i="1" s="1"/>
  <c r="AN170" i="1"/>
  <c r="AZ148" i="1"/>
  <c r="BA148" i="1" s="1"/>
  <c r="BP136" i="1"/>
  <c r="BQ136" i="1" s="1"/>
  <c r="AN158" i="1"/>
  <c r="AO158" i="1" s="1"/>
  <c r="AR161" i="1"/>
  <c r="AS161" i="1" s="1"/>
  <c r="AN154" i="1"/>
  <c r="AO154" i="1" s="1"/>
  <c r="AV156" i="1"/>
  <c r="AT175" i="1"/>
  <c r="AU175" i="1" s="1"/>
  <c r="AZ135" i="1"/>
  <c r="BA135" i="1" s="1"/>
  <c r="AN144" i="1"/>
  <c r="AV142" i="1"/>
  <c r="BR163" i="1"/>
  <c r="BS163" i="1" s="1"/>
  <c r="BB175" i="1"/>
  <c r="BC175" i="1" s="1"/>
  <c r="BR171" i="1"/>
  <c r="BR142" i="1"/>
  <c r="BR164" i="1"/>
  <c r="AT151" i="1"/>
  <c r="AU151" i="1" s="1"/>
  <c r="AP163" i="1"/>
  <c r="AQ163" i="1" s="1"/>
  <c r="AT158" i="1"/>
  <c r="AU158" i="1" s="1"/>
  <c r="BB129" i="1"/>
  <c r="BC129" i="1" s="1"/>
  <c r="AN156" i="1"/>
  <c r="AN191" i="1" s="1"/>
  <c r="AO191" i="1" s="1"/>
  <c r="AN135" i="1"/>
  <c r="AN138" i="1"/>
  <c r="AO138" i="1" s="1"/>
  <c r="AR162" i="1"/>
  <c r="AS162" i="1" s="1"/>
  <c r="AN136" i="1"/>
  <c r="AO136" i="1" s="1"/>
  <c r="AT191" i="1"/>
  <c r="AU191" i="1" s="1"/>
  <c r="BH21" i="1"/>
  <c r="I159" i="1"/>
  <c r="I193" i="1" s="1"/>
  <c r="I192" i="1" s="1"/>
  <c r="V184" i="1"/>
  <c r="K167" i="1"/>
  <c r="S213" i="1"/>
  <c r="H139" i="1"/>
  <c r="I217" i="1" s="1"/>
  <c r="O139" i="1"/>
  <c r="O48" i="1" s="1"/>
  <c r="C159" i="1"/>
  <c r="C168" i="1" s="1"/>
  <c r="M131" i="1"/>
  <c r="M259" i="1" s="1"/>
  <c r="I179" i="1"/>
  <c r="I120" i="1" s="1"/>
  <c r="L139" i="1"/>
  <c r="AN37" i="1"/>
  <c r="L131" i="1"/>
  <c r="BU109" i="1"/>
  <c r="BU110" i="1" s="1"/>
  <c r="O184" i="1"/>
  <c r="V167" i="1"/>
  <c r="M184" i="1"/>
  <c r="C76" i="1"/>
  <c r="C119" i="1" s="1"/>
  <c r="J167" i="1"/>
  <c r="K208" i="1" s="1"/>
  <c r="N145" i="1"/>
  <c r="N44" i="1" s="1"/>
  <c r="U172" i="1"/>
  <c r="V220" i="1" s="1"/>
  <c r="G167" i="1"/>
  <c r="L184" i="1"/>
  <c r="BK263" i="1"/>
  <c r="N131" i="1"/>
  <c r="AW37" i="1"/>
  <c r="H167" i="1"/>
  <c r="H196" i="1" s="1"/>
  <c r="BE263" i="1"/>
  <c r="BQ37" i="1"/>
  <c r="BB37" i="1"/>
  <c r="BR264" i="1"/>
  <c r="BI37" i="1"/>
  <c r="G159" i="1"/>
  <c r="G193" i="1" s="1"/>
  <c r="BR109" i="1"/>
  <c r="BR110" i="1" s="1"/>
  <c r="O167" i="1"/>
  <c r="U145" i="1"/>
  <c r="E184" i="1"/>
  <c r="J139" i="1"/>
  <c r="J179" i="1" s="1"/>
  <c r="J120" i="1" s="1"/>
  <c r="Q139" i="1"/>
  <c r="Q260" i="1" s="1"/>
  <c r="Q262" i="1" s="1"/>
  <c r="K145" i="1"/>
  <c r="N139" i="1"/>
  <c r="AS37" i="1"/>
  <c r="BK264" i="1"/>
  <c r="T139" i="1"/>
  <c r="T217" i="1" s="1"/>
  <c r="F145" i="1"/>
  <c r="I145" i="1"/>
  <c r="BN37" i="1"/>
  <c r="F184" i="1"/>
  <c r="AX263" i="1"/>
  <c r="F159" i="1"/>
  <c r="F193" i="1" s="1"/>
  <c r="BP37" i="1"/>
  <c r="H145" i="1"/>
  <c r="BT37" i="1"/>
  <c r="AS264" i="1"/>
  <c r="AT194" i="1"/>
  <c r="AU194" i="1" s="1"/>
  <c r="AV263" i="1"/>
  <c r="O131" i="1"/>
  <c r="BI263" i="1"/>
  <c r="BE37" i="1"/>
  <c r="BH190" i="1"/>
  <c r="BI190" i="1" s="1"/>
  <c r="AS205" i="1"/>
  <c r="C260" i="1"/>
  <c r="C262" i="1" s="1"/>
  <c r="BK21" i="1"/>
  <c r="AT263" i="1"/>
  <c r="BV145" i="1"/>
  <c r="BV131" i="1"/>
  <c r="BH145" i="1"/>
  <c r="BH149" i="1" s="1"/>
  <c r="BI128" i="1"/>
  <c r="S192" i="1"/>
  <c r="N195" i="1"/>
  <c r="BJ38" i="1"/>
  <c r="BJ28" i="1"/>
  <c r="G192" i="1"/>
  <c r="D65" i="1"/>
  <c r="D218" i="1"/>
  <c r="D186" i="1"/>
  <c r="B118" i="1"/>
  <c r="B119" i="1"/>
  <c r="B77" i="1"/>
  <c r="H65" i="1"/>
  <c r="F149" i="1"/>
  <c r="F255" i="1" s="1"/>
  <c r="F44" i="1"/>
  <c r="T44" i="1"/>
  <c r="T149" i="1"/>
  <c r="T257" i="1" s="1"/>
  <c r="AW109" i="1"/>
  <c r="AW110" i="1" s="1"/>
  <c r="BI213" i="1"/>
  <c r="AO21" i="1"/>
  <c r="AV109" i="1"/>
  <c r="AV110" i="1" s="1"/>
  <c r="AV113" i="1" s="1"/>
  <c r="AX109" i="1"/>
  <c r="AX110" i="1" s="1"/>
  <c r="AX113" i="1" s="1"/>
  <c r="BT109" i="1"/>
  <c r="BT110" i="1" s="1"/>
  <c r="BT113" i="1" s="1"/>
  <c r="AZ109" i="1"/>
  <c r="AZ110" i="1" s="1"/>
  <c r="AZ113" i="1" s="1"/>
  <c r="BQ21" i="1"/>
  <c r="BQ22" i="1" s="1"/>
  <c r="BC109" i="1"/>
  <c r="BC110" i="1" s="1"/>
  <c r="AO242" i="1"/>
  <c r="AV264" i="1"/>
  <c r="AP109" i="1"/>
  <c r="AP110" i="1" s="1"/>
  <c r="AP113" i="1" s="1"/>
  <c r="BH191" i="1"/>
  <c r="BI191" i="1" s="1"/>
  <c r="BQ109" i="1"/>
  <c r="BQ110" i="1" s="1"/>
  <c r="BQ113" i="1" s="1"/>
  <c r="BI21" i="1"/>
  <c r="BL255" i="1" s="1"/>
  <c r="AT109" i="1"/>
  <c r="AT110" i="1" s="1"/>
  <c r="AT113" i="1" s="1"/>
  <c r="AT242" i="1"/>
  <c r="N190" i="1"/>
  <c r="V213" i="1"/>
  <c r="BH167" i="1"/>
  <c r="BH196" i="1" s="1"/>
  <c r="BK48" i="1"/>
  <c r="BA264" i="1"/>
  <c r="BV139" i="1"/>
  <c r="BP109" i="1"/>
  <c r="BP110" i="1" s="1"/>
  <c r="BP114" i="1" s="1"/>
  <c r="AY109" i="1"/>
  <c r="AY110" i="1" s="1"/>
  <c r="AV190" i="1"/>
  <c r="AW190" i="1" s="1"/>
  <c r="D213" i="1"/>
  <c r="V139" i="1"/>
  <c r="V48" i="1" s="1"/>
  <c r="BK242" i="1"/>
  <c r="M213" i="1"/>
  <c r="P213" i="1"/>
  <c r="BA109" i="1"/>
  <c r="BA110" i="1" s="1"/>
  <c r="BH194" i="1"/>
  <c r="BI194" i="1" s="1"/>
  <c r="BI109" i="1"/>
  <c r="BI110" i="1" s="1"/>
  <c r="BI114" i="1" s="1"/>
  <c r="BR263" i="1"/>
  <c r="BK214" i="1"/>
  <c r="BK212" i="1" s="1"/>
  <c r="AS109" i="1"/>
  <c r="AS110" i="1" s="1"/>
  <c r="AS113" i="1" s="1"/>
  <c r="BH109" i="1"/>
  <c r="BH110" i="1" s="1"/>
  <c r="BH114" i="1" s="1"/>
  <c r="AY242" i="1"/>
  <c r="BX109" i="1"/>
  <c r="BX110" i="1" s="1"/>
  <c r="BX114" i="1" s="1"/>
  <c r="BO21" i="1"/>
  <c r="BO27" i="1" s="1"/>
  <c r="BO109" i="1"/>
  <c r="BO110" i="1" s="1"/>
  <c r="BO113" i="1" s="1"/>
  <c r="BH263" i="1"/>
  <c r="BH159" i="1"/>
  <c r="BH193" i="1" s="1"/>
  <c r="BR191" i="1"/>
  <c r="BS191" i="1" s="1"/>
  <c r="B159" i="1"/>
  <c r="B168" i="1" s="1"/>
  <c r="AV21" i="1"/>
  <c r="AO264" i="1"/>
  <c r="BB263" i="1"/>
  <c r="BK44" i="1"/>
  <c r="BV191" i="1"/>
  <c r="BW191" i="1" s="1"/>
  <c r="AT264" i="1"/>
  <c r="BV190" i="1"/>
  <c r="BW190" i="1" s="1"/>
  <c r="BV21" i="1"/>
  <c r="BV27" i="1" s="1"/>
  <c r="BZ29" i="1" s="1"/>
  <c r="BN109" i="1"/>
  <c r="BN110" i="1" s="1"/>
  <c r="BN113" i="1" s="1"/>
  <c r="BJ109" i="1"/>
  <c r="BJ110" i="1" s="1"/>
  <c r="BJ113" i="1" s="1"/>
  <c r="AU109" i="1"/>
  <c r="AU110" i="1" s="1"/>
  <c r="AU114" i="1" s="1"/>
  <c r="V159" i="1"/>
  <c r="AS21" i="1"/>
  <c r="AS23" i="1" s="1"/>
  <c r="BR190" i="1"/>
  <c r="BS190" i="1" s="1"/>
  <c r="BB21" i="1"/>
  <c r="BO264" i="1"/>
  <c r="BL109" i="1"/>
  <c r="BL110" i="1" s="1"/>
  <c r="BL115" i="1" s="1"/>
  <c r="BB264" i="1"/>
  <c r="BO263" i="1"/>
  <c r="M167" i="1"/>
  <c r="N208" i="1" s="1"/>
  <c r="T167" i="1"/>
  <c r="T196" i="1" s="1"/>
  <c r="T195" i="1" s="1"/>
  <c r="BK205" i="1"/>
  <c r="AR109" i="1"/>
  <c r="AR110" i="1" s="1"/>
  <c r="AR113" i="1" s="1"/>
  <c r="AO263" i="1"/>
  <c r="BQ263" i="1"/>
  <c r="AZ205" i="1"/>
  <c r="BH264" i="1"/>
  <c r="AY264" i="1"/>
  <c r="BV264" i="1"/>
  <c r="BD194" i="1"/>
  <c r="BE194" i="1" s="1"/>
  <c r="BD191" i="1"/>
  <c r="BE191" i="1" s="1"/>
  <c r="BF191" i="1"/>
  <c r="BG191" i="1" s="1"/>
  <c r="AT190" i="1"/>
  <c r="AU190" i="1" s="1"/>
  <c r="D159" i="1"/>
  <c r="B172" i="1"/>
  <c r="C220" i="1" s="1"/>
  <c r="R145" i="1"/>
  <c r="BD109" i="1"/>
  <c r="BD110" i="1" s="1"/>
  <c r="BD113" i="1" s="1"/>
  <c r="BA21" i="1"/>
  <c r="BA27" i="1" s="1"/>
  <c r="BA39" i="1" s="1"/>
  <c r="AW242" i="1"/>
  <c r="AQ109" i="1"/>
  <c r="AQ110" i="1" s="1"/>
  <c r="AQ115" i="1" s="1"/>
  <c r="BK109" i="1"/>
  <c r="BK110" i="1" s="1"/>
  <c r="BK115" i="1" s="1"/>
  <c r="BR205" i="1"/>
  <c r="BY109" i="1"/>
  <c r="BY110" i="1" s="1"/>
  <c r="BY115" i="1" s="1"/>
  <c r="BR21" i="1"/>
  <c r="V69" i="1" s="1"/>
  <c r="BA263" i="1"/>
  <c r="BS109" i="1"/>
  <c r="BS110" i="1" s="1"/>
  <c r="BS114" i="1" s="1"/>
  <c r="AW21" i="1"/>
  <c r="AW27" i="1" s="1"/>
  <c r="AY21" i="1"/>
  <c r="AY23" i="1" s="1"/>
  <c r="BF190" i="1"/>
  <c r="BG190" i="1" s="1"/>
  <c r="BB109" i="1"/>
  <c r="BB110" i="1" s="1"/>
  <c r="AW263" i="1"/>
  <c r="BI264" i="1"/>
  <c r="BQ264" i="1"/>
  <c r="AI214" i="1"/>
  <c r="AI212" i="1" s="1"/>
  <c r="AZ27" i="1"/>
  <c r="AZ39" i="1" s="1"/>
  <c r="BD190" i="1"/>
  <c r="BE190" i="1" s="1"/>
  <c r="BH213" i="1"/>
  <c r="BN190" i="1"/>
  <c r="BO190" i="1" s="1"/>
  <c r="F213" i="1"/>
  <c r="H159" i="1"/>
  <c r="H193" i="1" s="1"/>
  <c r="P159" i="1"/>
  <c r="P193" i="1" s="1"/>
  <c r="N259" i="1"/>
  <c r="R218" i="1"/>
  <c r="P208" i="1"/>
  <c r="R65" i="1"/>
  <c r="H186" i="1"/>
  <c r="R179" i="1"/>
  <c r="R120" i="1" s="1"/>
  <c r="U207" i="1"/>
  <c r="E217" i="1"/>
  <c r="Q259" i="1"/>
  <c r="T218" i="1"/>
  <c r="P220" i="1"/>
  <c r="O259" i="1"/>
  <c r="L149" i="1"/>
  <c r="L44" i="1"/>
  <c r="D179" i="1"/>
  <c r="D120" i="1" s="1"/>
  <c r="D121" i="1" s="1"/>
  <c r="D124" i="1" s="1"/>
  <c r="D217" i="1"/>
  <c r="D48" i="1"/>
  <c r="D140" i="1"/>
  <c r="D66" i="1" s="1"/>
  <c r="D260" i="1"/>
  <c r="D262" i="1" s="1"/>
  <c r="T186" i="1"/>
  <c r="T65" i="1"/>
  <c r="E65" i="1"/>
  <c r="E186" i="1"/>
  <c r="E218" i="1"/>
  <c r="N220" i="1"/>
  <c r="U220" i="1"/>
  <c r="T259" i="1"/>
  <c r="F48" i="1"/>
  <c r="F179" i="1"/>
  <c r="F120" i="1" s="1"/>
  <c r="F140" i="1"/>
  <c r="F66" i="1" s="1"/>
  <c r="C44" i="1"/>
  <c r="C149" i="1"/>
  <c r="I218" i="1"/>
  <c r="I259" i="1"/>
  <c r="I65" i="1"/>
  <c r="I186" i="1"/>
  <c r="C140" i="1"/>
  <c r="C66" i="1" s="1"/>
  <c r="C48" i="1"/>
  <c r="J149" i="1"/>
  <c r="J44" i="1"/>
  <c r="I220" i="1"/>
  <c r="H259" i="1"/>
  <c r="S217" i="1"/>
  <c r="S48" i="1"/>
  <c r="S260" i="1"/>
  <c r="S262" i="1" s="1"/>
  <c r="S179" i="1"/>
  <c r="S120" i="1" s="1"/>
  <c r="G220" i="1"/>
  <c r="F259" i="1"/>
  <c r="F218" i="1"/>
  <c r="F65" i="1"/>
  <c r="F186" i="1"/>
  <c r="U218" i="1"/>
  <c r="U65" i="1"/>
  <c r="S208" i="1"/>
  <c r="S44" i="1"/>
  <c r="S149" i="1"/>
  <c r="B149" i="1"/>
  <c r="B44" i="1"/>
  <c r="S196" i="1"/>
  <c r="S168" i="1"/>
  <c r="H149" i="1"/>
  <c r="H44" i="1"/>
  <c r="U44" i="1"/>
  <c r="U149" i="1"/>
  <c r="E220" i="1"/>
  <c r="D259" i="1"/>
  <c r="K220" i="1"/>
  <c r="J259" i="1"/>
  <c r="G218" i="1"/>
  <c r="G186" i="1"/>
  <c r="H218" i="1"/>
  <c r="G65" i="1"/>
  <c r="J48" i="1"/>
  <c r="J140" i="1"/>
  <c r="J66" i="1" s="1"/>
  <c r="D208" i="1"/>
  <c r="J193" i="1"/>
  <c r="J192" i="1" s="1"/>
  <c r="K207" i="1"/>
  <c r="E193" i="1"/>
  <c r="E192" i="1" s="1"/>
  <c r="P149" i="1"/>
  <c r="P44" i="1"/>
  <c r="R140" i="1"/>
  <c r="R66" i="1" s="1"/>
  <c r="R186" i="1"/>
  <c r="K218" i="1"/>
  <c r="G149" i="1"/>
  <c r="G44" i="1"/>
  <c r="I44" i="1"/>
  <c r="I149" i="1"/>
  <c r="T255" i="1"/>
  <c r="T207" i="1"/>
  <c r="E140" i="1"/>
  <c r="E66" i="1" s="1"/>
  <c r="F260" i="1"/>
  <c r="F262" i="1" s="1"/>
  <c r="G217" i="1"/>
  <c r="G260" i="1"/>
  <c r="G262" i="1" s="1"/>
  <c r="E44" i="1"/>
  <c r="E149" i="1"/>
  <c r="J186" i="1"/>
  <c r="J65" i="1"/>
  <c r="J218" i="1"/>
  <c r="D44" i="1"/>
  <c r="D149" i="1"/>
  <c r="L196" i="1"/>
  <c r="L195" i="1" s="1"/>
  <c r="L168" i="1"/>
  <c r="L220" i="1"/>
  <c r="K259" i="1"/>
  <c r="B186" i="1"/>
  <c r="B65" i="1"/>
  <c r="T140" i="1"/>
  <c r="T66" i="1" s="1"/>
  <c r="B48" i="1"/>
  <c r="C217" i="1"/>
  <c r="B140" i="1"/>
  <c r="B66" i="1" s="1"/>
  <c r="K140" i="1"/>
  <c r="K66" i="1" s="1"/>
  <c r="K48" i="1"/>
  <c r="K179" i="1"/>
  <c r="K120" i="1" s="1"/>
  <c r="K65" i="1"/>
  <c r="L218" i="1"/>
  <c r="K186" i="1"/>
  <c r="C179" i="1"/>
  <c r="C120" i="1" s="1"/>
  <c r="D220" i="1"/>
  <c r="C259" i="1"/>
  <c r="W48" i="1"/>
  <c r="X260" i="1"/>
  <c r="X262" i="1" s="1"/>
  <c r="X217" i="1"/>
  <c r="U259" i="1"/>
  <c r="U186" i="1"/>
  <c r="M149" i="1"/>
  <c r="M44" i="1"/>
  <c r="S140" i="1"/>
  <c r="S66" i="1" s="1"/>
  <c r="S218" i="1"/>
  <c r="S65" i="1"/>
  <c r="Q193" i="1"/>
  <c r="Q192" i="1" s="1"/>
  <c r="R207" i="1"/>
  <c r="J168" i="1"/>
  <c r="D77" i="1"/>
  <c r="D119" i="1"/>
  <c r="K193" i="1"/>
  <c r="K192" i="1" s="1"/>
  <c r="I48" i="1"/>
  <c r="Q65" i="1"/>
  <c r="Q186" i="1"/>
  <c r="D196" i="1"/>
  <c r="E208" i="1"/>
  <c r="W149" i="1"/>
  <c r="X214" i="1" s="1"/>
  <c r="X212" i="1" s="1"/>
  <c r="W44" i="1"/>
  <c r="S220" i="1"/>
  <c r="R259" i="1"/>
  <c r="V218" i="1"/>
  <c r="V259" i="1"/>
  <c r="N207" i="1"/>
  <c r="O207" i="1"/>
  <c r="Q218" i="1"/>
  <c r="L193" i="1"/>
  <c r="L207" i="1"/>
  <c r="M207" i="1"/>
  <c r="R193" i="1"/>
  <c r="R192" i="1" s="1"/>
  <c r="S207" i="1"/>
  <c r="C196" i="1"/>
  <c r="C208" i="1"/>
  <c r="O193" i="1"/>
  <c r="O192" i="1" s="1"/>
  <c r="I140" i="1"/>
  <c r="I66" i="1" s="1"/>
  <c r="Q44" i="1"/>
  <c r="Q149" i="1"/>
  <c r="P186" i="1"/>
  <c r="G140" i="1"/>
  <c r="G66" i="1" s="1"/>
  <c r="G48" i="1"/>
  <c r="G179" i="1"/>
  <c r="G120" i="1" s="1"/>
  <c r="U48" i="1"/>
  <c r="U140" i="1"/>
  <c r="U66" i="1" s="1"/>
  <c r="S259" i="1"/>
  <c r="S186" i="1"/>
  <c r="I196" i="1"/>
  <c r="Q196" i="1"/>
  <c r="Q168" i="1"/>
  <c r="Q208" i="1"/>
  <c r="R208" i="1"/>
  <c r="AX172" i="1"/>
  <c r="AY220" i="1" s="1"/>
  <c r="P140" i="1"/>
  <c r="P66" i="1" s="1"/>
  <c r="P179" i="1"/>
  <c r="P120" i="1" s="1"/>
  <c r="P48" i="1"/>
  <c r="H220" i="1"/>
  <c r="G259" i="1"/>
  <c r="T193" i="1"/>
  <c r="F217" i="1"/>
  <c r="E179" i="1"/>
  <c r="E120" i="1" s="1"/>
  <c r="E48" i="1"/>
  <c r="P65" i="1"/>
  <c r="P259" i="1"/>
  <c r="O149" i="1"/>
  <c r="O44" i="1"/>
  <c r="M220" i="1"/>
  <c r="V65" i="1"/>
  <c r="V186" i="1"/>
  <c r="N193" i="1"/>
  <c r="N168" i="1"/>
  <c r="E196" i="1"/>
  <c r="F208" i="1"/>
  <c r="E168" i="1"/>
  <c r="U196" i="1"/>
  <c r="U168" i="1"/>
  <c r="M48" i="1"/>
  <c r="M179" i="1"/>
  <c r="M120" i="1" s="1"/>
  <c r="V149" i="1"/>
  <c r="V44" i="1"/>
  <c r="BP172" i="1"/>
  <c r="BQ220" i="1" s="1"/>
  <c r="AQ151" i="1"/>
  <c r="AS135" i="1"/>
  <c r="AS139" i="1" s="1"/>
  <c r="AR139" i="1"/>
  <c r="AX131" i="1"/>
  <c r="AY128" i="1"/>
  <c r="BO151" i="1"/>
  <c r="BN213" i="1"/>
  <c r="BF172" i="1"/>
  <c r="BG220" i="1" s="1"/>
  <c r="BF145" i="1"/>
  <c r="R196" i="1"/>
  <c r="R168" i="1"/>
  <c r="AO128" i="1"/>
  <c r="AN131" i="1"/>
  <c r="BE128" i="1"/>
  <c r="AU161" i="1"/>
  <c r="AY160" i="1"/>
  <c r="AX167" i="1"/>
  <c r="AX196" i="1" s="1"/>
  <c r="BO135" i="1"/>
  <c r="BO139" i="1" s="1"/>
  <c r="BN139" i="1"/>
  <c r="AO153" i="1"/>
  <c r="AO151" i="1"/>
  <c r="AN213" i="1"/>
  <c r="AQ139" i="1"/>
  <c r="BN145" i="1"/>
  <c r="AX145" i="1"/>
  <c r="AS213" i="1"/>
  <c r="BF139" i="1"/>
  <c r="BQ213" i="1"/>
  <c r="AP139" i="1"/>
  <c r="BP131" i="1"/>
  <c r="BP103" i="1" s="1"/>
  <c r="BP105" i="1" s="1"/>
  <c r="BN167" i="1"/>
  <c r="BN196" i="1" s="1"/>
  <c r="BG139" i="1"/>
  <c r="BF167" i="1"/>
  <c r="BF196" i="1" s="1"/>
  <c r="BF131" i="1"/>
  <c r="BD139" i="1"/>
  <c r="AZ167" i="1"/>
  <c r="AZ196" i="1" s="1"/>
  <c r="AW154" i="1"/>
  <c r="BG154" i="1"/>
  <c r="BF159" i="1"/>
  <c r="BO154" i="1"/>
  <c r="BN159" i="1"/>
  <c r="AY154" i="1"/>
  <c r="BR159" i="1"/>
  <c r="BA154" i="1"/>
  <c r="AZ159" i="1"/>
  <c r="AY213" i="1"/>
  <c r="BK23" i="1"/>
  <c r="AP22" i="1"/>
  <c r="BM38" i="1"/>
  <c r="BM236" i="1"/>
  <c r="BC213" i="1"/>
  <c r="BD213" i="1"/>
  <c r="BM27" i="1"/>
  <c r="BM23" i="1"/>
  <c r="BD22" i="1"/>
  <c r="BE23" i="1"/>
  <c r="BD27" i="1"/>
  <c r="BJ260" i="1"/>
  <c r="BJ217" i="1"/>
  <c r="BX217" i="1"/>
  <c r="BX260" i="1"/>
  <c r="AR27" i="1"/>
  <c r="N69" i="1"/>
  <c r="AL255" i="1"/>
  <c r="AJ23" i="1"/>
  <c r="AM22" i="1"/>
  <c r="AL236" i="1"/>
  <c r="AI27" i="1"/>
  <c r="BC27" i="1"/>
  <c r="BG213" i="1"/>
  <c r="BF236" i="1"/>
  <c r="S69" i="1"/>
  <c r="BV236" i="1"/>
  <c r="BP22" i="1"/>
  <c r="BN22" i="1"/>
  <c r="BN23" i="1"/>
  <c r="BX22" i="1"/>
  <c r="BU23" i="1"/>
  <c r="BT27" i="1"/>
  <c r="AX27" i="1"/>
  <c r="AQ22" i="1"/>
  <c r="AX22" i="1"/>
  <c r="BV168" i="1"/>
  <c r="BO236" i="1"/>
  <c r="BI220" i="1"/>
  <c r="BH259" i="1"/>
  <c r="CB199" i="1"/>
  <c r="X69" i="1"/>
  <c r="BW27" i="1"/>
  <c r="BZ255" i="1"/>
  <c r="CA22" i="1"/>
  <c r="BZ236" i="1"/>
  <c r="BX23" i="1"/>
  <c r="AN22" i="1"/>
  <c r="AO236" i="1"/>
  <c r="AN23" i="1"/>
  <c r="AN236" i="1"/>
  <c r="BT22" i="1"/>
  <c r="AV23" i="1"/>
  <c r="BG38" i="1"/>
  <c r="BG27" i="1"/>
  <c r="AO113" i="1"/>
  <c r="AO115" i="1"/>
  <c r="AO114" i="1"/>
  <c r="BW38" i="1"/>
  <c r="BD23" i="1"/>
  <c r="BG22" i="1"/>
  <c r="AN199" i="1"/>
  <c r="AV22" i="1"/>
  <c r="AQ38" i="1"/>
  <c r="BJ40" i="1"/>
  <c r="BJ45" i="1"/>
  <c r="BJ49" i="1" s="1"/>
  <c r="BJ243" i="1"/>
  <c r="BJ244" i="1" s="1"/>
  <c r="F195" i="1"/>
  <c r="CQ149" i="1"/>
  <c r="CR43" i="1"/>
  <c r="AE88" i="1"/>
  <c r="AB136" i="1"/>
  <c r="AB139" i="1" s="1"/>
  <c r="AB260" i="1" s="1"/>
  <c r="AD153" i="1"/>
  <c r="CZ76" i="1"/>
  <c r="DA74" i="1"/>
  <c r="K168" i="1" l="1"/>
  <c r="K44" i="1"/>
  <c r="K149" i="1"/>
  <c r="M217" i="1"/>
  <c r="L140" i="1"/>
  <c r="L66" i="1" s="1"/>
  <c r="J196" i="1"/>
  <c r="O168" i="1"/>
  <c r="I260" i="1"/>
  <c r="I262" i="1" s="1"/>
  <c r="U217" i="1"/>
  <c r="U179" i="1"/>
  <c r="U120" i="1" s="1"/>
  <c r="V217" i="1"/>
  <c r="V216" i="1" s="1"/>
  <c r="BN172" i="1"/>
  <c r="BO220" i="1" s="1"/>
  <c r="I168" i="1"/>
  <c r="J208" i="1"/>
  <c r="P217" i="1"/>
  <c r="P260" i="1"/>
  <c r="P262" i="1" s="1"/>
  <c r="O260" i="1"/>
  <c r="O262" i="1" s="1"/>
  <c r="N140" i="1"/>
  <c r="N66" i="1" s="1"/>
  <c r="N260" i="1"/>
  <c r="N262" i="1" s="1"/>
  <c r="N48" i="1"/>
  <c r="N217" i="1"/>
  <c r="N179" i="1"/>
  <c r="N120" i="1" s="1"/>
  <c r="L179" i="1"/>
  <c r="L120" i="1" s="1"/>
  <c r="BO22" i="1"/>
  <c r="BP38" i="1"/>
  <c r="BT38" i="1"/>
  <c r="U69" i="1"/>
  <c r="AO27" i="1"/>
  <c r="BN236" i="1"/>
  <c r="C65" i="1"/>
  <c r="C186" i="1"/>
  <c r="C218" i="1"/>
  <c r="C216" i="1" s="1"/>
  <c r="AX194" i="1"/>
  <c r="AY194" i="1" s="1"/>
  <c r="V168" i="1"/>
  <c r="H195" i="1"/>
  <c r="D216" i="1"/>
  <c r="O218" i="1"/>
  <c r="O186" i="1"/>
  <c r="O65" i="1"/>
  <c r="M186" i="1"/>
  <c r="M218" i="1"/>
  <c r="C118" i="1"/>
  <c r="E207" i="1"/>
  <c r="O140" i="1"/>
  <c r="O66" i="1" s="1"/>
  <c r="O217" i="1"/>
  <c r="J207" i="1"/>
  <c r="H48" i="1"/>
  <c r="H179" i="1"/>
  <c r="H120" i="1" s="1"/>
  <c r="H217" i="1"/>
  <c r="T208" i="1"/>
  <c r="U208" i="1"/>
  <c r="U209" i="1" s="1"/>
  <c r="U210" i="1" s="1"/>
  <c r="V207" i="1"/>
  <c r="V193" i="1"/>
  <c r="V192" i="1" s="1"/>
  <c r="H260" i="1"/>
  <c r="H262" i="1" s="1"/>
  <c r="C193" i="1"/>
  <c r="C192" i="1" s="1"/>
  <c r="O179" i="1"/>
  <c r="O120" i="1" s="1"/>
  <c r="D193" i="1"/>
  <c r="D192" i="1" s="1"/>
  <c r="D168" i="1"/>
  <c r="L48" i="1"/>
  <c r="L260" i="1"/>
  <c r="L262" i="1" s="1"/>
  <c r="L217" i="1"/>
  <c r="P218" i="1"/>
  <c r="C207" i="1"/>
  <c r="L259" i="1"/>
  <c r="Q48" i="1"/>
  <c r="K196" i="1"/>
  <c r="L208" i="1"/>
  <c r="G196" i="1"/>
  <c r="G208" i="1"/>
  <c r="O196" i="1"/>
  <c r="O208" i="1"/>
  <c r="M260" i="1"/>
  <c r="M262" i="1" s="1"/>
  <c r="M140" i="1"/>
  <c r="M66" i="1" s="1"/>
  <c r="AZ145" i="1"/>
  <c r="BT172" i="1"/>
  <c r="BU220" i="1" s="1"/>
  <c r="AR172" i="1"/>
  <c r="AS220" i="1" s="1"/>
  <c r="AW151" i="1"/>
  <c r="AX213" i="1" s="1"/>
  <c r="AQ153" i="1"/>
  <c r="AS128" i="1"/>
  <c r="AU153" i="1"/>
  <c r="BU151" i="1"/>
  <c r="BV213" i="1" s="1"/>
  <c r="BD131" i="1"/>
  <c r="AW135" i="1"/>
  <c r="BS151" i="1"/>
  <c r="BR213" i="1"/>
  <c r="BF213" i="1"/>
  <c r="AP172" i="1"/>
  <c r="BB145" i="1"/>
  <c r="BN131" i="1"/>
  <c r="BT131" i="1"/>
  <c r="BE213" i="1"/>
  <c r="BB167" i="1"/>
  <c r="BB196" i="1" s="1"/>
  <c r="BD167" i="1"/>
  <c r="BD196" i="1" s="1"/>
  <c r="BH217" i="1"/>
  <c r="AV131" i="1"/>
  <c r="BE154" i="1"/>
  <c r="BD159" i="1"/>
  <c r="BU154" i="1"/>
  <c r="BT159" i="1"/>
  <c r="BS154" i="1"/>
  <c r="BB213" i="1"/>
  <c r="BA213" i="1"/>
  <c r="B79" i="1"/>
  <c r="B80" i="1"/>
  <c r="B98" i="1" s="1"/>
  <c r="BK38" i="1"/>
  <c r="AZ213" i="1"/>
  <c r="BE38" i="1"/>
  <c r="BL23" i="1"/>
  <c r="BK27" i="1"/>
  <c r="AT38" i="1"/>
  <c r="AQ23" i="1"/>
  <c r="AP27" i="1"/>
  <c r="AP38" i="1"/>
  <c r="AQ199" i="1"/>
  <c r="BQ27" i="1"/>
  <c r="BU38" i="1"/>
  <c r="BU27" i="1"/>
  <c r="BJ22" i="1"/>
  <c r="BF27" i="1"/>
  <c r="BF39" i="1" s="1"/>
  <c r="BJ41" i="1" s="1"/>
  <c r="BC38" i="1"/>
  <c r="AS194" i="1"/>
  <c r="BY22" i="1"/>
  <c r="BD38" i="1"/>
  <c r="BI260" i="1"/>
  <c r="AT22" i="1"/>
  <c r="AT28" i="1"/>
  <c r="AT39" i="1"/>
  <c r="BV28" i="1"/>
  <c r="BE27" i="1"/>
  <c r="BF23" i="1"/>
  <c r="BF38" i="1"/>
  <c r="AV199" i="1"/>
  <c r="BS22" i="1"/>
  <c r="BH179" i="1"/>
  <c r="BI217" i="1"/>
  <c r="AI192" i="1"/>
  <c r="AR236" i="1"/>
  <c r="AS38" i="1"/>
  <c r="AP23" i="1"/>
  <c r="AU22" i="1"/>
  <c r="AU199" i="1"/>
  <c r="AX38" i="1"/>
  <c r="BB23" i="1"/>
  <c r="BD236" i="1"/>
  <c r="BN27" i="1"/>
  <c r="BE236" i="1"/>
  <c r="BO23" i="1"/>
  <c r="BY199" i="1"/>
  <c r="AT236" i="1"/>
  <c r="P69" i="1"/>
  <c r="AQ27" i="1"/>
  <c r="AR23" i="1"/>
  <c r="AR199" i="1"/>
  <c r="BC23" i="1"/>
  <c r="BW23" i="1"/>
  <c r="BY236" i="1"/>
  <c r="AV38" i="1"/>
  <c r="AN27" i="1"/>
  <c r="AR22" i="1"/>
  <c r="BN38" i="1"/>
  <c r="BG199" i="1"/>
  <c r="BF22" i="1"/>
  <c r="AX190" i="1"/>
  <c r="AY190" i="1" s="1"/>
  <c r="AZ191" i="1"/>
  <c r="BA191" i="1" s="1"/>
  <c r="AZ190" i="1"/>
  <c r="BA190" i="1" s="1"/>
  <c r="BN194" i="1"/>
  <c r="BO194" i="1" s="1"/>
  <c r="BB194" i="1"/>
  <c r="BC194" i="1" s="1"/>
  <c r="BD172" i="1"/>
  <c r="BE220" i="1" s="1"/>
  <c r="AV172" i="1"/>
  <c r="AW220" i="1" s="1"/>
  <c r="BB172" i="1"/>
  <c r="BE139" i="1"/>
  <c r="AU128" i="1"/>
  <c r="BT145" i="1"/>
  <c r="BD145" i="1"/>
  <c r="BC128" i="1"/>
  <c r="BC135" i="1"/>
  <c r="BU135" i="1"/>
  <c r="BU139" i="1" s="1"/>
  <c r="BT139" i="1"/>
  <c r="BT167" i="1"/>
  <c r="BT196" i="1" s="1"/>
  <c r="BT195" i="1" s="1"/>
  <c r="AW38" i="1"/>
  <c r="AZ194" i="1"/>
  <c r="BA194" i="1" s="1"/>
  <c r="BV193" i="1"/>
  <c r="BV197" i="1" s="1"/>
  <c r="BZ200" i="1" s="1"/>
  <c r="BV149" i="1"/>
  <c r="BW44" i="1"/>
  <c r="BW145" i="1"/>
  <c r="BG113" i="1"/>
  <c r="BG115" i="1"/>
  <c r="BG114" i="1"/>
  <c r="BW115" i="1"/>
  <c r="BW113" i="1"/>
  <c r="BV114" i="1"/>
  <c r="BV113" i="1"/>
  <c r="BV115" i="1"/>
  <c r="BW114" i="1"/>
  <c r="BE114" i="1"/>
  <c r="AL113" i="1"/>
  <c r="AL114" i="1"/>
  <c r="BE113" i="1"/>
  <c r="AQ114" i="1"/>
  <c r="BZ114" i="1"/>
  <c r="BZ113" i="1"/>
  <c r="BZ115" i="1"/>
  <c r="AN113" i="1"/>
  <c r="AN114" i="1"/>
  <c r="AN115" i="1"/>
  <c r="BM115" i="1"/>
  <c r="BM113" i="1"/>
  <c r="BM114" i="1"/>
  <c r="AQ113" i="1"/>
  <c r="BB115" i="1"/>
  <c r="BB114" i="1"/>
  <c r="BB113" i="1"/>
  <c r="BI115" i="1"/>
  <c r="BI113" i="1"/>
  <c r="BA115" i="1"/>
  <c r="BA113" i="1"/>
  <c r="BA114" i="1"/>
  <c r="AO38" i="1"/>
  <c r="BH195" i="1"/>
  <c r="AV194" i="1"/>
  <c r="AW194" i="1" s="1"/>
  <c r="BB190" i="1"/>
  <c r="BC190" i="1" s="1"/>
  <c r="AW39" i="1"/>
  <c r="AV191" i="1"/>
  <c r="AW191" i="1" s="1"/>
  <c r="AR145" i="1"/>
  <c r="AR149" i="1" s="1"/>
  <c r="AZ172" i="1"/>
  <c r="BA220" i="1" s="1"/>
  <c r="AP159" i="1"/>
  <c r="AP193" i="1" s="1"/>
  <c r="AP192" i="1" s="1"/>
  <c r="AY135" i="1"/>
  <c r="AY139" i="1" s="1"/>
  <c r="AX139" i="1"/>
  <c r="AT145" i="1"/>
  <c r="AP145" i="1"/>
  <c r="AI197" i="1"/>
  <c r="AZ131" i="1"/>
  <c r="AP131" i="1"/>
  <c r="AP103" i="1" s="1"/>
  <c r="AI195" i="1"/>
  <c r="AZ38" i="1"/>
  <c r="BF114" i="1"/>
  <c r="BF113" i="1"/>
  <c r="BH105" i="1"/>
  <c r="AM130" i="1"/>
  <c r="AM131" i="1" s="1"/>
  <c r="AM140" i="1" s="1"/>
  <c r="AM77" i="1"/>
  <c r="AM80" i="1" s="1"/>
  <c r="BQ23" i="1"/>
  <c r="BO114" i="1"/>
  <c r="BH38" i="1"/>
  <c r="AW22" i="1"/>
  <c r="BH22" i="1"/>
  <c r="BP23" i="1"/>
  <c r="AU23" i="1"/>
  <c r="AR39" i="1"/>
  <c r="AR40" i="1" s="1"/>
  <c r="AS236" i="1"/>
  <c r="BP199" i="1"/>
  <c r="AY22" i="1"/>
  <c r="AU38" i="1"/>
  <c r="BW22" i="1"/>
  <c r="BT23" i="1"/>
  <c r="BW194" i="1"/>
  <c r="BE29" i="1"/>
  <c r="BC22" i="1"/>
  <c r="BH199" i="1"/>
  <c r="AX236" i="1"/>
  <c r="BK113" i="1"/>
  <c r="AR38" i="1"/>
  <c r="BK199" i="1"/>
  <c r="BH236" i="1"/>
  <c r="AN38" i="1"/>
  <c r="BU113" i="1"/>
  <c r="Q69" i="1"/>
  <c r="BH27" i="1"/>
  <c r="BL22" i="1"/>
  <c r="BH23" i="1"/>
  <c r="AR191" i="1"/>
  <c r="AS191" i="1" s="1"/>
  <c r="AR159" i="1"/>
  <c r="AR193" i="1" s="1"/>
  <c r="BB139" i="1"/>
  <c r="AT167" i="1"/>
  <c r="AT196" i="1" s="1"/>
  <c r="AV139" i="1"/>
  <c r="BS128" i="1"/>
  <c r="BR131" i="1"/>
  <c r="BR103" i="1" s="1"/>
  <c r="AT213" i="1"/>
  <c r="AN145" i="1"/>
  <c r="AT172" i="1"/>
  <c r="AU220" i="1" s="1"/>
  <c r="BF195" i="1"/>
  <c r="BH140" i="1"/>
  <c r="BK22" i="1"/>
  <c r="BF115" i="1"/>
  <c r="BH106" i="1"/>
  <c r="AM63" i="1"/>
  <c r="AM204" i="1"/>
  <c r="AM206" i="1" s="1"/>
  <c r="BO115" i="1"/>
  <c r="AI38" i="1"/>
  <c r="AS27" i="1"/>
  <c r="AY199" i="1"/>
  <c r="BG236" i="1"/>
  <c r="BD199" i="1"/>
  <c r="BO38" i="1"/>
  <c r="AU236" i="1"/>
  <c r="BP27" i="1"/>
  <c r="BQ199" i="1"/>
  <c r="AU27" i="1"/>
  <c r="BS38" i="1"/>
  <c r="BS27" i="1"/>
  <c r="BX199" i="1"/>
  <c r="BV195" i="1"/>
  <c r="BL199" i="1"/>
  <c r="BF199" i="1"/>
  <c r="BK114" i="1"/>
  <c r="BG23" i="1"/>
  <c r="AZ199" i="1"/>
  <c r="AP114" i="1"/>
  <c r="AW114" i="1"/>
  <c r="BQ115" i="1"/>
  <c r="AW113" i="1"/>
  <c r="BR172" i="1"/>
  <c r="AR167" i="1"/>
  <c r="BP167" i="1"/>
  <c r="BP196" i="1" s="1"/>
  <c r="BP195" i="1" s="1"/>
  <c r="BR167" i="1"/>
  <c r="BR196" i="1" s="1"/>
  <c r="BP159" i="1"/>
  <c r="BP193" i="1" s="1"/>
  <c r="BP192" i="1" s="1"/>
  <c r="AZ139" i="1"/>
  <c r="BT115" i="1"/>
  <c r="BT114" i="1"/>
  <c r="BI145" i="1"/>
  <c r="AP115" i="1"/>
  <c r="AW115" i="1"/>
  <c r="BR194" i="1"/>
  <c r="BS194" i="1" s="1"/>
  <c r="AY114" i="1"/>
  <c r="AN172" i="1"/>
  <c r="AO220" i="1" s="1"/>
  <c r="BR145" i="1"/>
  <c r="BS139" i="1"/>
  <c r="BP145" i="1"/>
  <c r="AT131" i="1"/>
  <c r="AT103" i="1" s="1"/>
  <c r="AR131" i="1"/>
  <c r="AV145" i="1"/>
  <c r="AT159" i="1"/>
  <c r="BB131" i="1"/>
  <c r="BB103" i="1" s="1"/>
  <c r="AO135" i="1"/>
  <c r="AO139" i="1" s="1"/>
  <c r="AN139" i="1"/>
  <c r="AN159" i="1"/>
  <c r="BW260" i="1"/>
  <c r="AN167" i="1"/>
  <c r="AN196" i="1" s="1"/>
  <c r="BP139" i="1"/>
  <c r="BA139" i="1"/>
  <c r="AT139" i="1"/>
  <c r="AP167" i="1"/>
  <c r="AV167" i="1"/>
  <c r="AV196" i="1" s="1"/>
  <c r="AV195" i="1" s="1"/>
  <c r="BQ139" i="1"/>
  <c r="BR139" i="1"/>
  <c r="AZ195" i="1"/>
  <c r="AU139" i="1"/>
  <c r="AV159" i="1"/>
  <c r="BC154" i="1"/>
  <c r="BB159" i="1"/>
  <c r="AX159" i="1"/>
  <c r="AU213" i="1"/>
  <c r="AV213" i="1"/>
  <c r="BC113" i="1"/>
  <c r="BC115" i="1"/>
  <c r="BC114" i="1"/>
  <c r="BR113" i="1"/>
  <c r="BR115" i="1"/>
  <c r="BR114" i="1"/>
  <c r="BP113" i="1"/>
  <c r="BU115" i="1"/>
  <c r="BU114" i="1"/>
  <c r="BV103" i="1"/>
  <c r="BV259" i="1"/>
  <c r="AS44" i="1"/>
  <c r="BW217" i="1"/>
  <c r="AT114" i="1"/>
  <c r="AT115" i="1"/>
  <c r="BV179" i="1"/>
  <c r="BV140" i="1"/>
  <c r="AY113" i="1"/>
  <c r="AY115" i="1"/>
  <c r="BR195" i="1"/>
  <c r="AT195" i="1"/>
  <c r="M208" i="1"/>
  <c r="D207" i="1"/>
  <c r="AY236" i="1"/>
  <c r="I208" i="1"/>
  <c r="H140" i="1"/>
  <c r="H66" i="1" s="1"/>
  <c r="N218" i="1"/>
  <c r="AY27" i="1"/>
  <c r="AY39" i="1" s="1"/>
  <c r="T260" i="1"/>
  <c r="T262" i="1" s="1"/>
  <c r="BB199" i="1"/>
  <c r="U260" i="1"/>
  <c r="U262" i="1" s="1"/>
  <c r="N149" i="1"/>
  <c r="N257" i="1" s="1"/>
  <c r="AZ236" i="1"/>
  <c r="BR199" i="1"/>
  <c r="AW28" i="1"/>
  <c r="AY38" i="1"/>
  <c r="V208" i="1"/>
  <c r="R217" i="1"/>
  <c r="R216" i="1" s="1"/>
  <c r="H168" i="1"/>
  <c r="I207" i="1"/>
  <c r="V260" i="1"/>
  <c r="V262" i="1" s="1"/>
  <c r="T179" i="1"/>
  <c r="T120" i="1" s="1"/>
  <c r="C77" i="1"/>
  <c r="C80" i="1" s="1"/>
  <c r="M65" i="1"/>
  <c r="Q140" i="1"/>
  <c r="Q66" i="1" s="1"/>
  <c r="Q217" i="1"/>
  <c r="F168" i="1"/>
  <c r="F176" i="1" s="1"/>
  <c r="H208" i="1"/>
  <c r="AZ23" i="1"/>
  <c r="T48" i="1"/>
  <c r="AR115" i="1"/>
  <c r="AR114" i="1"/>
  <c r="AV236" i="1"/>
  <c r="BX255" i="1"/>
  <c r="AX199" i="1"/>
  <c r="BA28" i="1"/>
  <c r="AW236" i="1"/>
  <c r="BP115" i="1"/>
  <c r="BN115" i="1"/>
  <c r="AT23" i="1"/>
  <c r="M168" i="1"/>
  <c r="M176" i="1" s="1"/>
  <c r="V196" i="1"/>
  <c r="G168" i="1"/>
  <c r="T168" i="1"/>
  <c r="T176" i="1" s="1"/>
  <c r="T177" i="1" s="1"/>
  <c r="R260" i="1"/>
  <c r="R262" i="1" s="1"/>
  <c r="J217" i="1"/>
  <c r="J216" i="1" s="1"/>
  <c r="W217" i="1"/>
  <c r="K217" i="1"/>
  <c r="K216" i="1" s="1"/>
  <c r="J214" i="1"/>
  <c r="J212" i="1" s="1"/>
  <c r="J260" i="1"/>
  <c r="J262" i="1" s="1"/>
  <c r="G207" i="1"/>
  <c r="Q179" i="1"/>
  <c r="Q120" i="1" s="1"/>
  <c r="N186" i="1"/>
  <c r="L186" i="1"/>
  <c r="L65" i="1"/>
  <c r="J176" i="1"/>
  <c r="J177" i="1" s="1"/>
  <c r="AX23" i="1"/>
  <c r="BR22" i="1"/>
  <c r="AZ28" i="1"/>
  <c r="BI199" i="1"/>
  <c r="F257" i="1"/>
  <c r="M196" i="1"/>
  <c r="BI44" i="1"/>
  <c r="AZ22" i="1"/>
  <c r="BW236" i="1"/>
  <c r="BN114" i="1"/>
  <c r="W260" i="1"/>
  <c r="W262" i="1" s="1"/>
  <c r="K260" i="1"/>
  <c r="K262" i="1" s="1"/>
  <c r="F207" i="1"/>
  <c r="N65" i="1"/>
  <c r="BQ114" i="1"/>
  <c r="BL114" i="1"/>
  <c r="BD114" i="1"/>
  <c r="BL113" i="1"/>
  <c r="AZ115" i="1"/>
  <c r="BH197" i="1"/>
  <c r="BL200" i="1" s="1"/>
  <c r="BX115" i="1"/>
  <c r="BI38" i="1"/>
  <c r="BD115" i="1"/>
  <c r="BJ199" i="1"/>
  <c r="AT199" i="1"/>
  <c r="BS113" i="1"/>
  <c r="B259" i="1"/>
  <c r="P207" i="1"/>
  <c r="P209" i="1" s="1"/>
  <c r="P210" i="1" s="1"/>
  <c r="AS22" i="1"/>
  <c r="BJ23" i="1"/>
  <c r="AO22" i="1"/>
  <c r="BY114" i="1"/>
  <c r="BA30" i="1"/>
  <c r="BU22" i="1"/>
  <c r="Q207" i="1"/>
  <c r="Q209" i="1" s="1"/>
  <c r="Q210" i="1" s="1"/>
  <c r="B193" i="1"/>
  <c r="B197" i="1" s="1"/>
  <c r="BI23" i="1"/>
  <c r="BM199" i="1"/>
  <c r="BS199" i="1"/>
  <c r="BX113" i="1"/>
  <c r="BT236" i="1"/>
  <c r="BH115" i="1"/>
  <c r="BI236" i="1"/>
  <c r="BR27" i="1"/>
  <c r="BV29" i="1" s="1"/>
  <c r="AS114" i="1"/>
  <c r="AW23" i="1"/>
  <c r="AX114" i="1"/>
  <c r="AV115" i="1"/>
  <c r="BN199" i="1"/>
  <c r="BH192" i="1"/>
  <c r="BZ199" i="1"/>
  <c r="BY113" i="1"/>
  <c r="BU236" i="1"/>
  <c r="BV199" i="1"/>
  <c r="BQ38" i="1"/>
  <c r="AU113" i="1"/>
  <c r="V140" i="1"/>
  <c r="V66" i="1" s="1"/>
  <c r="B179" i="1"/>
  <c r="B120" i="1" s="1"/>
  <c r="BA199" i="1"/>
  <c r="AV114" i="1"/>
  <c r="BO199" i="1"/>
  <c r="AV27" i="1"/>
  <c r="AQ236" i="1"/>
  <c r="BZ22" i="1"/>
  <c r="BV23" i="1"/>
  <c r="AU115" i="1"/>
  <c r="G214" i="1"/>
  <c r="G212" i="1" s="1"/>
  <c r="BI27" i="1"/>
  <c r="BI28" i="1" s="1"/>
  <c r="R149" i="1"/>
  <c r="R176" i="1" s="1"/>
  <c r="R177" i="1" s="1"/>
  <c r="R44" i="1"/>
  <c r="AP236" i="1"/>
  <c r="BH113" i="1"/>
  <c r="BS236" i="1"/>
  <c r="BW199" i="1"/>
  <c r="AS115" i="1"/>
  <c r="AX115" i="1"/>
  <c r="BB38" i="1"/>
  <c r="AS199" i="1"/>
  <c r="BT199" i="1"/>
  <c r="BA29" i="1"/>
  <c r="BS23" i="1"/>
  <c r="BV38" i="1"/>
  <c r="BA23" i="1"/>
  <c r="BA38" i="1"/>
  <c r="BV39" i="1"/>
  <c r="BV45" i="1" s="1"/>
  <c r="BV49" i="1" s="1"/>
  <c r="BB236" i="1"/>
  <c r="AW199" i="1"/>
  <c r="CA199" i="1"/>
  <c r="BB27" i="1"/>
  <c r="AZ114" i="1"/>
  <c r="BR23" i="1"/>
  <c r="BE22" i="1"/>
  <c r="BV22" i="1"/>
  <c r="BA22" i="1"/>
  <c r="BJ115" i="1"/>
  <c r="O69" i="1"/>
  <c r="H207" i="1"/>
  <c r="AO199" i="1"/>
  <c r="BM22" i="1"/>
  <c r="AP199" i="1"/>
  <c r="BR38" i="1"/>
  <c r="BJ114" i="1"/>
  <c r="BJ255" i="1"/>
  <c r="BX236" i="1"/>
  <c r="BL236" i="1"/>
  <c r="BC199" i="1"/>
  <c r="AO23" i="1"/>
  <c r="BC236" i="1"/>
  <c r="BB22" i="1"/>
  <c r="R69" i="1"/>
  <c r="T69" i="1"/>
  <c r="BI22" i="1"/>
  <c r="BR236" i="1"/>
  <c r="BU199" i="1"/>
  <c r="BS115" i="1"/>
  <c r="P168" i="1"/>
  <c r="P176" i="1" s="1"/>
  <c r="P177" i="1" s="1"/>
  <c r="V179" i="1"/>
  <c r="V120" i="1" s="1"/>
  <c r="BJ236" i="1"/>
  <c r="BP236" i="1"/>
  <c r="BQ236" i="1"/>
  <c r="BA236" i="1"/>
  <c r="W69" i="1"/>
  <c r="BK236" i="1"/>
  <c r="BE199" i="1"/>
  <c r="BH168" i="1"/>
  <c r="BH176" i="1" s="1"/>
  <c r="T216" i="1"/>
  <c r="E216" i="1"/>
  <c r="S216" i="1"/>
  <c r="D122" i="1"/>
  <c r="D125" i="1" s="1"/>
  <c r="S176" i="1"/>
  <c r="S177" i="1" s="1"/>
  <c r="C214" i="1"/>
  <c r="C212" i="1" s="1"/>
  <c r="C176" i="1"/>
  <c r="L176" i="1"/>
  <c r="I216" i="1"/>
  <c r="G216" i="1"/>
  <c r="U176" i="1"/>
  <c r="U177" i="1" s="1"/>
  <c r="F216" i="1"/>
  <c r="C122" i="1"/>
  <c r="C125" i="1" s="1"/>
  <c r="D214" i="1"/>
  <c r="D212" i="1" s="1"/>
  <c r="S209" i="1"/>
  <c r="S210" i="1" s="1"/>
  <c r="B176" i="1"/>
  <c r="G176" i="1"/>
  <c r="G177" i="1" s="1"/>
  <c r="L255" i="1"/>
  <c r="L257" i="1"/>
  <c r="J255" i="1"/>
  <c r="J257" i="1"/>
  <c r="S255" i="1"/>
  <c r="T214" i="1"/>
  <c r="T212" i="1" s="1"/>
  <c r="S257" i="1"/>
  <c r="U214" i="1"/>
  <c r="U212" i="1" s="1"/>
  <c r="U257" i="1"/>
  <c r="U255" i="1"/>
  <c r="E257" i="1"/>
  <c r="F214" i="1"/>
  <c r="F212" i="1" s="1"/>
  <c r="E255" i="1"/>
  <c r="W214" i="1"/>
  <c r="W212" i="1" s="1"/>
  <c r="I214" i="1"/>
  <c r="I212" i="1" s="1"/>
  <c r="I255" i="1"/>
  <c r="I257" i="1"/>
  <c r="K209" i="1"/>
  <c r="K210" i="1" s="1"/>
  <c r="H257" i="1"/>
  <c r="H255" i="1"/>
  <c r="F192" i="1"/>
  <c r="F197" i="1"/>
  <c r="P255" i="1"/>
  <c r="P257" i="1"/>
  <c r="G255" i="1"/>
  <c r="G257" i="1"/>
  <c r="H214" i="1"/>
  <c r="H212" i="1" s="1"/>
  <c r="M214" i="1"/>
  <c r="M212" i="1" s="1"/>
  <c r="M255" i="1"/>
  <c r="M257" i="1"/>
  <c r="S197" i="1"/>
  <c r="S195" i="1"/>
  <c r="E176" i="1"/>
  <c r="E177" i="1" s="1"/>
  <c r="E214" i="1"/>
  <c r="E212" i="1" s="1"/>
  <c r="L192" i="1"/>
  <c r="L197" i="1"/>
  <c r="H192" i="1"/>
  <c r="H197" i="1"/>
  <c r="D195" i="1"/>
  <c r="Q176" i="1"/>
  <c r="R209" i="1"/>
  <c r="R210" i="1" s="1"/>
  <c r="N209" i="1"/>
  <c r="N210" i="1" s="1"/>
  <c r="D80" i="1"/>
  <c r="D79" i="1"/>
  <c r="AR213" i="1"/>
  <c r="AQ213" i="1"/>
  <c r="C195" i="1"/>
  <c r="V214" i="1"/>
  <c r="V212" i="1" s="1"/>
  <c r="V255" i="1"/>
  <c r="V257" i="1"/>
  <c r="AQ260" i="1"/>
  <c r="AN103" i="1"/>
  <c r="AN106" i="1" s="1"/>
  <c r="P197" i="1"/>
  <c r="P192" i="1"/>
  <c r="Q257" i="1"/>
  <c r="Q255" i="1"/>
  <c r="Q214" i="1"/>
  <c r="Q212" i="1" s="1"/>
  <c r="O257" i="1"/>
  <c r="P214" i="1"/>
  <c r="P212" i="1" s="1"/>
  <c r="AR217" i="1"/>
  <c r="AR260" i="1"/>
  <c r="Q197" i="1"/>
  <c r="Q195" i="1"/>
  <c r="I195" i="1"/>
  <c r="I197" i="1"/>
  <c r="E195" i="1"/>
  <c r="E197" i="1"/>
  <c r="U195" i="1"/>
  <c r="U197" i="1"/>
  <c r="T197" i="1"/>
  <c r="T192" i="1"/>
  <c r="O255" i="1"/>
  <c r="N197" i="1"/>
  <c r="N192" i="1"/>
  <c r="AS217" i="1"/>
  <c r="AS260" i="1"/>
  <c r="AX103" i="1"/>
  <c r="AX259" i="1"/>
  <c r="BG145" i="1"/>
  <c r="BG44" i="1"/>
  <c r="BF149" i="1"/>
  <c r="R197" i="1"/>
  <c r="R195" i="1"/>
  <c r="BN149" i="1"/>
  <c r="BO145" i="1"/>
  <c r="BO44" i="1"/>
  <c r="AY145" i="1"/>
  <c r="AX149" i="1"/>
  <c r="AY44" i="1"/>
  <c r="BF179" i="1"/>
  <c r="AX140" i="1"/>
  <c r="BO213" i="1"/>
  <c r="BP213" i="1"/>
  <c r="AT149" i="1"/>
  <c r="AU44" i="1"/>
  <c r="AU145" i="1"/>
  <c r="BO217" i="1"/>
  <c r="BO260" i="1"/>
  <c r="BN260" i="1"/>
  <c r="BN217" i="1"/>
  <c r="AP213" i="1"/>
  <c r="AO213" i="1"/>
  <c r="AQ217" i="1"/>
  <c r="BG260" i="1"/>
  <c r="BH260" i="1"/>
  <c r="AY217" i="1"/>
  <c r="AY260" i="1"/>
  <c r="AZ103" i="1"/>
  <c r="AZ259" i="1"/>
  <c r="BF140" i="1"/>
  <c r="AP140" i="1"/>
  <c r="BF103" i="1"/>
  <c r="BF259" i="1"/>
  <c r="BP107" i="1"/>
  <c r="BP259" i="1"/>
  <c r="BG217" i="1"/>
  <c r="BP106" i="1"/>
  <c r="BF193" i="1"/>
  <c r="BF168" i="1"/>
  <c r="BR193" i="1"/>
  <c r="BN193" i="1"/>
  <c r="BN168" i="1"/>
  <c r="AZ193" i="1"/>
  <c r="AZ168" i="1"/>
  <c r="BA261" i="1"/>
  <c r="BK30" i="1"/>
  <c r="AP29" i="1"/>
  <c r="AR28" i="1"/>
  <c r="BM28" i="1"/>
  <c r="BQ29" i="1"/>
  <c r="BM39" i="1"/>
  <c r="BM30" i="1"/>
  <c r="BE30" i="1"/>
  <c r="BD28" i="1"/>
  <c r="BD39" i="1"/>
  <c r="BD41" i="1" s="1"/>
  <c r="BD29" i="1"/>
  <c r="BO39" i="1"/>
  <c r="BP30" i="1"/>
  <c r="BS29" i="1"/>
  <c r="BO28" i="1"/>
  <c r="AJ30" i="1"/>
  <c r="AI28" i="1"/>
  <c r="AM29" i="1"/>
  <c r="AI39" i="1"/>
  <c r="N70" i="1"/>
  <c r="BA40" i="1"/>
  <c r="BA243" i="1"/>
  <c r="BA244" i="1" s="1"/>
  <c r="BA45" i="1"/>
  <c r="BA49" i="1" s="1"/>
  <c r="BA41" i="1"/>
  <c r="AW243" i="1"/>
  <c r="AW244" i="1" s="1"/>
  <c r="AW40" i="1"/>
  <c r="AW45" i="1"/>
  <c r="AW49" i="1" s="1"/>
  <c r="AU30" i="1"/>
  <c r="BD30" i="1"/>
  <c r="S70" i="1"/>
  <c r="BC39" i="1"/>
  <c r="BC28" i="1"/>
  <c r="BA42" i="1"/>
  <c r="AZ40" i="1"/>
  <c r="AZ243" i="1"/>
  <c r="AZ244" i="1" s="1"/>
  <c r="AZ45" i="1"/>
  <c r="AZ49" i="1" s="1"/>
  <c r="BH39" i="1"/>
  <c r="BH28" i="1"/>
  <c r="BL29" i="1"/>
  <c r="BH29" i="1"/>
  <c r="BB29" i="1"/>
  <c r="AX30" i="1"/>
  <c r="AX28" i="1"/>
  <c r="AX29" i="1"/>
  <c r="AX39" i="1"/>
  <c r="BN29" i="1"/>
  <c r="BN30" i="1"/>
  <c r="AR243" i="1"/>
  <c r="AR244" i="1" s="1"/>
  <c r="BG29" i="1"/>
  <c r="BG28" i="1"/>
  <c r="BH30" i="1"/>
  <c r="BK29" i="1"/>
  <c r="T70" i="1"/>
  <c r="BG39" i="1"/>
  <c r="AN29" i="1"/>
  <c r="AN30" i="1"/>
  <c r="BW30" i="1"/>
  <c r="BW28" i="1"/>
  <c r="X70" i="1"/>
  <c r="CA29" i="1"/>
  <c r="BX30" i="1"/>
  <c r="BW39" i="1"/>
  <c r="BU30" i="1"/>
  <c r="BT39" i="1"/>
  <c r="BX29" i="1"/>
  <c r="BT28" i="1"/>
  <c r="BT29" i="1"/>
  <c r="BW149" i="1"/>
  <c r="BX44" i="1"/>
  <c r="AR45" i="1"/>
  <c r="AR49" i="1" s="1"/>
  <c r="BI30" i="1"/>
  <c r="BV255" i="1"/>
  <c r="BV257" i="1"/>
  <c r="AO29" i="1"/>
  <c r="BH257" i="1"/>
  <c r="BH255" i="1"/>
  <c r="O70" i="1"/>
  <c r="BV176" i="1"/>
  <c r="AQ29" i="1"/>
  <c r="BJ44" i="1"/>
  <c r="BI149" i="1"/>
  <c r="BJ214" i="1" s="1"/>
  <c r="BJ212" i="1" s="1"/>
  <c r="BB30" i="1"/>
  <c r="BJ52" i="1"/>
  <c r="BJ51" i="1"/>
  <c r="CR205" i="1"/>
  <c r="CR143" i="1"/>
  <c r="CR142" i="1" s="1"/>
  <c r="CQ214" i="1"/>
  <c r="CQ212" i="1" s="1"/>
  <c r="AB217" i="1"/>
  <c r="DB74" i="1"/>
  <c r="DB76" i="1" s="1"/>
  <c r="DA76" i="1"/>
  <c r="M177" i="1" l="1"/>
  <c r="H209" i="1"/>
  <c r="H210" i="1" s="1"/>
  <c r="AO28" i="1"/>
  <c r="AS29" i="1"/>
  <c r="AW213" i="1"/>
  <c r="H216" i="1"/>
  <c r="BU213" i="1"/>
  <c r="D209" i="1"/>
  <c r="D210" i="1" s="1"/>
  <c r="T209" i="1"/>
  <c r="T210" i="1" s="1"/>
  <c r="L177" i="1"/>
  <c r="C121" i="1"/>
  <c r="C124" i="1" s="1"/>
  <c r="M216" i="1"/>
  <c r="H176" i="1"/>
  <c r="H177" i="1" s="1"/>
  <c r="J209" i="1"/>
  <c r="J210" i="1" s="1"/>
  <c r="J224" i="1" s="1"/>
  <c r="G209" i="1"/>
  <c r="G210" i="1" s="1"/>
  <c r="N216" i="1"/>
  <c r="O216" i="1"/>
  <c r="U216" i="1"/>
  <c r="I176" i="1"/>
  <c r="I177" i="1" s="1"/>
  <c r="F209" i="1"/>
  <c r="F210" i="1" s="1"/>
  <c r="F177" i="1"/>
  <c r="V209" i="1"/>
  <c r="V210" i="1" s="1"/>
  <c r="V176" i="1"/>
  <c r="V177" i="1" s="1"/>
  <c r="E209" i="1"/>
  <c r="E210" i="1" s="1"/>
  <c r="L214" i="1"/>
  <c r="L212" i="1" s="1"/>
  <c r="K214" i="1"/>
  <c r="K212" i="1" s="1"/>
  <c r="K176" i="1"/>
  <c r="K177" i="1" s="1"/>
  <c r="J195" i="1"/>
  <c r="J197" i="1"/>
  <c r="K255" i="1"/>
  <c r="K257" i="1"/>
  <c r="O176" i="1"/>
  <c r="BN179" i="1"/>
  <c r="AP30" i="1"/>
  <c r="AO39" i="1"/>
  <c r="BC139" i="1"/>
  <c r="AX195" i="1"/>
  <c r="AW139" i="1"/>
  <c r="BQ39" i="1"/>
  <c r="BB195" i="1"/>
  <c r="BD195" i="1"/>
  <c r="D176" i="1"/>
  <c r="L216" i="1"/>
  <c r="C209" i="1"/>
  <c r="C210" i="1" s="1"/>
  <c r="D197" i="1"/>
  <c r="Q216" i="1"/>
  <c r="I209" i="1"/>
  <c r="I210" i="1" s="1"/>
  <c r="Q177" i="1"/>
  <c r="M209" i="1"/>
  <c r="M210" i="1" s="1"/>
  <c r="O209" i="1"/>
  <c r="O210" i="1" s="1"/>
  <c r="L209" i="1"/>
  <c r="L210" i="1" s="1"/>
  <c r="P216" i="1"/>
  <c r="C197" i="1"/>
  <c r="O177" i="1"/>
  <c r="BC44" i="1"/>
  <c r="BB149" i="1"/>
  <c r="BC145" i="1"/>
  <c r="BT140" i="1"/>
  <c r="K195" i="1"/>
  <c r="K197" i="1"/>
  <c r="V195" i="1"/>
  <c r="V197" i="1"/>
  <c r="BN140" i="1"/>
  <c r="G197" i="1"/>
  <c r="G195" i="1"/>
  <c r="O197" i="1"/>
  <c r="O195" i="1"/>
  <c r="AR179" i="1"/>
  <c r="AS48" i="1" s="1"/>
  <c r="BU44" i="1"/>
  <c r="BT149" i="1"/>
  <c r="BU145" i="1"/>
  <c r="BE44" i="1"/>
  <c r="BE145" i="1"/>
  <c r="BD149" i="1"/>
  <c r="BN259" i="1"/>
  <c r="BN103" i="1"/>
  <c r="BF217" i="1"/>
  <c r="BA145" i="1"/>
  <c r="BA44" i="1"/>
  <c r="AZ149" i="1"/>
  <c r="BC220" i="1"/>
  <c r="BD103" i="1"/>
  <c r="BD259" i="1"/>
  <c r="BT213" i="1"/>
  <c r="BS213" i="1"/>
  <c r="BV260" i="1"/>
  <c r="BU260" i="1"/>
  <c r="BU217" i="1"/>
  <c r="BV217" i="1"/>
  <c r="BT179" i="1"/>
  <c r="M197" i="1"/>
  <c r="M195" i="1"/>
  <c r="BD140" i="1"/>
  <c r="BE260" i="1"/>
  <c r="BE217" i="1"/>
  <c r="BD179" i="1"/>
  <c r="AV103" i="1"/>
  <c r="AV259" i="1"/>
  <c r="AQ220" i="1"/>
  <c r="AP259" i="1"/>
  <c r="BT103" i="1"/>
  <c r="BT259" i="1"/>
  <c r="BF260" i="1"/>
  <c r="AP179" i="1"/>
  <c r="BD193" i="1"/>
  <c r="BD168" i="1"/>
  <c r="BT193" i="1"/>
  <c r="BT168" i="1"/>
  <c r="B96" i="1"/>
  <c r="B97" i="1"/>
  <c r="BL30" i="1"/>
  <c r="BK28" i="1"/>
  <c r="BK39" i="1"/>
  <c r="AM65" i="1"/>
  <c r="AM218" i="1"/>
  <c r="AM216" i="1" s="1"/>
  <c r="AM66" i="1"/>
  <c r="AM103" i="1"/>
  <c r="AT29" i="1"/>
  <c r="AP39" i="1"/>
  <c r="AP28" i="1"/>
  <c r="BQ28" i="1"/>
  <c r="BU29" i="1"/>
  <c r="BU39" i="1"/>
  <c r="BV30" i="1"/>
  <c r="BY29" i="1"/>
  <c r="BU28" i="1"/>
  <c r="BM29" i="1"/>
  <c r="BI39" i="1"/>
  <c r="BJ30" i="1"/>
  <c r="BN195" i="1"/>
  <c r="BF28" i="1"/>
  <c r="BJ29" i="1"/>
  <c r="BE39" i="1"/>
  <c r="BE28" i="1"/>
  <c r="BF30" i="1"/>
  <c r="BC30" i="1"/>
  <c r="BT30" i="1"/>
  <c r="AU29" i="1"/>
  <c r="BW29" i="1"/>
  <c r="BF40" i="1"/>
  <c r="BF45" i="1"/>
  <c r="BF49" i="1" s="1"/>
  <c r="BF243" i="1"/>
  <c r="BF244" i="1" s="1"/>
  <c r="BO29" i="1"/>
  <c r="AT45" i="1"/>
  <c r="AT49" i="1" s="1"/>
  <c r="AT40" i="1"/>
  <c r="AT243" i="1"/>
  <c r="AT244" i="1" s="1"/>
  <c r="AU39" i="1"/>
  <c r="AU28" i="1"/>
  <c r="BS39" i="1"/>
  <c r="BS28" i="1"/>
  <c r="BH120" i="1"/>
  <c r="BI48" i="1"/>
  <c r="AQ30" i="1"/>
  <c r="BR29" i="1"/>
  <c r="BN39" i="1"/>
  <c r="U70" i="1"/>
  <c r="BN28" i="1"/>
  <c r="BO30" i="1"/>
  <c r="BG30" i="1"/>
  <c r="AN39" i="1"/>
  <c r="AO30" i="1"/>
  <c r="AR29" i="1"/>
  <c r="AN28" i="1"/>
  <c r="BZ41" i="1"/>
  <c r="AQ39" i="1"/>
  <c r="P70" i="1"/>
  <c r="AQ28" i="1"/>
  <c r="AR30" i="1"/>
  <c r="BB28" i="1"/>
  <c r="R70" i="1"/>
  <c r="BB39" i="1"/>
  <c r="BF29" i="1"/>
  <c r="BV192" i="1"/>
  <c r="AS145" i="1"/>
  <c r="BH177" i="1"/>
  <c r="AR192" i="1"/>
  <c r="AP106" i="1"/>
  <c r="AP105" i="1"/>
  <c r="AP107" i="1"/>
  <c r="AM97" i="1"/>
  <c r="AM96" i="1"/>
  <c r="AM98" i="1"/>
  <c r="BR107" i="1"/>
  <c r="BR105" i="1"/>
  <c r="BR106" i="1"/>
  <c r="AT107" i="1"/>
  <c r="AT105" i="1"/>
  <c r="AX179" i="1"/>
  <c r="AT106" i="1"/>
  <c r="Q70" i="1"/>
  <c r="BB179" i="1"/>
  <c r="AV179" i="1"/>
  <c r="AN259" i="1"/>
  <c r="AO145" i="1"/>
  <c r="AO44" i="1"/>
  <c r="AN149" i="1"/>
  <c r="AN257" i="1" s="1"/>
  <c r="BB140" i="1"/>
  <c r="AT259" i="1"/>
  <c r="AR140" i="1"/>
  <c r="AR103" i="1"/>
  <c r="AR257" i="1"/>
  <c r="AW44" i="1"/>
  <c r="AV149" i="1"/>
  <c r="AW145" i="1"/>
  <c r="AQ145" i="1"/>
  <c r="AP149" i="1"/>
  <c r="AQ44" i="1"/>
  <c r="AT193" i="1"/>
  <c r="AT168" i="1"/>
  <c r="BB106" i="1"/>
  <c r="BB107" i="1"/>
  <c r="BB105" i="1"/>
  <c r="AO260" i="1"/>
  <c r="AO217" i="1"/>
  <c r="AN260" i="1"/>
  <c r="AN217" i="1"/>
  <c r="AN140" i="1"/>
  <c r="AN179" i="1"/>
  <c r="AR196" i="1"/>
  <c r="AR168" i="1"/>
  <c r="AR176" i="1" s="1"/>
  <c r="BP260" i="1"/>
  <c r="BP217" i="1"/>
  <c r="BP179" i="1"/>
  <c r="BR140" i="1"/>
  <c r="BS260" i="1"/>
  <c r="BS217" i="1"/>
  <c r="BR179" i="1"/>
  <c r="BQ44" i="1"/>
  <c r="BP149" i="1"/>
  <c r="BQ145" i="1"/>
  <c r="BB259" i="1"/>
  <c r="AR259" i="1"/>
  <c r="AR255" i="1"/>
  <c r="AN193" i="1"/>
  <c r="AN168" i="1"/>
  <c r="BT260" i="1"/>
  <c r="BT217" i="1"/>
  <c r="AZ30" i="1"/>
  <c r="AS39" i="1"/>
  <c r="AS42" i="1" s="1"/>
  <c r="AW29" i="1"/>
  <c r="AS30" i="1"/>
  <c r="BP39" i="1"/>
  <c r="BP29" i="1"/>
  <c r="BQ30" i="1"/>
  <c r="AY29" i="1"/>
  <c r="AY30" i="1"/>
  <c r="AZ179" i="1"/>
  <c r="AZ260" i="1"/>
  <c r="AZ140" i="1"/>
  <c r="AZ217" i="1"/>
  <c r="AN195" i="1"/>
  <c r="AT140" i="1"/>
  <c r="AT260" i="1"/>
  <c r="AT217" i="1"/>
  <c r="AT179" i="1"/>
  <c r="AP217" i="1"/>
  <c r="AP260" i="1"/>
  <c r="BB217" i="1"/>
  <c r="BA260" i="1"/>
  <c r="BB260" i="1"/>
  <c r="BA217" i="1"/>
  <c r="AU217" i="1"/>
  <c r="AU260" i="1"/>
  <c r="BS220" i="1"/>
  <c r="BR259" i="1"/>
  <c r="AV140" i="1"/>
  <c r="BP168" i="1"/>
  <c r="BR197" i="1"/>
  <c r="BV200" i="1" s="1"/>
  <c r="BR168" i="1"/>
  <c r="AY28" i="1"/>
  <c r="AS28" i="1"/>
  <c r="AT30" i="1"/>
  <c r="BP28" i="1"/>
  <c r="BS30" i="1"/>
  <c r="BC29" i="1"/>
  <c r="AV217" i="1"/>
  <c r="BP197" i="1"/>
  <c r="BP200" i="1" s="1"/>
  <c r="BR217" i="1"/>
  <c r="BV177" i="1"/>
  <c r="BR260" i="1"/>
  <c r="BS44" i="1"/>
  <c r="BS145" i="1"/>
  <c r="BR149" i="1"/>
  <c r="AV260" i="1"/>
  <c r="AP196" i="1"/>
  <c r="AP168" i="1"/>
  <c r="BQ260" i="1"/>
  <c r="BP140" i="1"/>
  <c r="BQ217" i="1"/>
  <c r="AV193" i="1"/>
  <c r="AV197" i="1" s="1"/>
  <c r="AV168" i="1"/>
  <c r="BB193" i="1"/>
  <c r="BB168" i="1"/>
  <c r="AX193" i="1"/>
  <c r="AX168" i="1"/>
  <c r="BV107" i="1"/>
  <c r="BV106" i="1"/>
  <c r="BV105" i="1"/>
  <c r="AS149" i="1"/>
  <c r="AT44" i="1"/>
  <c r="BV120" i="1"/>
  <c r="BW48" i="1"/>
  <c r="N214" i="1"/>
  <c r="N212" i="1" s="1"/>
  <c r="N176" i="1"/>
  <c r="N177" i="1" s="1"/>
  <c r="BI29" i="1"/>
  <c r="B192" i="1"/>
  <c r="O214" i="1"/>
  <c r="O212" i="1" s="1"/>
  <c r="C79" i="1"/>
  <c r="BR28" i="1"/>
  <c r="BR30" i="1"/>
  <c r="BR39" i="1"/>
  <c r="BS123" i="1" s="1"/>
  <c r="V70" i="1"/>
  <c r="N255" i="1"/>
  <c r="S214" i="1"/>
  <c r="S212" i="1" s="1"/>
  <c r="R214" i="1"/>
  <c r="R212" i="1" s="1"/>
  <c r="AV28" i="1"/>
  <c r="AV39" i="1"/>
  <c r="AV237" i="1" s="1"/>
  <c r="BV243" i="1"/>
  <c r="BV244" i="1" s="1"/>
  <c r="BV40" i="1"/>
  <c r="B121" i="1"/>
  <c r="B124" i="1" s="1"/>
  <c r="B122" i="1"/>
  <c r="B125" i="1" s="1"/>
  <c r="AZ29" i="1"/>
  <c r="AV30" i="1"/>
  <c r="R255" i="1"/>
  <c r="R257" i="1"/>
  <c r="AV29" i="1"/>
  <c r="AW30" i="1"/>
  <c r="C255" i="1"/>
  <c r="C177" i="1"/>
  <c r="B255" i="1"/>
  <c r="B177" i="1"/>
  <c r="D81" i="1"/>
  <c r="I200" i="1"/>
  <c r="I201" i="1" s="1"/>
  <c r="C98" i="1"/>
  <c r="C96" i="1"/>
  <c r="C81" i="1"/>
  <c r="C97" i="1"/>
  <c r="B100" i="1"/>
  <c r="S224" i="1"/>
  <c r="S221" i="1"/>
  <c r="S222" i="1" s="1"/>
  <c r="U224" i="1"/>
  <c r="U221" i="1"/>
  <c r="U222" i="1" s="1"/>
  <c r="Q224" i="1"/>
  <c r="N224" i="1"/>
  <c r="N221" i="1"/>
  <c r="N222" i="1" s="1"/>
  <c r="P224" i="1"/>
  <c r="V221" i="1"/>
  <c r="V222" i="1" s="1"/>
  <c r="V224" i="1"/>
  <c r="AP44" i="1"/>
  <c r="AO149" i="1"/>
  <c r="AN105" i="1"/>
  <c r="AN107" i="1"/>
  <c r="Q200" i="1"/>
  <c r="Q201" i="1" s="1"/>
  <c r="D96" i="1"/>
  <c r="D97" i="1"/>
  <c r="D98" i="1"/>
  <c r="C100" i="1"/>
  <c r="AZ44" i="1"/>
  <c r="AY149" i="1"/>
  <c r="F200" i="1"/>
  <c r="F201" i="1" s="1"/>
  <c r="BN214" i="1"/>
  <c r="BN212" i="1" s="1"/>
  <c r="BN257" i="1"/>
  <c r="BN255" i="1"/>
  <c r="BF176" i="1"/>
  <c r="BF177" i="1" s="1"/>
  <c r="BF257" i="1"/>
  <c r="BF255" i="1"/>
  <c r="BG48" i="1"/>
  <c r="BF120" i="1"/>
  <c r="BN176" i="1"/>
  <c r="AN255" i="1"/>
  <c r="AN214" i="1"/>
  <c r="AN212" i="1" s="1"/>
  <c r="AW149" i="1"/>
  <c r="AX44" i="1"/>
  <c r="BG149" i="1"/>
  <c r="BH44" i="1"/>
  <c r="AV255" i="1"/>
  <c r="AV257" i="1"/>
  <c r="S200" i="1"/>
  <c r="S201" i="1" s="1"/>
  <c r="R200" i="1"/>
  <c r="R201" i="1" s="1"/>
  <c r="AX257" i="1"/>
  <c r="AX255" i="1"/>
  <c r="AR107" i="1"/>
  <c r="AR106" i="1"/>
  <c r="AX107" i="1"/>
  <c r="AX106" i="1"/>
  <c r="AX105" i="1"/>
  <c r="AQ149" i="1"/>
  <c r="AR44" i="1"/>
  <c r="AT197" i="1"/>
  <c r="AT192" i="1"/>
  <c r="AO48" i="1"/>
  <c r="AN120" i="1"/>
  <c r="AR197" i="1"/>
  <c r="AR195" i="1"/>
  <c r="AV44" i="1"/>
  <c r="AU149" i="1"/>
  <c r="T200" i="1"/>
  <c r="T201" i="1" s="1"/>
  <c r="U200" i="1"/>
  <c r="U201" i="1" s="1"/>
  <c r="BP44" i="1"/>
  <c r="BO149" i="1"/>
  <c r="AT257" i="1"/>
  <c r="AT255" i="1"/>
  <c r="AZ106" i="1"/>
  <c r="AZ107" i="1"/>
  <c r="AZ105" i="1"/>
  <c r="BF192" i="1"/>
  <c r="BF197" i="1"/>
  <c r="BJ200" i="1" s="1"/>
  <c r="BF106" i="1"/>
  <c r="BF107" i="1"/>
  <c r="BF105" i="1"/>
  <c r="BR192" i="1"/>
  <c r="BN192" i="1"/>
  <c r="BN197" i="1"/>
  <c r="BX214" i="1"/>
  <c r="BX212" i="1" s="1"/>
  <c r="BW214" i="1"/>
  <c r="BW212" i="1" s="1"/>
  <c r="AZ197" i="1"/>
  <c r="AZ192" i="1"/>
  <c r="BA237" i="1"/>
  <c r="BK41" i="1"/>
  <c r="BK42" i="1"/>
  <c r="AY40" i="1"/>
  <c r="AY243" i="1"/>
  <c r="AY244" i="1" s="1"/>
  <c r="AY45" i="1"/>
  <c r="AY49" i="1" s="1"/>
  <c r="AZ261" i="1"/>
  <c r="AZ42" i="1"/>
  <c r="AP41" i="1"/>
  <c r="BM123" i="1"/>
  <c r="BM237" i="1"/>
  <c r="S71" i="1"/>
  <c r="BK123" i="1"/>
  <c r="BE41" i="1"/>
  <c r="BP41" i="1"/>
  <c r="BM45" i="1"/>
  <c r="BM49" i="1" s="1"/>
  <c r="BM40" i="1"/>
  <c r="BQ41" i="1"/>
  <c r="BM42" i="1"/>
  <c r="BM243" i="1"/>
  <c r="BM244" i="1" s="1"/>
  <c r="BM261" i="1"/>
  <c r="BM262" i="1" s="1"/>
  <c r="BD261" i="1"/>
  <c r="O71" i="1"/>
  <c r="BE42" i="1"/>
  <c r="BD45" i="1"/>
  <c r="BD49" i="1" s="1"/>
  <c r="BD40" i="1"/>
  <c r="BD243" i="1"/>
  <c r="BD244" i="1" s="1"/>
  <c r="BO40" i="1"/>
  <c r="BO45" i="1"/>
  <c r="BO49" i="1" s="1"/>
  <c r="BO243" i="1"/>
  <c r="BO244" i="1" s="1"/>
  <c r="BP42" i="1"/>
  <c r="AJ42" i="1"/>
  <c r="AL123" i="1"/>
  <c r="AI40" i="1"/>
  <c r="AM41" i="1"/>
  <c r="AI45" i="1"/>
  <c r="N71" i="1"/>
  <c r="AL237" i="1"/>
  <c r="AI243" i="1"/>
  <c r="AI244" i="1" s="1"/>
  <c r="AW237" i="1"/>
  <c r="AU237" i="1"/>
  <c r="AW123" i="1"/>
  <c r="AU42" i="1"/>
  <c r="AU261" i="1"/>
  <c r="AU123" i="1"/>
  <c r="AU243" i="1"/>
  <c r="AU244" i="1" s="1"/>
  <c r="AU40" i="1"/>
  <c r="AU45" i="1"/>
  <c r="AU49" i="1" s="1"/>
  <c r="AY41" i="1"/>
  <c r="AV42" i="1"/>
  <c r="AU41" i="1"/>
  <c r="BS41" i="1"/>
  <c r="BS45" i="1"/>
  <c r="BS49" i="1" s="1"/>
  <c r="BS40" i="1"/>
  <c r="BS243" i="1"/>
  <c r="BS244" i="1" s="1"/>
  <c r="BD42" i="1"/>
  <c r="BG41" i="1"/>
  <c r="BF123" i="1"/>
  <c r="BC45" i="1"/>
  <c r="BC40" i="1"/>
  <c r="BC243" i="1"/>
  <c r="BC244" i="1" s="1"/>
  <c r="BF237" i="1"/>
  <c r="BC41" i="1"/>
  <c r="AQ237" i="1"/>
  <c r="AZ52" i="1"/>
  <c r="AZ51" i="1"/>
  <c r="BV237" i="1"/>
  <c r="BA123" i="1"/>
  <c r="AY42" i="1"/>
  <c r="AY261" i="1"/>
  <c r="AY262" i="1" s="1"/>
  <c r="AZ123" i="1"/>
  <c r="BV123" i="1"/>
  <c r="AQ123" i="1"/>
  <c r="BT42" i="1"/>
  <c r="AP237" i="1"/>
  <c r="AP123" i="1"/>
  <c r="BK237" i="1"/>
  <c r="BI214" i="1"/>
  <c r="BI212" i="1" s="1"/>
  <c r="BV51" i="1"/>
  <c r="BV52" i="1"/>
  <c r="BD237" i="1"/>
  <c r="BC123" i="1"/>
  <c r="BC237" i="1"/>
  <c r="BB237" i="1"/>
  <c r="R71" i="1"/>
  <c r="BG40" i="1"/>
  <c r="BH237" i="1"/>
  <c r="T71" i="1"/>
  <c r="BG123" i="1"/>
  <c r="BJ123" i="1"/>
  <c r="BG261" i="1"/>
  <c r="BG262" i="1" s="1"/>
  <c r="BI237" i="1"/>
  <c r="BG45" i="1"/>
  <c r="BI123" i="1"/>
  <c r="BG243" i="1"/>
  <c r="BG244" i="1" s="1"/>
  <c r="BH123" i="1"/>
  <c r="BJ237" i="1"/>
  <c r="BH42" i="1"/>
  <c r="BG237" i="1"/>
  <c r="BG42" i="1"/>
  <c r="BL41" i="1"/>
  <c r="BH40" i="1"/>
  <c r="BH45" i="1"/>
  <c r="BH49" i="1" s="1"/>
  <c r="BH243" i="1"/>
  <c r="BH244" i="1" s="1"/>
  <c r="BH261" i="1"/>
  <c r="BH262" i="1" s="1"/>
  <c r="BH41" i="1"/>
  <c r="BI42" i="1"/>
  <c r="BW41" i="1"/>
  <c r="AN261" i="1"/>
  <c r="AN262" i="1" s="1"/>
  <c r="AN45" i="1"/>
  <c r="AO237" i="1"/>
  <c r="AN42" i="1"/>
  <c r="AN40" i="1"/>
  <c r="AN243" i="1"/>
  <c r="AN244" i="1" s="1"/>
  <c r="AN237" i="1"/>
  <c r="AR41" i="1"/>
  <c r="AO123" i="1"/>
  <c r="AN123" i="1"/>
  <c r="AO42" i="1"/>
  <c r="AN41" i="1"/>
  <c r="BW42" i="1"/>
  <c r="BN45" i="1"/>
  <c r="BP237" i="1"/>
  <c r="BO237" i="1"/>
  <c r="BQ123" i="1"/>
  <c r="BN40" i="1"/>
  <c r="BO42" i="1"/>
  <c r="BN42" i="1"/>
  <c r="BN243" i="1"/>
  <c r="BN244" i="1" s="1"/>
  <c r="BO261" i="1"/>
  <c r="BO262" i="1" s="1"/>
  <c r="BN261" i="1"/>
  <c r="BN262" i="1" s="1"/>
  <c r="BN41" i="1"/>
  <c r="BP123" i="1"/>
  <c r="BQ237" i="1"/>
  <c r="BO123" i="1"/>
  <c r="AX261" i="1"/>
  <c r="AX243" i="1"/>
  <c r="AX244" i="1" s="1"/>
  <c r="AX41" i="1"/>
  <c r="BB41" i="1"/>
  <c r="AZ237" i="1"/>
  <c r="AX45" i="1"/>
  <c r="AX42" i="1"/>
  <c r="AX40" i="1"/>
  <c r="BB45" i="1"/>
  <c r="BF41" i="1"/>
  <c r="BB243" i="1"/>
  <c r="BB244" i="1" s="1"/>
  <c r="BB123" i="1"/>
  <c r="BD123" i="1"/>
  <c r="BB40" i="1"/>
  <c r="BB261" i="1"/>
  <c r="BB42" i="1"/>
  <c r="BW237" i="1"/>
  <c r="BW243" i="1"/>
  <c r="BW244" i="1" s="1"/>
  <c r="BX42" i="1"/>
  <c r="X71" i="1"/>
  <c r="BW40" i="1"/>
  <c r="BZ123" i="1"/>
  <c r="BZ237" i="1"/>
  <c r="BW261" i="1"/>
  <c r="BW262" i="1" s="1"/>
  <c r="BW45" i="1"/>
  <c r="BY123" i="1"/>
  <c r="CA41" i="1"/>
  <c r="BX261" i="1"/>
  <c r="BX262" i="1" s="1"/>
  <c r="BY237" i="1"/>
  <c r="BC261" i="1"/>
  <c r="BE237" i="1"/>
  <c r="BE123" i="1"/>
  <c r="AQ40" i="1"/>
  <c r="AT237" i="1"/>
  <c r="AQ243" i="1"/>
  <c r="AQ244" i="1" s="1"/>
  <c r="P71" i="1"/>
  <c r="AQ45" i="1"/>
  <c r="AQ41" i="1"/>
  <c r="AR42" i="1"/>
  <c r="AR261" i="1"/>
  <c r="AR262" i="1" s="1"/>
  <c r="AT123" i="1"/>
  <c r="AO41" i="1"/>
  <c r="AR52" i="1"/>
  <c r="AR51" i="1"/>
  <c r="BT45" i="1"/>
  <c r="BT40" i="1"/>
  <c r="BX41" i="1"/>
  <c r="BU42" i="1"/>
  <c r="BT243" i="1"/>
  <c r="BT244" i="1" s="1"/>
  <c r="BT41" i="1"/>
  <c r="BW123" i="1"/>
  <c r="AV41" i="1"/>
  <c r="BJ245" i="1"/>
  <c r="BJ53" i="1"/>
  <c r="BJ256" i="1" s="1"/>
  <c r="BJ59" i="1"/>
  <c r="BA52" i="1"/>
  <c r="BA51" i="1"/>
  <c r="AW51" i="1"/>
  <c r="AW52" i="1"/>
  <c r="AT52" i="1"/>
  <c r="AT51" i="1"/>
  <c r="AE153" i="1"/>
  <c r="AC135" i="1"/>
  <c r="BC217" i="1" l="1"/>
  <c r="BC260" i="1"/>
  <c r="BC262" i="1" s="1"/>
  <c r="AX217" i="1"/>
  <c r="AX260" i="1"/>
  <c r="AW260" i="1"/>
  <c r="AW217" i="1"/>
  <c r="BQ40" i="1"/>
  <c r="BQ243" i="1"/>
  <c r="BQ244" i="1" s="1"/>
  <c r="BD217" i="1"/>
  <c r="BD260" i="1"/>
  <c r="BQ45" i="1"/>
  <c r="BQ49" i="1" s="1"/>
  <c r="O224" i="1"/>
  <c r="G224" i="1"/>
  <c r="H224" i="1"/>
  <c r="H221" i="1"/>
  <c r="H222" i="1" s="1"/>
  <c r="V200" i="1"/>
  <c r="V201" i="1" s="1"/>
  <c r="K224" i="1"/>
  <c r="G221" i="1"/>
  <c r="G222" i="1" s="1"/>
  <c r="J221" i="1"/>
  <c r="J222" i="1" s="1"/>
  <c r="E221" i="1"/>
  <c r="E222" i="1" s="1"/>
  <c r="T224" i="1"/>
  <c r="T221" i="1"/>
  <c r="T222" i="1" s="1"/>
  <c r="F221" i="1"/>
  <c r="F222" i="1" s="1"/>
  <c r="K221" i="1"/>
  <c r="K222" i="1" s="1"/>
  <c r="D221" i="1"/>
  <c r="D222" i="1" s="1"/>
  <c r="D224" i="1"/>
  <c r="F224" i="1"/>
  <c r="E224" i="1"/>
  <c r="Q221" i="1"/>
  <c r="Q222" i="1" s="1"/>
  <c r="C221" i="1"/>
  <c r="C222" i="1" s="1"/>
  <c r="C224" i="1"/>
  <c r="D255" i="1"/>
  <c r="D177" i="1"/>
  <c r="I221" i="1"/>
  <c r="I222" i="1" s="1"/>
  <c r="I224" i="1"/>
  <c r="M224" i="1"/>
  <c r="M221" i="1"/>
  <c r="M222" i="1" s="1"/>
  <c r="P221" i="1"/>
  <c r="P222" i="1" s="1"/>
  <c r="J200" i="1"/>
  <c r="J201" i="1" s="1"/>
  <c r="O221" i="1"/>
  <c r="O222" i="1" s="1"/>
  <c r="R221" i="1"/>
  <c r="R222" i="1" s="1"/>
  <c r="R224" i="1"/>
  <c r="L224" i="1"/>
  <c r="L221" i="1"/>
  <c r="L222" i="1" s="1"/>
  <c r="AR177" i="1"/>
  <c r="AN176" i="1"/>
  <c r="AN177" i="1" s="1"/>
  <c r="BN120" i="1"/>
  <c r="BO48" i="1"/>
  <c r="L200" i="1"/>
  <c r="L201" i="1" s="1"/>
  <c r="K200" i="1"/>
  <c r="K201" i="1" s="1"/>
  <c r="E200" i="1"/>
  <c r="E201" i="1" s="1"/>
  <c r="H200" i="1"/>
  <c r="H201" i="1" s="1"/>
  <c r="G200" i="1"/>
  <c r="G201" i="1" s="1"/>
  <c r="BN107" i="1"/>
  <c r="BN106" i="1"/>
  <c r="BN105" i="1"/>
  <c r="C200" i="1"/>
  <c r="C201" i="1" s="1"/>
  <c r="D200" i="1"/>
  <c r="D201" i="1" s="1"/>
  <c r="BT176" i="1"/>
  <c r="BT177" i="1" s="1"/>
  <c r="AP257" i="1"/>
  <c r="AP255" i="1"/>
  <c r="BD44" i="1"/>
  <c r="BC149" i="1"/>
  <c r="BN177" i="1"/>
  <c r="AZ176" i="1"/>
  <c r="BT257" i="1"/>
  <c r="BT255" i="1"/>
  <c r="BS48" i="1"/>
  <c r="BR120" i="1"/>
  <c r="BA149" i="1"/>
  <c r="BB44" i="1"/>
  <c r="AZ255" i="1"/>
  <c r="AZ257" i="1"/>
  <c r="BR44" i="1"/>
  <c r="BQ149" i="1"/>
  <c r="AN192" i="1"/>
  <c r="AN197" i="1"/>
  <c r="BB257" i="1"/>
  <c r="BB255" i="1"/>
  <c r="BE149" i="1"/>
  <c r="BF44" i="1"/>
  <c r="BD255" i="1"/>
  <c r="BD257" i="1"/>
  <c r="AU48" i="1"/>
  <c r="AT120" i="1"/>
  <c r="AP176" i="1"/>
  <c r="AP177" i="1" s="1"/>
  <c r="BD176" i="1"/>
  <c r="BD177" i="1" s="1"/>
  <c r="BV44" i="1"/>
  <c r="BU149" i="1"/>
  <c r="BD106" i="1"/>
  <c r="BD105" i="1"/>
  <c r="BD107" i="1"/>
  <c r="BU48" i="1"/>
  <c r="BT120" i="1"/>
  <c r="BE48" i="1"/>
  <c r="BD120" i="1"/>
  <c r="AV107" i="1"/>
  <c r="AV105" i="1"/>
  <c r="AV106" i="1"/>
  <c r="P200" i="1"/>
  <c r="P201" i="1" s="1"/>
  <c r="O200" i="1"/>
  <c r="O201" i="1" s="1"/>
  <c r="AP120" i="1"/>
  <c r="AQ48" i="1"/>
  <c r="M200" i="1"/>
  <c r="M201" i="1" s="1"/>
  <c r="N200" i="1"/>
  <c r="N201" i="1" s="1"/>
  <c r="BT107" i="1"/>
  <c r="BI261" i="1"/>
  <c r="BI262" i="1" s="1"/>
  <c r="AO261" i="1"/>
  <c r="AO262" i="1" s="1"/>
  <c r="AS41" i="1"/>
  <c r="BU261" i="1"/>
  <c r="BU262" i="1" s="1"/>
  <c r="BT106" i="1"/>
  <c r="BT105" i="1"/>
  <c r="BD192" i="1"/>
  <c r="BD197" i="1"/>
  <c r="BT197" i="1"/>
  <c r="BT192" i="1"/>
  <c r="BL123" i="1"/>
  <c r="AQ261" i="1"/>
  <c r="AQ262" i="1" s="1"/>
  <c r="AT41" i="1"/>
  <c r="AQ42" i="1"/>
  <c r="BO41" i="1"/>
  <c r="BX237" i="1"/>
  <c r="BK40" i="1"/>
  <c r="BL42" i="1"/>
  <c r="BK243" i="1"/>
  <c r="BK244" i="1" s="1"/>
  <c r="BK45" i="1"/>
  <c r="BK49" i="1" s="1"/>
  <c r="BK261" i="1"/>
  <c r="BK262" i="1" s="1"/>
  <c r="BL261" i="1"/>
  <c r="BL262" i="1" s="1"/>
  <c r="AM105" i="1"/>
  <c r="AM106" i="1"/>
  <c r="AM107" i="1"/>
  <c r="AP40" i="1"/>
  <c r="AP243" i="1"/>
  <c r="AP244" i="1" s="1"/>
  <c r="AP45" i="1"/>
  <c r="AP49" i="1" s="1"/>
  <c r="BV261" i="1"/>
  <c r="BV262" i="1" s="1"/>
  <c r="BU41" i="1"/>
  <c r="AP42" i="1"/>
  <c r="BN123" i="1"/>
  <c r="BN237" i="1"/>
  <c r="AR237" i="1"/>
  <c r="AP261" i="1"/>
  <c r="BX123" i="1"/>
  <c r="AO243" i="1"/>
  <c r="AO244" i="1" s="1"/>
  <c r="AO45" i="1"/>
  <c r="AO49" i="1" s="1"/>
  <c r="AO51" i="1" s="1"/>
  <c r="AR123" i="1"/>
  <c r="AO40" i="1"/>
  <c r="BV42" i="1"/>
  <c r="BU40" i="1"/>
  <c r="BU243" i="1"/>
  <c r="BU244" i="1" s="1"/>
  <c r="BY41" i="1"/>
  <c r="BU45" i="1"/>
  <c r="BU49" i="1" s="1"/>
  <c r="U71" i="1"/>
  <c r="AS243" i="1"/>
  <c r="AS244" i="1" s="1"/>
  <c r="AS45" i="1"/>
  <c r="AS49" i="1" s="1"/>
  <c r="AW41" i="1"/>
  <c r="AT42" i="1"/>
  <c r="AS261" i="1"/>
  <c r="AS262" i="1" s="1"/>
  <c r="AS40" i="1"/>
  <c r="AT261" i="1"/>
  <c r="AS237" i="1"/>
  <c r="AS123" i="1"/>
  <c r="BF261" i="1"/>
  <c r="BF262" i="1" s="1"/>
  <c r="BI243" i="1"/>
  <c r="BI244" i="1" s="1"/>
  <c r="BI45" i="1"/>
  <c r="BI40" i="1"/>
  <c r="BL237" i="1"/>
  <c r="BJ42" i="1"/>
  <c r="BJ261" i="1"/>
  <c r="BJ262" i="1" s="1"/>
  <c r="BQ42" i="1"/>
  <c r="BP40" i="1"/>
  <c r="BP243" i="1"/>
  <c r="BP244" i="1" s="1"/>
  <c r="BP45" i="1"/>
  <c r="BP49" i="1" s="1"/>
  <c r="BQ261" i="1"/>
  <c r="BM41" i="1"/>
  <c r="BE261" i="1"/>
  <c r="BE262" i="1" s="1"/>
  <c r="BI41" i="1"/>
  <c r="BE243" i="1"/>
  <c r="BE244" i="1" s="1"/>
  <c r="BE40" i="1"/>
  <c r="BE45" i="1"/>
  <c r="BE49" i="1" s="1"/>
  <c r="BF42" i="1"/>
  <c r="BF52" i="1"/>
  <c r="BF51" i="1"/>
  <c r="BP261" i="1"/>
  <c r="BP262" i="1" s="1"/>
  <c r="BH121" i="1"/>
  <c r="BH122" i="1"/>
  <c r="AX237" i="1"/>
  <c r="BT261" i="1"/>
  <c r="BT262" i="1" s="1"/>
  <c r="BC42" i="1"/>
  <c r="AU262" i="1"/>
  <c r="AV261" i="1"/>
  <c r="AR105" i="1"/>
  <c r="AW48" i="1"/>
  <c r="AV120" i="1"/>
  <c r="BB120" i="1"/>
  <c r="BC48" i="1"/>
  <c r="BP120" i="1"/>
  <c r="BQ48" i="1"/>
  <c r="AV176" i="1"/>
  <c r="AV177" i="1" s="1"/>
  <c r="AY48" i="1"/>
  <c r="AX120" i="1"/>
  <c r="AT176" i="1"/>
  <c r="AZ262" i="1"/>
  <c r="BP176" i="1"/>
  <c r="BA262" i="1"/>
  <c r="AX176" i="1"/>
  <c r="AX177" i="1" s="1"/>
  <c r="BP257" i="1"/>
  <c r="BP255" i="1"/>
  <c r="AT177" i="1"/>
  <c r="AZ200" i="1"/>
  <c r="BB262" i="1"/>
  <c r="BS149" i="1"/>
  <c r="BT44" i="1"/>
  <c r="BR257" i="1"/>
  <c r="BR255" i="1"/>
  <c r="BR176" i="1"/>
  <c r="BR177" i="1" s="1"/>
  <c r="BP177" i="1"/>
  <c r="AZ120" i="1"/>
  <c r="BA48" i="1"/>
  <c r="AP197" i="1"/>
  <c r="AP200" i="1" s="1"/>
  <c r="AP195" i="1"/>
  <c r="AX192" i="1"/>
  <c r="AX197" i="1"/>
  <c r="AV192" i="1"/>
  <c r="BB197" i="1"/>
  <c r="BB192" i="1"/>
  <c r="BV41" i="1"/>
  <c r="BR42" i="1"/>
  <c r="BS42" i="1"/>
  <c r="V71" i="1"/>
  <c r="BR237" i="1"/>
  <c r="AX123" i="1"/>
  <c r="AY123" i="1"/>
  <c r="AY237" i="1"/>
  <c r="AV123" i="1"/>
  <c r="Q71" i="1"/>
  <c r="AV45" i="1"/>
  <c r="AZ41" i="1"/>
  <c r="AV40" i="1"/>
  <c r="AV243" i="1"/>
  <c r="AV244" i="1" s="1"/>
  <c r="BB176" i="1"/>
  <c r="BB177" i="1" s="1"/>
  <c r="AS214" i="1"/>
  <c r="AS212" i="1" s="1"/>
  <c r="AT214" i="1"/>
  <c r="AT212" i="1" s="1"/>
  <c r="BV121" i="1"/>
  <c r="BV122" i="1"/>
  <c r="BR41" i="1"/>
  <c r="BR261" i="1"/>
  <c r="BR262" i="1" s="1"/>
  <c r="BT123" i="1"/>
  <c r="BR45" i="1"/>
  <c r="BR49" i="1" s="1"/>
  <c r="BS261" i="1"/>
  <c r="BS262" i="1" s="1"/>
  <c r="BS237" i="1"/>
  <c r="BR40" i="1"/>
  <c r="BU123" i="1"/>
  <c r="AW42" i="1"/>
  <c r="BR123" i="1"/>
  <c r="BT237" i="1"/>
  <c r="AW261" i="1"/>
  <c r="BR243" i="1"/>
  <c r="BR244" i="1" s="1"/>
  <c r="AP214" i="1"/>
  <c r="AP212" i="1" s="1"/>
  <c r="AO214" i="1"/>
  <c r="AO212" i="1" s="1"/>
  <c r="AY214" i="1"/>
  <c r="AY212" i="1" s="1"/>
  <c r="AZ214" i="1"/>
  <c r="AZ212" i="1" s="1"/>
  <c r="BF122" i="1"/>
  <c r="BF125" i="1" s="1"/>
  <c r="BF121" i="1"/>
  <c r="BF124" i="1" s="1"/>
  <c r="AX214" i="1"/>
  <c r="AX212" i="1" s="1"/>
  <c r="AW214" i="1"/>
  <c r="AW212" i="1" s="1"/>
  <c r="BH214" i="1"/>
  <c r="BH212" i="1" s="1"/>
  <c r="BG214" i="1"/>
  <c r="BG212" i="1" s="1"/>
  <c r="AR214" i="1"/>
  <c r="AR212" i="1" s="1"/>
  <c r="AQ214" i="1"/>
  <c r="AQ212" i="1" s="1"/>
  <c r="AV200" i="1"/>
  <c r="AN122" i="1"/>
  <c r="AN125" i="1" s="1"/>
  <c r="AN121" i="1"/>
  <c r="AN124" i="1" s="1"/>
  <c r="AV214" i="1"/>
  <c r="AV212" i="1" s="1"/>
  <c r="AU214" i="1"/>
  <c r="AU212" i="1" s="1"/>
  <c r="BO214" i="1"/>
  <c r="BO212" i="1" s="1"/>
  <c r="BP214" i="1"/>
  <c r="BP212" i="1" s="1"/>
  <c r="BN200" i="1"/>
  <c r="BR200" i="1"/>
  <c r="AY51" i="1"/>
  <c r="AY52" i="1"/>
  <c r="BM51" i="1"/>
  <c r="BM52" i="1"/>
  <c r="BD66" i="1"/>
  <c r="BV66" i="1"/>
  <c r="BD51" i="1"/>
  <c r="BD52" i="1"/>
  <c r="BO52" i="1"/>
  <c r="BO51" i="1"/>
  <c r="AL125" i="1"/>
  <c r="AL124" i="1"/>
  <c r="AI49" i="1"/>
  <c r="AL66" i="1"/>
  <c r="AU52" i="1"/>
  <c r="AU51" i="1"/>
  <c r="BC49" i="1"/>
  <c r="BF66" i="1"/>
  <c r="AZ245" i="1"/>
  <c r="AZ59" i="1"/>
  <c r="AZ53" i="1"/>
  <c r="AZ256" i="1" s="1"/>
  <c r="AP66" i="1"/>
  <c r="AR53" i="1"/>
  <c r="AR256" i="1" s="1"/>
  <c r="AR59" i="1"/>
  <c r="AR245" i="1"/>
  <c r="AX49" i="1"/>
  <c r="AZ66" i="1"/>
  <c r="BN49" i="1"/>
  <c r="BP66" i="1"/>
  <c r="BV53" i="1"/>
  <c r="BV256" i="1" s="1"/>
  <c r="BV59" i="1"/>
  <c r="BV245" i="1"/>
  <c r="BZ54" i="1"/>
  <c r="BH52" i="1"/>
  <c r="BH51" i="1"/>
  <c r="AQ49" i="1"/>
  <c r="AT66" i="1"/>
  <c r="BZ66" i="1"/>
  <c r="BW49" i="1"/>
  <c r="BB49" i="1"/>
  <c r="BB66" i="1"/>
  <c r="AN66" i="1"/>
  <c r="AN49" i="1"/>
  <c r="AX66" i="1"/>
  <c r="BT49" i="1"/>
  <c r="BJ124" i="1"/>
  <c r="BJ125" i="1"/>
  <c r="BY66" i="1"/>
  <c r="BZ124" i="1"/>
  <c r="BZ125" i="1"/>
  <c r="BJ66" i="1"/>
  <c r="BG49" i="1"/>
  <c r="BS51" i="1"/>
  <c r="BS52" i="1"/>
  <c r="BJ63" i="1"/>
  <c r="BJ204" i="1"/>
  <c r="BJ206" i="1" s="1"/>
  <c r="BJ77" i="1"/>
  <c r="AT59" i="1"/>
  <c r="AT245" i="1"/>
  <c r="AT53" i="1"/>
  <c r="AT256" i="1" s="1"/>
  <c r="BA245" i="1"/>
  <c r="BA53" i="1"/>
  <c r="BA256" i="1" s="1"/>
  <c r="BA55" i="1"/>
  <c r="BA59" i="1"/>
  <c r="AW59" i="1"/>
  <c r="AW245" i="1"/>
  <c r="AW53" i="1"/>
  <c r="AW256" i="1" s="1"/>
  <c r="BA54" i="1"/>
  <c r="CR149" i="1"/>
  <c r="CS43" i="1"/>
  <c r="BQ52" i="1" l="1"/>
  <c r="BQ51" i="1"/>
  <c r="AZ177" i="1"/>
  <c r="BD262" i="1"/>
  <c r="AX262" i="1"/>
  <c r="AP262" i="1"/>
  <c r="AW262" i="1"/>
  <c r="BN122" i="1"/>
  <c r="BN125" i="1" s="1"/>
  <c r="BN121" i="1"/>
  <c r="BN124" i="1" s="1"/>
  <c r="BC214" i="1"/>
  <c r="BC212" i="1" s="1"/>
  <c r="BD214" i="1"/>
  <c r="BD212" i="1" s="1"/>
  <c r="BB214" i="1"/>
  <c r="BB212" i="1" s="1"/>
  <c r="BA214" i="1"/>
  <c r="BA212" i="1" s="1"/>
  <c r="BR214" i="1"/>
  <c r="BR212" i="1" s="1"/>
  <c r="BQ214" i="1"/>
  <c r="BQ212" i="1" s="1"/>
  <c r="AR200" i="1"/>
  <c r="BR121" i="1"/>
  <c r="BR122" i="1"/>
  <c r="BE214" i="1"/>
  <c r="BE212" i="1" s="1"/>
  <c r="BF214" i="1"/>
  <c r="BF212" i="1" s="1"/>
  <c r="AT122" i="1"/>
  <c r="AT125" i="1" s="1"/>
  <c r="AT121" i="1"/>
  <c r="AT124" i="1" s="1"/>
  <c r="BV214" i="1"/>
  <c r="BV212" i="1" s="1"/>
  <c r="BU214" i="1"/>
  <c r="BU212" i="1" s="1"/>
  <c r="BT122" i="1"/>
  <c r="BT125" i="1" s="1"/>
  <c r="BT121" i="1"/>
  <c r="BT124" i="1" s="1"/>
  <c r="BD122" i="1"/>
  <c r="BD125" i="1" s="1"/>
  <c r="BD121" i="1"/>
  <c r="BD124" i="1" s="1"/>
  <c r="AP121" i="1"/>
  <c r="AP124" i="1" s="1"/>
  <c r="AP122" i="1"/>
  <c r="AP125" i="1" s="1"/>
  <c r="BH200" i="1"/>
  <c r="BD200" i="1"/>
  <c r="BT200" i="1"/>
  <c r="BX200" i="1"/>
  <c r="BL124" i="1"/>
  <c r="BL125" i="1"/>
  <c r="BK52" i="1"/>
  <c r="BK51" i="1"/>
  <c r="AP51" i="1"/>
  <c r="AP52" i="1"/>
  <c r="AP54" i="1" s="1"/>
  <c r="BX124" i="1"/>
  <c r="BX125" i="1"/>
  <c r="AR66" i="1"/>
  <c r="AO52" i="1"/>
  <c r="BN66" i="1"/>
  <c r="AT262" i="1"/>
  <c r="AV262" i="1"/>
  <c r="BQ262" i="1"/>
  <c r="BP121" i="1"/>
  <c r="BP124" i="1" s="1"/>
  <c r="BP122" i="1"/>
  <c r="BP125" i="1" s="1"/>
  <c r="AT200" i="1"/>
  <c r="AX200" i="1"/>
  <c r="AX121" i="1"/>
  <c r="AX122" i="1"/>
  <c r="BU52" i="1"/>
  <c r="BY54" i="1" s="1"/>
  <c r="BU51" i="1"/>
  <c r="AS51" i="1"/>
  <c r="AS52" i="1"/>
  <c r="AS55" i="1" s="1"/>
  <c r="BP51" i="1"/>
  <c r="BP52" i="1"/>
  <c r="BQ55" i="1" s="1"/>
  <c r="BI49" i="1"/>
  <c r="BL66" i="1"/>
  <c r="BE51" i="1"/>
  <c r="BE52" i="1"/>
  <c r="BF245" i="1"/>
  <c r="BF53" i="1"/>
  <c r="BF256" i="1" s="1"/>
  <c r="BF59" i="1"/>
  <c r="BJ54" i="1"/>
  <c r="BX66" i="1"/>
  <c r="BH124" i="1"/>
  <c r="BH125" i="1"/>
  <c r="AV49" i="1"/>
  <c r="AV66" i="1"/>
  <c r="BH66" i="1"/>
  <c r="AV122" i="1"/>
  <c r="AV125" i="1" s="1"/>
  <c r="AV121" i="1"/>
  <c r="AV124" i="1" s="1"/>
  <c r="BB122" i="1"/>
  <c r="BB125" i="1" s="1"/>
  <c r="BB121" i="1"/>
  <c r="BB124" i="1" s="1"/>
  <c r="BV124" i="1"/>
  <c r="BT214" i="1"/>
  <c r="BT212" i="1" s="1"/>
  <c r="BS214" i="1"/>
  <c r="BS212" i="1" s="1"/>
  <c r="AX124" i="1"/>
  <c r="AX125" i="1"/>
  <c r="AZ121" i="1"/>
  <c r="AZ124" i="1" s="1"/>
  <c r="AZ122" i="1"/>
  <c r="AZ125" i="1" s="1"/>
  <c r="BB200" i="1"/>
  <c r="BF200" i="1"/>
  <c r="BV125" i="1"/>
  <c r="BT66" i="1"/>
  <c r="BR124" i="1"/>
  <c r="BR66" i="1"/>
  <c r="BR125" i="1"/>
  <c r="BL55" i="1"/>
  <c r="BK59" i="1"/>
  <c r="BK53" i="1"/>
  <c r="BK256" i="1" s="1"/>
  <c r="AY245" i="1"/>
  <c r="AY53" i="1"/>
  <c r="AY256" i="1" s="1"/>
  <c r="AT54" i="1"/>
  <c r="AP245" i="1"/>
  <c r="AP59" i="1"/>
  <c r="AP53" i="1"/>
  <c r="AP256" i="1" s="1"/>
  <c r="AZ55" i="1"/>
  <c r="AY59" i="1"/>
  <c r="BK55" i="1"/>
  <c r="BK245" i="1"/>
  <c r="BU54" i="1"/>
  <c r="BP54" i="1"/>
  <c r="BM59" i="1"/>
  <c r="BM55" i="1"/>
  <c r="BM245" i="1"/>
  <c r="BM238" i="1"/>
  <c r="BQ54" i="1"/>
  <c r="BM53" i="1"/>
  <c r="BM256" i="1" s="1"/>
  <c r="BC52" i="1"/>
  <c r="BC51" i="1"/>
  <c r="BS54" i="1"/>
  <c r="BE54" i="1"/>
  <c r="BD59" i="1"/>
  <c r="BD245" i="1"/>
  <c r="BD53" i="1"/>
  <c r="BD256" i="1" s="1"/>
  <c r="BD54" i="1"/>
  <c r="BE55" i="1"/>
  <c r="BO245" i="1"/>
  <c r="BO53" i="1"/>
  <c r="BO256" i="1" s="1"/>
  <c r="BO59" i="1"/>
  <c r="BP55" i="1"/>
  <c r="BO54" i="1"/>
  <c r="AI52" i="1"/>
  <c r="AI51" i="1"/>
  <c r="AU53" i="1"/>
  <c r="AU256" i="1" s="1"/>
  <c r="AU245" i="1"/>
  <c r="AY54" i="1"/>
  <c r="AU59" i="1"/>
  <c r="AU238" i="1"/>
  <c r="AU55" i="1"/>
  <c r="AP55" i="1"/>
  <c r="AO59" i="1"/>
  <c r="AZ77" i="1"/>
  <c r="AZ63" i="1"/>
  <c r="AZ204" i="1"/>
  <c r="AZ206" i="1" s="1"/>
  <c r="BR52" i="1"/>
  <c r="BR51" i="1"/>
  <c r="AO54" i="1"/>
  <c r="BH54" i="1"/>
  <c r="AO245" i="1"/>
  <c r="AS54" i="1"/>
  <c r="AO53" i="1"/>
  <c r="AO256" i="1" s="1"/>
  <c r="BW52" i="1"/>
  <c r="BW54" i="1" s="1"/>
  <c r="BW51" i="1"/>
  <c r="BN52" i="1"/>
  <c r="BN51" i="1"/>
  <c r="AQ52" i="1"/>
  <c r="AQ51" i="1"/>
  <c r="AR63" i="1"/>
  <c r="AR204" i="1"/>
  <c r="AR206" i="1" s="1"/>
  <c r="AR77" i="1"/>
  <c r="BT52" i="1"/>
  <c r="BT51" i="1"/>
  <c r="AV51" i="1"/>
  <c r="AV52" i="1"/>
  <c r="AN52" i="1"/>
  <c r="AN51" i="1"/>
  <c r="BH59" i="1"/>
  <c r="BL54" i="1"/>
  <c r="BH245" i="1"/>
  <c r="BH53" i="1"/>
  <c r="BH256" i="1" s="1"/>
  <c r="AX52" i="1"/>
  <c r="AX51" i="1"/>
  <c r="BV204" i="1"/>
  <c r="BV206" i="1" s="1"/>
  <c r="BV77" i="1"/>
  <c r="BV63" i="1"/>
  <c r="BG51" i="1"/>
  <c r="BG52" i="1"/>
  <c r="BB52" i="1"/>
  <c r="BB51" i="1"/>
  <c r="BS245" i="1"/>
  <c r="BS53" i="1"/>
  <c r="BS256" i="1" s="1"/>
  <c r="BS59" i="1"/>
  <c r="AT77" i="1"/>
  <c r="AT204" i="1"/>
  <c r="AT206" i="1" s="1"/>
  <c r="AT63" i="1"/>
  <c r="AW204" i="1"/>
  <c r="AW206" i="1" s="1"/>
  <c r="AW77" i="1"/>
  <c r="AW130" i="1"/>
  <c r="AW131" i="1" s="1"/>
  <c r="AW63" i="1"/>
  <c r="BA63" i="1"/>
  <c r="BA204" i="1"/>
  <c r="BA206" i="1" s="1"/>
  <c r="BA77" i="1"/>
  <c r="BA130" i="1"/>
  <c r="BA131" i="1" s="1"/>
  <c r="CS205" i="1"/>
  <c r="CS143" i="1"/>
  <c r="CS142" i="1" s="1"/>
  <c r="CR214" i="1"/>
  <c r="CR212" i="1" s="1"/>
  <c r="AC136" i="1"/>
  <c r="AC139" i="1" s="1"/>
  <c r="AC260" i="1" s="1"/>
  <c r="BQ59" i="1" l="1"/>
  <c r="BQ245" i="1"/>
  <c r="BQ53" i="1"/>
  <c r="BQ256" i="1" s="1"/>
  <c r="BU53" i="1"/>
  <c r="BU256" i="1" s="1"/>
  <c r="BU245" i="1"/>
  <c r="BU59" i="1"/>
  <c r="AS59" i="1"/>
  <c r="AS53" i="1"/>
  <c r="AS256" i="1" s="1"/>
  <c r="BV55" i="1"/>
  <c r="AS245" i="1"/>
  <c r="AT55" i="1"/>
  <c r="AW54" i="1"/>
  <c r="BP59" i="1"/>
  <c r="BP245" i="1"/>
  <c r="BP53" i="1"/>
  <c r="BP256" i="1" s="1"/>
  <c r="BI52" i="1"/>
  <c r="BI55" i="1" s="1"/>
  <c r="BI51" i="1"/>
  <c r="BE53" i="1"/>
  <c r="BE256" i="1" s="1"/>
  <c r="BE59" i="1"/>
  <c r="BE245" i="1"/>
  <c r="BF55" i="1"/>
  <c r="BF63" i="1"/>
  <c r="BF204" i="1"/>
  <c r="BF206" i="1" s="1"/>
  <c r="BF77" i="1"/>
  <c r="BK63" i="1"/>
  <c r="BK204" i="1"/>
  <c r="BK206" i="1" s="1"/>
  <c r="BK130" i="1"/>
  <c r="BK131" i="1" s="1"/>
  <c r="BK77" i="1"/>
  <c r="AP204" i="1"/>
  <c r="AP206" i="1" s="1"/>
  <c r="AP77" i="1"/>
  <c r="AP63" i="1"/>
  <c r="BS55" i="1"/>
  <c r="BS238" i="1"/>
  <c r="AY204" i="1"/>
  <c r="AY206" i="1" s="1"/>
  <c r="AY77" i="1"/>
  <c r="AY130" i="1"/>
  <c r="AY131" i="1" s="1"/>
  <c r="AY63" i="1"/>
  <c r="BI54" i="1"/>
  <c r="BK238" i="1"/>
  <c r="BM77" i="1"/>
  <c r="BM63" i="1"/>
  <c r="BM130" i="1"/>
  <c r="BM131" i="1" s="1"/>
  <c r="BM204" i="1"/>
  <c r="BM206" i="1" s="1"/>
  <c r="BF238" i="1"/>
  <c r="BD55" i="1"/>
  <c r="BC54" i="1"/>
  <c r="BC59" i="1"/>
  <c r="BC245" i="1"/>
  <c r="BC53" i="1"/>
  <c r="BC256" i="1" s="1"/>
  <c r="BD63" i="1"/>
  <c r="BD204" i="1"/>
  <c r="BD206" i="1" s="1"/>
  <c r="BD77" i="1"/>
  <c r="BO63" i="1"/>
  <c r="BO77" i="1"/>
  <c r="BO204" i="1"/>
  <c r="BO206" i="1" s="1"/>
  <c r="BO130" i="1"/>
  <c r="BO131" i="1" s="1"/>
  <c r="AI53" i="1"/>
  <c r="AI245" i="1"/>
  <c r="AJ55" i="1"/>
  <c r="AM54" i="1"/>
  <c r="AI59" i="1"/>
  <c r="AL238" i="1"/>
  <c r="AU63" i="1"/>
  <c r="AU77" i="1"/>
  <c r="AU204" i="1"/>
  <c r="AU206" i="1" s="1"/>
  <c r="AU130" i="1"/>
  <c r="AU131" i="1" s="1"/>
  <c r="AO204" i="1"/>
  <c r="AO206" i="1" s="1"/>
  <c r="AO77" i="1"/>
  <c r="AO130" i="1"/>
  <c r="AO131" i="1" s="1"/>
  <c r="AO63" i="1"/>
  <c r="BR53" i="1"/>
  <c r="BR256" i="1" s="1"/>
  <c r="BR245" i="1"/>
  <c r="BR59" i="1"/>
  <c r="BV54" i="1"/>
  <c r="BR55" i="1"/>
  <c r="BR238" i="1"/>
  <c r="AN53" i="1"/>
  <c r="AN256" i="1" s="1"/>
  <c r="AQ238" i="1"/>
  <c r="AO55" i="1"/>
  <c r="AN238" i="1"/>
  <c r="AN54" i="1"/>
  <c r="AP238" i="1"/>
  <c r="AR54" i="1"/>
  <c r="AO238" i="1"/>
  <c r="AN59" i="1"/>
  <c r="AN55" i="1"/>
  <c r="AN245" i="1"/>
  <c r="BX54" i="1"/>
  <c r="BT53" i="1"/>
  <c r="BT256" i="1" s="1"/>
  <c r="BT245" i="1"/>
  <c r="BT59" i="1"/>
  <c r="BU55" i="1"/>
  <c r="BT54" i="1"/>
  <c r="BW238" i="1"/>
  <c r="BV238" i="1"/>
  <c r="AZ54" i="1"/>
  <c r="AV53" i="1"/>
  <c r="AV256" i="1" s="1"/>
  <c r="AV245" i="1"/>
  <c r="AV59" i="1"/>
  <c r="AY238" i="1"/>
  <c r="AW238" i="1"/>
  <c r="AW55" i="1"/>
  <c r="AV54" i="1"/>
  <c r="AV55" i="1"/>
  <c r="AX238" i="1"/>
  <c r="AV238" i="1"/>
  <c r="AR55" i="1"/>
  <c r="AQ54" i="1"/>
  <c r="AQ245" i="1"/>
  <c r="AQ59" i="1"/>
  <c r="AQ53" i="1"/>
  <c r="AQ256" i="1" s="1"/>
  <c r="AQ55" i="1"/>
  <c r="AU54" i="1"/>
  <c r="AT238" i="1"/>
  <c r="AS238" i="1"/>
  <c r="AR238" i="1"/>
  <c r="BN245" i="1"/>
  <c r="BR54" i="1"/>
  <c r="BN59" i="1"/>
  <c r="BN54" i="1"/>
  <c r="BN53" i="1"/>
  <c r="BN256" i="1" s="1"/>
  <c r="BO55" i="1"/>
  <c r="BN238" i="1"/>
  <c r="BQ238" i="1"/>
  <c r="BN55" i="1"/>
  <c r="BO238" i="1"/>
  <c r="BP238" i="1"/>
  <c r="BB53" i="1"/>
  <c r="BB256" i="1" s="1"/>
  <c r="BF54" i="1"/>
  <c r="BB245" i="1"/>
  <c r="BB59" i="1"/>
  <c r="BB218" i="1" s="1"/>
  <c r="BB216" i="1" s="1"/>
  <c r="BC55" i="1"/>
  <c r="BD238" i="1"/>
  <c r="BB238" i="1"/>
  <c r="BB55" i="1"/>
  <c r="BC238" i="1"/>
  <c r="BE238" i="1"/>
  <c r="BB54" i="1"/>
  <c r="AX59" i="1"/>
  <c r="AX245" i="1"/>
  <c r="AX53" i="1"/>
  <c r="AX256" i="1" s="1"/>
  <c r="AZ238" i="1"/>
  <c r="AX55" i="1"/>
  <c r="AY55" i="1"/>
  <c r="AX54" i="1"/>
  <c r="BA238" i="1"/>
  <c r="BH63" i="1"/>
  <c r="BH77" i="1"/>
  <c r="BH204" i="1"/>
  <c r="BH206" i="1" s="1"/>
  <c r="BT238" i="1"/>
  <c r="BT55" i="1"/>
  <c r="BK54" i="1"/>
  <c r="BG59" i="1"/>
  <c r="BH238" i="1"/>
  <c r="BG54" i="1"/>
  <c r="BG53" i="1"/>
  <c r="BG256" i="1" s="1"/>
  <c r="BH55" i="1"/>
  <c r="BG238" i="1"/>
  <c r="BG245" i="1"/>
  <c r="BJ238" i="1"/>
  <c r="BG55" i="1"/>
  <c r="BI238" i="1"/>
  <c r="BX238" i="1"/>
  <c r="BW245" i="1"/>
  <c r="BW55" i="1"/>
  <c r="BX55" i="1"/>
  <c r="BW59" i="1"/>
  <c r="X72" i="1"/>
  <c r="BY238" i="1"/>
  <c r="CA54" i="1"/>
  <c r="BW53" i="1"/>
  <c r="BW256" i="1" s="1"/>
  <c r="BZ238" i="1"/>
  <c r="BS204" i="1"/>
  <c r="BS206" i="1" s="1"/>
  <c r="BS63" i="1"/>
  <c r="BS130" i="1"/>
  <c r="BS131" i="1" s="1"/>
  <c r="BS77" i="1"/>
  <c r="AW140" i="1"/>
  <c r="AW66" i="1" s="1"/>
  <c r="AW218" i="1"/>
  <c r="AW216" i="1" s="1"/>
  <c r="AW103" i="1"/>
  <c r="BA218" i="1"/>
  <c r="BA216" i="1" s="1"/>
  <c r="BA103" i="1"/>
  <c r="BA140" i="1"/>
  <c r="BA66" i="1" s="1"/>
  <c r="AC217" i="1"/>
  <c r="CA237" i="1"/>
  <c r="CB237" i="1"/>
  <c r="BU237" i="1"/>
  <c r="BQ63" i="1" l="1"/>
  <c r="BQ77" i="1"/>
  <c r="BQ130" i="1"/>
  <c r="BQ131" i="1" s="1"/>
  <c r="BQ204" i="1"/>
  <c r="BQ206" i="1" s="1"/>
  <c r="BU130" i="1"/>
  <c r="BU131" i="1" s="1"/>
  <c r="BU63" i="1"/>
  <c r="BU204" i="1"/>
  <c r="BU206" i="1" s="1"/>
  <c r="BU77" i="1"/>
  <c r="AS63" i="1"/>
  <c r="AS130" i="1"/>
  <c r="AS131" i="1" s="1"/>
  <c r="AS204" i="1"/>
  <c r="AS206" i="1" s="1"/>
  <c r="AS77" i="1"/>
  <c r="BP63" i="1"/>
  <c r="BP204" i="1"/>
  <c r="BP206" i="1" s="1"/>
  <c r="BP77" i="1"/>
  <c r="BM54" i="1"/>
  <c r="BL238" i="1"/>
  <c r="BI59" i="1"/>
  <c r="BI245" i="1"/>
  <c r="BJ55" i="1"/>
  <c r="BI53" i="1"/>
  <c r="BI256" i="1" s="1"/>
  <c r="BE77" i="1"/>
  <c r="BE204" i="1"/>
  <c r="BE206" i="1" s="1"/>
  <c r="BE63" i="1"/>
  <c r="BE130" i="1"/>
  <c r="BE131" i="1" s="1"/>
  <c r="BK65" i="1"/>
  <c r="BM80" i="1"/>
  <c r="BI100" i="1" s="1"/>
  <c r="BK103" i="1"/>
  <c r="BL218" i="1"/>
  <c r="BL216" i="1" s="1"/>
  <c r="BK218" i="1"/>
  <c r="BK216" i="1" s="1"/>
  <c r="BK140" i="1"/>
  <c r="BK66" i="1" s="1"/>
  <c r="BV218" i="1"/>
  <c r="BV216" i="1" s="1"/>
  <c r="BU218" i="1"/>
  <c r="BU216" i="1" s="1"/>
  <c r="BU103" i="1"/>
  <c r="BU140" i="1"/>
  <c r="BU66" i="1" s="1"/>
  <c r="AU80" i="1"/>
  <c r="AY103" i="1"/>
  <c r="AY218" i="1"/>
  <c r="AY216" i="1" s="1"/>
  <c r="AY140" i="1"/>
  <c r="AY66" i="1" s="1"/>
  <c r="AZ218" i="1"/>
  <c r="AZ216" i="1" s="1"/>
  <c r="AS218" i="1"/>
  <c r="AS216" i="1" s="1"/>
  <c r="AS103" i="1"/>
  <c r="AS140" i="1"/>
  <c r="AS66" i="1" s="1"/>
  <c r="AT218" i="1"/>
  <c r="AT216" i="1" s="1"/>
  <c r="AO65" i="1"/>
  <c r="BL65" i="1"/>
  <c r="BI63" i="1"/>
  <c r="BI204" i="1"/>
  <c r="BI206" i="1" s="1"/>
  <c r="BI77" i="1"/>
  <c r="BI130" i="1"/>
  <c r="BI131" i="1" s="1"/>
  <c r="BM65" i="1"/>
  <c r="BM218" i="1"/>
  <c r="BM216" i="1" s="1"/>
  <c r="BM140" i="1"/>
  <c r="BM66" i="1" s="1"/>
  <c r="BM103" i="1"/>
  <c r="AX218" i="1"/>
  <c r="AX216" i="1" s="1"/>
  <c r="BA65" i="1"/>
  <c r="BF218" i="1"/>
  <c r="BF216" i="1" s="1"/>
  <c r="BE103" i="1"/>
  <c r="S72" i="1"/>
  <c r="BF65" i="1"/>
  <c r="BC77" i="1"/>
  <c r="BF80" i="1" s="1"/>
  <c r="BC130" i="1"/>
  <c r="BC131" i="1" s="1"/>
  <c r="BC204" i="1"/>
  <c r="BC206" i="1" s="1"/>
  <c r="BC63" i="1"/>
  <c r="BO218" i="1"/>
  <c r="BO216" i="1" s="1"/>
  <c r="BO140" i="1"/>
  <c r="BO66" i="1" s="1"/>
  <c r="BP218" i="1"/>
  <c r="BP216" i="1" s="1"/>
  <c r="BO103" i="1"/>
  <c r="AI77" i="1"/>
  <c r="AL80" i="1" s="1"/>
  <c r="AI63" i="1"/>
  <c r="AL65" i="1"/>
  <c r="N72" i="1"/>
  <c r="AI218" i="1"/>
  <c r="AI216" i="1" s="1"/>
  <c r="AI204" i="1"/>
  <c r="AI206" i="1" s="1"/>
  <c r="AI210" i="1" s="1"/>
  <c r="AI224" i="1" s="1"/>
  <c r="AU103" i="1"/>
  <c r="AU218" i="1"/>
  <c r="AU216" i="1" s="1"/>
  <c r="AU140" i="1"/>
  <c r="AU66" i="1" s="1"/>
  <c r="AU65" i="1"/>
  <c r="AP218" i="1"/>
  <c r="AP216" i="1" s="1"/>
  <c r="AO103" i="1"/>
  <c r="AO140" i="1"/>
  <c r="AO66" i="1" s="1"/>
  <c r="AO218" i="1"/>
  <c r="AO216" i="1" s="1"/>
  <c r="AV218" i="1"/>
  <c r="AV216" i="1" s="1"/>
  <c r="AY65" i="1"/>
  <c r="BT65" i="1"/>
  <c r="BR63" i="1"/>
  <c r="BR204" i="1"/>
  <c r="BR206" i="1" s="1"/>
  <c r="BR77" i="1"/>
  <c r="BR65" i="1"/>
  <c r="V72" i="1"/>
  <c r="AW65" i="1"/>
  <c r="BV65" i="1"/>
  <c r="BO65" i="1"/>
  <c r="BN218" i="1"/>
  <c r="BN216" i="1" s="1"/>
  <c r="BU65" i="1"/>
  <c r="BX65" i="1"/>
  <c r="BW130" i="1"/>
  <c r="BW131" i="1" s="1"/>
  <c r="BY65" i="1"/>
  <c r="BW204" i="1"/>
  <c r="BW206" i="1" s="1"/>
  <c r="BW63" i="1"/>
  <c r="BZ65" i="1"/>
  <c r="BW77" i="1"/>
  <c r="BN63" i="1"/>
  <c r="BN77" i="1"/>
  <c r="BN204" i="1"/>
  <c r="BN206" i="1" s="1"/>
  <c r="BN65" i="1"/>
  <c r="U72" i="1"/>
  <c r="BP65" i="1"/>
  <c r="AV204" i="1"/>
  <c r="AV206" i="1" s="1"/>
  <c r="AV63" i="1"/>
  <c r="AV77" i="1"/>
  <c r="AV65" i="1"/>
  <c r="Q72" i="1"/>
  <c r="AX65" i="1"/>
  <c r="BT204" i="1"/>
  <c r="BT206" i="1" s="1"/>
  <c r="BT63" i="1"/>
  <c r="BT77" i="1"/>
  <c r="BV80" i="1" s="1"/>
  <c r="BR100" i="1" s="1"/>
  <c r="AX63" i="1"/>
  <c r="AX77" i="1"/>
  <c r="AX204" i="1"/>
  <c r="AX206" i="1" s="1"/>
  <c r="AZ65" i="1"/>
  <c r="BB77" i="1"/>
  <c r="BB63" i="1"/>
  <c r="BB204" i="1"/>
  <c r="BB206" i="1" s="1"/>
  <c r="BB65" i="1"/>
  <c r="R72" i="1"/>
  <c r="BD65" i="1"/>
  <c r="AQ130" i="1"/>
  <c r="AQ131" i="1" s="1"/>
  <c r="AQ204" i="1"/>
  <c r="AQ206" i="1" s="1"/>
  <c r="AQ63" i="1"/>
  <c r="AQ77" i="1"/>
  <c r="AS65" i="1"/>
  <c r="AR65" i="1"/>
  <c r="AT65" i="1"/>
  <c r="P72" i="1"/>
  <c r="BG63" i="1"/>
  <c r="BG77" i="1"/>
  <c r="BG130" i="1"/>
  <c r="BG131" i="1" s="1"/>
  <c r="BJ65" i="1"/>
  <c r="BH65" i="1"/>
  <c r="BG204" i="1"/>
  <c r="BG206" i="1" s="1"/>
  <c r="T72" i="1"/>
  <c r="AN63" i="1"/>
  <c r="AP65" i="1"/>
  <c r="AN77" i="1"/>
  <c r="AN204" i="1"/>
  <c r="AN206" i="1" s="1"/>
  <c r="AN65" i="1"/>
  <c r="O72" i="1"/>
  <c r="AN218" i="1"/>
  <c r="AN216" i="1" s="1"/>
  <c r="BT218" i="1"/>
  <c r="BT216" i="1" s="1"/>
  <c r="BS103" i="1"/>
  <c r="BS140" i="1"/>
  <c r="BS66" i="1" s="1"/>
  <c r="BS218" i="1"/>
  <c r="BS216" i="1" s="1"/>
  <c r="BS65" i="1"/>
  <c r="BA106" i="1"/>
  <c r="BA105" i="1"/>
  <c r="BA107" i="1"/>
  <c r="AW106" i="1"/>
  <c r="AW105" i="1"/>
  <c r="AW107" i="1"/>
  <c r="CS149" i="1"/>
  <c r="CT43" i="1"/>
  <c r="AD135" i="1"/>
  <c r="W70" i="1"/>
  <c r="BQ103" i="1" l="1"/>
  <c r="BQ140" i="1"/>
  <c r="BQ66" i="1" s="1"/>
  <c r="BQ218" i="1"/>
  <c r="BQ216" i="1" s="1"/>
  <c r="BR218" i="1"/>
  <c r="BR216" i="1" s="1"/>
  <c r="BQ65" i="1"/>
  <c r="BE140" i="1"/>
  <c r="BE66" i="1" s="1"/>
  <c r="BE218" i="1"/>
  <c r="BE216" i="1" s="1"/>
  <c r="BE65" i="1"/>
  <c r="BM96" i="1"/>
  <c r="BM98" i="1"/>
  <c r="BM97" i="1"/>
  <c r="BK107" i="1"/>
  <c r="BK105" i="1"/>
  <c r="BK106" i="1"/>
  <c r="BU105" i="1"/>
  <c r="BU107" i="1"/>
  <c r="BU106" i="1"/>
  <c r="AU98" i="1"/>
  <c r="AU97" i="1"/>
  <c r="AQ100" i="1"/>
  <c r="AU96" i="1"/>
  <c r="AY105" i="1"/>
  <c r="AY106" i="1"/>
  <c r="AY107" i="1"/>
  <c r="BL80" i="1"/>
  <c r="BK80" i="1"/>
  <c r="BR80" i="1"/>
  <c r="BR97" i="1" s="1"/>
  <c r="BT80" i="1"/>
  <c r="BS80" i="1"/>
  <c r="AS106" i="1"/>
  <c r="AS107" i="1"/>
  <c r="AS105" i="1"/>
  <c r="BI103" i="1"/>
  <c r="BI140" i="1"/>
  <c r="BI66" i="1" s="1"/>
  <c r="BI218" i="1"/>
  <c r="BI216" i="1" s="1"/>
  <c r="BI65" i="1"/>
  <c r="BJ218" i="1"/>
  <c r="BJ216" i="1" s="1"/>
  <c r="AI221" i="1"/>
  <c r="AI222" i="1" s="1"/>
  <c r="BM106" i="1"/>
  <c r="BM107" i="1"/>
  <c r="BM105" i="1"/>
  <c r="BU80" i="1"/>
  <c r="BU96" i="1" s="1"/>
  <c r="BE105" i="1"/>
  <c r="BE107" i="1"/>
  <c r="BE106" i="1"/>
  <c r="BC218" i="1"/>
  <c r="BC216" i="1" s="1"/>
  <c r="BC140" i="1"/>
  <c r="BC66" i="1" s="1"/>
  <c r="BC103" i="1"/>
  <c r="BC65" i="1"/>
  <c r="BD218" i="1"/>
  <c r="BD216" i="1" s="1"/>
  <c r="BB100" i="1"/>
  <c r="BF96" i="1"/>
  <c r="BF98" i="1"/>
  <c r="BF97" i="1"/>
  <c r="BO105" i="1"/>
  <c r="BO106" i="1"/>
  <c r="BO107" i="1"/>
  <c r="AL96" i="1"/>
  <c r="AL97" i="1"/>
  <c r="AL98" i="1"/>
  <c r="AU106" i="1"/>
  <c r="AU107" i="1"/>
  <c r="AU105" i="1"/>
  <c r="AO107" i="1"/>
  <c r="AO105" i="1"/>
  <c r="AO106" i="1"/>
  <c r="BA80" i="1"/>
  <c r="AZ80" i="1"/>
  <c r="AY80" i="1"/>
  <c r="AY97" i="1" s="1"/>
  <c r="AX80" i="1"/>
  <c r="AV80" i="1"/>
  <c r="AW80" i="1"/>
  <c r="AT80" i="1"/>
  <c r="AR80" i="1"/>
  <c r="AS80" i="1"/>
  <c r="BQ80" i="1"/>
  <c r="BO80" i="1"/>
  <c r="BN80" i="1"/>
  <c r="BP80" i="1"/>
  <c r="AQ80" i="1"/>
  <c r="AN80" i="1"/>
  <c r="AP80" i="1"/>
  <c r="AO80" i="1"/>
  <c r="BJ80" i="1"/>
  <c r="BF100" i="1" s="1"/>
  <c r="BG80" i="1"/>
  <c r="BH80" i="1"/>
  <c r="BI80" i="1"/>
  <c r="BE80" i="1"/>
  <c r="BE97" i="1" s="1"/>
  <c r="BD80" i="1"/>
  <c r="BB80" i="1"/>
  <c r="BC80" i="1"/>
  <c r="BZ80" i="1"/>
  <c r="BX80" i="1"/>
  <c r="BY80" i="1"/>
  <c r="BW80" i="1"/>
  <c r="BG218" i="1"/>
  <c r="BG216" i="1" s="1"/>
  <c r="BG140" i="1"/>
  <c r="BG66" i="1" s="1"/>
  <c r="BG103" i="1"/>
  <c r="BG65" i="1"/>
  <c r="BH218" i="1"/>
  <c r="BH216" i="1" s="1"/>
  <c r="AQ140" i="1"/>
  <c r="AQ66" i="1" s="1"/>
  <c r="AQ218" i="1"/>
  <c r="AQ216" i="1" s="1"/>
  <c r="AQ103" i="1"/>
  <c r="AR218" i="1"/>
  <c r="AR216" i="1" s="1"/>
  <c r="AQ65" i="1"/>
  <c r="BW218" i="1"/>
  <c r="BW216" i="1" s="1"/>
  <c r="BX218" i="1"/>
  <c r="BX216" i="1" s="1"/>
  <c r="BW140" i="1"/>
  <c r="BW66" i="1" s="1"/>
  <c r="BW65" i="1"/>
  <c r="BW103" i="1"/>
  <c r="BV98" i="1"/>
  <c r="BV97" i="1"/>
  <c r="BV96" i="1"/>
  <c r="BS105" i="1"/>
  <c r="BS106" i="1"/>
  <c r="BS107" i="1"/>
  <c r="AC43" i="1"/>
  <c r="CT205" i="1"/>
  <c r="CT143" i="1"/>
  <c r="CT142" i="1" s="1"/>
  <c r="AC142" i="1" s="1"/>
  <c r="CS214" i="1"/>
  <c r="CS212" i="1" s="1"/>
  <c r="W71" i="1"/>
  <c r="BQ107" i="1" l="1"/>
  <c r="BQ105" i="1"/>
  <c r="BQ106" i="1"/>
  <c r="BL96" i="1"/>
  <c r="BL97" i="1"/>
  <c r="BN100" i="1"/>
  <c r="BR96" i="1"/>
  <c r="BR98" i="1"/>
  <c r="BV81" i="1"/>
  <c r="BP100" i="1"/>
  <c r="BT98" i="1"/>
  <c r="BT96" i="1"/>
  <c r="BT97" i="1"/>
  <c r="BS98" i="1"/>
  <c r="BO100" i="1"/>
  <c r="BS97" i="1"/>
  <c r="BS96" i="1"/>
  <c r="BH100" i="1"/>
  <c r="BL98" i="1"/>
  <c r="BK96" i="1"/>
  <c r="BK97" i="1"/>
  <c r="BK98" i="1"/>
  <c r="BG100" i="1"/>
  <c r="BT81" i="1"/>
  <c r="BV100" i="1"/>
  <c r="BZ81" i="1"/>
  <c r="BY81" i="1"/>
  <c r="BI106" i="1"/>
  <c r="BI107" i="1"/>
  <c r="BI105" i="1"/>
  <c r="BQ100" i="1"/>
  <c r="BU98" i="1"/>
  <c r="BU97" i="1"/>
  <c r="BW96" i="1"/>
  <c r="BW81" i="1"/>
  <c r="BC106" i="1"/>
  <c r="BC105" i="1"/>
  <c r="BC107" i="1"/>
  <c r="AW100" i="1"/>
  <c r="BE81" i="1"/>
  <c r="BQ97" i="1"/>
  <c r="BM100" i="1"/>
  <c r="AQ97" i="1"/>
  <c r="AQ96" i="1"/>
  <c r="BU81" i="1"/>
  <c r="BA98" i="1"/>
  <c r="AX81" i="1"/>
  <c r="CD81" i="1"/>
  <c r="BZ98" i="1"/>
  <c r="BX97" i="1"/>
  <c r="BT100" i="1"/>
  <c r="BX98" i="1"/>
  <c r="CB81" i="1"/>
  <c r="BX96" i="1"/>
  <c r="AN98" i="1"/>
  <c r="AR81" i="1"/>
  <c r="AN97" i="1"/>
  <c r="AN96" i="1"/>
  <c r="BO96" i="1"/>
  <c r="BK100" i="1"/>
  <c r="BO97" i="1"/>
  <c r="BO81" i="1"/>
  <c r="BO98" i="1"/>
  <c r="AP100" i="1"/>
  <c r="CA81" i="1"/>
  <c r="BS100" i="1"/>
  <c r="BW98" i="1"/>
  <c r="BE98" i="1"/>
  <c r="BI81" i="1"/>
  <c r="BE96" i="1"/>
  <c r="BJ97" i="1"/>
  <c r="BJ81" i="1"/>
  <c r="BJ96" i="1"/>
  <c r="AU81" i="1"/>
  <c r="AQ81" i="1"/>
  <c r="AQ98" i="1"/>
  <c r="BQ96" i="1"/>
  <c r="BQ81" i="1"/>
  <c r="BQ98" i="1"/>
  <c r="AW96" i="1"/>
  <c r="AW97" i="1"/>
  <c r="AS100" i="1"/>
  <c r="BA81" i="1"/>
  <c r="AW98" i="1"/>
  <c r="AV100" i="1"/>
  <c r="AZ98" i="1"/>
  <c r="AZ97" i="1"/>
  <c r="BD81" i="1"/>
  <c r="AZ96" i="1"/>
  <c r="AZ100" i="1"/>
  <c r="BD96" i="1"/>
  <c r="BH81" i="1"/>
  <c r="BD98" i="1"/>
  <c r="BD97" i="1"/>
  <c r="AY98" i="1"/>
  <c r="AU100" i="1"/>
  <c r="BC81" i="1"/>
  <c r="AY81" i="1"/>
  <c r="AT97" i="1"/>
  <c r="BJ98" i="1"/>
  <c r="BW97" i="1"/>
  <c r="AM100" i="1"/>
  <c r="BS81" i="1"/>
  <c r="BC98" i="1"/>
  <c r="AY100" i="1"/>
  <c r="BG81" i="1"/>
  <c r="BC97" i="1"/>
  <c r="BC96" i="1"/>
  <c r="BM81" i="1"/>
  <c r="BI98" i="1"/>
  <c r="BI96" i="1"/>
  <c r="BI97" i="1"/>
  <c r="BE100" i="1"/>
  <c r="AO98" i="1"/>
  <c r="AO96" i="1"/>
  <c r="AS81" i="1"/>
  <c r="AO97" i="1"/>
  <c r="BP81" i="1"/>
  <c r="BL100" i="1"/>
  <c r="BP97" i="1"/>
  <c r="BP98" i="1"/>
  <c r="BP96" i="1"/>
  <c r="AS97" i="1"/>
  <c r="AO100" i="1"/>
  <c r="AS98" i="1"/>
  <c r="AS96" i="1"/>
  <c r="AW81" i="1"/>
  <c r="AV97" i="1"/>
  <c r="AV96" i="1"/>
  <c r="AZ81" i="1"/>
  <c r="AV98" i="1"/>
  <c r="AR100" i="1"/>
  <c r="BA96" i="1"/>
  <c r="BA97" i="1"/>
  <c r="BC100" i="1"/>
  <c r="BG96" i="1"/>
  <c r="BG97" i="1"/>
  <c r="BG98" i="1"/>
  <c r="BK81" i="1"/>
  <c r="AT98" i="1"/>
  <c r="AT96" i="1"/>
  <c r="AY96" i="1"/>
  <c r="BZ97" i="1"/>
  <c r="CC101" i="1" s="1"/>
  <c r="BA100" i="1"/>
  <c r="BN81" i="1"/>
  <c r="BZ96" i="1"/>
  <c r="CC81" i="1"/>
  <c r="BY98" i="1"/>
  <c r="BU100" i="1"/>
  <c r="BY97" i="1"/>
  <c r="BY96" i="1"/>
  <c r="AX100" i="1"/>
  <c r="BF81" i="1"/>
  <c r="BB98" i="1"/>
  <c r="BB97" i="1"/>
  <c r="BB96" i="1"/>
  <c r="BH98" i="1"/>
  <c r="BH96" i="1"/>
  <c r="BD100" i="1"/>
  <c r="BL81" i="1"/>
  <c r="BH97" i="1"/>
  <c r="AT81" i="1"/>
  <c r="AP98" i="1"/>
  <c r="AP81" i="1"/>
  <c r="AL100" i="1"/>
  <c r="AP97" i="1"/>
  <c r="AP96" i="1"/>
  <c r="BR81" i="1"/>
  <c r="BJ100" i="1"/>
  <c r="BN98" i="1"/>
  <c r="BN96" i="1"/>
  <c r="BN97" i="1"/>
  <c r="AN100" i="1"/>
  <c r="AR98" i="1"/>
  <c r="AR97" i="1"/>
  <c r="AR96" i="1"/>
  <c r="AV81" i="1"/>
  <c r="AX97" i="1"/>
  <c r="BB81" i="1"/>
  <c r="AX96" i="1"/>
  <c r="AT100" i="1"/>
  <c r="AX98" i="1"/>
  <c r="BX81" i="1"/>
  <c r="BW105" i="1"/>
  <c r="BW107" i="1"/>
  <c r="BW106" i="1"/>
  <c r="BG105" i="1"/>
  <c r="BG107" i="1"/>
  <c r="BG106" i="1"/>
  <c r="AQ106" i="1"/>
  <c r="AQ107" i="1"/>
  <c r="AQ105" i="1"/>
  <c r="AC205" i="1"/>
  <c r="AC143" i="1"/>
  <c r="AC145" i="1" s="1"/>
  <c r="AC44" i="1" s="1"/>
  <c r="AD136" i="1"/>
  <c r="AD139" i="1" s="1"/>
  <c r="AD260" i="1" s="1"/>
  <c r="AR120" i="1"/>
  <c r="W72" i="1"/>
  <c r="CB101" i="1" l="1"/>
  <c r="BT101" i="1"/>
  <c r="BH101" i="1"/>
  <c r="BM101" i="1"/>
  <c r="BG101" i="1"/>
  <c r="BN101" i="1"/>
  <c r="BB101" i="1"/>
  <c r="BI101" i="1"/>
  <c r="AW101" i="1"/>
  <c r="BL101" i="1"/>
  <c r="BY101" i="1"/>
  <c r="AZ101" i="1"/>
  <c r="AR101" i="1"/>
  <c r="AV101" i="1"/>
  <c r="BJ101" i="1"/>
  <c r="BE101" i="1"/>
  <c r="AS101" i="1"/>
  <c r="AU101" i="1"/>
  <c r="BA101" i="1"/>
  <c r="AT101" i="1"/>
  <c r="AQ101" i="1"/>
  <c r="AP101" i="1"/>
  <c r="AO101" i="1"/>
  <c r="BP101" i="1"/>
  <c r="BO101" i="1"/>
  <c r="AY101" i="1"/>
  <c r="AX101" i="1"/>
  <c r="CA101" i="1"/>
  <c r="BR101" i="1"/>
  <c r="BC101" i="1"/>
  <c r="BZ101" i="1"/>
  <c r="BF101" i="1"/>
  <c r="BS101" i="1"/>
  <c r="BD101" i="1"/>
  <c r="BK101" i="1"/>
  <c r="BQ101" i="1"/>
  <c r="BX101" i="1"/>
  <c r="BW101" i="1"/>
  <c r="BV101" i="1"/>
  <c r="BU101" i="1"/>
  <c r="CU43" i="1"/>
  <c r="CT149" i="1"/>
  <c r="AD217" i="1"/>
  <c r="AB149" i="1"/>
  <c r="AR121" i="1"/>
  <c r="AR124" i="1" s="1"/>
  <c r="AR122" i="1"/>
  <c r="AR125" i="1" s="1"/>
  <c r="CA238" i="1"/>
  <c r="CB238" i="1"/>
  <c r="W204" i="1"/>
  <c r="W206" i="1" s="1"/>
  <c r="BU238" i="1"/>
  <c r="CT214" i="1" l="1"/>
  <c r="CT212" i="1" s="1"/>
  <c r="CU205" i="1"/>
  <c r="CU143" i="1"/>
  <c r="CU142" i="1" s="1"/>
  <c r="AB214" i="1"/>
  <c r="AB212" i="1" s="1"/>
  <c r="AE135" i="1"/>
  <c r="CA100" i="1"/>
  <c r="CF100" i="1" l="1"/>
  <c r="CU149" i="1" l="1"/>
  <c r="CV43" i="1"/>
  <c r="AE136" i="1"/>
  <c r="AE139" i="1" s="1"/>
  <c r="AE260" i="1" s="1"/>
  <c r="CV205" i="1" l="1"/>
  <c r="CV143" i="1"/>
  <c r="CV142" i="1" s="1"/>
  <c r="CU214" i="1"/>
  <c r="CU212" i="1" s="1"/>
  <c r="AE217" i="1"/>
  <c r="AC149" i="1"/>
  <c r="W131" i="1"/>
  <c r="W65" i="1" l="1"/>
  <c r="AC214" i="1"/>
  <c r="AC212" i="1" s="1"/>
  <c r="X218" i="1"/>
  <c r="X216" i="1" s="1"/>
  <c r="W218" i="1"/>
  <c r="W216" i="1" s="1"/>
  <c r="W140" i="1"/>
  <c r="W66" i="1" s="1"/>
  <c r="W186" i="1"/>
  <c r="CW43" i="1" l="1"/>
  <c r="CV149" i="1"/>
  <c r="CV214" i="1" l="1"/>
  <c r="CV212" i="1" s="1"/>
  <c r="CW205" i="1"/>
  <c r="CW143" i="1"/>
  <c r="CW142" i="1" s="1"/>
  <c r="CW149" i="1" l="1"/>
  <c r="CX43" i="1"/>
  <c r="AD43" i="1" l="1"/>
  <c r="CX205" i="1"/>
  <c r="CX143" i="1"/>
  <c r="CX142" i="1" s="1"/>
  <c r="AD142" i="1" s="1"/>
  <c r="CW214" i="1"/>
  <c r="CW212" i="1" s="1"/>
  <c r="AD205" i="1" l="1"/>
  <c r="AD143" i="1"/>
  <c r="AD145" i="1" s="1"/>
  <c r="AD149" i="1" l="1"/>
  <c r="AD214" i="1" s="1"/>
  <c r="AD212" i="1" s="1"/>
  <c r="AD44" i="1"/>
  <c r="CX149" i="1"/>
  <c r="CY43" i="1"/>
  <c r="CY205" i="1" l="1"/>
  <c r="CY143" i="1"/>
  <c r="CY142" i="1" s="1"/>
  <c r="CX214" i="1"/>
  <c r="CX212" i="1" s="1"/>
  <c r="W191" i="1" l="1"/>
  <c r="CY149" i="1" l="1"/>
  <c r="CZ43" i="1"/>
  <c r="W194" i="1"/>
  <c r="W167" i="1"/>
  <c r="X208" i="1" s="1"/>
  <c r="CZ205" i="1" l="1"/>
  <c r="CZ143" i="1"/>
  <c r="CZ142" i="1" s="1"/>
  <c r="CY214" i="1"/>
  <c r="CY212" i="1" s="1"/>
  <c r="W196" i="1"/>
  <c r="W195" i="1" s="1"/>
  <c r="W208" i="1"/>
  <c r="W159" i="1"/>
  <c r="X207" i="1" s="1"/>
  <c r="X209" i="1" s="1"/>
  <c r="X210" i="1" s="1"/>
  <c r="X224" i="1" s="1"/>
  <c r="W190" i="1"/>
  <c r="W193" i="1" l="1"/>
  <c r="W168" i="1"/>
  <c r="W207" i="1"/>
  <c r="W209" i="1" s="1"/>
  <c r="W210" i="1" s="1"/>
  <c r="CZ149" i="1" l="1"/>
  <c r="CZ214" i="1" s="1"/>
  <c r="CZ212" i="1" s="1"/>
  <c r="DA43" i="1"/>
  <c r="W192" i="1"/>
  <c r="W197" i="1"/>
  <c r="W221" i="1"/>
  <c r="W224" i="1"/>
  <c r="DA205" i="1" l="1"/>
  <c r="DA143" i="1"/>
  <c r="DA142" i="1" s="1"/>
  <c r="W200" i="1"/>
  <c r="W201" i="1" s="1"/>
  <c r="X200" i="1"/>
  <c r="X201" i="1" s="1"/>
  <c r="W172" i="1" l="1"/>
  <c r="X220" i="1" l="1"/>
  <c r="X221" i="1" s="1"/>
  <c r="X222" i="1" s="1"/>
  <c r="W257" i="1"/>
  <c r="W259" i="1"/>
  <c r="W255" i="1"/>
  <c r="DA149" i="1"/>
  <c r="DA214" i="1" s="1"/>
  <c r="DA212" i="1" s="1"/>
  <c r="DB43" i="1"/>
  <c r="W179" i="1"/>
  <c r="W120" i="1" s="1"/>
  <c r="W176" i="1"/>
  <c r="W222" i="1"/>
  <c r="AE43" i="1" l="1"/>
  <c r="AE205" i="1" s="1"/>
  <c r="DB205" i="1"/>
  <c r="DB143" i="1"/>
  <c r="DB142" i="1" s="1"/>
  <c r="AE142" i="1" s="1"/>
  <c r="W177" i="1"/>
  <c r="DB149" i="1" l="1"/>
  <c r="DB214" i="1" s="1"/>
  <c r="DB212" i="1" s="1"/>
  <c r="AE143" i="1"/>
  <c r="AE145" i="1" s="1"/>
  <c r="C113" i="2"/>
  <c r="C111" i="2"/>
  <c r="C112" i="2"/>
  <c r="AE149" i="1" l="1"/>
  <c r="AE214" i="1" s="1"/>
  <c r="AE212" i="1" s="1"/>
  <c r="AE44" i="1"/>
  <c r="B84" i="1"/>
  <c r="B85" i="1"/>
  <c r="AK190" i="1" l="1"/>
  <c r="AK155" i="1" s="1"/>
  <c r="AM155" i="1" l="1"/>
  <c r="AO155" i="1" l="1"/>
  <c r="AQ155" i="1" l="1"/>
  <c r="AS155" i="1" l="1"/>
  <c r="AU155" i="1" l="1"/>
  <c r="AW155" i="1" l="1"/>
  <c r="AY155" i="1" l="1"/>
  <c r="BA155" i="1" l="1"/>
  <c r="BC155" i="1" l="1"/>
  <c r="BE155" i="1" l="1"/>
  <c r="BG155" i="1" l="1"/>
  <c r="BI155" i="1" l="1"/>
  <c r="BK155" i="1" l="1"/>
  <c r="BM155" i="1" l="1"/>
  <c r="BO155" i="1" l="1"/>
  <c r="BQ155" i="1" l="1"/>
  <c r="BS155" i="1" l="1"/>
  <c r="BU155" i="1" l="1"/>
  <c r="BW155" i="1" l="1"/>
  <c r="BY155" i="1" l="1"/>
  <c r="AK156" i="1" l="1"/>
  <c r="AK159" i="1" s="1"/>
  <c r="AL207" i="1" l="1"/>
  <c r="AK207" i="1"/>
  <c r="AK193" i="1"/>
  <c r="AM156" i="1"/>
  <c r="AM159" i="1" s="1"/>
  <c r="AM193" i="1" l="1"/>
  <c r="AM192" i="1" s="1"/>
  <c r="AN207" i="1"/>
  <c r="AM207" i="1"/>
  <c r="AJ192" i="1"/>
  <c r="AK192" i="1"/>
  <c r="AO156" i="1" l="1"/>
  <c r="AO159" i="1" s="1"/>
  <c r="AP207" i="1" l="1"/>
  <c r="AO193" i="1"/>
  <c r="AO192" i="1" s="1"/>
  <c r="AO207" i="1"/>
  <c r="AQ156" i="1" l="1"/>
  <c r="AQ159" i="1" s="1"/>
  <c r="AQ193" i="1" l="1"/>
  <c r="AQ192" i="1" s="1"/>
  <c r="AR207" i="1"/>
  <c r="AQ207" i="1"/>
  <c r="AS156" i="1" l="1"/>
  <c r="AS159" i="1" s="1"/>
  <c r="AT207" i="1" l="1"/>
  <c r="AS193" i="1"/>
  <c r="AS192" i="1" s="1"/>
  <c r="AS207" i="1"/>
  <c r="AU156" i="1" l="1"/>
  <c r="AU159" i="1" s="1"/>
  <c r="AU193" i="1" l="1"/>
  <c r="AU192" i="1" s="1"/>
  <c r="AV207" i="1"/>
  <c r="AU207" i="1"/>
  <c r="AW156" i="1" l="1"/>
  <c r="AW159" i="1" s="1"/>
  <c r="AW193" i="1" l="1"/>
  <c r="AW192" i="1" s="1"/>
  <c r="AX207" i="1"/>
  <c r="AW207" i="1"/>
  <c r="AY156" i="1" l="1"/>
  <c r="AY159" i="1" s="1"/>
  <c r="AY193" i="1" l="1"/>
  <c r="AY192" i="1" s="1"/>
  <c r="AZ207" i="1"/>
  <c r="AY207" i="1"/>
  <c r="BA156" i="1" l="1"/>
  <c r="BA159" i="1" s="1"/>
  <c r="BB207" i="1" l="1"/>
  <c r="BA193" i="1"/>
  <c r="BA192" i="1" s="1"/>
  <c r="BA207" i="1"/>
  <c r="BC156" i="1" l="1"/>
  <c r="BC159" i="1" s="1"/>
  <c r="BD207" i="1" l="1"/>
  <c r="BC193" i="1"/>
  <c r="BC192" i="1" s="1"/>
  <c r="BC207" i="1"/>
  <c r="BE156" i="1" l="1"/>
  <c r="BE159" i="1" s="1"/>
  <c r="BF207" i="1" l="1"/>
  <c r="BE193" i="1"/>
  <c r="BE192" i="1" s="1"/>
  <c r="BE207" i="1"/>
  <c r="BG156" i="1" l="1"/>
  <c r="BG159" i="1" s="1"/>
  <c r="BG193" i="1" l="1"/>
  <c r="BG192" i="1" s="1"/>
  <c r="BH207" i="1"/>
  <c r="BG207" i="1"/>
  <c r="BI156" i="1" l="1"/>
  <c r="BI159" i="1" s="1"/>
  <c r="BJ207" i="1" l="1"/>
  <c r="BI193" i="1"/>
  <c r="BI192" i="1" s="1"/>
  <c r="BI207" i="1"/>
  <c r="BK156" i="1" l="1"/>
  <c r="BK159" i="1" s="1"/>
  <c r="BL207" i="1" l="1"/>
  <c r="BK193" i="1"/>
  <c r="BK192" i="1" s="1"/>
  <c r="BK207" i="1"/>
  <c r="BM156" i="1" l="1"/>
  <c r="BM159" i="1" s="1"/>
  <c r="BM193" i="1" l="1"/>
  <c r="BM192" i="1" s="1"/>
  <c r="BN207" i="1"/>
  <c r="BM207" i="1"/>
  <c r="BO156" i="1" l="1"/>
  <c r="BO159" i="1" s="1"/>
  <c r="BO193" i="1" l="1"/>
  <c r="BO192" i="1" s="1"/>
  <c r="BP207" i="1"/>
  <c r="BO207" i="1"/>
  <c r="BQ156" i="1" l="1"/>
  <c r="BQ159" i="1" s="1"/>
  <c r="BR207" i="1" l="1"/>
  <c r="BQ193" i="1"/>
  <c r="BQ192" i="1" s="1"/>
  <c r="BQ207" i="1"/>
  <c r="BS156" i="1" l="1"/>
  <c r="BS159" i="1" s="1"/>
  <c r="BT207" i="1" l="1"/>
  <c r="BS193" i="1"/>
  <c r="BS192" i="1" s="1"/>
  <c r="BS207" i="1"/>
  <c r="BU156" i="1" l="1"/>
  <c r="BU159" i="1" s="1"/>
  <c r="BU193" i="1" l="1"/>
  <c r="BU192" i="1" s="1"/>
  <c r="BV207" i="1"/>
  <c r="BU207" i="1"/>
  <c r="BW156" i="1" l="1"/>
  <c r="BW159" i="1" s="1"/>
  <c r="BW193" i="1" l="1"/>
  <c r="BW192" i="1" s="1"/>
  <c r="BX207" i="1"/>
  <c r="BW207" i="1"/>
  <c r="BY156" i="1" l="1"/>
  <c r="BY159" i="1" s="1"/>
  <c r="BZ207" i="1" l="1"/>
  <c r="BY193" i="1"/>
  <c r="BY192" i="1" s="1"/>
  <c r="BY207" i="1"/>
  <c r="AK194" i="1" l="1"/>
  <c r="AK164" i="1" s="1"/>
  <c r="AK167" i="1" s="1"/>
  <c r="AK168" i="1" l="1"/>
  <c r="AK196" i="1"/>
  <c r="AL208" i="1"/>
  <c r="AL209" i="1" s="1"/>
  <c r="AL210" i="1" s="1"/>
  <c r="AL224" i="1" s="1"/>
  <c r="AK208" i="1"/>
  <c r="AK209" i="1" s="1"/>
  <c r="AK210" i="1" s="1"/>
  <c r="AM164" i="1"/>
  <c r="AM167" i="1" s="1"/>
  <c r="AK224" i="1" l="1"/>
  <c r="AK221" i="1"/>
  <c r="AK171" i="1" s="1"/>
  <c r="AK172" i="1" s="1"/>
  <c r="AK176" i="1" s="1"/>
  <c r="AK177" i="1" s="1"/>
  <c r="AN208" i="1"/>
  <c r="AN209" i="1" s="1"/>
  <c r="AN210" i="1" s="1"/>
  <c r="AN224" i="1" s="1"/>
  <c r="AM196" i="1"/>
  <c r="AM195" i="1" s="1"/>
  <c r="AM208" i="1"/>
  <c r="AM209" i="1" s="1"/>
  <c r="AM210" i="1" s="1"/>
  <c r="AM168" i="1"/>
  <c r="AJ195" i="1"/>
  <c r="AJ197" i="1"/>
  <c r="AN200" i="1" s="1"/>
  <c r="AK195" i="1"/>
  <c r="AK197" i="1"/>
  <c r="AO164" i="1"/>
  <c r="AO167" i="1" s="1"/>
  <c r="AM197" i="1" l="1"/>
  <c r="AO196" i="1"/>
  <c r="AO195" i="1" s="1"/>
  <c r="AP208" i="1"/>
  <c r="AP209" i="1" s="1"/>
  <c r="AP210" i="1" s="1"/>
  <c r="AP224" i="1" s="1"/>
  <c r="AO208" i="1"/>
  <c r="AO209" i="1" s="1"/>
  <c r="AO210" i="1" s="1"/>
  <c r="AM224" i="1"/>
  <c r="AM221" i="1"/>
  <c r="AO168" i="1"/>
  <c r="AL220" i="1" l="1"/>
  <c r="AL221" i="1" s="1"/>
  <c r="AL222" i="1" s="1"/>
  <c r="AK222" i="1"/>
  <c r="AO197" i="1"/>
  <c r="AO200" i="1" s="1"/>
  <c r="AO224" i="1"/>
  <c r="AO221" i="1"/>
  <c r="AQ164" i="1"/>
  <c r="AQ167" i="1" s="1"/>
  <c r="AK179" i="1"/>
  <c r="AL48" i="1" s="1"/>
  <c r="AM171" i="1"/>
  <c r="AM172" i="1" s="1"/>
  <c r="AM176" i="1" s="1"/>
  <c r="AN220" i="1" l="1"/>
  <c r="AN221" i="1" s="1"/>
  <c r="AN222" i="1" s="1"/>
  <c r="AM259" i="1"/>
  <c r="AM257" i="1"/>
  <c r="AM255" i="1"/>
  <c r="AQ196" i="1"/>
  <c r="AQ195" i="1" s="1"/>
  <c r="AR208" i="1"/>
  <c r="AR209" i="1" s="1"/>
  <c r="AR210" i="1" s="1"/>
  <c r="AR224" i="1" s="1"/>
  <c r="AQ208" i="1"/>
  <c r="AQ209" i="1" s="1"/>
  <c r="AQ210" i="1" s="1"/>
  <c r="AM222" i="1"/>
  <c r="AQ168" i="1"/>
  <c r="AO171" i="1"/>
  <c r="AO172" i="1" s="1"/>
  <c r="AM179" i="1"/>
  <c r="AO257" i="1" l="1"/>
  <c r="AO259" i="1"/>
  <c r="AO255" i="1"/>
  <c r="AM120" i="1"/>
  <c r="AM121" i="1" s="1"/>
  <c r="AM124" i="1" s="1"/>
  <c r="AN48" i="1"/>
  <c r="AQ197" i="1"/>
  <c r="AQ200" i="1" s="1"/>
  <c r="AQ224" i="1"/>
  <c r="AQ221" i="1"/>
  <c r="AP220" i="1"/>
  <c r="AP221" i="1" s="1"/>
  <c r="AP222" i="1" s="1"/>
  <c r="AO222" i="1"/>
  <c r="AS164" i="1"/>
  <c r="AS167" i="1" s="1"/>
  <c r="AO179" i="1"/>
  <c r="AO176" i="1"/>
  <c r="AM177" i="1"/>
  <c r="AM122" i="1" l="1"/>
  <c r="AM125" i="1" s="1"/>
  <c r="AO120" i="1"/>
  <c r="AO122" i="1" s="1"/>
  <c r="AO125" i="1" s="1"/>
  <c r="AP48" i="1"/>
  <c r="AS196" i="1"/>
  <c r="AS195" i="1" s="1"/>
  <c r="AT208" i="1"/>
  <c r="AT209" i="1" s="1"/>
  <c r="AT210" i="1" s="1"/>
  <c r="AT224" i="1" s="1"/>
  <c r="AS208" i="1"/>
  <c r="AS209" i="1" s="1"/>
  <c r="AS210" i="1" s="1"/>
  <c r="AO177" i="1"/>
  <c r="AS168" i="1"/>
  <c r="AQ171" i="1"/>
  <c r="AQ172" i="1" s="1"/>
  <c r="AQ257" i="1" l="1"/>
  <c r="AQ259" i="1"/>
  <c r="AQ255" i="1"/>
  <c r="AO121" i="1"/>
  <c r="AO124" i="1" s="1"/>
  <c r="AS197" i="1"/>
  <c r="AS200" i="1" s="1"/>
  <c r="AS224" i="1"/>
  <c r="AS221" i="1"/>
  <c r="AR220" i="1"/>
  <c r="AR221" i="1" s="1"/>
  <c r="AR222" i="1" s="1"/>
  <c r="AQ222" i="1"/>
  <c r="AQ176" i="1"/>
  <c r="AQ179" i="1"/>
  <c r="AU164" i="1"/>
  <c r="AU167" i="1" s="1"/>
  <c r="AQ120" i="1" l="1"/>
  <c r="AQ121" i="1" s="1"/>
  <c r="AQ124" i="1" s="1"/>
  <c r="AR48" i="1"/>
  <c r="AU196" i="1"/>
  <c r="AU195" i="1" s="1"/>
  <c r="AV208" i="1"/>
  <c r="AV209" i="1" s="1"/>
  <c r="AV210" i="1" s="1"/>
  <c r="AV224" i="1" s="1"/>
  <c r="AU208" i="1"/>
  <c r="AU209" i="1" s="1"/>
  <c r="AU210" i="1" s="1"/>
  <c r="AU168" i="1"/>
  <c r="AS171" i="1"/>
  <c r="AS172" i="1" s="1"/>
  <c r="AQ177" i="1"/>
  <c r="AS259" i="1" l="1"/>
  <c r="AS257" i="1"/>
  <c r="AS255" i="1"/>
  <c r="AQ122" i="1"/>
  <c r="AQ125" i="1" s="1"/>
  <c r="AU197" i="1"/>
  <c r="AU200" i="1" s="1"/>
  <c r="AU224" i="1"/>
  <c r="AU221" i="1"/>
  <c r="AT220" i="1"/>
  <c r="AT221" i="1" s="1"/>
  <c r="AT222" i="1" s="1"/>
  <c r="AS222" i="1"/>
  <c r="AS179" i="1"/>
  <c r="AS176" i="1"/>
  <c r="AW164" i="1"/>
  <c r="AW167" i="1" s="1"/>
  <c r="AS120" i="1" l="1"/>
  <c r="AS121" i="1" s="1"/>
  <c r="AS124" i="1" s="1"/>
  <c r="AT48" i="1"/>
  <c r="AW196" i="1"/>
  <c r="AW197" i="1" s="1"/>
  <c r="AW200" i="1" s="1"/>
  <c r="AX208" i="1"/>
  <c r="AX209" i="1" s="1"/>
  <c r="AX210" i="1" s="1"/>
  <c r="AX224" i="1" s="1"/>
  <c r="AW208" i="1"/>
  <c r="AW209" i="1" s="1"/>
  <c r="AW210" i="1" s="1"/>
  <c r="AU171" i="1"/>
  <c r="AU172" i="1" s="1"/>
  <c r="AS177" i="1"/>
  <c r="AW168" i="1"/>
  <c r="AU259" i="1" l="1"/>
  <c r="AU257" i="1"/>
  <c r="AU255" i="1"/>
  <c r="AS122" i="1"/>
  <c r="AS125" i="1" s="1"/>
  <c r="AW195" i="1"/>
  <c r="AW224" i="1"/>
  <c r="AW221" i="1"/>
  <c r="AV220" i="1"/>
  <c r="AV221" i="1" s="1"/>
  <c r="AV222" i="1" s="1"/>
  <c r="AU222" i="1"/>
  <c r="AU179" i="1"/>
  <c r="AU176" i="1"/>
  <c r="AY164" i="1"/>
  <c r="AY167" i="1" s="1"/>
  <c r="AU120" i="1" l="1"/>
  <c r="AU122" i="1" s="1"/>
  <c r="AU125" i="1" s="1"/>
  <c r="AV48" i="1"/>
  <c r="AY196" i="1"/>
  <c r="AY195" i="1" s="1"/>
  <c r="AZ208" i="1"/>
  <c r="AZ209" i="1" s="1"/>
  <c r="AZ210" i="1" s="1"/>
  <c r="AZ224" i="1" s="1"/>
  <c r="AY208" i="1"/>
  <c r="AY209" i="1" s="1"/>
  <c r="AY210" i="1" s="1"/>
  <c r="AW171" i="1"/>
  <c r="AW172" i="1" s="1"/>
  <c r="AY168" i="1"/>
  <c r="AU177" i="1"/>
  <c r="AW257" i="1" l="1"/>
  <c r="AW259" i="1"/>
  <c r="AW255" i="1"/>
  <c r="AU121" i="1"/>
  <c r="AU124" i="1" s="1"/>
  <c r="AY197" i="1"/>
  <c r="AY200" i="1" s="1"/>
  <c r="AY224" i="1"/>
  <c r="AY221" i="1"/>
  <c r="AX220" i="1"/>
  <c r="AX221" i="1" s="1"/>
  <c r="AX222" i="1" s="1"/>
  <c r="AW222" i="1"/>
  <c r="BA164" i="1"/>
  <c r="BA167" i="1" s="1"/>
  <c r="AW176" i="1"/>
  <c r="AW179" i="1"/>
  <c r="AW120" i="1" l="1"/>
  <c r="AW122" i="1" s="1"/>
  <c r="AW125" i="1" s="1"/>
  <c r="AX48" i="1"/>
  <c r="BB208" i="1"/>
  <c r="BB209" i="1" s="1"/>
  <c r="BB210" i="1" s="1"/>
  <c r="BB224" i="1" s="1"/>
  <c r="BA196" i="1"/>
  <c r="BA195" i="1" s="1"/>
  <c r="BA208" i="1"/>
  <c r="BA209" i="1" s="1"/>
  <c r="BA210" i="1" s="1"/>
  <c r="AW177" i="1"/>
  <c r="BA168" i="1"/>
  <c r="AY171" i="1"/>
  <c r="AY172" i="1" s="1"/>
  <c r="AY257" i="1" l="1"/>
  <c r="AY259" i="1"/>
  <c r="AY255" i="1"/>
  <c r="AW121" i="1"/>
  <c r="AW124" i="1" s="1"/>
  <c r="BA197" i="1"/>
  <c r="BA200" i="1" s="1"/>
  <c r="BA224" i="1"/>
  <c r="BA221" i="1"/>
  <c r="AZ220" i="1"/>
  <c r="AZ221" i="1" s="1"/>
  <c r="AZ222" i="1" s="1"/>
  <c r="AY222" i="1"/>
  <c r="AY176" i="1"/>
  <c r="AY179" i="1"/>
  <c r="BC164" i="1"/>
  <c r="BC167" i="1" s="1"/>
  <c r="AY120" i="1" l="1"/>
  <c r="AY122" i="1" s="1"/>
  <c r="AY125" i="1" s="1"/>
  <c r="AZ48" i="1"/>
  <c r="BC196" i="1"/>
  <c r="BC195" i="1" s="1"/>
  <c r="BD208" i="1"/>
  <c r="BD209" i="1" s="1"/>
  <c r="BD210" i="1" s="1"/>
  <c r="BD224" i="1" s="1"/>
  <c r="BC208" i="1"/>
  <c r="BC209" i="1" s="1"/>
  <c r="BC210" i="1" s="1"/>
  <c r="AY177" i="1"/>
  <c r="BC168" i="1"/>
  <c r="BA171" i="1"/>
  <c r="BA172" i="1" s="1"/>
  <c r="BA259" i="1" l="1"/>
  <c r="BA257" i="1"/>
  <c r="BA255" i="1"/>
  <c r="AY121" i="1"/>
  <c r="AY124" i="1" s="1"/>
  <c r="BC197" i="1"/>
  <c r="BC200" i="1" s="1"/>
  <c r="BC224" i="1"/>
  <c r="BC221" i="1"/>
  <c r="BB220" i="1"/>
  <c r="BB221" i="1" s="1"/>
  <c r="BB222" i="1" s="1"/>
  <c r="BA222" i="1"/>
  <c r="BE164" i="1"/>
  <c r="BE167" i="1" s="1"/>
  <c r="BA179" i="1"/>
  <c r="BA176" i="1"/>
  <c r="BA120" i="1" l="1"/>
  <c r="BA121" i="1" s="1"/>
  <c r="BA124" i="1" s="1"/>
  <c r="BB48" i="1"/>
  <c r="BE196" i="1"/>
  <c r="BE195" i="1" s="1"/>
  <c r="BF208" i="1"/>
  <c r="BF209" i="1" s="1"/>
  <c r="BF210" i="1" s="1"/>
  <c r="BF224" i="1" s="1"/>
  <c r="BE208" i="1"/>
  <c r="BE209" i="1" s="1"/>
  <c r="BE210" i="1" s="1"/>
  <c r="BC171" i="1"/>
  <c r="BC172" i="1" s="1"/>
  <c r="BA177" i="1"/>
  <c r="BE168" i="1"/>
  <c r="BC259" i="1" l="1"/>
  <c r="BC257" i="1"/>
  <c r="BC255" i="1"/>
  <c r="BA122" i="1"/>
  <c r="BA125" i="1" s="1"/>
  <c r="BE197" i="1"/>
  <c r="BE200" i="1" s="1"/>
  <c r="BE224" i="1"/>
  <c r="BE221" i="1"/>
  <c r="BD220" i="1"/>
  <c r="BD221" i="1" s="1"/>
  <c r="BD222" i="1" s="1"/>
  <c r="BC222" i="1"/>
  <c r="BG164" i="1"/>
  <c r="BG167" i="1" s="1"/>
  <c r="BC176" i="1"/>
  <c r="BC179" i="1"/>
  <c r="BC120" i="1" l="1"/>
  <c r="BC121" i="1" s="1"/>
  <c r="BC124" i="1" s="1"/>
  <c r="BD48" i="1"/>
  <c r="BG196" i="1"/>
  <c r="BG197" i="1" s="1"/>
  <c r="BG200" i="1" s="1"/>
  <c r="BH208" i="1"/>
  <c r="BH209" i="1" s="1"/>
  <c r="BH210" i="1" s="1"/>
  <c r="BH224" i="1" s="1"/>
  <c r="BG208" i="1"/>
  <c r="BG209" i="1" s="1"/>
  <c r="BG210" i="1" s="1"/>
  <c r="BC177" i="1"/>
  <c r="BE171" i="1"/>
  <c r="BE172" i="1" s="1"/>
  <c r="BG168" i="1"/>
  <c r="BE257" i="1" l="1"/>
  <c r="BE259" i="1"/>
  <c r="BE255" i="1"/>
  <c r="BC122" i="1"/>
  <c r="BC125" i="1" s="1"/>
  <c r="BG195" i="1"/>
  <c r="BG224" i="1"/>
  <c r="BG221" i="1"/>
  <c r="BF220" i="1"/>
  <c r="BF221" i="1" s="1"/>
  <c r="BF222" i="1" s="1"/>
  <c r="BE222" i="1"/>
  <c r="BE179" i="1"/>
  <c r="BE176" i="1"/>
  <c r="BI164" i="1"/>
  <c r="BI167" i="1" s="1"/>
  <c r="BE120" i="1" l="1"/>
  <c r="BE121" i="1" s="1"/>
  <c r="BE124" i="1" s="1"/>
  <c r="BF48" i="1"/>
  <c r="BI196" i="1"/>
  <c r="BI195" i="1" s="1"/>
  <c r="BJ208" i="1"/>
  <c r="BJ209" i="1" s="1"/>
  <c r="BJ210" i="1" s="1"/>
  <c r="BJ224" i="1" s="1"/>
  <c r="BI208" i="1"/>
  <c r="BI209" i="1" s="1"/>
  <c r="BI210" i="1" s="1"/>
  <c r="BE177" i="1"/>
  <c r="BG171" i="1"/>
  <c r="BG172" i="1" s="1"/>
  <c r="BI168" i="1"/>
  <c r="BG257" i="1" l="1"/>
  <c r="BG259" i="1"/>
  <c r="BG255" i="1"/>
  <c r="BE122" i="1"/>
  <c r="BE125" i="1" s="1"/>
  <c r="BI197" i="1"/>
  <c r="BI200" i="1" s="1"/>
  <c r="BI224" i="1"/>
  <c r="BI221" i="1"/>
  <c r="BH220" i="1"/>
  <c r="BH221" i="1" s="1"/>
  <c r="BH222" i="1" s="1"/>
  <c r="BG222" i="1"/>
  <c r="BG176" i="1"/>
  <c r="BG179" i="1"/>
  <c r="BK164" i="1"/>
  <c r="BK167" i="1" s="1"/>
  <c r="BG120" i="1" l="1"/>
  <c r="BG121" i="1" s="1"/>
  <c r="BG124" i="1" s="1"/>
  <c r="BH48" i="1"/>
  <c r="BL208" i="1"/>
  <c r="BL209" i="1" s="1"/>
  <c r="BL210" i="1" s="1"/>
  <c r="BL224" i="1" s="1"/>
  <c r="BK196" i="1"/>
  <c r="BK195" i="1" s="1"/>
  <c r="BK208" i="1"/>
  <c r="BK209" i="1" s="1"/>
  <c r="BK210" i="1" s="1"/>
  <c r="BK168" i="1"/>
  <c r="BG177" i="1"/>
  <c r="BI171" i="1"/>
  <c r="BI172" i="1" s="1"/>
  <c r="BI259" i="1" l="1"/>
  <c r="BI257" i="1"/>
  <c r="BI255" i="1"/>
  <c r="BG122" i="1"/>
  <c r="BG125" i="1" s="1"/>
  <c r="BK197" i="1"/>
  <c r="BK200" i="1" s="1"/>
  <c r="BK224" i="1"/>
  <c r="BK221" i="1"/>
  <c r="BJ220" i="1"/>
  <c r="BJ221" i="1" s="1"/>
  <c r="BJ222" i="1" s="1"/>
  <c r="BI222" i="1"/>
  <c r="BI179" i="1"/>
  <c r="BI176" i="1"/>
  <c r="BM164" i="1"/>
  <c r="BM167" i="1" s="1"/>
  <c r="BI120" i="1" l="1"/>
  <c r="BI122" i="1" s="1"/>
  <c r="BI125" i="1" s="1"/>
  <c r="BJ48" i="1"/>
  <c r="BM196" i="1"/>
  <c r="BM195" i="1" s="1"/>
  <c r="BN208" i="1"/>
  <c r="BN209" i="1" s="1"/>
  <c r="BN210" i="1" s="1"/>
  <c r="BN224" i="1" s="1"/>
  <c r="BM208" i="1"/>
  <c r="BM209" i="1" s="1"/>
  <c r="BM210" i="1" s="1"/>
  <c r="BM168" i="1"/>
  <c r="BI177" i="1"/>
  <c r="BK171" i="1"/>
  <c r="BK172" i="1" s="1"/>
  <c r="BK259" i="1" l="1"/>
  <c r="BK257" i="1"/>
  <c r="BK255" i="1"/>
  <c r="BI121" i="1"/>
  <c r="BI124" i="1" s="1"/>
  <c r="BM197" i="1"/>
  <c r="BM200" i="1" s="1"/>
  <c r="BM224" i="1"/>
  <c r="BM221" i="1"/>
  <c r="BL220" i="1"/>
  <c r="BL221" i="1" s="1"/>
  <c r="BL222" i="1" s="1"/>
  <c r="BK222" i="1"/>
  <c r="BK179" i="1"/>
  <c r="BK176" i="1"/>
  <c r="BO164" i="1"/>
  <c r="BO167" i="1" s="1"/>
  <c r="BK120" i="1" l="1"/>
  <c r="BK122" i="1" s="1"/>
  <c r="BK125" i="1" s="1"/>
  <c r="BL48" i="1"/>
  <c r="BO196" i="1"/>
  <c r="BO195" i="1" s="1"/>
  <c r="BP208" i="1"/>
  <c r="BP209" i="1" s="1"/>
  <c r="BP210" i="1" s="1"/>
  <c r="BP224" i="1" s="1"/>
  <c r="BO208" i="1"/>
  <c r="BO209" i="1" s="1"/>
  <c r="BO210" i="1" s="1"/>
  <c r="BM171" i="1"/>
  <c r="BM172" i="1" s="1"/>
  <c r="BK177" i="1"/>
  <c r="BO168" i="1"/>
  <c r="BM257" i="1" l="1"/>
  <c r="BM259" i="1"/>
  <c r="BM255" i="1"/>
  <c r="BK121" i="1"/>
  <c r="BK124" i="1" s="1"/>
  <c r="BO197" i="1"/>
  <c r="BO200" i="1" s="1"/>
  <c r="BO224" i="1"/>
  <c r="BO221" i="1"/>
  <c r="BN220" i="1"/>
  <c r="BN221" i="1" s="1"/>
  <c r="BN222" i="1" s="1"/>
  <c r="BM222" i="1"/>
  <c r="BM176" i="1"/>
  <c r="BM179" i="1"/>
  <c r="BQ164" i="1"/>
  <c r="BQ167" i="1" s="1"/>
  <c r="BM120" i="1" l="1"/>
  <c r="BM121" i="1" s="1"/>
  <c r="BM124" i="1" s="1"/>
  <c r="BN48" i="1"/>
  <c r="BQ196" i="1"/>
  <c r="BQ195" i="1" s="1"/>
  <c r="BR208" i="1"/>
  <c r="BR209" i="1" s="1"/>
  <c r="BR210" i="1" s="1"/>
  <c r="BR224" i="1" s="1"/>
  <c r="BQ208" i="1"/>
  <c r="BQ209" i="1" s="1"/>
  <c r="BQ210" i="1" s="1"/>
  <c r="BO171" i="1"/>
  <c r="BO172" i="1" s="1"/>
  <c r="BQ168" i="1"/>
  <c r="BM177" i="1"/>
  <c r="BO257" i="1" l="1"/>
  <c r="BO259" i="1"/>
  <c r="BO255" i="1"/>
  <c r="BM122" i="1"/>
  <c r="BM125" i="1" s="1"/>
  <c r="BQ197" i="1"/>
  <c r="BQ200" i="1" s="1"/>
  <c r="BQ224" i="1"/>
  <c r="BQ221" i="1"/>
  <c r="BP220" i="1"/>
  <c r="BP221" i="1" s="1"/>
  <c r="BP222" i="1" s="1"/>
  <c r="BO222" i="1"/>
  <c r="BS164" i="1"/>
  <c r="BS167" i="1" s="1"/>
  <c r="BO176" i="1"/>
  <c r="BO179" i="1"/>
  <c r="BO120" i="1" l="1"/>
  <c r="BO121" i="1" s="1"/>
  <c r="BO124" i="1" s="1"/>
  <c r="BP48" i="1"/>
  <c r="BS196" i="1"/>
  <c r="BS195" i="1" s="1"/>
  <c r="BT208" i="1"/>
  <c r="BT209" i="1" s="1"/>
  <c r="BT210" i="1" s="1"/>
  <c r="BT224" i="1" s="1"/>
  <c r="BS208" i="1"/>
  <c r="BS209" i="1" s="1"/>
  <c r="BS210" i="1" s="1"/>
  <c r="BO177" i="1"/>
  <c r="BS168" i="1"/>
  <c r="BQ171" i="1"/>
  <c r="BQ172" i="1" s="1"/>
  <c r="BQ259" i="1" l="1"/>
  <c r="BQ257" i="1"/>
  <c r="BQ255" i="1"/>
  <c r="BO122" i="1"/>
  <c r="BO125" i="1" s="1"/>
  <c r="BS197" i="1"/>
  <c r="BS200" i="1" s="1"/>
  <c r="BS224" i="1"/>
  <c r="BS221" i="1"/>
  <c r="BR220" i="1"/>
  <c r="BR221" i="1" s="1"/>
  <c r="BR222" i="1" s="1"/>
  <c r="BQ222" i="1"/>
  <c r="BQ176" i="1"/>
  <c r="BQ179" i="1"/>
  <c r="BU164" i="1"/>
  <c r="BU167" i="1" s="1"/>
  <c r="BQ120" i="1" l="1"/>
  <c r="BQ121" i="1" s="1"/>
  <c r="BQ124" i="1" s="1"/>
  <c r="BR48" i="1"/>
  <c r="BU196" i="1"/>
  <c r="BU195" i="1" s="1"/>
  <c r="BV208" i="1"/>
  <c r="BV209" i="1" s="1"/>
  <c r="BV210" i="1" s="1"/>
  <c r="BV224" i="1" s="1"/>
  <c r="BU208" i="1"/>
  <c r="BU209" i="1" s="1"/>
  <c r="BU210" i="1" s="1"/>
  <c r="BS171" i="1"/>
  <c r="BS172" i="1" s="1"/>
  <c r="BQ177" i="1"/>
  <c r="BU168" i="1"/>
  <c r="BS259" i="1" l="1"/>
  <c r="BS257" i="1"/>
  <c r="BS255" i="1"/>
  <c r="BQ122" i="1"/>
  <c r="BQ125" i="1" s="1"/>
  <c r="BU197" i="1"/>
  <c r="BU200" i="1" s="1"/>
  <c r="BU224" i="1"/>
  <c r="BU221" i="1"/>
  <c r="BT220" i="1"/>
  <c r="BT221" i="1" s="1"/>
  <c r="BT222" i="1" s="1"/>
  <c r="BS222" i="1"/>
  <c r="BS176" i="1"/>
  <c r="BS179" i="1"/>
  <c r="BW164" i="1"/>
  <c r="BW167" i="1" s="1"/>
  <c r="BS120" i="1" l="1"/>
  <c r="BS122" i="1" s="1"/>
  <c r="BS125" i="1" s="1"/>
  <c r="BT48" i="1"/>
  <c r="BW196" i="1"/>
  <c r="BW195" i="1" s="1"/>
  <c r="BX208" i="1"/>
  <c r="BX209" i="1" s="1"/>
  <c r="BX210" i="1" s="1"/>
  <c r="BX224" i="1" s="1"/>
  <c r="BW208" i="1"/>
  <c r="BW209" i="1" s="1"/>
  <c r="BW210" i="1" s="1"/>
  <c r="BW168" i="1"/>
  <c r="BS177" i="1"/>
  <c r="BU171" i="1"/>
  <c r="BU172" i="1" s="1"/>
  <c r="BU257" i="1" l="1"/>
  <c r="BU259" i="1"/>
  <c r="BU255" i="1"/>
  <c r="BS121" i="1"/>
  <c r="BS124" i="1" s="1"/>
  <c r="BW197" i="1"/>
  <c r="BW200" i="1" s="1"/>
  <c r="BW224" i="1"/>
  <c r="BW221" i="1"/>
  <c r="BV220" i="1"/>
  <c r="BV221" i="1" s="1"/>
  <c r="BV222" i="1" s="1"/>
  <c r="BU222" i="1"/>
  <c r="BU176" i="1"/>
  <c r="BU179" i="1"/>
  <c r="BY164" i="1"/>
  <c r="BY167" i="1" s="1"/>
  <c r="BU120" i="1" l="1"/>
  <c r="BU122" i="1" s="1"/>
  <c r="BU125" i="1" s="1"/>
  <c r="BV48" i="1"/>
  <c r="BZ208" i="1"/>
  <c r="BZ209" i="1" s="1"/>
  <c r="BZ210" i="1" s="1"/>
  <c r="BZ224" i="1" s="1"/>
  <c r="BY196" i="1"/>
  <c r="BY195" i="1" s="1"/>
  <c r="BY208" i="1"/>
  <c r="BY209" i="1" s="1"/>
  <c r="BY210" i="1" s="1"/>
  <c r="BW171" i="1"/>
  <c r="BW172" i="1" s="1"/>
  <c r="BY168" i="1"/>
  <c r="BU177" i="1"/>
  <c r="BW257" i="1" l="1"/>
  <c r="BW259" i="1"/>
  <c r="BW255" i="1"/>
  <c r="BU121" i="1"/>
  <c r="BU124" i="1" s="1"/>
  <c r="BY197" i="1"/>
  <c r="BY200" i="1" s="1"/>
  <c r="BY224" i="1"/>
  <c r="BY221" i="1"/>
  <c r="BX220" i="1"/>
  <c r="BX221" i="1" s="1"/>
  <c r="BX222" i="1" s="1"/>
  <c r="BW222" i="1"/>
  <c r="BW176" i="1"/>
  <c r="BW179" i="1"/>
  <c r="BW120" i="1" l="1"/>
  <c r="BW122" i="1" s="1"/>
  <c r="BW125" i="1" s="1"/>
  <c r="BX48" i="1"/>
  <c r="BW177" i="1"/>
  <c r="BY171" i="1"/>
  <c r="BY172" i="1" s="1"/>
  <c r="BY259" i="1" l="1"/>
  <c r="BY257" i="1"/>
  <c r="BY255" i="1"/>
  <c r="BW121" i="1"/>
  <c r="BW124" i="1" s="1"/>
  <c r="BZ220" i="1"/>
  <c r="BZ221" i="1" s="1"/>
  <c r="BZ222" i="1" s="1"/>
  <c r="BY222" i="1"/>
  <c r="BY179" i="1"/>
  <c r="BY176" i="1"/>
  <c r="BY120" i="1" l="1"/>
  <c r="BY121" i="1" s="1"/>
  <c r="BY124" i="1" s="1"/>
  <c r="BZ48" i="1"/>
  <c r="BY177" i="1"/>
  <c r="CC156" i="1"/>
  <c r="CC155" i="1"/>
  <c r="CA155" i="1"/>
  <c r="CA164" i="1"/>
  <c r="CA167" i="1" s="1"/>
  <c r="CA156" i="1"/>
  <c r="BY122" i="1" l="1"/>
  <c r="BY125" i="1" s="1"/>
  <c r="CA159" i="1"/>
  <c r="CA193" i="1" s="1"/>
  <c r="CA192" i="1" s="1"/>
  <c r="CB208" i="1"/>
  <c r="CA196" i="1"/>
  <c r="CA195" i="1" s="1"/>
  <c r="CA208" i="1"/>
  <c r="CC164" i="1"/>
  <c r="CC167" i="1" s="1"/>
  <c r="CC159" i="1"/>
  <c r="CA168" i="1" l="1"/>
  <c r="CA207" i="1"/>
  <c r="CA209" i="1" s="1"/>
  <c r="CA210" i="1" s="1"/>
  <c r="CA224" i="1" s="1"/>
  <c r="CB207" i="1"/>
  <c r="CB209" i="1" s="1"/>
  <c r="CB210" i="1" s="1"/>
  <c r="CB224" i="1" s="1"/>
  <c r="CA197" i="1"/>
  <c r="CD207" i="1"/>
  <c r="CC193" i="1"/>
  <c r="CC192" i="1" s="1"/>
  <c r="CC207" i="1"/>
  <c r="CC196" i="1"/>
  <c r="CC195" i="1" s="1"/>
  <c r="CD208" i="1"/>
  <c r="CC208" i="1"/>
  <c r="CC168" i="1"/>
  <c r="CA200" i="1" l="1"/>
  <c r="CE200" i="1"/>
  <c r="CC209" i="1"/>
  <c r="CC210" i="1" s="1"/>
  <c r="CC224" i="1" s="1"/>
  <c r="CD209" i="1"/>
  <c r="CD210" i="1" s="1"/>
  <c r="CD224" i="1" s="1"/>
  <c r="CA221" i="1"/>
  <c r="CA171" i="1" s="1"/>
  <c r="CA172" i="1" s="1"/>
  <c r="CC197" i="1"/>
  <c r="CA259" i="1" l="1"/>
  <c r="CA257" i="1"/>
  <c r="CA255" i="1"/>
  <c r="CC200" i="1"/>
  <c r="CG200" i="1"/>
  <c r="CC221" i="1"/>
  <c r="CC171" i="1" s="1"/>
  <c r="CC172" i="1" s="1"/>
  <c r="CB220" i="1"/>
  <c r="CB221" i="1" s="1"/>
  <c r="CB222" i="1" s="1"/>
  <c r="CA222" i="1"/>
  <c r="CA179" i="1"/>
  <c r="CA176" i="1"/>
  <c r="CC257" i="1" l="1"/>
  <c r="CC259" i="1"/>
  <c r="CC255" i="1"/>
  <c r="CA120" i="1"/>
  <c r="CA121" i="1" s="1"/>
  <c r="CA124" i="1" s="1"/>
  <c r="CB48" i="1"/>
  <c r="CD220" i="1"/>
  <c r="CD221" i="1" s="1"/>
  <c r="CD222" i="1" s="1"/>
  <c r="CC222" i="1"/>
  <c r="CC176" i="1"/>
  <c r="CC179" i="1"/>
  <c r="CA177" i="1"/>
  <c r="CA122" i="1" l="1"/>
  <c r="CA125" i="1" s="1"/>
  <c r="CC120" i="1"/>
  <c r="CC121" i="1" s="1"/>
  <c r="CC124" i="1" s="1"/>
  <c r="CD48" i="1"/>
  <c r="CC177" i="1"/>
  <c r="CC122" i="1" l="1"/>
  <c r="CC125" i="1" s="1"/>
  <c r="CE100" i="1"/>
  <c r="CD100" i="1"/>
  <c r="CC100" i="1"/>
  <c r="CB100" i="1"/>
  <c r="CI156" i="1" l="1"/>
  <c r="CI164" i="1"/>
  <c r="CI167" i="1" s="1"/>
  <c r="CI155" i="1"/>
  <c r="CJ208" i="1" l="1"/>
  <c r="CI159" i="1"/>
  <c r="CI208" i="1"/>
  <c r="CJ207" i="1" l="1"/>
  <c r="CJ209" i="1" s="1"/>
  <c r="CJ210" i="1" s="1"/>
  <c r="CJ224" i="1" s="1"/>
  <c r="CI168" i="1"/>
  <c r="CI207" i="1"/>
  <c r="CI209" i="1" s="1"/>
  <c r="CI210" i="1" s="1"/>
  <c r="CI224" i="1" s="1"/>
  <c r="CI197" i="1" l="1"/>
  <c r="CI200" i="1" s="1"/>
  <c r="CI221" i="1"/>
  <c r="CI171" i="1" s="1"/>
  <c r="CI172" i="1" s="1"/>
  <c r="CI259" i="1" l="1"/>
  <c r="CI257" i="1"/>
  <c r="CI255" i="1"/>
  <c r="CI222" i="1"/>
  <c r="CJ220" i="1"/>
  <c r="CJ221" i="1" s="1"/>
  <c r="CI179" i="1"/>
  <c r="CI176" i="1"/>
  <c r="CI120" i="1" l="1"/>
  <c r="CI122" i="1" s="1"/>
  <c r="CI125" i="1" s="1"/>
  <c r="CJ48" i="1"/>
  <c r="CJ222" i="1"/>
  <c r="CI177" i="1"/>
  <c r="CI121" i="1" l="1"/>
  <c r="CI124" i="1" s="1"/>
  <c r="CJ179" i="1"/>
  <c r="CJ120" i="1" l="1"/>
  <c r="CK48" i="1"/>
  <c r="CJ122" i="1" l="1"/>
  <c r="CJ125" i="1" s="1"/>
  <c r="CJ121" i="1"/>
  <c r="CJ124" i="1" s="1"/>
  <c r="CK242" i="1" l="1"/>
  <c r="CK264" i="1"/>
  <c r="CK263" i="1"/>
  <c r="CL242" i="1"/>
  <c r="CL264" i="1"/>
  <c r="CN21" i="1"/>
  <c r="CN264" i="1"/>
  <c r="CM21" i="1"/>
  <c r="CM264" i="1"/>
  <c r="CN242" i="1"/>
  <c r="CM242" i="1"/>
  <c r="CM109" i="1"/>
  <c r="CM110" i="1" s="1"/>
  <c r="CM113" i="1" s="1"/>
  <c r="CN109" i="1"/>
  <c r="CN110" i="1" s="1"/>
  <c r="CN113" i="1" s="1"/>
  <c r="CN23" i="1" l="1"/>
  <c r="CM22" i="1"/>
  <c r="CN22" i="1"/>
  <c r="CM23" i="1"/>
  <c r="CM157" i="1"/>
  <c r="CQ264" i="1"/>
  <c r="CO21" i="1"/>
  <c r="CN37" i="1"/>
  <c r="CN34" i="1" s="1"/>
  <c r="CR264" i="1"/>
  <c r="CN156" i="1"/>
  <c r="CN27" i="1"/>
  <c r="CN155" i="1"/>
  <c r="CN164" i="1"/>
  <c r="CM37" i="1"/>
  <c r="CM34" i="1" s="1"/>
  <c r="CM164" i="1"/>
  <c r="CN163" i="1"/>
  <c r="CN157" i="1"/>
  <c r="CM156" i="1"/>
  <c r="CM27" i="1"/>
  <c r="CM26" i="1" s="1"/>
  <c r="CM163" i="1"/>
  <c r="CM155" i="1"/>
  <c r="CK155" i="1"/>
  <c r="CK164" i="1"/>
  <c r="CK156" i="1"/>
  <c r="CM236" i="1"/>
  <c r="CK163" i="1"/>
  <c r="CK236" i="1"/>
  <c r="CK157" i="1"/>
  <c r="CL236" i="1"/>
  <c r="CN236" i="1"/>
  <c r="CO23" i="1" l="1"/>
  <c r="CO22" i="1"/>
  <c r="CO236" i="1"/>
  <c r="CM167" i="1"/>
  <c r="CK167" i="1"/>
  <c r="CK208" i="1" s="1"/>
  <c r="CN26" i="1"/>
  <c r="CN29" i="1"/>
  <c r="CN39" i="1"/>
  <c r="CN159" i="1"/>
  <c r="CM159" i="1"/>
  <c r="CN167" i="1"/>
  <c r="CR21" i="1"/>
  <c r="CM29" i="1"/>
  <c r="CR242" i="1"/>
  <c r="CQ21" i="1"/>
  <c r="CQ242" i="1"/>
  <c r="CM39" i="1"/>
  <c r="CR109" i="1"/>
  <c r="CR110" i="1" s="1"/>
  <c r="CR113" i="1" s="1"/>
  <c r="CP264" i="1"/>
  <c r="CN30" i="1"/>
  <c r="CO109" i="1"/>
  <c r="CO110" i="1" s="1"/>
  <c r="CO113" i="1" s="1"/>
  <c r="CO264" i="1"/>
  <c r="CO242" i="1"/>
  <c r="CK159" i="1"/>
  <c r="CK207" i="1" s="1"/>
  <c r="CM30" i="1"/>
  <c r="CP242" i="1"/>
  <c r="CP21" i="1"/>
  <c r="CQ109" i="1"/>
  <c r="CQ110" i="1" s="1"/>
  <c r="CQ113" i="1" s="1"/>
  <c r="AB19" i="1"/>
  <c r="AB264" i="1" s="1"/>
  <c r="CP109" i="1"/>
  <c r="CP110" i="1" s="1"/>
  <c r="CP113" i="1" s="1"/>
  <c r="CO155" i="1"/>
  <c r="CO27" i="1"/>
  <c r="CO163" i="1"/>
  <c r="CO164" i="1"/>
  <c r="CO37" i="1"/>
  <c r="CO34" i="1" s="1"/>
  <c r="CO156" i="1"/>
  <c r="CO157" i="1"/>
  <c r="CR23" i="1" l="1"/>
  <c r="CQ22" i="1"/>
  <c r="CQ23" i="1"/>
  <c r="CP22" i="1"/>
  <c r="CR22" i="1"/>
  <c r="CP23" i="1"/>
  <c r="CU242" i="1"/>
  <c r="CN261" i="1"/>
  <c r="CN262" i="1" s="1"/>
  <c r="CN208" i="1"/>
  <c r="CN40" i="1"/>
  <c r="CN243" i="1"/>
  <c r="CN244" i="1" s="1"/>
  <c r="CN41" i="1"/>
  <c r="CN45" i="1"/>
  <c r="CN168" i="1"/>
  <c r="CM168" i="1"/>
  <c r="CN207" i="1"/>
  <c r="CR163" i="1"/>
  <c r="CR27" i="1"/>
  <c r="CR155" i="1"/>
  <c r="CR156" i="1"/>
  <c r="CR157" i="1"/>
  <c r="CR37" i="1"/>
  <c r="CR34" i="1" s="1"/>
  <c r="CR164" i="1"/>
  <c r="CK209" i="1"/>
  <c r="CQ37" i="1"/>
  <c r="CQ34" i="1" s="1"/>
  <c r="CQ157" i="1"/>
  <c r="CQ156" i="1"/>
  <c r="CQ163" i="1"/>
  <c r="CQ164" i="1"/>
  <c r="CQ155" i="1"/>
  <c r="CN42" i="1"/>
  <c r="CM41" i="1"/>
  <c r="CM243" i="1"/>
  <c r="CM244" i="1" s="1"/>
  <c r="CM40" i="1"/>
  <c r="CM45" i="1"/>
  <c r="CQ27" i="1"/>
  <c r="CK168" i="1"/>
  <c r="CK261" i="1"/>
  <c r="CK262" i="1" s="1"/>
  <c r="CL261" i="1"/>
  <c r="CL262" i="1" s="1"/>
  <c r="CS109" i="1"/>
  <c r="CS110" i="1" s="1"/>
  <c r="CS113" i="1" s="1"/>
  <c r="CS264" i="1"/>
  <c r="CM261" i="1"/>
  <c r="CM262" i="1" s="1"/>
  <c r="CK243" i="1"/>
  <c r="CK244" i="1" s="1"/>
  <c r="CK237" i="1"/>
  <c r="CN237" i="1"/>
  <c r="CL237" i="1"/>
  <c r="CR236" i="1"/>
  <c r="CP236" i="1"/>
  <c r="AB21" i="1"/>
  <c r="CO167" i="1"/>
  <c r="CS21" i="1"/>
  <c r="CS23" i="1" s="1"/>
  <c r="CS242" i="1"/>
  <c r="CO159" i="1"/>
  <c r="CM123" i="1"/>
  <c r="CN123" i="1"/>
  <c r="CM208" i="1"/>
  <c r="CL208" i="1"/>
  <c r="CP156" i="1"/>
  <c r="AB156" i="1" s="1"/>
  <c r="AB191" i="1" s="1"/>
  <c r="CP155" i="1"/>
  <c r="CP163" i="1"/>
  <c r="CP27" i="1"/>
  <c r="CP26" i="1" s="1"/>
  <c r="CP164" i="1"/>
  <c r="AB164" i="1" s="1"/>
  <c r="AB194" i="1" s="1"/>
  <c r="CP157" i="1"/>
  <c r="AB157" i="1" s="1"/>
  <c r="CP37" i="1"/>
  <c r="CP34" i="1" s="1"/>
  <c r="CT264" i="1"/>
  <c r="CL243" i="1"/>
  <c r="CL244" i="1" s="1"/>
  <c r="CO39" i="1"/>
  <c r="CO29" i="1"/>
  <c r="CO30" i="1"/>
  <c r="CM207" i="1"/>
  <c r="CL207" i="1"/>
  <c r="CQ236" i="1"/>
  <c r="CO26" i="1"/>
  <c r="CM237" i="1"/>
  <c r="CM42" i="1"/>
  <c r="CS22" i="1" l="1"/>
  <c r="CU264" i="1"/>
  <c r="CU21" i="1"/>
  <c r="CU37" i="1" s="1"/>
  <c r="CU34" i="1" s="1"/>
  <c r="CS236" i="1"/>
  <c r="CW264" i="1"/>
  <c r="CR159" i="1"/>
  <c r="CQ167" i="1"/>
  <c r="AB34" i="1"/>
  <c r="AB37" i="1" s="1"/>
  <c r="AB38" i="1" s="1"/>
  <c r="CN209" i="1"/>
  <c r="CR167" i="1"/>
  <c r="CR29" i="1"/>
  <c r="CR30" i="1"/>
  <c r="CR39" i="1"/>
  <c r="CR26" i="1"/>
  <c r="CV264" i="1"/>
  <c r="CV242" i="1"/>
  <c r="CV21" i="1"/>
  <c r="CQ26" i="1"/>
  <c r="CQ29" i="1"/>
  <c r="CQ39" i="1"/>
  <c r="CQ159" i="1"/>
  <c r="CO123" i="1"/>
  <c r="CO261" i="1"/>
  <c r="CO262" i="1" s="1"/>
  <c r="AB109" i="1"/>
  <c r="AB199" i="1"/>
  <c r="CL209" i="1"/>
  <c r="CQ30" i="1"/>
  <c r="AB26" i="1"/>
  <c r="AB27" i="1" s="1"/>
  <c r="CM209" i="1"/>
  <c r="CO168" i="1"/>
  <c r="CO207" i="1"/>
  <c r="CO237" i="1"/>
  <c r="AC19" i="1"/>
  <c r="AC264" i="1" s="1"/>
  <c r="CV109" i="1"/>
  <c r="CV110" i="1" s="1"/>
  <c r="CV113" i="1" s="1"/>
  <c r="AB22" i="1"/>
  <c r="AB69" i="1"/>
  <c r="AB155" i="1"/>
  <c r="CP159" i="1"/>
  <c r="CS155" i="1"/>
  <c r="CS27" i="1"/>
  <c r="CS26" i="1" s="1"/>
  <c r="CS163" i="1"/>
  <c r="CS156" i="1"/>
  <c r="CS164" i="1"/>
  <c r="CS157" i="1"/>
  <c r="CS37" i="1"/>
  <c r="CS34" i="1" s="1"/>
  <c r="CT109" i="1"/>
  <c r="CT110" i="1" s="1"/>
  <c r="CT113" i="1" s="1"/>
  <c r="CO208" i="1"/>
  <c r="CO41" i="1"/>
  <c r="CO243" i="1"/>
  <c r="CO244" i="1" s="1"/>
  <c r="CO45" i="1"/>
  <c r="CO42" i="1"/>
  <c r="CO40" i="1"/>
  <c r="CU27" i="1"/>
  <c r="CU26" i="1" s="1"/>
  <c r="CU163" i="1"/>
  <c r="CY264" i="1"/>
  <c r="CP29" i="1"/>
  <c r="CP39" i="1"/>
  <c r="CP30" i="1"/>
  <c r="CT242" i="1"/>
  <c r="CT21" i="1"/>
  <c r="AB163" i="1"/>
  <c r="AB167" i="1" s="1"/>
  <c r="CP167" i="1"/>
  <c r="CU109" i="1"/>
  <c r="CU110" i="1" s="1"/>
  <c r="CU113" i="1" s="1"/>
  <c r="CU156" i="1" l="1"/>
  <c r="CU164" i="1"/>
  <c r="CU157" i="1"/>
  <c r="CU155" i="1"/>
  <c r="CV22" i="1"/>
  <c r="CU23" i="1"/>
  <c r="CT22" i="1"/>
  <c r="CV23" i="1"/>
  <c r="CU22" i="1"/>
  <c r="CT23" i="1"/>
  <c r="CQ208" i="1"/>
  <c r="CV155" i="1"/>
  <c r="CV27" i="1"/>
  <c r="CV29" i="1" s="1"/>
  <c r="CV163" i="1"/>
  <c r="CR208" i="1"/>
  <c r="CR168" i="1"/>
  <c r="CR243" i="1"/>
  <c r="CR244" i="1" s="1"/>
  <c r="CR40" i="1"/>
  <c r="CR45" i="1"/>
  <c r="CR41" i="1"/>
  <c r="CV157" i="1"/>
  <c r="CV156" i="1"/>
  <c r="CV37" i="1"/>
  <c r="CV34" i="1" s="1"/>
  <c r="CV164" i="1"/>
  <c r="CQ45" i="1"/>
  <c r="CQ40" i="1"/>
  <c r="CQ41" i="1"/>
  <c r="CR42" i="1"/>
  <c r="CR261" i="1"/>
  <c r="CR262" i="1" s="1"/>
  <c r="CQ243" i="1"/>
  <c r="CQ244" i="1" s="1"/>
  <c r="CR207" i="1"/>
  <c r="CQ168" i="1"/>
  <c r="AB29" i="1"/>
  <c r="CP123" i="1"/>
  <c r="CP261" i="1"/>
  <c r="CP262" i="1" s="1"/>
  <c r="CQ261" i="1"/>
  <c r="CQ262" i="1" s="1"/>
  <c r="CS167" i="1"/>
  <c r="CS208" i="1" s="1"/>
  <c r="CV236" i="1"/>
  <c r="CP208" i="1"/>
  <c r="CP243" i="1"/>
  <c r="CP244" i="1" s="1"/>
  <c r="CP41" i="1"/>
  <c r="CP42" i="1"/>
  <c r="CP40" i="1"/>
  <c r="CP45" i="1"/>
  <c r="CT236" i="1"/>
  <c r="CP237" i="1"/>
  <c r="CU236" i="1"/>
  <c r="CR237" i="1"/>
  <c r="CQ237" i="1"/>
  <c r="CS39" i="1"/>
  <c r="CS261" i="1" s="1"/>
  <c r="CS262" i="1" s="1"/>
  <c r="CS29" i="1"/>
  <c r="CS30" i="1"/>
  <c r="AC21" i="1"/>
  <c r="CO209" i="1"/>
  <c r="CW242" i="1"/>
  <c r="CW21" i="1"/>
  <c r="CQ123" i="1"/>
  <c r="CU167" i="1"/>
  <c r="CW109" i="1"/>
  <c r="CW110" i="1" s="1"/>
  <c r="CW113" i="1" s="1"/>
  <c r="CU39" i="1"/>
  <c r="CU29" i="1"/>
  <c r="CS159" i="1"/>
  <c r="CT155" i="1"/>
  <c r="CT164" i="1"/>
  <c r="AC164" i="1" s="1"/>
  <c r="AC194" i="1" s="1"/>
  <c r="CT27" i="1"/>
  <c r="CT26" i="1" s="1"/>
  <c r="AC26" i="1" s="1"/>
  <c r="CT156" i="1"/>
  <c r="AC156" i="1" s="1"/>
  <c r="AC191" i="1" s="1"/>
  <c r="CT163" i="1"/>
  <c r="CT37" i="1"/>
  <c r="CT34" i="1" s="1"/>
  <c r="CT157" i="1"/>
  <c r="AC157" i="1" s="1"/>
  <c r="AB70" i="1"/>
  <c r="AB28" i="1"/>
  <c r="AB39" i="1"/>
  <c r="AB261" i="1" s="1"/>
  <c r="AB262" i="1" s="1"/>
  <c r="CQ42" i="1"/>
  <c r="CQ207" i="1"/>
  <c r="CP168" i="1"/>
  <c r="CP207" i="1"/>
  <c r="CY21" i="1"/>
  <c r="CY242" i="1"/>
  <c r="AB196" i="1"/>
  <c r="AB195" i="1" s="1"/>
  <c r="AB208" i="1"/>
  <c r="CR123" i="1"/>
  <c r="AB159" i="1"/>
  <c r="AB190" i="1"/>
  <c r="CU159" i="1" l="1"/>
  <c r="CW22" i="1"/>
  <c r="CY22" i="1"/>
  <c r="CW23" i="1"/>
  <c r="CW236" i="1"/>
  <c r="DA264" i="1"/>
  <c r="CQ209" i="1"/>
  <c r="AC34" i="1"/>
  <c r="AC37" i="1" s="1"/>
  <c r="AC38" i="1" s="1"/>
  <c r="CV159" i="1"/>
  <c r="CV207" i="1" s="1"/>
  <c r="CV26" i="1"/>
  <c r="CV30" i="1"/>
  <c r="CV167" i="1"/>
  <c r="CV39" i="1"/>
  <c r="CZ264" i="1"/>
  <c r="CZ242" i="1"/>
  <c r="CZ21" i="1"/>
  <c r="CR209" i="1"/>
  <c r="CX109" i="1"/>
  <c r="CX110" i="1" s="1"/>
  <c r="CX113" i="1" s="1"/>
  <c r="CX264" i="1"/>
  <c r="CP209" i="1"/>
  <c r="AC109" i="1"/>
  <c r="AC199" i="1"/>
  <c r="AB41" i="1"/>
  <c r="CT159" i="1"/>
  <c r="CT207" i="1" s="1"/>
  <c r="AC155" i="1"/>
  <c r="CS168" i="1"/>
  <c r="CS207" i="1"/>
  <c r="CS209" i="1" s="1"/>
  <c r="CU45" i="1"/>
  <c r="CU40" i="1"/>
  <c r="CU41" i="1"/>
  <c r="CU243" i="1"/>
  <c r="CU244" i="1" s="1"/>
  <c r="CY109" i="1"/>
  <c r="CY110" i="1" s="1"/>
  <c r="CY113" i="1" s="1"/>
  <c r="CS42" i="1"/>
  <c r="CS40" i="1"/>
  <c r="CS45" i="1"/>
  <c r="CS243" i="1"/>
  <c r="CS244" i="1" s="1"/>
  <c r="CS41" i="1"/>
  <c r="AB168" i="1"/>
  <c r="AB193" i="1"/>
  <c r="AB207" i="1"/>
  <c r="AB209" i="1" s="1"/>
  <c r="AB71" i="1"/>
  <c r="AB45" i="1"/>
  <c r="AB123" i="1"/>
  <c r="AB40" i="1"/>
  <c r="CW27" i="1"/>
  <c r="CW26" i="1" s="1"/>
  <c r="CW163" i="1"/>
  <c r="CW155" i="1"/>
  <c r="CW157" i="1"/>
  <c r="CW156" i="1"/>
  <c r="CW164" i="1"/>
  <c r="CW37" i="1"/>
  <c r="CW34" i="1" s="1"/>
  <c r="CT167" i="1"/>
  <c r="AC163" i="1"/>
  <c r="AC167" i="1" s="1"/>
  <c r="CS123" i="1"/>
  <c r="CK256" i="1"/>
  <c r="CK238" i="1"/>
  <c r="CK245" i="1"/>
  <c r="CS237" i="1"/>
  <c r="CT30" i="1"/>
  <c r="CT29" i="1"/>
  <c r="CT39" i="1"/>
  <c r="AC22" i="1"/>
  <c r="AC27" i="1"/>
  <c r="AC69" i="1"/>
  <c r="CX242" i="1"/>
  <c r="CX21" i="1"/>
  <c r="CX23" i="1" s="1"/>
  <c r="CZ109" i="1"/>
  <c r="CZ110" i="1" s="1"/>
  <c r="CZ113" i="1" s="1"/>
  <c r="CY156" i="1"/>
  <c r="CY27" i="1"/>
  <c r="CY26" i="1" s="1"/>
  <c r="CY164" i="1"/>
  <c r="CY157" i="1"/>
  <c r="CY163" i="1"/>
  <c r="CY37" i="1"/>
  <c r="CY34" i="1" s="1"/>
  <c r="CY155" i="1"/>
  <c r="CU30" i="1"/>
  <c r="AD19" i="1"/>
  <c r="AD264" i="1" s="1"/>
  <c r="CU168" i="1" l="1"/>
  <c r="CY23" i="1"/>
  <c r="CX22" i="1"/>
  <c r="CZ164" i="1"/>
  <c r="CZ22" i="1"/>
  <c r="CZ23" i="1"/>
  <c r="CZ236" i="1"/>
  <c r="CV261" i="1"/>
  <c r="CV262" i="1" s="1"/>
  <c r="CV45" i="1"/>
  <c r="CV243" i="1"/>
  <c r="CV244" i="1" s="1"/>
  <c r="CV40" i="1"/>
  <c r="CV42" i="1"/>
  <c r="CV41" i="1"/>
  <c r="CZ37" i="1"/>
  <c r="CZ34" i="1" s="1"/>
  <c r="CZ155" i="1"/>
  <c r="CZ163" i="1"/>
  <c r="CZ167" i="1" s="1"/>
  <c r="CZ157" i="1"/>
  <c r="CZ156" i="1"/>
  <c r="CZ27" i="1"/>
  <c r="CV168" i="1"/>
  <c r="CV208" i="1"/>
  <c r="CV209" i="1" s="1"/>
  <c r="AC29" i="1"/>
  <c r="CU123" i="1"/>
  <c r="CT261" i="1"/>
  <c r="CT262" i="1" s="1"/>
  <c r="CU261" i="1"/>
  <c r="CU262" i="1" s="1"/>
  <c r="CW167" i="1"/>
  <c r="CW208" i="1" s="1"/>
  <c r="CX236" i="1"/>
  <c r="CY236" i="1"/>
  <c r="CU208" i="1"/>
  <c r="CT208" i="1"/>
  <c r="CT209" i="1" s="1"/>
  <c r="CK204" i="1"/>
  <c r="CK206" i="1" s="1"/>
  <c r="CK210" i="1" s="1"/>
  <c r="CK224" i="1" s="1"/>
  <c r="CK130" i="1"/>
  <c r="CV237" i="1"/>
  <c r="AC39" i="1"/>
  <c r="AC261" i="1" s="1"/>
  <c r="AC262" i="1" s="1"/>
  <c r="AC70" i="1"/>
  <c r="AC28" i="1"/>
  <c r="CW159" i="1"/>
  <c r="CT237" i="1"/>
  <c r="AC190" i="1"/>
  <c r="AC159" i="1"/>
  <c r="DA242" i="1"/>
  <c r="DA21" i="1"/>
  <c r="DA23" i="1" s="1"/>
  <c r="CT168" i="1"/>
  <c r="CU207" i="1"/>
  <c r="CY159" i="1"/>
  <c r="CY167" i="1"/>
  <c r="CX155" i="1"/>
  <c r="CX156" i="1"/>
  <c r="AD156" i="1" s="1"/>
  <c r="AD191" i="1" s="1"/>
  <c r="CX27" i="1"/>
  <c r="CY30" i="1" s="1"/>
  <c r="CX164" i="1"/>
  <c r="AD164" i="1" s="1"/>
  <c r="AD194" i="1" s="1"/>
  <c r="CX163" i="1"/>
  <c r="CX37" i="1"/>
  <c r="CX34" i="1" s="1"/>
  <c r="CX157" i="1"/>
  <c r="AD157" i="1" s="1"/>
  <c r="CT45" i="1"/>
  <c r="CT41" i="1"/>
  <c r="CT40" i="1"/>
  <c r="CT243" i="1"/>
  <c r="CT244" i="1" s="1"/>
  <c r="CT42" i="1"/>
  <c r="CW30" i="1"/>
  <c r="CW29" i="1"/>
  <c r="CW39" i="1"/>
  <c r="CU237" i="1"/>
  <c r="CU42" i="1"/>
  <c r="CY29" i="1"/>
  <c r="CY39" i="1"/>
  <c r="AD21" i="1"/>
  <c r="DA109" i="1"/>
  <c r="DA110" i="1" s="1"/>
  <c r="DA113" i="1" s="1"/>
  <c r="AC196" i="1"/>
  <c r="AC195" i="1" s="1"/>
  <c r="AC208" i="1"/>
  <c r="AB192" i="1"/>
  <c r="AB197" i="1"/>
  <c r="AB200" i="1" s="1"/>
  <c r="AB201" i="1" s="1"/>
  <c r="CT123" i="1"/>
  <c r="CV123" i="1"/>
  <c r="DA236" i="1" l="1"/>
  <c r="DA22" i="1"/>
  <c r="AD34" i="1"/>
  <c r="AD37" i="1" s="1"/>
  <c r="AD38" i="1" s="1"/>
  <c r="CZ159" i="1"/>
  <c r="CZ26" i="1"/>
  <c r="CZ29" i="1"/>
  <c r="CZ39" i="1"/>
  <c r="CZ30" i="1"/>
  <c r="CZ208" i="1"/>
  <c r="CW237" i="1"/>
  <c r="CW261" i="1"/>
  <c r="CW262" i="1" s="1"/>
  <c r="DB109" i="1"/>
  <c r="DB110" i="1" s="1"/>
  <c r="DB113" i="1" s="1"/>
  <c r="DB264" i="1"/>
  <c r="AD109" i="1"/>
  <c r="AD199" i="1"/>
  <c r="CU209" i="1"/>
  <c r="AC41" i="1"/>
  <c r="AD163" i="1"/>
  <c r="AD167" i="1" s="1"/>
  <c r="CX167" i="1"/>
  <c r="CY45" i="1"/>
  <c r="CY41" i="1"/>
  <c r="CY40" i="1"/>
  <c r="CY243" i="1"/>
  <c r="CY244" i="1" s="1"/>
  <c r="CY168" i="1"/>
  <c r="DA163" i="1"/>
  <c r="DA164" i="1"/>
  <c r="DA156" i="1"/>
  <c r="DA27" i="1"/>
  <c r="DA155" i="1"/>
  <c r="DA37" i="1"/>
  <c r="DA34" i="1" s="1"/>
  <c r="DA157" i="1"/>
  <c r="CK131" i="1"/>
  <c r="CX30" i="1"/>
  <c r="CX39" i="1"/>
  <c r="CY261" i="1" s="1"/>
  <c r="CY262" i="1" s="1"/>
  <c r="CX29" i="1"/>
  <c r="AC193" i="1"/>
  <c r="AC168" i="1"/>
  <c r="AC207" i="1"/>
  <c r="AC209" i="1" s="1"/>
  <c r="AC45" i="1"/>
  <c r="AC71" i="1"/>
  <c r="AC40" i="1"/>
  <c r="AC123" i="1"/>
  <c r="DB21" i="1"/>
  <c r="DB242" i="1"/>
  <c r="CW168" i="1"/>
  <c r="CW207" i="1"/>
  <c r="CW209" i="1" s="1"/>
  <c r="AD155" i="1"/>
  <c r="CX159" i="1"/>
  <c r="AD69" i="1"/>
  <c r="AD22" i="1"/>
  <c r="CW45" i="1"/>
  <c r="CW41" i="1"/>
  <c r="CW243" i="1"/>
  <c r="CW244" i="1" s="1"/>
  <c r="CW42" i="1"/>
  <c r="CW40" i="1"/>
  <c r="CW123" i="1"/>
  <c r="CX26" i="1"/>
  <c r="AD26" i="1" s="1"/>
  <c r="AD27" i="1" s="1"/>
  <c r="AE19" i="1"/>
  <c r="AE264" i="1" s="1"/>
  <c r="DB236" i="1" l="1"/>
  <c r="DB22" i="1"/>
  <c r="DB23" i="1"/>
  <c r="CK65" i="1"/>
  <c r="CK103" i="1"/>
  <c r="CZ207" i="1"/>
  <c r="CZ209" i="1" s="1"/>
  <c r="CZ168" i="1"/>
  <c r="CZ261" i="1"/>
  <c r="CZ262" i="1" s="1"/>
  <c r="CZ40" i="1"/>
  <c r="CZ243" i="1"/>
  <c r="CZ244" i="1" s="1"/>
  <c r="CZ42" i="1"/>
  <c r="CZ45" i="1"/>
  <c r="CZ41" i="1"/>
  <c r="AD29" i="1"/>
  <c r="CZ123" i="1"/>
  <c r="CX261" i="1"/>
  <c r="CX262" i="1" s="1"/>
  <c r="CY237" i="1"/>
  <c r="CY42" i="1"/>
  <c r="CZ237" i="1"/>
  <c r="CX237" i="1"/>
  <c r="CY123" i="1"/>
  <c r="CX123" i="1"/>
  <c r="DA159" i="1"/>
  <c r="DA207" i="1" s="1"/>
  <c r="AD28" i="1"/>
  <c r="AD70" i="1"/>
  <c r="AD39" i="1"/>
  <c r="AD261" i="1" s="1"/>
  <c r="AD262" i="1" s="1"/>
  <c r="CY207" i="1"/>
  <c r="CX168" i="1"/>
  <c r="CY208" i="1"/>
  <c r="CX208" i="1"/>
  <c r="AD196" i="1"/>
  <c r="AD195" i="1" s="1"/>
  <c r="AD208" i="1"/>
  <c r="CG100" i="1"/>
  <c r="DA30" i="1"/>
  <c r="DA29" i="1"/>
  <c r="DA39" i="1"/>
  <c r="DA261" i="1" s="1"/>
  <c r="DA262" i="1" s="1"/>
  <c r="CX207" i="1"/>
  <c r="CX45" i="1"/>
  <c r="CX41" i="1"/>
  <c r="CX40" i="1"/>
  <c r="CX243" i="1"/>
  <c r="CX244" i="1" s="1"/>
  <c r="CX42" i="1"/>
  <c r="AD190" i="1"/>
  <c r="AD159" i="1"/>
  <c r="CK218" i="1"/>
  <c r="CK216" i="1" s="1"/>
  <c r="CK221" i="1" s="1"/>
  <c r="CK140" i="1"/>
  <c r="CK66" i="1" s="1"/>
  <c r="AC192" i="1"/>
  <c r="AC197" i="1"/>
  <c r="AC200" i="1" s="1"/>
  <c r="AC201" i="1" s="1"/>
  <c r="DA26" i="1"/>
  <c r="DB156" i="1"/>
  <c r="AE156" i="1" s="1"/>
  <c r="AE191" i="1" s="1"/>
  <c r="DB27" i="1"/>
  <c r="DB26" i="1" s="1"/>
  <c r="DB155" i="1"/>
  <c r="DB37" i="1"/>
  <c r="DB34" i="1" s="1"/>
  <c r="DB164" i="1"/>
  <c r="AE164" i="1" s="1"/>
  <c r="AE194" i="1" s="1"/>
  <c r="DB157" i="1"/>
  <c r="AE157" i="1" s="1"/>
  <c r="DB163" i="1"/>
  <c r="AE21" i="1"/>
  <c r="DA167" i="1"/>
  <c r="CK105" i="1" l="1"/>
  <c r="CK106" i="1"/>
  <c r="CK107" i="1"/>
  <c r="AE34" i="1"/>
  <c r="AE37" i="1" s="1"/>
  <c r="AE38" i="1" s="1"/>
  <c r="AE109" i="1"/>
  <c r="AE199" i="1"/>
  <c r="AD41" i="1"/>
  <c r="DA168" i="1"/>
  <c r="CK171" i="1"/>
  <c r="CK172" i="1" s="1"/>
  <c r="DB30" i="1"/>
  <c r="DB39" i="1"/>
  <c r="DB261" i="1" s="1"/>
  <c r="DB262" i="1" s="1"/>
  <c r="DB29" i="1"/>
  <c r="CX209" i="1"/>
  <c r="CY209" i="1"/>
  <c r="AD168" i="1"/>
  <c r="AD193" i="1"/>
  <c r="AD207" i="1"/>
  <c r="AD209" i="1" s="1"/>
  <c r="DB159" i="1"/>
  <c r="AE155" i="1"/>
  <c r="DA45" i="1"/>
  <c r="DA40" i="1"/>
  <c r="DA41" i="1"/>
  <c r="DA42" i="1"/>
  <c r="DA243" i="1"/>
  <c r="DA244" i="1" s="1"/>
  <c r="AD45" i="1"/>
  <c r="AD40" i="1"/>
  <c r="AD123" i="1"/>
  <c r="AD71" i="1"/>
  <c r="AE22" i="1"/>
  <c r="AE69" i="1"/>
  <c r="AE26" i="1"/>
  <c r="AE27" i="1" s="1"/>
  <c r="AE29" i="1" s="1"/>
  <c r="DA123" i="1"/>
  <c r="DA237" i="1"/>
  <c r="AE163" i="1"/>
  <c r="AE167" i="1" s="1"/>
  <c r="DB167" i="1"/>
  <c r="DB208" i="1" s="1"/>
  <c r="DA208" i="1"/>
  <c r="DA209" i="1" s="1"/>
  <c r="CK222" i="1" l="1"/>
  <c r="CK259" i="1"/>
  <c r="CK255" i="1"/>
  <c r="CK257" i="1"/>
  <c r="AE39" i="1"/>
  <c r="AE28" i="1"/>
  <c r="AE70" i="1"/>
  <c r="DB45" i="1"/>
  <c r="DB42" i="1"/>
  <c r="DB243" i="1"/>
  <c r="DB244" i="1" s="1"/>
  <c r="DB40" i="1"/>
  <c r="DB41" i="1"/>
  <c r="DB123" i="1"/>
  <c r="AD197" i="1"/>
  <c r="AD200" i="1" s="1"/>
  <c r="AD201" i="1" s="1"/>
  <c r="AD192" i="1"/>
  <c r="AE159" i="1"/>
  <c r="AE190" i="1"/>
  <c r="CK176" i="1"/>
  <c r="CL220" i="1"/>
  <c r="CK179" i="1"/>
  <c r="DB168" i="1"/>
  <c r="DB207" i="1"/>
  <c r="DB209" i="1" s="1"/>
  <c r="AE196" i="1"/>
  <c r="AE195" i="1" s="1"/>
  <c r="AE208" i="1"/>
  <c r="DB237" i="1"/>
  <c r="CK120" i="1" l="1"/>
  <c r="CL48" i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AE41" i="1"/>
  <c r="AE261" i="1"/>
  <c r="AE262" i="1" s="1"/>
  <c r="CK177" i="1"/>
  <c r="CL263" i="1"/>
  <c r="AE168" i="1"/>
  <c r="AE193" i="1"/>
  <c r="AE207" i="1"/>
  <c r="AE209" i="1" s="1"/>
  <c r="AE45" i="1"/>
  <c r="AE40" i="1"/>
  <c r="AE71" i="1"/>
  <c r="AE123" i="1"/>
  <c r="CK121" i="1" l="1"/>
  <c r="CK124" i="1" s="1"/>
  <c r="CK122" i="1"/>
  <c r="CK125" i="1" s="1"/>
  <c r="AE197" i="1"/>
  <c r="AE200" i="1" s="1"/>
  <c r="AE201" i="1" s="1"/>
  <c r="AE192" i="1"/>
  <c r="CL256" i="1" l="1"/>
  <c r="CL245" i="1"/>
  <c r="CL238" i="1"/>
  <c r="CL204" i="1" l="1"/>
  <c r="CL206" i="1" s="1"/>
  <c r="CL210" i="1" s="1"/>
  <c r="CL224" i="1" s="1"/>
  <c r="CL65" i="1" l="1"/>
  <c r="CL103" i="1"/>
  <c r="CN98" i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CL218" i="1"/>
  <c r="CL216" i="1" s="1"/>
  <c r="CL221" i="1" s="1"/>
  <c r="CL66" i="1"/>
  <c r="CH100" i="1"/>
  <c r="CL107" i="1" l="1"/>
  <c r="CM107" i="1" s="1"/>
  <c r="CN107" i="1" s="1"/>
  <c r="CO107" i="1" s="1"/>
  <c r="CP107" i="1" s="1"/>
  <c r="CQ107" i="1" s="1"/>
  <c r="CR107" i="1" s="1"/>
  <c r="CS107" i="1" s="1"/>
  <c r="CT107" i="1" s="1"/>
  <c r="CU107" i="1" s="1"/>
  <c r="CV107" i="1" s="1"/>
  <c r="CW107" i="1" s="1"/>
  <c r="CX107" i="1" s="1"/>
  <c r="CY107" i="1" s="1"/>
  <c r="CZ107" i="1" s="1"/>
  <c r="DA107" i="1" s="1"/>
  <c r="DB107" i="1" s="1"/>
  <c r="CL105" i="1"/>
  <c r="CL106" i="1"/>
  <c r="CM106" i="1" s="1"/>
  <c r="CN106" i="1" s="1"/>
  <c r="CO106" i="1" s="1"/>
  <c r="CP106" i="1" s="1"/>
  <c r="CQ106" i="1" s="1"/>
  <c r="CR106" i="1" s="1"/>
  <c r="CS106" i="1" s="1"/>
  <c r="CT106" i="1" s="1"/>
  <c r="CU106" i="1" s="1"/>
  <c r="CV106" i="1" s="1"/>
  <c r="CW106" i="1" s="1"/>
  <c r="CX106" i="1" s="1"/>
  <c r="CY106" i="1" s="1"/>
  <c r="CZ106" i="1" s="1"/>
  <c r="DA106" i="1" s="1"/>
  <c r="DB106" i="1" s="1"/>
  <c r="CN97" i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CL257" i="1" l="1"/>
  <c r="CL255" i="1"/>
  <c r="CL259" i="1"/>
  <c r="CM220" i="1"/>
  <c r="CL120" i="1"/>
  <c r="CL222" i="1"/>
  <c r="AB220" i="1"/>
  <c r="CL121" i="1" l="1"/>
  <c r="CL124" i="1" s="1"/>
  <c r="CL122" i="1"/>
  <c r="CL125" i="1" s="1"/>
  <c r="CM47" i="1"/>
  <c r="CM263" i="1" s="1"/>
  <c r="CM49" i="1" l="1"/>
  <c r="CM50" i="1" l="1"/>
  <c r="CM52" i="1" l="1"/>
  <c r="CM54" i="1" l="1"/>
  <c r="CM55" i="1"/>
  <c r="CM245" i="1"/>
  <c r="CM59" i="1"/>
  <c r="CM53" i="1"/>
  <c r="CM256" i="1" s="1"/>
  <c r="CM238" i="1"/>
  <c r="CM204" i="1" l="1"/>
  <c r="CM206" i="1" s="1"/>
  <c r="CM210" i="1" s="1"/>
  <c r="CM224" i="1" s="1"/>
  <c r="CM77" i="1"/>
  <c r="CM130" i="1"/>
  <c r="CM131" i="1" l="1"/>
  <c r="CM80" i="1"/>
  <c r="CM81" i="1" l="1"/>
  <c r="CM89" i="1"/>
  <c r="CI100" i="1"/>
  <c r="CM96" i="1"/>
  <c r="CM90" i="1"/>
  <c r="CM140" i="1"/>
  <c r="CM66" i="1" s="1"/>
  <c r="CM103" i="1"/>
  <c r="CM105" i="1" s="1"/>
  <c r="CM218" i="1"/>
  <c r="CM216" i="1" s="1"/>
  <c r="CM221" i="1" s="1"/>
  <c r="CM65" i="1"/>
  <c r="CM171" i="1" l="1"/>
  <c r="CM172" i="1" s="1"/>
  <c r="CM93" i="1"/>
  <c r="CM119" i="1"/>
  <c r="CM92" i="1"/>
  <c r="CM118" i="1"/>
  <c r="CM222" i="1" l="1"/>
  <c r="CM259" i="1"/>
  <c r="CM257" i="1"/>
  <c r="CM255" i="1"/>
  <c r="CN220" i="1"/>
  <c r="CM176" i="1"/>
  <c r="CM179" i="1"/>
  <c r="CM177" i="1" l="1"/>
  <c r="CN47" i="1"/>
  <c r="CN263" i="1" s="1"/>
  <c r="CM120" i="1"/>
  <c r="CM121" i="1" l="1"/>
  <c r="CM124" i="1" s="1"/>
  <c r="CM122" i="1"/>
  <c r="CM125" i="1" s="1"/>
  <c r="CN49" i="1"/>
  <c r="CN50" i="1" l="1"/>
  <c r="CN52" i="1" s="1"/>
  <c r="CN54" i="1" l="1"/>
  <c r="CN55" i="1"/>
  <c r="CN59" i="1"/>
  <c r="CN245" i="1"/>
  <c r="CN53" i="1"/>
  <c r="CN256" i="1" s="1"/>
  <c r="CN238" i="1"/>
  <c r="CN77" i="1" l="1"/>
  <c r="CN204" i="1"/>
  <c r="CN206" i="1" s="1"/>
  <c r="CN210" i="1" s="1"/>
  <c r="CN224" i="1" s="1"/>
  <c r="CN130" i="1"/>
  <c r="CN80" i="1" l="1"/>
  <c r="CN131" i="1"/>
  <c r="CN81" i="1" l="1"/>
  <c r="CN140" i="1"/>
  <c r="CN66" i="1" s="1"/>
  <c r="CN218" i="1"/>
  <c r="CN216" i="1" s="1"/>
  <c r="CN221" i="1" s="1"/>
  <c r="CN103" i="1"/>
  <c r="CN105" i="1" s="1"/>
  <c r="CN65" i="1"/>
  <c r="CN96" i="1"/>
  <c r="CN89" i="1"/>
  <c r="CN90" i="1"/>
  <c r="CJ100" i="1"/>
  <c r="CN92" i="1" l="1"/>
  <c r="CN118" i="1"/>
  <c r="CN171" i="1"/>
  <c r="CN172" i="1" s="1"/>
  <c r="CN119" i="1"/>
  <c r="CN93" i="1"/>
  <c r="CN222" i="1" l="1"/>
  <c r="CN259" i="1"/>
  <c r="CN257" i="1"/>
  <c r="CN255" i="1"/>
  <c r="CN176" i="1"/>
  <c r="CN179" i="1"/>
  <c r="CO220" i="1"/>
  <c r="CN177" i="1" l="1"/>
  <c r="CO47" i="1"/>
  <c r="CO263" i="1" s="1"/>
  <c r="CN120" i="1"/>
  <c r="CO49" i="1" l="1"/>
  <c r="CN122" i="1"/>
  <c r="CN125" i="1" s="1"/>
  <c r="CN121" i="1"/>
  <c r="CN124" i="1" s="1"/>
  <c r="CO50" i="1" l="1"/>
  <c r="CO52" i="1" l="1"/>
  <c r="CO53" i="1" l="1"/>
  <c r="CO256" i="1" s="1"/>
  <c r="CO55" i="1"/>
  <c r="CO54" i="1"/>
  <c r="CO245" i="1"/>
  <c r="CO59" i="1"/>
  <c r="CO238" i="1"/>
  <c r="CO77" i="1" l="1"/>
  <c r="CO204" i="1"/>
  <c r="CO206" i="1" s="1"/>
  <c r="CO210" i="1" s="1"/>
  <c r="CO224" i="1" s="1"/>
  <c r="CO130" i="1"/>
  <c r="CO131" i="1" l="1"/>
  <c r="CO80" i="1"/>
  <c r="CK100" i="1" s="1"/>
  <c r="CO81" i="1" l="1"/>
  <c r="CO90" i="1"/>
  <c r="CO96" i="1"/>
  <c r="CO89" i="1"/>
  <c r="CO103" i="1"/>
  <c r="CO105" i="1" s="1"/>
  <c r="CO218" i="1"/>
  <c r="CO216" i="1" s="1"/>
  <c r="CO221" i="1" s="1"/>
  <c r="CO140" i="1"/>
  <c r="CO66" i="1" s="1"/>
  <c r="CO65" i="1"/>
  <c r="CO171" i="1" l="1"/>
  <c r="CO172" i="1" s="1"/>
  <c r="CO92" i="1"/>
  <c r="CO118" i="1"/>
  <c r="CO119" i="1"/>
  <c r="CO93" i="1"/>
  <c r="CO222" i="1" l="1"/>
  <c r="CO257" i="1"/>
  <c r="CO255" i="1"/>
  <c r="CO259" i="1"/>
  <c r="CO176" i="1"/>
  <c r="CO179" i="1"/>
  <c r="CP220" i="1"/>
  <c r="CP47" i="1" l="1"/>
  <c r="CP263" i="1" s="1"/>
  <c r="CO120" i="1"/>
  <c r="CO177" i="1"/>
  <c r="CO122" i="1" l="1"/>
  <c r="CO125" i="1" s="1"/>
  <c r="CO121" i="1"/>
  <c r="CO124" i="1" s="1"/>
  <c r="CP49" i="1"/>
  <c r="AB47" i="1"/>
  <c r="AB48" i="1" l="1"/>
  <c r="AB263" i="1"/>
  <c r="AB49" i="1"/>
  <c r="CP50" i="1"/>
  <c r="AB50" i="1" s="1"/>
  <c r="AB51" i="1" l="1"/>
  <c r="CP52" i="1"/>
  <c r="CP53" i="1" s="1"/>
  <c r="CP256" i="1" s="1"/>
  <c r="AB52" i="1"/>
  <c r="CP54" i="1" l="1"/>
  <c r="CP238" i="1"/>
  <c r="CP245" i="1"/>
  <c r="CP59" i="1"/>
  <c r="CP130" i="1" s="1"/>
  <c r="CP55" i="1"/>
  <c r="AB54" i="1"/>
  <c r="AB59" i="1"/>
  <c r="AB53" i="1"/>
  <c r="AB256" i="1" s="1"/>
  <c r="AB72" i="1"/>
  <c r="CP204" i="1" l="1"/>
  <c r="CP206" i="1" s="1"/>
  <c r="CP210" i="1" s="1"/>
  <c r="CP224" i="1" s="1"/>
  <c r="CP77" i="1"/>
  <c r="CP80" i="1" s="1"/>
  <c r="CL100" i="1" s="1"/>
  <c r="AB130" i="1"/>
  <c r="AB131" i="1" s="1"/>
  <c r="AB65" i="1" s="1"/>
  <c r="CP131" i="1"/>
  <c r="AB62" i="1"/>
  <c r="AB63" i="1" s="1"/>
  <c r="AB204" i="1"/>
  <c r="AB206" i="1" s="1"/>
  <c r="AB210" i="1" s="1"/>
  <c r="AB224" i="1" s="1"/>
  <c r="CP81" i="1" l="1"/>
  <c r="AB140" i="1"/>
  <c r="AB66" i="1" s="1"/>
  <c r="AB186" i="1"/>
  <c r="AB218" i="1"/>
  <c r="AB216" i="1" s="1"/>
  <c r="AB221" i="1" s="1"/>
  <c r="CP89" i="1"/>
  <c r="CP96" i="1"/>
  <c r="CP90" i="1"/>
  <c r="CP218" i="1"/>
  <c r="CP216" i="1" s="1"/>
  <c r="CP221" i="1" s="1"/>
  <c r="CP140" i="1"/>
  <c r="CP66" i="1" s="1"/>
  <c r="CP103" i="1"/>
  <c r="CP105" i="1" s="1"/>
  <c r="CP65" i="1"/>
  <c r="CP171" i="1" l="1"/>
  <c r="CP92" i="1"/>
  <c r="CP118" i="1"/>
  <c r="AB89" i="1"/>
  <c r="CP119" i="1"/>
  <c r="CP93" i="1"/>
  <c r="AB90" i="1"/>
  <c r="AB93" i="1" l="1"/>
  <c r="CP172" i="1"/>
  <c r="AB171" i="1"/>
  <c r="AB172" i="1" s="1"/>
  <c r="AB92" i="1"/>
  <c r="AB259" i="1" l="1"/>
  <c r="AB257" i="1"/>
  <c r="AB255" i="1"/>
  <c r="CP257" i="1"/>
  <c r="CP255" i="1"/>
  <c r="CP259" i="1"/>
  <c r="CP176" i="1"/>
  <c r="CQ220" i="1"/>
  <c r="CP179" i="1"/>
  <c r="CP222" i="1"/>
  <c r="AB179" i="1"/>
  <c r="AB120" i="1" s="1"/>
  <c r="AB176" i="1"/>
  <c r="AC220" i="1"/>
  <c r="AB222" i="1"/>
  <c r="AB177" i="1" l="1"/>
  <c r="CP120" i="1"/>
  <c r="CQ47" i="1"/>
  <c r="CQ263" i="1" s="1"/>
  <c r="CP177" i="1"/>
  <c r="CQ49" i="1" l="1"/>
  <c r="CP121" i="1"/>
  <c r="CP124" i="1" s="1"/>
  <c r="CP122" i="1"/>
  <c r="CP125" i="1" s="1"/>
  <c r="CQ50" i="1" l="1"/>
  <c r="CQ52" i="1" s="1"/>
  <c r="CQ59" i="1" l="1"/>
  <c r="CQ53" i="1"/>
  <c r="CQ256" i="1" s="1"/>
  <c r="CQ54" i="1"/>
  <c r="CQ55" i="1"/>
  <c r="CQ245" i="1"/>
  <c r="CQ238" i="1"/>
  <c r="CQ77" i="1" l="1"/>
  <c r="CQ204" i="1"/>
  <c r="CQ206" i="1" s="1"/>
  <c r="CQ210" i="1" s="1"/>
  <c r="CQ224" i="1" s="1"/>
  <c r="CQ130" i="1"/>
  <c r="CQ131" i="1" l="1"/>
  <c r="CQ80" i="1"/>
  <c r="CQ81" i="1" l="1"/>
  <c r="CQ90" i="1"/>
  <c r="CQ89" i="1"/>
  <c r="CQ96" i="1"/>
  <c r="CQ140" i="1"/>
  <c r="CQ66" i="1" s="1"/>
  <c r="CQ218" i="1"/>
  <c r="CQ216" i="1" s="1"/>
  <c r="CQ221" i="1" s="1"/>
  <c r="CQ103" i="1"/>
  <c r="CQ105" i="1" s="1"/>
  <c r="CQ65" i="1"/>
  <c r="CQ171" i="1" l="1"/>
  <c r="CQ172" i="1" s="1"/>
  <c r="CQ222" i="1" s="1"/>
  <c r="CQ118" i="1"/>
  <c r="CQ92" i="1"/>
  <c r="CQ119" i="1"/>
  <c r="CQ93" i="1"/>
  <c r="CQ259" i="1" l="1"/>
  <c r="CQ257" i="1"/>
  <c r="CQ255" i="1"/>
  <c r="CQ179" i="1"/>
  <c r="CR220" i="1"/>
  <c r="CQ176" i="1"/>
  <c r="CQ177" i="1" l="1"/>
  <c r="CQ120" i="1"/>
  <c r="CR47" i="1"/>
  <c r="CR263" i="1" s="1"/>
  <c r="CR49" i="1" l="1"/>
  <c r="CQ121" i="1"/>
  <c r="CQ124" i="1" s="1"/>
  <c r="CQ122" i="1"/>
  <c r="CQ125" i="1" s="1"/>
  <c r="CR50" i="1" l="1"/>
  <c r="CR52" i="1" s="1"/>
  <c r="CR245" i="1" l="1"/>
  <c r="CR53" i="1"/>
  <c r="CR256" i="1" s="1"/>
  <c r="CR59" i="1"/>
  <c r="CR54" i="1"/>
  <c r="CR55" i="1"/>
  <c r="CR238" i="1"/>
  <c r="CR77" i="1" l="1"/>
  <c r="CR204" i="1"/>
  <c r="CR206" i="1" s="1"/>
  <c r="CR210" i="1" s="1"/>
  <c r="CR224" i="1" s="1"/>
  <c r="CR130" i="1"/>
  <c r="CR131" i="1" l="1"/>
  <c r="CR80" i="1"/>
  <c r="CR81" i="1" l="1"/>
  <c r="CR96" i="1"/>
  <c r="CR89" i="1"/>
  <c r="CR90" i="1"/>
  <c r="CR140" i="1"/>
  <c r="CR66" i="1" s="1"/>
  <c r="CR218" i="1"/>
  <c r="CR216" i="1" s="1"/>
  <c r="CR221" i="1" s="1"/>
  <c r="CR103" i="1"/>
  <c r="CR105" i="1" s="1"/>
  <c r="CR65" i="1"/>
  <c r="CR171" i="1" l="1"/>
  <c r="CR172" i="1" s="1"/>
  <c r="CR119" i="1"/>
  <c r="CR93" i="1"/>
  <c r="CR118" i="1"/>
  <c r="CR92" i="1"/>
  <c r="CR259" i="1" l="1"/>
  <c r="CR257" i="1"/>
  <c r="CR255" i="1"/>
  <c r="CS220" i="1"/>
  <c r="CR179" i="1"/>
  <c r="CR176" i="1"/>
  <c r="CR222" i="1"/>
  <c r="CR177" i="1" l="1"/>
  <c r="CR120" i="1"/>
  <c r="CS47" i="1"/>
  <c r="CS263" i="1" s="1"/>
  <c r="CS49" i="1" l="1"/>
  <c r="CR121" i="1"/>
  <c r="CR124" i="1" s="1"/>
  <c r="CR122" i="1"/>
  <c r="CR125" i="1" s="1"/>
  <c r="CS50" i="1" l="1"/>
  <c r="CS52" i="1" l="1"/>
  <c r="CS59" i="1" l="1"/>
  <c r="CS55" i="1"/>
  <c r="CS245" i="1"/>
  <c r="CS54" i="1"/>
  <c r="CS53" i="1"/>
  <c r="CS256" i="1" s="1"/>
  <c r="CS238" i="1"/>
  <c r="CS77" i="1" l="1"/>
  <c r="CS204" i="1"/>
  <c r="CS206" i="1" s="1"/>
  <c r="CS210" i="1" s="1"/>
  <c r="CS224" i="1" s="1"/>
  <c r="CS130" i="1"/>
  <c r="CS131" i="1" l="1"/>
  <c r="CS80" i="1"/>
  <c r="CS81" i="1" l="1"/>
  <c r="CS89" i="1"/>
  <c r="CS90" i="1"/>
  <c r="CS96" i="1"/>
  <c r="CS140" i="1"/>
  <c r="CS66" i="1" s="1"/>
  <c r="CS103" i="1"/>
  <c r="CS105" i="1" s="1"/>
  <c r="CS218" i="1"/>
  <c r="CS216" i="1" s="1"/>
  <c r="CS221" i="1" s="1"/>
  <c r="CS65" i="1"/>
  <c r="CS171" i="1" l="1"/>
  <c r="CS172" i="1" s="1"/>
  <c r="CS119" i="1"/>
  <c r="CS93" i="1"/>
  <c r="CS118" i="1"/>
  <c r="CS92" i="1"/>
  <c r="CS257" i="1" l="1"/>
  <c r="CS259" i="1"/>
  <c r="CS255" i="1"/>
  <c r="CT220" i="1"/>
  <c r="CS176" i="1"/>
  <c r="CS179" i="1"/>
  <c r="CS222" i="1"/>
  <c r="CT47" i="1" l="1"/>
  <c r="CT263" i="1" s="1"/>
  <c r="CS120" i="1"/>
  <c r="CS177" i="1"/>
  <c r="CS122" i="1" l="1"/>
  <c r="CS125" i="1" s="1"/>
  <c r="CS121" i="1"/>
  <c r="CS124" i="1" s="1"/>
  <c r="CT49" i="1"/>
  <c r="AC47" i="1"/>
  <c r="AC48" i="1" l="1"/>
  <c r="AC263" i="1"/>
  <c r="AC49" i="1"/>
  <c r="CT50" i="1"/>
  <c r="AC50" i="1" s="1"/>
  <c r="AC51" i="1" l="1"/>
  <c r="CT52" i="1"/>
  <c r="CT55" i="1" s="1"/>
  <c r="AC52" i="1"/>
  <c r="CT54" i="1" l="1"/>
  <c r="CT59" i="1"/>
  <c r="CT245" i="1"/>
  <c r="CT238" i="1"/>
  <c r="CT53" i="1"/>
  <c r="CT256" i="1" s="1"/>
  <c r="AC54" i="1"/>
  <c r="AC53" i="1"/>
  <c r="AC256" i="1" s="1"/>
  <c r="AC72" i="1"/>
  <c r="AC59" i="1"/>
  <c r="CT130" i="1" l="1"/>
  <c r="CT77" i="1"/>
  <c r="CT80" i="1" s="1"/>
  <c r="CT204" i="1"/>
  <c r="CT206" i="1" s="1"/>
  <c r="CT210" i="1" s="1"/>
  <c r="CT224" i="1" s="1"/>
  <c r="AC62" i="1"/>
  <c r="AC63" i="1" s="1"/>
  <c r="AC204" i="1"/>
  <c r="AC206" i="1" s="1"/>
  <c r="AC210" i="1" s="1"/>
  <c r="AC224" i="1" s="1"/>
  <c r="CT131" i="1" l="1"/>
  <c r="AC130" i="1"/>
  <c r="AC131" i="1" s="1"/>
  <c r="AC140" i="1" s="1"/>
  <c r="AC66" i="1" s="1"/>
  <c r="CT81" i="1"/>
  <c r="CT96" i="1"/>
  <c r="CT89" i="1"/>
  <c r="CT90" i="1"/>
  <c r="CT140" i="1" l="1"/>
  <c r="CT66" i="1" s="1"/>
  <c r="CT103" i="1"/>
  <c r="CT105" i="1" s="1"/>
  <c r="CT218" i="1"/>
  <c r="CT216" i="1" s="1"/>
  <c r="CT221" i="1" s="1"/>
  <c r="CT171" i="1" s="1"/>
  <c r="CT65" i="1"/>
  <c r="AC65" i="1"/>
  <c r="AC218" i="1"/>
  <c r="AC216" i="1" s="1"/>
  <c r="AC221" i="1" s="1"/>
  <c r="AC186" i="1"/>
  <c r="CT118" i="1"/>
  <c r="CT92" i="1"/>
  <c r="AC89" i="1"/>
  <c r="CT119" i="1"/>
  <c r="CT93" i="1"/>
  <c r="AC90" i="1"/>
  <c r="AC92" i="1" l="1"/>
  <c r="CT172" i="1"/>
  <c r="AC171" i="1"/>
  <c r="AC172" i="1" s="1"/>
  <c r="AC93" i="1"/>
  <c r="CT257" i="1" l="1"/>
  <c r="CT259" i="1"/>
  <c r="CT255" i="1"/>
  <c r="AC259" i="1"/>
  <c r="AC257" i="1"/>
  <c r="AC255" i="1"/>
  <c r="CU220" i="1"/>
  <c r="CT176" i="1"/>
  <c r="CT179" i="1"/>
  <c r="CT222" i="1"/>
  <c r="AD220" i="1"/>
  <c r="AC179" i="1"/>
  <c r="AC120" i="1" s="1"/>
  <c r="AC176" i="1"/>
  <c r="AC222" i="1"/>
  <c r="AC177" i="1" l="1"/>
  <c r="CT177" i="1"/>
  <c r="CT120" i="1"/>
  <c r="CU47" i="1"/>
  <c r="CU263" i="1" s="1"/>
  <c r="CU49" i="1" l="1"/>
  <c r="CT121" i="1"/>
  <c r="CT124" i="1" s="1"/>
  <c r="CT122" i="1"/>
  <c r="CT125" i="1" s="1"/>
  <c r="CU50" i="1" l="1"/>
  <c r="CU52" i="1" s="1"/>
  <c r="CU53" i="1" l="1"/>
  <c r="CU256" i="1" s="1"/>
  <c r="CU54" i="1"/>
  <c r="CU55" i="1"/>
  <c r="CU59" i="1"/>
  <c r="CU245" i="1"/>
  <c r="CU238" i="1"/>
  <c r="CU204" i="1" l="1"/>
  <c r="CU206" i="1" s="1"/>
  <c r="CU210" i="1" s="1"/>
  <c r="CU224" i="1" s="1"/>
  <c r="CU77" i="1"/>
  <c r="CU130" i="1"/>
  <c r="CU131" i="1" l="1"/>
  <c r="CU80" i="1"/>
  <c r="CU81" i="1" l="1"/>
  <c r="CU96" i="1"/>
  <c r="CU90" i="1"/>
  <c r="CU89" i="1"/>
  <c r="CU140" i="1"/>
  <c r="CU66" i="1" s="1"/>
  <c r="CU218" i="1"/>
  <c r="CU216" i="1" s="1"/>
  <c r="CU221" i="1" s="1"/>
  <c r="CU103" i="1"/>
  <c r="CU105" i="1" s="1"/>
  <c r="CU65" i="1"/>
  <c r="CU171" i="1" l="1"/>
  <c r="CU172" i="1" s="1"/>
  <c r="CU118" i="1"/>
  <c r="CU92" i="1"/>
  <c r="CU119" i="1"/>
  <c r="CU93" i="1"/>
  <c r="CU259" i="1" l="1"/>
  <c r="CU255" i="1"/>
  <c r="CU257" i="1"/>
  <c r="CU176" i="1"/>
  <c r="CU179" i="1"/>
  <c r="CV220" i="1"/>
  <c r="CU222" i="1"/>
  <c r="CU177" i="1" l="1"/>
  <c r="CV47" i="1"/>
  <c r="CV263" i="1" s="1"/>
  <c r="CU120" i="1"/>
  <c r="CU121" i="1" l="1"/>
  <c r="CU124" i="1" s="1"/>
  <c r="CU122" i="1"/>
  <c r="CU125" i="1" s="1"/>
  <c r="CV49" i="1"/>
  <c r="CV50" i="1" l="1"/>
  <c r="CV52" i="1" l="1"/>
  <c r="CV59" i="1" l="1"/>
  <c r="CV245" i="1"/>
  <c r="CV53" i="1"/>
  <c r="CV256" i="1" s="1"/>
  <c r="CV55" i="1"/>
  <c r="CV54" i="1"/>
  <c r="CV238" i="1"/>
  <c r="CV204" i="1" l="1"/>
  <c r="CV206" i="1" s="1"/>
  <c r="CV210" i="1" s="1"/>
  <c r="CV224" i="1" s="1"/>
  <c r="CV77" i="1"/>
  <c r="CV130" i="1"/>
  <c r="CV131" i="1" l="1"/>
  <c r="CV80" i="1"/>
  <c r="CV81" i="1" l="1"/>
  <c r="CV89" i="1"/>
  <c r="CV90" i="1"/>
  <c r="CV96" i="1"/>
  <c r="CV103" i="1"/>
  <c r="CV105" i="1" s="1"/>
  <c r="CV140" i="1"/>
  <c r="CV66" i="1" s="1"/>
  <c r="CV218" i="1"/>
  <c r="CV216" i="1" s="1"/>
  <c r="CV221" i="1" s="1"/>
  <c r="CV65" i="1"/>
  <c r="CV171" i="1" l="1"/>
  <c r="CV172" i="1" s="1"/>
  <c r="CV119" i="1"/>
  <c r="CV93" i="1"/>
  <c r="CV118" i="1"/>
  <c r="CV92" i="1"/>
  <c r="CV257" i="1" l="1"/>
  <c r="CV255" i="1"/>
  <c r="CV259" i="1"/>
  <c r="CV179" i="1"/>
  <c r="CW220" i="1"/>
  <c r="CV176" i="1"/>
  <c r="CV222" i="1"/>
  <c r="CV177" i="1" l="1"/>
  <c r="CV120" i="1"/>
  <c r="CW47" i="1"/>
  <c r="CW263" i="1" s="1"/>
  <c r="CW49" i="1" l="1"/>
  <c r="CV122" i="1"/>
  <c r="CV125" i="1" s="1"/>
  <c r="CV121" i="1"/>
  <c r="CV124" i="1" s="1"/>
  <c r="CW50" i="1" l="1"/>
  <c r="CW52" i="1" l="1"/>
  <c r="CW53" i="1" l="1"/>
  <c r="CW256" i="1" s="1"/>
  <c r="CW55" i="1"/>
  <c r="CW59" i="1"/>
  <c r="CW54" i="1"/>
  <c r="CW245" i="1"/>
  <c r="CW238" i="1"/>
  <c r="CW204" i="1" l="1"/>
  <c r="CW206" i="1" s="1"/>
  <c r="CW210" i="1" s="1"/>
  <c r="CW224" i="1" s="1"/>
  <c r="CW77" i="1"/>
  <c r="CW130" i="1"/>
  <c r="CW131" i="1" l="1"/>
  <c r="CW80" i="1"/>
  <c r="CW81" i="1" l="1"/>
  <c r="CW96" i="1"/>
  <c r="CW90" i="1"/>
  <c r="CW89" i="1"/>
  <c r="CW218" i="1"/>
  <c r="CW216" i="1" s="1"/>
  <c r="CW221" i="1" s="1"/>
  <c r="CW140" i="1"/>
  <c r="CW66" i="1" s="1"/>
  <c r="CW103" i="1"/>
  <c r="CW105" i="1" s="1"/>
  <c r="CW65" i="1"/>
  <c r="CW171" i="1" l="1"/>
  <c r="CW172" i="1" s="1"/>
  <c r="CW118" i="1"/>
  <c r="CW92" i="1"/>
  <c r="CW119" i="1"/>
  <c r="CW93" i="1"/>
  <c r="CW257" i="1" l="1"/>
  <c r="CW255" i="1"/>
  <c r="CW259" i="1"/>
  <c r="CW176" i="1"/>
  <c r="CX220" i="1"/>
  <c r="CW179" i="1"/>
  <c r="CW222" i="1"/>
  <c r="CX47" i="1" l="1"/>
  <c r="CX263" i="1" s="1"/>
  <c r="CW120" i="1"/>
  <c r="CW177" i="1"/>
  <c r="CW121" i="1" l="1"/>
  <c r="CW124" i="1" s="1"/>
  <c r="CW122" i="1"/>
  <c r="CW125" i="1" s="1"/>
  <c r="CX49" i="1"/>
  <c r="AD47" i="1"/>
  <c r="AD48" i="1" l="1"/>
  <c r="AD263" i="1"/>
  <c r="AD49" i="1"/>
  <c r="CX50" i="1"/>
  <c r="AD50" i="1" s="1"/>
  <c r="AD51" i="1" l="1"/>
  <c r="CX52" i="1"/>
  <c r="CX238" i="1" s="1"/>
  <c r="AD52" i="1"/>
  <c r="CX55" i="1" l="1"/>
  <c r="CX245" i="1"/>
  <c r="CX59" i="1"/>
  <c r="CX53" i="1"/>
  <c r="CX256" i="1" s="1"/>
  <c r="CX54" i="1"/>
  <c r="AD54" i="1"/>
  <c r="AD72" i="1"/>
  <c r="AD59" i="1"/>
  <c r="AD53" i="1"/>
  <c r="AD256" i="1" s="1"/>
  <c r="CX77" i="1" l="1"/>
  <c r="CX80" i="1" s="1"/>
  <c r="CX204" i="1"/>
  <c r="CX206" i="1" s="1"/>
  <c r="CX210" i="1" s="1"/>
  <c r="CX224" i="1" s="1"/>
  <c r="CX130" i="1"/>
  <c r="AD62" i="1"/>
  <c r="AD63" i="1" s="1"/>
  <c r="AD204" i="1"/>
  <c r="AD206" i="1" s="1"/>
  <c r="AD210" i="1" s="1"/>
  <c r="AD224" i="1" s="1"/>
  <c r="AD130" i="1" l="1"/>
  <c r="AD131" i="1" s="1"/>
  <c r="CX131" i="1"/>
  <c r="CX218" i="1" s="1"/>
  <c r="CX216" i="1" s="1"/>
  <c r="CX221" i="1" s="1"/>
  <c r="CX81" i="1"/>
  <c r="CX89" i="1"/>
  <c r="CX96" i="1"/>
  <c r="CX90" i="1"/>
  <c r="AD186" i="1" l="1"/>
  <c r="AD140" i="1"/>
  <c r="AD66" i="1" s="1"/>
  <c r="AD65" i="1"/>
  <c r="AD218" i="1"/>
  <c r="AD216" i="1" s="1"/>
  <c r="AD221" i="1" s="1"/>
  <c r="CX140" i="1"/>
  <c r="CX66" i="1" s="1"/>
  <c r="CX103" i="1"/>
  <c r="CX105" i="1" s="1"/>
  <c r="CX65" i="1"/>
  <c r="CX171" i="1"/>
  <c r="CX93" i="1"/>
  <c r="CX119" i="1"/>
  <c r="AD90" i="1"/>
  <c r="CX118" i="1"/>
  <c r="CX92" i="1"/>
  <c r="AD89" i="1"/>
  <c r="AD93" i="1" l="1"/>
  <c r="AD92" i="1"/>
  <c r="CX172" i="1"/>
  <c r="AD171" i="1"/>
  <c r="AD172" i="1" s="1"/>
  <c r="AD259" i="1" l="1"/>
  <c r="AD257" i="1"/>
  <c r="AD255" i="1"/>
  <c r="CX259" i="1"/>
  <c r="CX257" i="1"/>
  <c r="CX255" i="1"/>
  <c r="AE220" i="1"/>
  <c r="AD176" i="1"/>
  <c r="AD179" i="1"/>
  <c r="AD120" i="1" s="1"/>
  <c r="AD222" i="1"/>
  <c r="CY220" i="1"/>
  <c r="CX176" i="1"/>
  <c r="CX179" i="1"/>
  <c r="CX222" i="1"/>
  <c r="AD177" i="1" l="1"/>
  <c r="CX120" i="1"/>
  <c r="CY47" i="1"/>
  <c r="CY263" i="1" s="1"/>
  <c r="CX177" i="1"/>
  <c r="CY49" i="1" l="1"/>
  <c r="CX121" i="1"/>
  <c r="CX124" i="1" s="1"/>
  <c r="CX122" i="1"/>
  <c r="CX125" i="1" s="1"/>
  <c r="CY50" i="1" l="1"/>
  <c r="CY52" i="1" l="1"/>
  <c r="CY53" i="1" l="1"/>
  <c r="CY256" i="1" s="1"/>
  <c r="CY245" i="1"/>
  <c r="CY54" i="1"/>
  <c r="CY55" i="1"/>
  <c r="CY59" i="1"/>
  <c r="CY238" i="1"/>
  <c r="CY77" i="1" l="1"/>
  <c r="CY204" i="1"/>
  <c r="CY206" i="1" s="1"/>
  <c r="CY210" i="1" s="1"/>
  <c r="CY224" i="1" s="1"/>
  <c r="CY130" i="1"/>
  <c r="CY131" i="1" l="1"/>
  <c r="CY80" i="1"/>
  <c r="CY81" i="1" s="1"/>
  <c r="CY89" i="1" l="1"/>
  <c r="CY96" i="1"/>
  <c r="CY90" i="1"/>
  <c r="CY103" i="1"/>
  <c r="CY105" i="1" s="1"/>
  <c r="CY140" i="1"/>
  <c r="CY66" i="1" s="1"/>
  <c r="CY218" i="1"/>
  <c r="CY216" i="1" s="1"/>
  <c r="CY221" i="1" s="1"/>
  <c r="CY65" i="1"/>
  <c r="CY171" i="1" l="1"/>
  <c r="CY172" i="1" s="1"/>
  <c r="CY119" i="1"/>
  <c r="CY93" i="1"/>
  <c r="CY92" i="1"/>
  <c r="CY118" i="1"/>
  <c r="CY222" i="1" l="1"/>
  <c r="CY259" i="1"/>
  <c r="CY257" i="1"/>
  <c r="CY255" i="1"/>
  <c r="CZ220" i="1"/>
  <c r="CY176" i="1"/>
  <c r="CY179" i="1"/>
  <c r="CY177" i="1" l="1"/>
  <c r="CZ47" i="1"/>
  <c r="CZ263" i="1" s="1"/>
  <c r="CY120" i="1"/>
  <c r="CY122" i="1" l="1"/>
  <c r="CY125" i="1" s="1"/>
  <c r="CY121" i="1"/>
  <c r="CY124" i="1" s="1"/>
  <c r="CZ49" i="1"/>
  <c r="CZ50" i="1" l="1"/>
  <c r="CZ52" i="1" l="1"/>
  <c r="CZ245" i="1" l="1"/>
  <c r="CZ54" i="1"/>
  <c r="CZ53" i="1"/>
  <c r="CZ256" i="1" s="1"/>
  <c r="CZ55" i="1"/>
  <c r="CZ59" i="1"/>
  <c r="CZ238" i="1"/>
  <c r="CZ204" i="1" l="1"/>
  <c r="CZ206" i="1" s="1"/>
  <c r="CZ210" i="1" s="1"/>
  <c r="CZ224" i="1" s="1"/>
  <c r="CZ77" i="1"/>
  <c r="CZ130" i="1"/>
  <c r="CZ131" i="1" l="1"/>
  <c r="CZ80" i="1"/>
  <c r="CZ81" i="1" s="1"/>
  <c r="CZ96" i="1" l="1"/>
  <c r="CZ90" i="1"/>
  <c r="CZ89" i="1"/>
  <c r="CZ140" i="1"/>
  <c r="CZ66" i="1" s="1"/>
  <c r="CZ218" i="1"/>
  <c r="CZ216" i="1" s="1"/>
  <c r="CZ221" i="1" s="1"/>
  <c r="CZ103" i="1"/>
  <c r="CZ105" i="1" s="1"/>
  <c r="CZ65" i="1"/>
  <c r="CZ171" i="1" l="1"/>
  <c r="CZ172" i="1" s="1"/>
  <c r="CZ118" i="1"/>
  <c r="CZ92" i="1"/>
  <c r="CZ93" i="1"/>
  <c r="CZ119" i="1"/>
  <c r="CZ257" i="1" l="1"/>
  <c r="CZ255" i="1"/>
  <c r="CZ259" i="1"/>
  <c r="CZ176" i="1"/>
  <c r="CZ179" i="1"/>
  <c r="DA220" i="1"/>
  <c r="CZ222" i="1"/>
  <c r="CZ120" i="1" l="1"/>
  <c r="DA47" i="1"/>
  <c r="DA263" i="1" s="1"/>
  <c r="CZ177" i="1"/>
  <c r="DA49" i="1" l="1"/>
  <c r="CZ121" i="1"/>
  <c r="CZ124" i="1" s="1"/>
  <c r="CZ122" i="1"/>
  <c r="CZ125" i="1" s="1"/>
  <c r="DA50" i="1" l="1"/>
  <c r="DA52" i="1" l="1"/>
  <c r="DA245" i="1" l="1"/>
  <c r="DA59" i="1"/>
  <c r="DA54" i="1"/>
  <c r="DA55" i="1"/>
  <c r="DA53" i="1"/>
  <c r="DA256" i="1" s="1"/>
  <c r="DA238" i="1"/>
  <c r="DA77" i="1" l="1"/>
  <c r="DA204" i="1"/>
  <c r="DA206" i="1" s="1"/>
  <c r="DA210" i="1" s="1"/>
  <c r="DA224" i="1" s="1"/>
  <c r="DA130" i="1"/>
  <c r="DA131" i="1" l="1"/>
  <c r="DA80" i="1"/>
  <c r="DA81" i="1" s="1"/>
  <c r="DA90" i="1" l="1"/>
  <c r="DA89" i="1"/>
  <c r="DA96" i="1"/>
  <c r="DA140" i="1"/>
  <c r="DA66" i="1" s="1"/>
  <c r="DA218" i="1"/>
  <c r="DA216" i="1" s="1"/>
  <c r="DA221" i="1" s="1"/>
  <c r="DA103" i="1"/>
  <c r="DA105" i="1" s="1"/>
  <c r="DA65" i="1"/>
  <c r="DA171" i="1" l="1"/>
  <c r="DA172" i="1" s="1"/>
  <c r="DA118" i="1"/>
  <c r="DA92" i="1"/>
  <c r="DA93" i="1"/>
  <c r="DA119" i="1"/>
  <c r="DA222" i="1" l="1"/>
  <c r="DA259" i="1"/>
  <c r="DA255" i="1"/>
  <c r="DA257" i="1"/>
  <c r="DA179" i="1"/>
  <c r="DB220" i="1"/>
  <c r="DA176" i="1"/>
  <c r="DA177" i="1" l="1"/>
  <c r="DA120" i="1"/>
  <c r="DB47" i="1"/>
  <c r="DB263" i="1" s="1"/>
  <c r="DA122" i="1" l="1"/>
  <c r="DA125" i="1" s="1"/>
  <c r="DA121" i="1"/>
  <c r="DA124" i="1" s="1"/>
  <c r="DB49" i="1"/>
  <c r="AE47" i="1"/>
  <c r="AE48" i="1" l="1"/>
  <c r="AE263" i="1"/>
  <c r="AE49" i="1"/>
  <c r="DB50" i="1"/>
  <c r="AE50" i="1" s="1"/>
  <c r="AE51" i="1" l="1"/>
  <c r="DB52" i="1"/>
  <c r="AE52" i="1"/>
  <c r="AE54" i="1" s="1"/>
  <c r="AE53" i="1" l="1"/>
  <c r="AE256" i="1" s="1"/>
  <c r="AE59" i="1"/>
  <c r="AE72" i="1"/>
  <c r="DB54" i="1"/>
  <c r="DB55" i="1"/>
  <c r="DB245" i="1"/>
  <c r="DB53" i="1"/>
  <c r="DB256" i="1" s="1"/>
  <c r="DB59" i="1"/>
  <c r="DB238" i="1"/>
  <c r="AE62" i="1" l="1"/>
  <c r="AE63" i="1" s="1"/>
  <c r="AE204" i="1"/>
  <c r="AE206" i="1" s="1"/>
  <c r="AE210" i="1" s="1"/>
  <c r="AE224" i="1" s="1"/>
  <c r="DB204" i="1"/>
  <c r="DB206" i="1" s="1"/>
  <c r="DB210" i="1" s="1"/>
  <c r="DB224" i="1" s="1"/>
  <c r="DB77" i="1"/>
  <c r="DB80" i="1" s="1"/>
  <c r="DB83" i="1" s="1"/>
  <c r="DB130" i="1"/>
  <c r="DB81" i="1" l="1"/>
  <c r="AE130" i="1"/>
  <c r="AE131" i="1" s="1"/>
  <c r="DB131" i="1"/>
  <c r="DB90" i="1"/>
  <c r="DB89" i="1"/>
  <c r="DB96" i="1"/>
  <c r="DB118" i="1" l="1"/>
  <c r="DB92" i="1"/>
  <c r="AE89" i="1"/>
  <c r="DB119" i="1"/>
  <c r="DB93" i="1"/>
  <c r="AE90" i="1"/>
  <c r="DB218" i="1"/>
  <c r="DB216" i="1" s="1"/>
  <c r="DB221" i="1" s="1"/>
  <c r="DB140" i="1"/>
  <c r="DB66" i="1" s="1"/>
  <c r="DB103" i="1"/>
  <c r="DB105" i="1" s="1"/>
  <c r="DB65" i="1"/>
  <c r="AE218" i="1"/>
  <c r="AE216" i="1" s="1"/>
  <c r="AE221" i="1" s="1"/>
  <c r="AE140" i="1"/>
  <c r="AE66" i="1" s="1"/>
  <c r="AE186" i="1"/>
  <c r="AE65" i="1"/>
  <c r="AE93" i="1" l="1"/>
  <c r="AE92" i="1"/>
  <c r="DB171" i="1"/>
  <c r="AE171" i="1" l="1"/>
  <c r="AE172" i="1" s="1"/>
  <c r="DB172" i="1"/>
  <c r="DB255" i="1" l="1"/>
  <c r="DB259" i="1"/>
  <c r="DB257" i="1"/>
  <c r="AE257" i="1"/>
  <c r="AE255" i="1"/>
  <c r="AE259" i="1"/>
  <c r="DB176" i="1"/>
  <c r="DB179" i="1"/>
  <c r="DB120" i="1" s="1"/>
  <c r="DB222" i="1"/>
  <c r="AE179" i="1"/>
  <c r="AE120" i="1" s="1"/>
  <c r="AE176" i="1"/>
  <c r="AE222" i="1"/>
  <c r="AE177" i="1" l="1"/>
  <c r="DB121" i="1"/>
  <c r="DB124" i="1" s="1"/>
  <c r="DB122" i="1"/>
  <c r="DB125" i="1" s="1"/>
  <c r="DB177" i="1"/>
  <c r="A2" i="10" l="1"/>
  <c r="A3" i="10" s="1"/>
  <c r="A4" i="10" s="1"/>
  <c r="A5" i="10" s="1"/>
  <c r="A6" i="10" s="1"/>
  <c r="A7" i="10" s="1"/>
  <c r="A8" i="10" s="1"/>
  <c r="A9" i="10" s="1"/>
  <c r="A10" i="10" s="1"/>
  <c r="A11" i="10" s="1"/>
  <c r="A12" i="10" s="1"/>
  <c r="AB74" i="1" l="1"/>
  <c r="AA74" i="1"/>
  <c r="AA76" i="1"/>
  <c r="AA103" i="1"/>
  <c r="AA106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C75" i="1"/>
  <c r="AD75" i="1"/>
  <c r="Z74" i="1"/>
  <c r="Y74" i="1"/>
  <c r="X74" i="1"/>
  <c r="AC74" i="1"/>
  <c r="AC76" i="1"/>
  <c r="Z76" i="1"/>
  <c r="Z103" i="1"/>
  <c r="Z107" i="1"/>
  <c r="Y76" i="1"/>
  <c r="Y118" i="1"/>
  <c r="Y121" i="1"/>
  <c r="Y12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G76" i="1"/>
  <c r="G119" i="1"/>
  <c r="G122" i="1"/>
  <c r="X76" i="1"/>
  <c r="Z105" i="1"/>
  <c r="Z106" i="1"/>
  <c r="Z110" i="1"/>
  <c r="Z113" i="1"/>
  <c r="X110" i="1"/>
  <c r="X103" i="1"/>
  <c r="X119" i="1"/>
  <c r="X122" i="1"/>
  <c r="X125" i="1"/>
  <c r="X77" i="1"/>
  <c r="Y110" i="1"/>
  <c r="Y113" i="1"/>
  <c r="X118" i="1"/>
  <c r="X121" i="1"/>
  <c r="X124" i="1"/>
  <c r="Y115" i="1"/>
  <c r="Z77" i="1"/>
  <c r="Z80" i="1"/>
  <c r="Z97" i="1"/>
  <c r="Z96" i="1"/>
  <c r="Z98" i="1"/>
  <c r="Y114" i="1"/>
  <c r="Y77" i="1"/>
  <c r="Y80" i="1"/>
  <c r="Y96" i="1"/>
  <c r="Y97" i="1"/>
  <c r="Y98" i="1"/>
  <c r="X80" i="1"/>
  <c r="Y81" i="1"/>
  <c r="X79" i="1"/>
  <c r="X106" i="1"/>
  <c r="X105" i="1"/>
  <c r="X107" i="1"/>
  <c r="Z81" i="1"/>
  <c r="X115" i="1"/>
  <c r="X114" i="1"/>
  <c r="X113" i="1"/>
  <c r="X96" i="1"/>
  <c r="X98" i="1"/>
  <c r="X97" i="1"/>
  <c r="I76" i="1"/>
  <c r="I110" i="1"/>
  <c r="Q76" i="1"/>
  <c r="Q110" i="1"/>
  <c r="F74" i="1"/>
  <c r="F76" i="1"/>
  <c r="F110" i="1"/>
  <c r="R76" i="1"/>
  <c r="R110" i="1"/>
  <c r="J76" i="1"/>
  <c r="N76" i="1"/>
  <c r="N77" i="1"/>
  <c r="N80" i="1"/>
  <c r="E74" i="1"/>
  <c r="E76" i="1"/>
  <c r="E110" i="1"/>
  <c r="H76" i="1"/>
  <c r="H110" i="1"/>
  <c r="V76" i="1"/>
  <c r="V110" i="1"/>
  <c r="L76" i="1"/>
  <c r="U76" i="1"/>
  <c r="P76" i="1"/>
  <c r="G77" i="1"/>
  <c r="F77" i="1"/>
  <c r="I77" i="1"/>
  <c r="S76" i="1"/>
  <c r="S77" i="1"/>
  <c r="T76" i="1"/>
  <c r="T110" i="1"/>
  <c r="S110" i="1"/>
  <c r="N110" i="1"/>
  <c r="U77" i="1"/>
  <c r="V77" i="1"/>
  <c r="T77" i="1"/>
  <c r="N81" i="1"/>
  <c r="S80" i="1"/>
  <c r="J77" i="1"/>
  <c r="J80" i="1"/>
  <c r="J81" i="1"/>
  <c r="R77" i="1"/>
  <c r="R80" i="1"/>
  <c r="Q100" i="1"/>
  <c r="I113" i="1"/>
  <c r="T113" i="1"/>
  <c r="S114" i="1"/>
  <c r="O76" i="1"/>
  <c r="O110" i="1"/>
  <c r="O113" i="1"/>
  <c r="P118" i="1"/>
  <c r="V113" i="1"/>
  <c r="O114" i="1"/>
  <c r="R113" i="1"/>
  <c r="N79" i="1"/>
  <c r="E113" i="1"/>
  <c r="K76" i="1"/>
  <c r="K77" i="1"/>
  <c r="K79" i="1"/>
  <c r="F113" i="1"/>
  <c r="V79" i="1"/>
  <c r="W76" i="1"/>
  <c r="W110" i="1"/>
  <c r="W113" i="1"/>
  <c r="E115" i="1"/>
  <c r="P77" i="1"/>
  <c r="P80" i="1"/>
  <c r="P98" i="1"/>
  <c r="K110" i="1"/>
  <c r="K114" i="1"/>
  <c r="V119" i="1"/>
  <c r="I100" i="1"/>
  <c r="J118" i="1"/>
  <c r="J97" i="1"/>
  <c r="H115" i="1"/>
  <c r="R81" i="1"/>
  <c r="Q77" i="1"/>
  <c r="Q80" i="1"/>
  <c r="Q81" i="1"/>
  <c r="S97" i="1"/>
  <c r="M76" i="1"/>
  <c r="M77" i="1"/>
  <c r="M79" i="1"/>
  <c r="Q115" i="1"/>
  <c r="K113" i="1"/>
  <c r="N113" i="1"/>
  <c r="W115" i="1"/>
  <c r="Q114" i="1"/>
  <c r="E77" i="1"/>
  <c r="E80" i="1"/>
  <c r="E98" i="1"/>
  <c r="E114" i="1"/>
  <c r="E118" i="1"/>
  <c r="R97" i="1"/>
  <c r="E119" i="1"/>
  <c r="I114" i="1"/>
  <c r="H119" i="1"/>
  <c r="Q96" i="1"/>
  <c r="R100" i="1"/>
  <c r="N118" i="1"/>
  <c r="J96" i="1"/>
  <c r="T118" i="1"/>
  <c r="T115" i="1"/>
  <c r="F115" i="1"/>
  <c r="M110" i="1"/>
  <c r="M114" i="1"/>
  <c r="M115" i="1"/>
  <c r="R103" i="1"/>
  <c r="U103" i="1"/>
  <c r="P103" i="1"/>
  <c r="I119" i="1"/>
  <c r="I122" i="1"/>
  <c r="P81" i="1"/>
  <c r="O77" i="1"/>
  <c r="O80" i="1"/>
  <c r="N100" i="1"/>
  <c r="O81" i="1"/>
  <c r="O96" i="1"/>
  <c r="L119" i="1"/>
  <c r="U119" i="1"/>
  <c r="H114" i="1"/>
  <c r="N114" i="1"/>
  <c r="N115" i="1"/>
  <c r="T103" i="1"/>
  <c r="P106" i="1"/>
  <c r="P119" i="1"/>
  <c r="P122" i="1"/>
  <c r="M118" i="1"/>
  <c r="M121" i="1"/>
  <c r="T119" i="1"/>
  <c r="T122" i="1"/>
  <c r="H118" i="1"/>
  <c r="H121" i="1"/>
  <c r="P100" i="1"/>
  <c r="P105" i="1"/>
  <c r="P121" i="1"/>
  <c r="M119" i="1"/>
  <c r="M122" i="1"/>
  <c r="M125" i="1"/>
  <c r="E121" i="1"/>
  <c r="N119" i="1"/>
  <c r="N122" i="1"/>
  <c r="N125" i="1"/>
  <c r="T125" i="1"/>
  <c r="F118" i="1"/>
  <c r="F121" i="1"/>
  <c r="F124" i="1"/>
  <c r="J121" i="1"/>
  <c r="O118" i="1"/>
  <c r="O121" i="1"/>
  <c r="K119" i="1"/>
  <c r="K122" i="1"/>
  <c r="K125" i="1"/>
  <c r="F103" i="1"/>
  <c r="G103" i="1"/>
  <c r="Q103" i="1"/>
  <c r="R119" i="1"/>
  <c r="R122" i="1"/>
  <c r="R125" i="1"/>
  <c r="AC119" i="1"/>
  <c r="AC122" i="1"/>
  <c r="AD74" i="1"/>
  <c r="AE74" i="1"/>
  <c r="AE76" i="1"/>
  <c r="AE77" i="1"/>
  <c r="AE80" i="1"/>
  <c r="AE81" i="1"/>
  <c r="AE103" i="1"/>
  <c r="AE105" i="1"/>
  <c r="AD100" i="1"/>
  <c r="AE107" i="1"/>
  <c r="AE106" i="1"/>
  <c r="AA77" i="1"/>
  <c r="AA80" i="1"/>
  <c r="AA81" i="1"/>
  <c r="AA119" i="1"/>
  <c r="AA118" i="1"/>
  <c r="AA121" i="1"/>
  <c r="AA124" i="1"/>
  <c r="AA96" i="1"/>
  <c r="AA110" i="1"/>
  <c r="AA107" i="1"/>
  <c r="AA114" i="1"/>
  <c r="AE75" i="1"/>
  <c r="Z115" i="1"/>
  <c r="Y119" i="1"/>
  <c r="Y103" i="1"/>
  <c r="R118" i="1"/>
  <c r="O100" i="1"/>
  <c r="I118" i="1"/>
  <c r="E96" i="1"/>
  <c r="S81" i="1"/>
  <c r="J119" i="1"/>
  <c r="F114" i="1"/>
  <c r="S115" i="1"/>
  <c r="P97" i="1"/>
  <c r="R105" i="1"/>
  <c r="V122" i="1"/>
  <c r="V125" i="1"/>
  <c r="R106" i="1"/>
  <c r="R107" i="1"/>
  <c r="S119" i="1"/>
  <c r="S122" i="1"/>
  <c r="S125" i="1"/>
  <c r="S118" i="1"/>
  <c r="S121" i="1"/>
  <c r="S124" i="1"/>
  <c r="U106" i="1"/>
  <c r="U107" i="1"/>
  <c r="U105" i="1"/>
  <c r="T106" i="1"/>
  <c r="T105" i="1"/>
  <c r="T107" i="1"/>
  <c r="O103" i="1"/>
  <c r="O106" i="1"/>
  <c r="O107" i="1"/>
  <c r="O105" i="1"/>
  <c r="F119" i="1"/>
  <c r="F122" i="1"/>
  <c r="F125" i="1"/>
  <c r="M103" i="1"/>
  <c r="M106" i="1"/>
  <c r="M107" i="1"/>
  <c r="F105" i="1"/>
  <c r="F106" i="1"/>
  <c r="G106" i="1"/>
  <c r="G105" i="1"/>
  <c r="H122" i="1"/>
  <c r="H125" i="1"/>
  <c r="O119" i="1"/>
  <c r="O122" i="1"/>
  <c r="O125" i="1"/>
  <c r="K103" i="1"/>
  <c r="K107" i="1"/>
  <c r="Q118" i="1"/>
  <c r="Q121" i="1"/>
  <c r="Q124" i="1"/>
  <c r="V118" i="1"/>
  <c r="V121" i="1"/>
  <c r="V124" i="1"/>
  <c r="E81" i="1"/>
  <c r="W77" i="1"/>
  <c r="W79" i="1"/>
  <c r="W80" i="1"/>
  <c r="W100" i="1"/>
  <c r="W81" i="1"/>
  <c r="X81" i="1"/>
  <c r="W98" i="1"/>
  <c r="W97" i="1"/>
  <c r="X100" i="1"/>
  <c r="W96" i="1"/>
  <c r="V100" i="1"/>
  <c r="W103" i="1"/>
  <c r="W105" i="1"/>
  <c r="W106" i="1"/>
  <c r="W107" i="1"/>
  <c r="W119" i="1"/>
  <c r="W122" i="1"/>
  <c r="W125" i="1"/>
  <c r="W118" i="1"/>
  <c r="W121" i="1"/>
  <c r="W124" i="1"/>
  <c r="Y100" i="1"/>
  <c r="AB76" i="1"/>
  <c r="AB110" i="1"/>
  <c r="AB113" i="1"/>
  <c r="AC110" i="1"/>
  <c r="AC113" i="1"/>
  <c r="AD76" i="1"/>
  <c r="AD110" i="1"/>
  <c r="AD113" i="1"/>
  <c r="AE110" i="1"/>
  <c r="AE113" i="1"/>
  <c r="AB77" i="1"/>
  <c r="AB103" i="1"/>
  <c r="AB105" i="1"/>
  <c r="AB79" i="1"/>
  <c r="AB80" i="1"/>
  <c r="AB81" i="1"/>
  <c r="AA100" i="1"/>
  <c r="AB115" i="1"/>
  <c r="AB114" i="1"/>
  <c r="AB96" i="1"/>
  <c r="AB107" i="1"/>
  <c r="AB98" i="1"/>
  <c r="AB119" i="1"/>
  <c r="AB97" i="1"/>
  <c r="AB106" i="1"/>
  <c r="AB118" i="1"/>
  <c r="AB122" i="1"/>
  <c r="AB125" i="1"/>
  <c r="AB121" i="1"/>
  <c r="AB124" i="1"/>
  <c r="AC77" i="1"/>
  <c r="AC80" i="1"/>
  <c r="AC81" i="1"/>
  <c r="AC79" i="1"/>
  <c r="AC103" i="1"/>
  <c r="AC105" i="1"/>
  <c r="AC114" i="1"/>
  <c r="AC96" i="1"/>
  <c r="AC115" i="1"/>
  <c r="AC107" i="1"/>
  <c r="AC98" i="1"/>
  <c r="AC118" i="1"/>
  <c r="AC121" i="1"/>
  <c r="AC124" i="1"/>
  <c r="AC125" i="1"/>
  <c r="AD77" i="1"/>
  <c r="AD80" i="1"/>
  <c r="AD96" i="1"/>
  <c r="AC100" i="1"/>
  <c r="AD103" i="1"/>
  <c r="AD107" i="1"/>
  <c r="AD106" i="1"/>
  <c r="AD119" i="1"/>
  <c r="AD122" i="1"/>
  <c r="AD125" i="1"/>
  <c r="AD118" i="1"/>
  <c r="AD121" i="1"/>
  <c r="AE79" i="1"/>
  <c r="AE114" i="1"/>
  <c r="AE96" i="1"/>
  <c r="AE115" i="1"/>
  <c r="AE98" i="1"/>
  <c r="AE97" i="1"/>
  <c r="AE119" i="1"/>
  <c r="AE122" i="1"/>
  <c r="AE118" i="1"/>
  <c r="AE121" i="1"/>
  <c r="AA122" i="1"/>
  <c r="AA97" i="1"/>
  <c r="AA105" i="1"/>
  <c r="AA113" i="1"/>
  <c r="J75" i="1"/>
  <c r="I75" i="1"/>
  <c r="H75" i="1"/>
  <c r="G75" i="1"/>
  <c r="F75" i="1"/>
  <c r="E75" i="1"/>
  <c r="Z119" i="1"/>
  <c r="Z118" i="1"/>
  <c r="Z121" i="1"/>
  <c r="Z124" i="1"/>
  <c r="Z114" i="1"/>
  <c r="Y122" i="1"/>
  <c r="W114" i="1"/>
  <c r="V114" i="1"/>
  <c r="G118" i="1"/>
  <c r="R115" i="1"/>
  <c r="U118" i="1"/>
  <c r="N98" i="1"/>
  <c r="I103" i="1"/>
  <c r="J103" i="1"/>
  <c r="S103" i="1"/>
  <c r="V103" i="1"/>
  <c r="I121" i="1"/>
  <c r="I124" i="1"/>
  <c r="I125" i="1"/>
  <c r="O98" i="1"/>
  <c r="N103" i="1"/>
  <c r="R98" i="1"/>
  <c r="Q119" i="1"/>
  <c r="I115" i="1"/>
  <c r="H103" i="1"/>
  <c r="R96" i="1"/>
  <c r="R121" i="1"/>
  <c r="E103" i="1"/>
  <c r="K106" i="1"/>
  <c r="S105" i="1"/>
  <c r="Q107" i="1"/>
  <c r="P107" i="1"/>
  <c r="U122" i="1"/>
  <c r="P125" i="1"/>
  <c r="L122" i="1"/>
  <c r="L125" i="1"/>
  <c r="L118" i="1"/>
  <c r="L121" i="1"/>
  <c r="L124" i="1"/>
  <c r="M124" i="1"/>
  <c r="E122" i="1"/>
  <c r="N121" i="1"/>
  <c r="N105" i="1"/>
  <c r="Q122" i="1"/>
  <c r="E107" i="1"/>
  <c r="I106" i="1"/>
  <c r="T121" i="1"/>
  <c r="J122" i="1"/>
  <c r="J125" i="1"/>
  <c r="H124" i="1"/>
  <c r="G125" i="1"/>
  <c r="K118" i="1"/>
  <c r="K121" i="1"/>
  <c r="K124" i="1"/>
  <c r="AA125" i="1"/>
  <c r="AA98" i="1"/>
  <c r="AA115" i="1"/>
  <c r="Z122" i="1"/>
  <c r="Z125" i="1"/>
  <c r="Y125" i="1"/>
  <c r="Q98" i="1"/>
  <c r="M113" i="1"/>
  <c r="S96" i="1"/>
  <c r="T79" i="1"/>
  <c r="N96" i="1"/>
  <c r="Q97" i="1"/>
  <c r="R114" i="1"/>
  <c r="V115" i="1"/>
  <c r="E97" i="1"/>
  <c r="T114" i="1"/>
  <c r="J98" i="1"/>
  <c r="S98" i="1"/>
  <c r="E105" i="1"/>
  <c r="M105" i="1"/>
  <c r="T124" i="1"/>
  <c r="Z79" i="1"/>
  <c r="Y79" i="1"/>
  <c r="Y106" i="1"/>
  <c r="Y105" i="1"/>
  <c r="Y107" i="1"/>
  <c r="H106" i="1"/>
  <c r="J107" i="1"/>
  <c r="K105" i="1"/>
  <c r="Q106" i="1"/>
  <c r="Q105" i="1"/>
  <c r="U121" i="1"/>
  <c r="U124" i="1"/>
  <c r="P124" i="1"/>
  <c r="E124" i="1"/>
  <c r="N124" i="1"/>
  <c r="V105" i="1"/>
  <c r="N107" i="1"/>
  <c r="Q125" i="1"/>
  <c r="I105" i="1"/>
  <c r="G107" i="1"/>
  <c r="J124" i="1"/>
  <c r="O124" i="1"/>
  <c r="J105" i="1"/>
  <c r="N106" i="1"/>
  <c r="R124" i="1"/>
  <c r="G121" i="1"/>
  <c r="G124" i="1"/>
  <c r="J106" i="1"/>
  <c r="S107" i="1"/>
  <c r="U125" i="1"/>
  <c r="E125" i="1"/>
  <c r="V106" i="1"/>
  <c r="V107" i="1"/>
  <c r="F107" i="1"/>
  <c r="H105" i="1"/>
  <c r="H107" i="1"/>
  <c r="E106" i="1"/>
  <c r="I107" i="1"/>
  <c r="S106" i="1"/>
  <c r="Z100" i="1"/>
  <c r="U110" i="1"/>
  <c r="G80" i="1"/>
  <c r="F80" i="1"/>
  <c r="M80" i="1"/>
  <c r="L77" i="1"/>
  <c r="L110" i="1"/>
  <c r="P110" i="1"/>
  <c r="G110" i="1"/>
  <c r="J110" i="1"/>
  <c r="H77" i="1"/>
  <c r="U80" i="1"/>
  <c r="T80" i="1"/>
  <c r="K80" i="1"/>
  <c r="U81" i="1"/>
  <c r="H80" i="1"/>
  <c r="V80" i="1"/>
  <c r="G81" i="1"/>
  <c r="I80" i="1"/>
  <c r="L80" i="1"/>
  <c r="M96" i="1"/>
  <c r="S79" i="1"/>
  <c r="G96" i="1"/>
  <c r="P96" i="1"/>
  <c r="D100" i="1"/>
  <c r="O115" i="1"/>
  <c r="M100" i="1"/>
  <c r="H100" i="1"/>
  <c r="Q113" i="1"/>
  <c r="F79" i="1"/>
  <c r="T98" i="1"/>
  <c r="K115" i="1"/>
  <c r="H113" i="1"/>
  <c r="H79" i="1"/>
  <c r="M98" i="1"/>
  <c r="G79" i="1"/>
  <c r="R79" i="1"/>
  <c r="S113" i="1"/>
  <c r="U79" i="1"/>
  <c r="L113" i="1"/>
  <c r="N97" i="1"/>
  <c r="I79" i="1"/>
  <c r="O97" i="1"/>
  <c r="L103" i="1"/>
  <c r="U97" i="1"/>
  <c r="L79" i="1"/>
  <c r="J79" i="1"/>
  <c r="Q79" i="1"/>
  <c r="L115" i="1"/>
  <c r="J115" i="1"/>
  <c r="U98" i="1"/>
  <c r="F96" i="1"/>
  <c r="G114" i="1"/>
  <c r="K98" i="1"/>
  <c r="H98" i="1"/>
  <c r="V97" i="1"/>
  <c r="O79" i="1"/>
  <c r="M81" i="1"/>
  <c r="K100" i="1"/>
  <c r="E79" i="1"/>
  <c r="L81" i="1"/>
  <c r="U113" i="1"/>
  <c r="J100" i="1"/>
  <c r="K81" i="1"/>
  <c r="F81" i="1"/>
  <c r="V81" i="1"/>
  <c r="I97" i="1"/>
  <c r="H97" i="1"/>
  <c r="G115" i="1"/>
  <c r="G98" i="1"/>
  <c r="U100" i="1"/>
  <c r="F97" i="1"/>
  <c r="M97" i="1"/>
  <c r="P114" i="1"/>
  <c r="G113" i="1"/>
  <c r="K97" i="1"/>
  <c r="U115" i="1"/>
  <c r="F100" i="1"/>
  <c r="AB100" i="1"/>
  <c r="AC106" i="1"/>
  <c r="AC97" i="1"/>
  <c r="AD79" i="1"/>
  <c r="AD81" i="1"/>
  <c r="AD115" i="1"/>
  <c r="AD114" i="1"/>
  <c r="AD105" i="1"/>
  <c r="AD98" i="1"/>
  <c r="AD97" i="1"/>
  <c r="AD124" i="1"/>
  <c r="AE125" i="1"/>
  <c r="AE124" i="1"/>
  <c r="AA79" i="1"/>
  <c r="G100" i="1"/>
  <c r="I98" i="1"/>
  <c r="H96" i="1"/>
  <c r="P113" i="1"/>
  <c r="S100" i="1"/>
  <c r="P115" i="1"/>
  <c r="V98" i="1"/>
  <c r="T97" i="1"/>
  <c r="J113" i="1"/>
  <c r="L114" i="1"/>
  <c r="L96" i="1"/>
  <c r="U114" i="1"/>
  <c r="T100" i="1"/>
  <c r="V96" i="1"/>
  <c r="T81" i="1"/>
  <c r="I81" i="1"/>
  <c r="F98" i="1"/>
  <c r="P79" i="1"/>
  <c r="K96" i="1"/>
  <c r="U96" i="1"/>
  <c r="T96" i="1"/>
  <c r="E100" i="1"/>
  <c r="J114" i="1"/>
  <c r="G97" i="1"/>
  <c r="H81" i="1"/>
  <c r="I96" i="1"/>
  <c r="L100" i="1"/>
  <c r="L98" i="1"/>
  <c r="L97" i="1"/>
  <c r="L105" i="1"/>
  <c r="L106" i="1"/>
  <c r="L1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K74" authorId="0" shapeId="0" xr:uid="{50B3D484-D27B-4DCF-84B0-BAD0F224B316}">
      <text>
        <r>
          <rPr>
            <b/>
            <sz val="9"/>
            <color indexed="81"/>
            <rFont val="Tahoma"/>
            <family val="2"/>
          </rPr>
          <t xml:space="preserve">allotment of equity to others
</t>
        </r>
      </text>
    </comment>
    <comment ref="CM74" authorId="0" shapeId="0" xr:uid="{BB17D662-74B0-41E8-BA58-11EF41CFC639}">
      <text>
        <r>
          <rPr>
            <b/>
            <sz val="9"/>
            <color indexed="81"/>
            <rFont val="Tahoma"/>
            <family val="2"/>
          </rPr>
          <t>Saqib Khan: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<sst xmlns="http://schemas.openxmlformats.org/spreadsheetml/2006/main" count="708" uniqueCount="547">
  <si>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</si>
  <si>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</si>
  <si>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</si>
  <si>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</si>
  <si>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</si>
  <si>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</si>
  <si>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</si>
  <si>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</si>
  <si>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</si>
  <si>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</si>
  <si>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</si>
  <si>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</si>
  <si>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</si>
  <si>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</si>
  <si>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</si>
  <si>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</si>
  <si>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</si>
  <si>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</si>
  <si>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</si>
  <si>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</si>
  <si>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</si>
  <si>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</si>
  <si>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</si>
  <si>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</si>
  <si>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</si>
  <si>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</si>
  <si>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</si>
  <si>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</si>
  <si>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</si>
  <si>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</si>
  <si>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</si>
  <si>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</si>
  <si>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</si>
  <si>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</si>
  <si>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</si>
  <si>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</si>
  <si>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</si>
  <si>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</si>
  <si>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</si>
  <si>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</si>
  <si>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</si>
  <si>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</si>
  <si>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</si>
  <si>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</si>
  <si>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</si>
  <si>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</si>
  <si>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</si>
  <si>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</si>
  <si>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</si>
  <si>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</si>
  <si>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</si>
  <si>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</si>
  <si>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</si>
  <si>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</si>
  <si>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</si>
  <si>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</si>
  <si>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</si>
  <si>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</si>
  <si>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</si>
  <si>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</si>
  <si>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</si>
  <si>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</si>
  <si>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</si>
  <si>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</si>
  <si>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</si>
  <si>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</si>
  <si>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</si>
  <si>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</si>
  <si>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</si>
  <si>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</si>
  <si>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</si>
  <si>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</si>
  <si>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</si>
  <si>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</si>
  <si>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</si>
  <si>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</si>
  <si>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</si>
  <si>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</si>
  <si>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</si>
  <si>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</si>
  <si>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</si>
  <si>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</si>
  <si>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</si>
  <si>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</si>
  <si>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</si>
  <si>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</si>
  <si>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</si>
  <si>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</si>
  <si>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</si>
  <si>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</si>
  <si>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</si>
  <si>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</si>
  <si>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</si>
  <si>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</si>
  <si>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</si>
  <si>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</si>
  <si>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</si>
  <si>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</si>
  <si>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</si>
  <si>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</si>
  <si>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</si>
  <si>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</si>
  <si>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</si>
  <si>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</si>
  <si>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</si>
  <si>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</si>
  <si>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</si>
  <si>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</si>
  <si>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</si>
  <si>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</si>
  <si>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</si>
  <si>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</si>
  <si>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</si>
  <si>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</si>
  <si>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</si>
  <si>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</si>
  <si>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</si>
  <si>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</si>
  <si>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</si>
  <si>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</si>
  <si>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</si>
  <si>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</si>
  <si>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</si>
  <si>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</si>
  <si>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</si>
  <si>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</si>
  <si>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</si>
  <si>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</si>
  <si>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</si>
  <si>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</si>
  <si>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</si>
  <si>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</si>
  <si>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</si>
  <si>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</si>
  <si>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</si>
  <si>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</si>
  <si>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</si>
  <si>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</si>
  <si>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</si>
  <si>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</si>
  <si>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</si>
  <si>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</si>
  <si>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</si>
  <si>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</si>
  <si>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</si>
  <si>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</si>
  <si>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</si>
  <si>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</si>
  <si>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</si>
  <si>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</si>
  <si>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</si>
  <si>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</si>
  <si>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</si>
  <si>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</si>
  <si>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</si>
  <si>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</si>
  <si>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</si>
  <si>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</si>
  <si>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</si>
  <si>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</si>
  <si>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</si>
  <si>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</si>
  <si>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</si>
  <si>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</si>
  <si>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</si>
  <si>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</si>
  <si>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</si>
  <si>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</si>
  <si>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</si>
  <si>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</si>
  <si>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</si>
  <si>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</si>
  <si>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</si>
  <si>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</si>
  <si>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</si>
  <si>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</si>
  <si>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</si>
  <si>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</si>
  <si>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</si>
  <si>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</si>
  <si>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</si>
  <si>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</si>
  <si>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</si>
  <si>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</si>
  <si>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</si>
  <si>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</si>
  <si>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</si>
  <si>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</si>
  <si>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</si>
  <si>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</si>
  <si>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</si>
  <si>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</si>
  <si>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</si>
  <si>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</si>
  <si>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</si>
  <si>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</si>
  <si>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</si>
  <si>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</si>
  <si>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</si>
  <si>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</si>
  <si>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</si>
  <si>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</si>
  <si>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</si>
  <si>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</si>
  <si>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</si>
  <si>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</si>
  <si>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</si>
  <si>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</si>
  <si>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</si>
  <si>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</si>
  <si>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</si>
  <si>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</si>
  <si>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</si>
  <si>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</si>
  <si>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</si>
  <si>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</si>
  <si>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</si>
  <si>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</si>
  <si>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</si>
  <si>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</si>
  <si>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</si>
  <si>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</si>
  <si>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</si>
  <si>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</si>
  <si>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</si>
  <si>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</si>
  <si>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</si>
  <si>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</si>
  <si>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</si>
  <si>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</si>
  <si>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</si>
  <si>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</si>
  <si>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</si>
  <si>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</si>
  <si>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</si>
  <si>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</si>
  <si>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</si>
  <si>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</si>
  <si>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</si>
  <si>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</si>
  <si>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</si>
  <si>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</si>
  <si>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</si>
  <si>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</si>
  <si>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</si>
  <si>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</si>
  <si>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</si>
  <si>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</si>
  <si>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</si>
  <si>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</si>
  <si>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</si>
  <si>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</si>
  <si>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</si>
  <si>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</si>
  <si>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</si>
  <si>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</si>
  <si>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</si>
  <si>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</si>
  <si>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</si>
  <si>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</si>
  <si>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</si>
  <si>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</si>
  <si>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</si>
  <si>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</si>
  <si>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</si>
  <si>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</si>
  <si>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</si>
  <si>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</si>
  <si>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</si>
  <si>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</si>
  <si>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</si>
  <si>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</si>
  <si>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</si>
  <si>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</si>
  <si>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</si>
  <si>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</si>
  <si>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</si>
  <si>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</si>
  <si>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</si>
  <si>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</si>
  <si>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</si>
  <si>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</si>
  <si>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</si>
  <si>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</si>
  <si>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</si>
  <si>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</si>
  <si>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</si>
  <si>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</si>
  <si>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</si>
  <si>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</si>
  <si>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</si>
  <si>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</si>
  <si>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</si>
  <si>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</si>
  <si>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</si>
  <si>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</si>
  <si>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</si>
  <si>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</si>
  <si>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</si>
  <si>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</si>
  <si>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</si>
  <si>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</si>
  <si>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</si>
  <si>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</si>
  <si>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</si>
  <si>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</si>
  <si>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</si>
  <si>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</si>
  <si>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</si>
  <si>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</si>
  <si>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</si>
  <si>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</si>
  <si>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</si>
  <si>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</si>
  <si>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</si>
  <si>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</si>
  <si>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</si>
  <si>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</si>
  <si>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</si>
  <si>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</si>
  <si>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</si>
  <si>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</si>
  <si>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</si>
  <si>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</si>
  <si>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</si>
  <si>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</si>
  <si>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</si>
  <si>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</si>
  <si>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</si>
  <si>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</si>
  <si>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</si>
  <si>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</si>
  <si>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</si>
  <si>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</si>
  <si>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</si>
  <si>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</si>
  <si>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</si>
  <si>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</si>
  <si>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</si>
  <si>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</si>
  <si>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</si>
  <si>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</si>
  <si>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</si>
  <si>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</si>
  <si>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</si>
  <si>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</si>
  <si>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</si>
  <si>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</si>
  <si>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</si>
  <si>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</si>
  <si>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</si>
  <si>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</si>
  <si>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</si>
  <si>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</si>
  <si>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</si>
  <si>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</si>
  <si>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</si>
  <si>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</si>
  <si>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</si>
  <si>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</si>
  <si>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</si>
  <si>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</si>
  <si>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</si>
  <si>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</si>
  <si>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</si>
  <si>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</si>
  <si>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</si>
  <si>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</si>
  <si>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</si>
  <si>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</si>
  <si>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</si>
  <si>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</si>
  <si>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</si>
  <si>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</si>
  <si>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</si>
  <si>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</si>
  <si>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</si>
  <si>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</si>
  <si>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</si>
  <si>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</si>
  <si>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</si>
  <si>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</si>
  <si>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</si>
  <si>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</si>
  <si>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</si>
  <si>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</si>
  <si>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</si>
  <si>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</si>
  <si>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</si>
  <si>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</si>
  <si>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</si>
  <si>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</si>
  <si>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</si>
  <si>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</si>
  <si>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</si>
  <si>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</si>
  <si>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</si>
  <si>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</si>
  <si>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</si>
  <si>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</si>
  <si>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</si>
  <si>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</si>
  <si>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</si>
  <si>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</si>
  <si>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</si>
  <si>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</si>
  <si>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</si>
  <si>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</si>
  <si>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</si>
  <si>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</si>
  <si>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</si>
  <si>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</si>
  <si>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</si>
  <si>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</si>
  <si>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</si>
  <si>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</si>
  <si>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</si>
  <si>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</si>
  <si>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</si>
  <si>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</si>
  <si>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</si>
  <si>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</si>
  <si>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</si>
  <si>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</si>
  <si>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</si>
  <si>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</si>
  <si>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</si>
  <si>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</si>
  <si>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</si>
  <si>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</si>
  <si>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</si>
  <si>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</si>
  <si>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</si>
  <si>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</si>
  <si>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</si>
  <si>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</si>
  <si>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</si>
  <si>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</si>
  <si>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</si>
  <si>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</si>
  <si>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</si>
  <si>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</si>
  <si>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</si>
  <si>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</si>
  <si>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</si>
  <si>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</si>
  <si>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</si>
  <si>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</si>
  <si>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</si>
  <si>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</si>
  <si>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</si>
  <si>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</si>
  <si>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</si>
  <si>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</si>
  <si>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</si>
  <si>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</si>
  <si>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</si>
  <si>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</si>
  <si>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</si>
  <si>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</si>
  <si>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</si>
  <si>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</si>
  <si>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</si>
  <si>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</si>
  <si>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</si>
  <si>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</si>
  <si>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</si>
  <si>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</si>
  <si>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</si>
  <si>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</si>
  <si>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</si>
  <si>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</si>
  <si>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</si>
  <si>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</si>
  <si>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</si>
  <si>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</si>
  <si>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</si>
  <si>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</si>
  <si>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</si>
  <si>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</si>
  <si>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</si>
  <si>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</si>
  <si>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</si>
  <si>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</si>
  <si>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</si>
  <si>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</si>
  <si>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</si>
  <si>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</si>
  <si>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</si>
  <si>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</si>
  <si>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</si>
  <si>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</si>
  <si>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</si>
  <si>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</si>
  <si>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</si>
  <si>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</si>
  <si>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</si>
  <si>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</si>
  <si>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</si>
  <si>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</si>
  <si>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</si>
  <si>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</si>
  <si>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</si>
  <si>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</si>
  <si>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</si>
  <si>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</si>
  <si>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</si>
  <si>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</si>
  <si>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</si>
  <si>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</si>
  <si>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</si>
  <si>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</si>
  <si>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</si>
  <si>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</si>
  <si>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</si>
  <si>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Fredun Pharmaceuticals Ltd.</t>
  </si>
  <si>
    <t>DATE</t>
  </si>
  <si>
    <t>ADJCLOSE</t>
  </si>
  <si>
    <t>ADJHIGH</t>
  </si>
  <si>
    <t>ADJLOW</t>
  </si>
  <si>
    <t>ADJOPEN</t>
  </si>
  <si>
    <t>CLOSE</t>
  </si>
  <si>
    <t>VOLUME</t>
  </si>
  <si>
    <t>YOY%</t>
  </si>
  <si>
    <t>Sales</t>
  </si>
  <si>
    <t>Direct Export</t>
  </si>
  <si>
    <t>Third party and Tolling</t>
  </si>
  <si>
    <t>Institutional sales</t>
  </si>
  <si>
    <t>New age ( pet /nutra)</t>
  </si>
  <si>
    <t>Quarter</t>
  </si>
  <si>
    <t>Total Sales</t>
  </si>
  <si>
    <t>Direct Exports (Branded)</t>
  </si>
  <si>
    <t>Institutional Sales</t>
  </si>
  <si>
    <t>Third-Party &amp; Tolling</t>
  </si>
  <si>
    <t>New Age (Pet/Nutra)</t>
  </si>
  <si>
    <t>Q4 FY25</t>
  </si>
  <si>
    <t>Q3 FY25</t>
  </si>
  <si>
    <t>Q2 FY25</t>
  </si>
  <si>
    <t>Q1 FY25</t>
  </si>
  <si>
    <t>Q4 FY24</t>
  </si>
  <si>
    <t>Q3 FY24</t>
  </si>
  <si>
    <t>Q2 FY24</t>
  </si>
  <si>
    <t>Q1 FY24</t>
  </si>
  <si>
    <t>Q4 FY23</t>
  </si>
  <si>
    <t>Q3 FY23</t>
  </si>
  <si>
    <t>Q2 FY23</t>
  </si>
  <si>
    <t>Q1 FY23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</si>
</sst>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01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0" fontId="22" fillId="0" borderId="5" xfId="0" applyFont="1" applyBorder="1" applyAlignment="1">
      <alignment horizontal="left" vertical="center" wrapText="1" indent="1" readingOrder="1"/>
    </xf>
    <xf numFmtId="0" fontId="21" fillId="0" borderId="5" xfId="0" applyFont="1" applyBorder="1" applyAlignment="1">
      <alignment horizontal="left" vertical="center" wrapText="1" indent="1" readingOrder="1"/>
    </xf>
    <xf numFmtId="17" fontId="5" fillId="0" borderId="0" xfId="0" applyNumberFormat="1" applyFont="1" applyAlignment="1">
      <alignment horizontal="center"/>
    </xf>
    <xf numFmtId="43" fontId="9" fillId="0" borderId="0" xfId="0" applyNumberFormat="1" applyFont="1"/>
    <xf numFmtId="0" fontId="19" fillId="3" borderId="0" xfId="2" applyNumberFormat="1" applyFont="1" applyFill="1" applyBorder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65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18" sqref="DF18:DF26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86" t="s">
        <v>524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158" customFormat="1" x14ac:dyDescent="0.2">
      <c r="A4" s="155" t="s">
        <v>525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>
        <v>4.28</v>
      </c>
      <c r="BX4" s="156">
        <v>7.57</v>
      </c>
      <c r="BY4" s="156">
        <v>9.32</v>
      </c>
      <c r="BZ4" s="156">
        <v>10.37</v>
      </c>
      <c r="CA4" s="156">
        <v>9.6300000000000008</v>
      </c>
      <c r="CB4" s="156">
        <v>12.59</v>
      </c>
      <c r="CC4" s="156">
        <v>14.82</v>
      </c>
      <c r="CD4" s="156">
        <v>22.42</v>
      </c>
      <c r="CE4" s="156">
        <v>16.62</v>
      </c>
      <c r="CF4" s="156">
        <v>24.53</v>
      </c>
      <c r="CG4" s="156">
        <v>25.73</v>
      </c>
      <c r="CH4" s="156">
        <v>41.85</v>
      </c>
      <c r="CI4" s="156">
        <v>30</v>
      </c>
      <c r="CJ4" s="156">
        <v>36</v>
      </c>
      <c r="CK4" s="156">
        <v>40</v>
      </c>
      <c r="CL4" s="157">
        <f>CH4+(CH4*CL11)</f>
        <v>50.22</v>
      </c>
      <c r="CM4" s="157">
        <f t="shared" ref="CM4:DB7" si="33">CI4+(CI4*CM11)</f>
        <v>36</v>
      </c>
      <c r="CN4" s="157">
        <f t="shared" si="33"/>
        <v>43.2</v>
      </c>
      <c r="CO4" s="157">
        <f t="shared" si="33"/>
        <v>48</v>
      </c>
      <c r="CP4" s="157">
        <f t="shared" si="33"/>
        <v>60.263999999999996</v>
      </c>
      <c r="CQ4" s="157">
        <f t="shared" si="33"/>
        <v>43.2</v>
      </c>
      <c r="CR4" s="157">
        <f t="shared" si="33"/>
        <v>51.84</v>
      </c>
      <c r="CS4" s="157">
        <f t="shared" si="33"/>
        <v>57.6</v>
      </c>
      <c r="CT4" s="157">
        <f t="shared" si="33"/>
        <v>72.316800000000001</v>
      </c>
      <c r="CU4" s="157">
        <f t="shared" si="33"/>
        <v>51.84</v>
      </c>
      <c r="CV4" s="157">
        <f t="shared" si="33"/>
        <v>62.208000000000006</v>
      </c>
      <c r="CW4" s="157">
        <f t="shared" si="33"/>
        <v>69.12</v>
      </c>
      <c r="CX4" s="157">
        <f t="shared" si="33"/>
        <v>86.780159999999995</v>
      </c>
      <c r="CY4" s="157">
        <f t="shared" si="33"/>
        <v>62.208000000000006</v>
      </c>
      <c r="CZ4" s="157">
        <f t="shared" si="33"/>
        <v>74.649600000000007</v>
      </c>
      <c r="DA4" s="157">
        <f t="shared" si="33"/>
        <v>82.944000000000003</v>
      </c>
      <c r="DB4" s="157">
        <f t="shared" si="33"/>
        <v>104.13619199999999</v>
      </c>
      <c r="DE4" s="159"/>
      <c r="DF4" s="158">
        <v>50.22</v>
      </c>
    </row>
    <row r="5" spans="1:110" s="158" customFormat="1" x14ac:dyDescent="0.2">
      <c r="A5" s="155" t="s">
        <v>526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>
        <v>38.950000000000003</v>
      </c>
      <c r="BX5" s="156">
        <v>53.01</v>
      </c>
      <c r="BY5" s="156">
        <v>56.68</v>
      </c>
      <c r="BZ5" s="156">
        <v>53.47</v>
      </c>
      <c r="CA5" s="156">
        <v>39.159999999999997</v>
      </c>
      <c r="CB5" s="156">
        <v>46.43</v>
      </c>
      <c r="CC5" s="156">
        <v>48.83</v>
      </c>
      <c r="CD5" s="156">
        <v>62.54</v>
      </c>
      <c r="CE5" s="156">
        <v>36.39</v>
      </c>
      <c r="CF5" s="156">
        <v>44.79</v>
      </c>
      <c r="CG5" s="156">
        <v>36.020000000000003</v>
      </c>
      <c r="CH5" s="156">
        <v>58.59</v>
      </c>
      <c r="CI5" s="156">
        <v>45</v>
      </c>
      <c r="CJ5" s="156">
        <v>52</v>
      </c>
      <c r="CK5" s="156">
        <v>55</v>
      </c>
      <c r="CL5" s="157">
        <f t="shared" ref="CL5:CL7" si="34">CH5+(CH5*CL12)</f>
        <v>70.308000000000007</v>
      </c>
      <c r="CM5" s="157">
        <f t="shared" si="33"/>
        <v>54</v>
      </c>
      <c r="CN5" s="157">
        <f t="shared" si="33"/>
        <v>62.4</v>
      </c>
      <c r="CO5" s="157">
        <f t="shared" si="33"/>
        <v>66</v>
      </c>
      <c r="CP5" s="157">
        <f t="shared" si="33"/>
        <v>84.369600000000005</v>
      </c>
      <c r="CQ5" s="157">
        <f t="shared" si="33"/>
        <v>64.8</v>
      </c>
      <c r="CR5" s="157">
        <f t="shared" si="33"/>
        <v>74.88</v>
      </c>
      <c r="CS5" s="157">
        <f t="shared" si="33"/>
        <v>79.2</v>
      </c>
      <c r="CT5" s="157">
        <f t="shared" si="33"/>
        <v>101.24352</v>
      </c>
      <c r="CU5" s="157">
        <f t="shared" si="33"/>
        <v>77.759999999999991</v>
      </c>
      <c r="CV5" s="157">
        <f t="shared" si="33"/>
        <v>89.855999999999995</v>
      </c>
      <c r="CW5" s="157">
        <f t="shared" si="33"/>
        <v>95.04</v>
      </c>
      <c r="CX5" s="157">
        <f t="shared" si="33"/>
        <v>121.49222400000001</v>
      </c>
      <c r="CY5" s="157">
        <f t="shared" si="33"/>
        <v>93.311999999999983</v>
      </c>
      <c r="CZ5" s="157">
        <f t="shared" si="33"/>
        <v>107.82719999999999</v>
      </c>
      <c r="DA5" s="157">
        <f t="shared" si="33"/>
        <v>114.048</v>
      </c>
      <c r="DB5" s="157">
        <f t="shared" si="33"/>
        <v>145.79066880000002</v>
      </c>
      <c r="DE5" s="159"/>
      <c r="DF5" s="158">
        <v>70.308000000000007</v>
      </c>
    </row>
    <row r="6" spans="1:110" s="158" customFormat="1" x14ac:dyDescent="0.2">
      <c r="A6" s="155" t="s">
        <v>527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>
        <v>0.95</v>
      </c>
      <c r="BX6" s="156">
        <v>2.0699999999999998</v>
      </c>
      <c r="BY6" s="156">
        <v>3.11</v>
      </c>
      <c r="BZ6" s="156">
        <v>3.99</v>
      </c>
      <c r="CA6" s="156">
        <v>4.49</v>
      </c>
      <c r="CB6" s="156">
        <v>5.51</v>
      </c>
      <c r="CC6" s="156">
        <v>6.1</v>
      </c>
      <c r="CD6" s="156">
        <v>7.08</v>
      </c>
      <c r="CE6" s="156">
        <v>6.33</v>
      </c>
      <c r="CF6" s="156">
        <v>9.6</v>
      </c>
      <c r="CG6" s="156">
        <v>10.29</v>
      </c>
      <c r="CH6" s="156">
        <v>16.739999999999998</v>
      </c>
      <c r="CI6" s="156">
        <v>10</v>
      </c>
      <c r="CJ6" s="156">
        <v>14</v>
      </c>
      <c r="CK6" s="156">
        <v>15</v>
      </c>
      <c r="CL6" s="157">
        <f t="shared" si="34"/>
        <v>21.761999999999997</v>
      </c>
      <c r="CM6" s="157">
        <f t="shared" si="33"/>
        <v>13</v>
      </c>
      <c r="CN6" s="157">
        <f t="shared" si="33"/>
        <v>18.2</v>
      </c>
      <c r="CO6" s="157">
        <f t="shared" si="33"/>
        <v>19.5</v>
      </c>
      <c r="CP6" s="157">
        <f t="shared" si="33"/>
        <v>28.290599999999998</v>
      </c>
      <c r="CQ6" s="157">
        <f t="shared" si="33"/>
        <v>16.899999999999999</v>
      </c>
      <c r="CR6" s="157">
        <f t="shared" si="33"/>
        <v>23.66</v>
      </c>
      <c r="CS6" s="157">
        <f t="shared" si="33"/>
        <v>25.35</v>
      </c>
      <c r="CT6" s="157">
        <f t="shared" si="33"/>
        <v>36.777779999999993</v>
      </c>
      <c r="CU6" s="157">
        <f t="shared" si="33"/>
        <v>21.97</v>
      </c>
      <c r="CV6" s="157">
        <f t="shared" si="33"/>
        <v>30.757999999999999</v>
      </c>
      <c r="CW6" s="157">
        <f t="shared" si="33"/>
        <v>32.954999999999998</v>
      </c>
      <c r="CX6" s="157">
        <f t="shared" si="33"/>
        <v>47.811113999999989</v>
      </c>
      <c r="CY6" s="157">
        <f t="shared" si="33"/>
        <v>28.561</v>
      </c>
      <c r="CZ6" s="157">
        <f t="shared" si="33"/>
        <v>39.985399999999998</v>
      </c>
      <c r="DA6" s="157">
        <f t="shared" si="33"/>
        <v>42.841499999999996</v>
      </c>
      <c r="DB6" s="157">
        <f t="shared" si="33"/>
        <v>62.154448199999983</v>
      </c>
      <c r="DE6" s="159"/>
      <c r="DF6" s="158">
        <v>21.761999999999997</v>
      </c>
    </row>
    <row r="7" spans="1:110" s="158" customFormat="1" x14ac:dyDescent="0.2">
      <c r="A7" s="155" t="s">
        <v>528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>
        <v>3.33</v>
      </c>
      <c r="BX7" s="156">
        <v>6.19</v>
      </c>
      <c r="BY7" s="156">
        <v>8.5399999999999991</v>
      </c>
      <c r="BZ7" s="156">
        <v>11.97</v>
      </c>
      <c r="CA7" s="156">
        <v>10.91</v>
      </c>
      <c r="CB7" s="156">
        <v>14.17</v>
      </c>
      <c r="CC7" s="156">
        <v>17.440000000000001</v>
      </c>
      <c r="CD7" s="156">
        <v>25.96</v>
      </c>
      <c r="CE7" s="156">
        <v>19.78</v>
      </c>
      <c r="CF7" s="156">
        <v>27.73</v>
      </c>
      <c r="CG7" s="156">
        <v>30.87</v>
      </c>
      <c r="CH7" s="156">
        <v>50.22</v>
      </c>
      <c r="CI7" s="156">
        <v>35</v>
      </c>
      <c r="CJ7" s="156">
        <v>43</v>
      </c>
      <c r="CK7" s="156">
        <v>50</v>
      </c>
      <c r="CL7" s="157">
        <f t="shared" si="34"/>
        <v>75.33</v>
      </c>
      <c r="CM7" s="157">
        <f t="shared" si="33"/>
        <v>52.5</v>
      </c>
      <c r="CN7" s="157">
        <f t="shared" si="33"/>
        <v>64.5</v>
      </c>
      <c r="CO7" s="157">
        <f t="shared" si="33"/>
        <v>75</v>
      </c>
      <c r="CP7" s="157">
        <f t="shared" si="33"/>
        <v>112.995</v>
      </c>
      <c r="CQ7" s="157">
        <f t="shared" si="33"/>
        <v>78.75</v>
      </c>
      <c r="CR7" s="157">
        <f t="shared" si="33"/>
        <v>96.75</v>
      </c>
      <c r="CS7" s="157">
        <f t="shared" si="33"/>
        <v>112.5</v>
      </c>
      <c r="CT7" s="157">
        <f t="shared" si="33"/>
        <v>169.49250000000001</v>
      </c>
      <c r="CU7" s="157">
        <f t="shared" si="33"/>
        <v>118.125</v>
      </c>
      <c r="CV7" s="157">
        <f t="shared" si="33"/>
        <v>145.125</v>
      </c>
      <c r="CW7" s="157">
        <f t="shared" si="33"/>
        <v>168.75</v>
      </c>
      <c r="CX7" s="157">
        <f t="shared" si="33"/>
        <v>254.23875000000001</v>
      </c>
      <c r="CY7" s="157">
        <f t="shared" si="33"/>
        <v>177.1875</v>
      </c>
      <c r="CZ7" s="157">
        <f t="shared" si="33"/>
        <v>217.6875</v>
      </c>
      <c r="DA7" s="157">
        <f t="shared" si="33"/>
        <v>253.125</v>
      </c>
      <c r="DB7" s="157">
        <f t="shared" si="33"/>
        <v>381.35812500000003</v>
      </c>
      <c r="DE7" s="159"/>
      <c r="DF7" s="158">
        <v>75.33</v>
      </c>
    </row>
    <row r="8" spans="1:110" s="109" customFormat="1" x14ac:dyDescent="0.2">
      <c r="A8" s="186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8"/>
      <c r="AB8" s="108"/>
      <c r="AC8" s="108"/>
      <c r="AD8" s="108"/>
      <c r="AE8" s="108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>
        <f t="shared" ref="BW8:CH8" si="35">SUM(BW4:BW7)</f>
        <v>47.510000000000005</v>
      </c>
      <c r="BX8" s="107">
        <f t="shared" si="35"/>
        <v>68.84</v>
      </c>
      <c r="BY8" s="107">
        <f t="shared" si="35"/>
        <v>77.650000000000006</v>
      </c>
      <c r="BZ8" s="107">
        <f t="shared" si="35"/>
        <v>79.8</v>
      </c>
      <c r="CA8" s="107">
        <f t="shared" si="35"/>
        <v>64.19</v>
      </c>
      <c r="CB8" s="107">
        <f t="shared" si="35"/>
        <v>78.7</v>
      </c>
      <c r="CC8" s="107">
        <f t="shared" si="35"/>
        <v>87.19</v>
      </c>
      <c r="CD8" s="107">
        <f t="shared" si="35"/>
        <v>118</v>
      </c>
      <c r="CE8" s="107">
        <f t="shared" si="35"/>
        <v>79.12</v>
      </c>
      <c r="CF8" s="107">
        <f t="shared" si="35"/>
        <v>106.64999999999999</v>
      </c>
      <c r="CG8" s="107">
        <f t="shared" si="35"/>
        <v>102.91</v>
      </c>
      <c r="CH8" s="107">
        <f t="shared" si="35"/>
        <v>167.39999999999998</v>
      </c>
      <c r="CI8" s="107">
        <f>SUM(CI4:CI7)</f>
        <v>120</v>
      </c>
      <c r="CJ8" s="107">
        <f t="shared" ref="CJ8:CK8" si="36">SUM(CJ4:CJ7)</f>
        <v>145</v>
      </c>
      <c r="CK8" s="107">
        <f t="shared" si="36"/>
        <v>160</v>
      </c>
      <c r="CL8" s="108">
        <f t="shared" ref="CL8" si="37">SUM(CL4:CL7)</f>
        <v>217.62</v>
      </c>
      <c r="CM8" s="108">
        <f t="shared" ref="CM8" si="38">SUM(CM4:CM7)</f>
        <v>155.5</v>
      </c>
      <c r="CN8" s="108">
        <f t="shared" ref="CN8" si="39">SUM(CN4:CN7)</f>
        <v>188.3</v>
      </c>
      <c r="CO8" s="108">
        <f t="shared" ref="CO8" si="40">SUM(CO4:CO7)</f>
        <v>208.5</v>
      </c>
      <c r="CP8" s="108">
        <f t="shared" ref="CP8" si="41">SUM(CP4:CP7)</f>
        <v>285.91919999999999</v>
      </c>
      <c r="CQ8" s="108">
        <f t="shared" ref="CQ8" si="42">SUM(CQ4:CQ7)</f>
        <v>203.65</v>
      </c>
      <c r="CR8" s="108">
        <f t="shared" ref="CR8" si="43">SUM(CR4:CR7)</f>
        <v>247.13</v>
      </c>
      <c r="CS8" s="108">
        <f t="shared" ref="CS8" si="44">SUM(CS4:CS7)</f>
        <v>274.64999999999998</v>
      </c>
      <c r="CT8" s="108">
        <f t="shared" ref="CT8" si="45">SUM(CT4:CT7)</f>
        <v>379.8306</v>
      </c>
      <c r="CU8" s="108">
        <f t="shared" ref="CU8" si="46">SUM(CU4:CU7)</f>
        <v>269.69499999999999</v>
      </c>
      <c r="CV8" s="108">
        <f t="shared" ref="CV8" si="47">SUM(CV4:CV7)</f>
        <v>327.947</v>
      </c>
      <c r="CW8" s="108">
        <f t="shared" ref="CW8" si="48">SUM(CW4:CW7)</f>
        <v>365.86500000000001</v>
      </c>
      <c r="CX8" s="108">
        <f t="shared" ref="CX8" si="49">SUM(CX4:CX7)</f>
        <v>510.32224799999995</v>
      </c>
      <c r="CY8" s="108">
        <f t="shared" ref="CY8" si="50">SUM(CY4:CY7)</f>
        <v>361.26850000000002</v>
      </c>
      <c r="CZ8" s="108">
        <f t="shared" ref="CZ8" si="51">SUM(CZ4:CZ7)</f>
        <v>440.1497</v>
      </c>
      <c r="DA8" s="108">
        <f t="shared" ref="DA8" si="52">SUM(DA4:DA7)</f>
        <v>492.95850000000002</v>
      </c>
      <c r="DB8" s="108">
        <f t="shared" ref="DB8" si="53">SUM(DB4:DB7)</f>
        <v>693.43943400000001</v>
      </c>
      <c r="DE8" s="117"/>
      <c r="DF8" s="109">
        <v>217.62</v>
      </c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523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6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90" customFormat="1" x14ac:dyDescent="0.2">
      <c r="A11" s="187" t="s">
        <v>525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9"/>
      <c r="AB11" s="189"/>
      <c r="AC11" s="189"/>
      <c r="AD11" s="189"/>
      <c r="AE11" s="189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8"/>
      <c r="CA11" s="192">
        <f>CA4/BW4-1</f>
        <v>1.25</v>
      </c>
      <c r="CB11" s="192">
        <f t="shared" ref="CB11:CK14" si="54">CB4/BX4-1</f>
        <v>0.66314398943196817</v>
      </c>
      <c r="CC11" s="192">
        <f t="shared" si="54"/>
        <v>0.59012875536480691</v>
      </c>
      <c r="CD11" s="192">
        <f t="shared" si="54"/>
        <v>1.1620057859209263</v>
      </c>
      <c r="CE11" s="192">
        <f t="shared" si="54"/>
        <v>0.72585669781931461</v>
      </c>
      <c r="CF11" s="192">
        <f t="shared" si="54"/>
        <v>0.94837172359015098</v>
      </c>
      <c r="CG11" s="192">
        <f t="shared" si="54"/>
        <v>0.73616734143049922</v>
      </c>
      <c r="CH11" s="192">
        <f t="shared" si="54"/>
        <v>0.86663693131132913</v>
      </c>
      <c r="CI11" s="192">
        <f t="shared" si="54"/>
        <v>0.80505415162454863</v>
      </c>
      <c r="CJ11" s="192">
        <f t="shared" si="54"/>
        <v>0.46759070525886659</v>
      </c>
      <c r="CK11" s="192">
        <f t="shared" si="54"/>
        <v>0.55460551884959197</v>
      </c>
      <c r="CL11" s="189">
        <v>0.2</v>
      </c>
      <c r="CM11" s="189">
        <v>0.2</v>
      </c>
      <c r="CN11" s="189">
        <v>0.2</v>
      </c>
      <c r="CO11" s="189">
        <v>0.2</v>
      </c>
      <c r="CP11" s="189">
        <v>0.2</v>
      </c>
      <c r="CQ11" s="189">
        <v>0.2</v>
      </c>
      <c r="CR11" s="189">
        <v>0.2</v>
      </c>
      <c r="CS11" s="189">
        <v>0.2</v>
      </c>
      <c r="CT11" s="189">
        <v>0.2</v>
      </c>
      <c r="CU11" s="189">
        <v>0.2</v>
      </c>
      <c r="CV11" s="189">
        <v>0.2</v>
      </c>
      <c r="CW11" s="189">
        <v>0.2</v>
      </c>
      <c r="CX11" s="189">
        <v>0.2</v>
      </c>
      <c r="CY11" s="189">
        <v>0.2</v>
      </c>
      <c r="CZ11" s="189">
        <v>0.2</v>
      </c>
      <c r="DA11" s="189">
        <v>0.2</v>
      </c>
      <c r="DB11" s="189">
        <v>0.2</v>
      </c>
      <c r="DE11" s="191"/>
      <c r="DF11" s="190">
        <v>0.2</v>
      </c>
    </row>
    <row r="12" spans="1:110" s="190" customFormat="1" x14ac:dyDescent="0.2">
      <c r="A12" s="187" t="s">
        <v>526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9"/>
      <c r="AB12" s="189"/>
      <c r="AC12" s="189"/>
      <c r="AD12" s="189"/>
      <c r="AE12" s="189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W12" s="188"/>
      <c r="BX12" s="188"/>
      <c r="BY12" s="188"/>
      <c r="BZ12" s="188"/>
      <c r="CA12" s="192">
        <f t="shared" ref="CA12:CA14" si="55">CA5/BW5-1</f>
        <v>5.3915275994864675E-3</v>
      </c>
      <c r="CB12" s="192">
        <f t="shared" si="54"/>
        <v>-0.12412752310884734</v>
      </c>
      <c r="CC12" s="192">
        <f t="shared" si="54"/>
        <v>-0.13849682427664078</v>
      </c>
      <c r="CD12" s="192">
        <f t="shared" si="54"/>
        <v>0.16962782868898452</v>
      </c>
      <c r="CE12" s="192">
        <f t="shared" si="54"/>
        <v>-7.0735444330949804E-2</v>
      </c>
      <c r="CF12" s="192">
        <f t="shared" si="54"/>
        <v>-3.5321990092612499E-2</v>
      </c>
      <c r="CG12" s="192">
        <f t="shared" si="54"/>
        <v>-0.2623387261929141</v>
      </c>
      <c r="CH12" s="192">
        <f t="shared" si="54"/>
        <v>-6.3159577870163019E-2</v>
      </c>
      <c r="CI12" s="192">
        <f t="shared" si="54"/>
        <v>0.23660346248969488</v>
      </c>
      <c r="CJ12" s="192">
        <f t="shared" si="54"/>
        <v>0.1609734315695468</v>
      </c>
      <c r="CK12" s="192">
        <f t="shared" si="54"/>
        <v>0.52692948362021097</v>
      </c>
      <c r="CL12" s="189">
        <v>0.2</v>
      </c>
      <c r="CM12" s="189">
        <v>0.2</v>
      </c>
      <c r="CN12" s="189">
        <v>0.2</v>
      </c>
      <c r="CO12" s="189">
        <v>0.2</v>
      </c>
      <c r="CP12" s="189">
        <v>0.2</v>
      </c>
      <c r="CQ12" s="189">
        <v>0.2</v>
      </c>
      <c r="CR12" s="189">
        <v>0.2</v>
      </c>
      <c r="CS12" s="189">
        <v>0.2</v>
      </c>
      <c r="CT12" s="189">
        <v>0.2</v>
      </c>
      <c r="CU12" s="189">
        <v>0.2</v>
      </c>
      <c r="CV12" s="189">
        <v>0.2</v>
      </c>
      <c r="CW12" s="189">
        <v>0.2</v>
      </c>
      <c r="CX12" s="189">
        <v>0.2</v>
      </c>
      <c r="CY12" s="189">
        <v>0.2</v>
      </c>
      <c r="CZ12" s="189">
        <v>0.2</v>
      </c>
      <c r="DA12" s="189">
        <v>0.2</v>
      </c>
      <c r="DB12" s="189">
        <v>0.2</v>
      </c>
      <c r="DE12" s="191"/>
      <c r="DF12" s="190">
        <v>0.2</v>
      </c>
    </row>
    <row r="13" spans="1:110" s="190" customFormat="1" x14ac:dyDescent="0.2">
      <c r="A13" s="187" t="s">
        <v>527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9"/>
      <c r="AB13" s="189"/>
      <c r="AC13" s="189"/>
      <c r="AD13" s="189"/>
      <c r="AE13" s="189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  <c r="BP13" s="188"/>
      <c r="BQ13" s="188"/>
      <c r="BR13" s="188"/>
      <c r="BS13" s="188"/>
      <c r="BT13" s="188"/>
      <c r="BU13" s="188"/>
      <c r="BV13" s="188"/>
      <c r="BW13" s="188"/>
      <c r="BX13" s="188"/>
      <c r="BY13" s="188"/>
      <c r="BZ13" s="188"/>
      <c r="CA13" s="192">
        <f t="shared" si="55"/>
        <v>3.7263157894736842</v>
      </c>
      <c r="CB13" s="192">
        <f t="shared" si="54"/>
        <v>1.6618357487922708</v>
      </c>
      <c r="CC13" s="192">
        <f t="shared" si="54"/>
        <v>0.96141479099678451</v>
      </c>
      <c r="CD13" s="192">
        <f t="shared" si="54"/>
        <v>0.77443609022556381</v>
      </c>
      <c r="CE13" s="192">
        <f t="shared" si="54"/>
        <v>0.40979955456570161</v>
      </c>
      <c r="CF13" s="192">
        <f t="shared" si="54"/>
        <v>0.74228675136116151</v>
      </c>
      <c r="CG13" s="192">
        <f t="shared" si="54"/>
        <v>0.68688524590163924</v>
      </c>
      <c r="CH13" s="192">
        <f t="shared" si="54"/>
        <v>1.3644067796610169</v>
      </c>
      <c r="CI13" s="192">
        <f t="shared" si="54"/>
        <v>0.57977883096366511</v>
      </c>
      <c r="CJ13" s="192">
        <f t="shared" si="54"/>
        <v>0.45833333333333348</v>
      </c>
      <c r="CK13" s="192">
        <f t="shared" si="54"/>
        <v>0.45772594752186602</v>
      </c>
      <c r="CL13" s="189">
        <v>0.3</v>
      </c>
      <c r="CM13" s="189">
        <v>0.3</v>
      </c>
      <c r="CN13" s="189">
        <v>0.3</v>
      </c>
      <c r="CO13" s="189">
        <v>0.3</v>
      </c>
      <c r="CP13" s="189">
        <v>0.3</v>
      </c>
      <c r="CQ13" s="189">
        <v>0.3</v>
      </c>
      <c r="CR13" s="189">
        <v>0.3</v>
      </c>
      <c r="CS13" s="189">
        <v>0.3</v>
      </c>
      <c r="CT13" s="189">
        <v>0.3</v>
      </c>
      <c r="CU13" s="189">
        <v>0.3</v>
      </c>
      <c r="CV13" s="189">
        <v>0.3</v>
      </c>
      <c r="CW13" s="189">
        <v>0.3</v>
      </c>
      <c r="CX13" s="189">
        <v>0.3</v>
      </c>
      <c r="CY13" s="189">
        <v>0.3</v>
      </c>
      <c r="CZ13" s="189">
        <v>0.3</v>
      </c>
      <c r="DA13" s="189">
        <v>0.3</v>
      </c>
      <c r="DB13" s="189">
        <v>0.3</v>
      </c>
      <c r="DE13" s="191"/>
      <c r="DF13" s="190">
        <v>0.3</v>
      </c>
    </row>
    <row r="14" spans="1:110" s="190" customFormat="1" x14ac:dyDescent="0.2">
      <c r="A14" s="187" t="s">
        <v>528</v>
      </c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9"/>
      <c r="AB14" s="189"/>
      <c r="AC14" s="189"/>
      <c r="AD14" s="189"/>
      <c r="AE14" s="189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  <c r="BP14" s="188"/>
      <c r="BQ14" s="188"/>
      <c r="BR14" s="188"/>
      <c r="BS14" s="188"/>
      <c r="BT14" s="188"/>
      <c r="BU14" s="188"/>
      <c r="BV14" s="188"/>
      <c r="BW14" s="188"/>
      <c r="BX14" s="188"/>
      <c r="BY14" s="188"/>
      <c r="BZ14" s="188"/>
      <c r="CA14" s="192">
        <f t="shared" si="55"/>
        <v>2.2762762762762763</v>
      </c>
      <c r="CB14" s="192">
        <f t="shared" si="54"/>
        <v>1.2891760904684975</v>
      </c>
      <c r="CC14" s="192">
        <f t="shared" si="54"/>
        <v>1.0421545667447312</v>
      </c>
      <c r="CD14" s="192">
        <f t="shared" si="54"/>
        <v>1.1687552213868004</v>
      </c>
      <c r="CE14" s="192">
        <f t="shared" si="54"/>
        <v>0.8130155820348306</v>
      </c>
      <c r="CF14" s="192">
        <f t="shared" si="54"/>
        <v>0.95695130557515884</v>
      </c>
      <c r="CG14" s="192">
        <f t="shared" si="54"/>
        <v>0.77006880733944949</v>
      </c>
      <c r="CH14" s="192">
        <f t="shared" si="54"/>
        <v>0.9345146379044682</v>
      </c>
      <c r="CI14" s="192">
        <f t="shared" si="54"/>
        <v>0.76946410515672392</v>
      </c>
      <c r="CJ14" s="192">
        <f t="shared" si="54"/>
        <v>0.55066714749368906</v>
      </c>
      <c r="CK14" s="192">
        <f t="shared" si="54"/>
        <v>0.61969549724651762</v>
      </c>
      <c r="CL14" s="189">
        <v>0.5</v>
      </c>
      <c r="CM14" s="189">
        <v>0.5</v>
      </c>
      <c r="CN14" s="189">
        <v>0.5</v>
      </c>
      <c r="CO14" s="189">
        <v>0.5</v>
      </c>
      <c r="CP14" s="189">
        <v>0.5</v>
      </c>
      <c r="CQ14" s="189">
        <v>0.5</v>
      </c>
      <c r="CR14" s="189">
        <v>0.5</v>
      </c>
      <c r="CS14" s="189">
        <v>0.5</v>
      </c>
      <c r="CT14" s="189">
        <v>0.5</v>
      </c>
      <c r="CU14" s="189">
        <v>0.5</v>
      </c>
      <c r="CV14" s="189">
        <v>0.5</v>
      </c>
      <c r="CW14" s="189">
        <v>0.5</v>
      </c>
      <c r="CX14" s="189">
        <v>0.5</v>
      </c>
      <c r="CY14" s="189">
        <v>0.5</v>
      </c>
      <c r="CZ14" s="189">
        <v>0.5</v>
      </c>
      <c r="DA14" s="189">
        <v>0.5</v>
      </c>
      <c r="DB14" s="189">
        <v>0.5</v>
      </c>
      <c r="DE14" s="191"/>
      <c r="DF14" s="190">
        <v>0.5</v>
      </c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/>
      <c r="CD16" s="156"/>
      <c r="CE16" s="156"/>
      <c r="CF16" s="156"/>
      <c r="CG16" s="156"/>
      <c r="CH16" s="156"/>
      <c r="CI16" s="156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06" customFormat="1" x14ac:dyDescent="0.2">
      <c r="A17" s="151" t="s">
        <v>500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5"/>
      <c r="AB17" s="105"/>
      <c r="AC17" s="105"/>
      <c r="AD17" s="105"/>
      <c r="AE17" s="105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E17" s="118"/>
    </row>
    <row r="18" spans="1:110" s="106" customFormat="1" x14ac:dyDescent="0.2">
      <c r="A18" s="151" t="s">
        <v>485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05"/>
      <c r="AC18" s="105"/>
      <c r="AD18" s="105"/>
      <c r="AE18" s="105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60"/>
      <c r="CK18" s="160"/>
      <c r="CL18" s="160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E18" s="118"/>
    </row>
    <row r="19" spans="1:110" s="25" customFormat="1" outlineLevel="1" x14ac:dyDescent="0.2">
      <c r="A19" s="25" t="s">
        <v>430</v>
      </c>
      <c r="B19" s="25" t="e">
        <f ca="1">'Annual Raw'!C6</f>
        <v>#NAME?</v>
      </c>
      <c r="C19" s="25" t="e">
        <f ca="1">'Annual Raw'!D6</f>
        <v>#NAME?</v>
      </c>
      <c r="D19" s="25" t="e">
        <f ca="1">'Annual Raw'!E6</f>
        <v>#NAME?</v>
      </c>
      <c r="E19" s="25" t="e">
        <f ca="1">'Annual Raw'!F6</f>
        <v>#NAME?</v>
      </c>
      <c r="F19" s="25" t="e">
        <f ca="1">'Annual Raw'!G6</f>
        <v>#NAME?</v>
      </c>
      <c r="G19" s="25" t="e">
        <f ca="1">'Annual Raw'!H6</f>
        <v>#NAME?</v>
      </c>
      <c r="H19" s="25" t="e">
        <f ca="1">'Annual Raw'!I6</f>
        <v>#NAME?</v>
      </c>
      <c r="I19" s="25" t="e">
        <f ca="1">'Annual Raw'!J6</f>
        <v>#NAME?</v>
      </c>
      <c r="J19" s="25" t="e">
        <f ca="1">'Annual Raw'!K6</f>
        <v>#NAME?</v>
      </c>
      <c r="K19" s="25" t="e">
        <f ca="1">'Annual Raw'!L6</f>
        <v>#NAME?</v>
      </c>
      <c r="L19" s="25" t="e">
        <f ca="1">'Annual Raw'!M6</f>
        <v>#NAME?</v>
      </c>
      <c r="M19" s="25" t="e">
        <f ca="1">'Annual Raw'!N6</f>
        <v>#NAME?</v>
      </c>
      <c r="N19" s="25" t="e">
        <f ca="1">'Annual Raw'!O6</f>
        <v>#NAME?</v>
      </c>
      <c r="O19" s="25" t="e">
        <f ca="1">'Annual Raw'!P6</f>
        <v>#NAME?</v>
      </c>
      <c r="P19" s="25" t="e">
        <f ca="1">'Annual Raw'!Q6</f>
        <v>#NAME?</v>
      </c>
      <c r="Q19" s="25" t="e">
        <f ca="1">'Annual Raw'!R6</f>
        <v>#NAME?</v>
      </c>
      <c r="R19" s="25" t="e">
        <f ca="1">'Annual Raw'!S6</f>
        <v>#NAME?</v>
      </c>
      <c r="S19" s="25" t="e">
        <f ca="1">'Annual Raw'!T6</f>
        <v>#NAME?</v>
      </c>
      <c r="T19" s="25" t="e">
        <f ca="1">'Annual Raw'!U6</f>
        <v>#NAME?</v>
      </c>
      <c r="U19" s="25" t="e">
        <f ca="1">'Annual Raw'!V6</f>
        <v>#NAME?</v>
      </c>
      <c r="V19" s="25" t="e">
        <f ca="1">'Annual Raw'!W6</f>
        <v>#NAME?</v>
      </c>
      <c r="W19" s="25" t="e">
        <f ca="1">'Annual Raw'!X6</f>
        <v>#NAME?</v>
      </c>
      <c r="X19" s="25" t="e">
        <f ca="1">'Annual Raw'!Y6</f>
        <v>#NAME?</v>
      </c>
      <c r="Y19" s="25" t="e">
        <f ca="1">'Annual Raw'!Z6</f>
        <v>#NAME?</v>
      </c>
      <c r="Z19" s="25" t="e">
        <f ca="1">'Annual Raw'!AA6</f>
        <v>#NAME?</v>
      </c>
      <c r="AA19" s="25" t="e">
        <f ca="1">'Annual Raw'!AB6</f>
        <v>#NAME?</v>
      </c>
      <c r="AB19" s="17">
        <f>+SUM(CM19:CP19)</f>
        <v>838.2192</v>
      </c>
      <c r="AC19" s="17">
        <f>+SUM(CQ19:CT19)</f>
        <v>1105.2606000000001</v>
      </c>
      <c r="AD19" s="17">
        <f>+SUM(CU19:CX19)</f>
        <v>1473.829248</v>
      </c>
      <c r="AE19" s="17">
        <f>+SUM(CY19:DB19)</f>
        <v>1987.8161340000001</v>
      </c>
      <c r="AI19" s="25" t="e">
        <f ca="1">'QTR Raw'!C6+'QTR Raw'!C8</f>
        <v>#NAME?</v>
      </c>
      <c r="AJ19" s="25" t="e">
        <f ca="1">'QTR Raw'!D6+'QTR Raw'!D8</f>
        <v>#NAME?</v>
      </c>
      <c r="AK19" s="25" t="e">
        <f ca="1">'QTR Raw'!E6+'QTR Raw'!E8</f>
        <v>#NAME?</v>
      </c>
      <c r="AL19" s="25" t="e">
        <f ca="1">'QTR Raw'!F6+'QTR Raw'!F8</f>
        <v>#NAME?</v>
      </c>
      <c r="AM19" s="25" t="e">
        <f ca="1">'QTR Raw'!G6+'QTR Raw'!G8</f>
        <v>#NAME?</v>
      </c>
      <c r="AN19" s="25" t="e">
        <f ca="1">'QTR Raw'!H6+'QTR Raw'!H8</f>
        <v>#NAME?</v>
      </c>
      <c r="AO19" s="25" t="e">
        <f ca="1">'QTR Raw'!I6+'QTR Raw'!I8</f>
        <v>#NAME?</v>
      </c>
      <c r="AP19" s="25" t="e">
        <f ca="1">'QTR Raw'!J6+'QTR Raw'!J8</f>
        <v>#NAME?</v>
      </c>
      <c r="AQ19" s="25" t="e">
        <f ca="1">'QTR Raw'!K6+'QTR Raw'!K8</f>
        <v>#NAME?</v>
      </c>
      <c r="AR19" s="25" t="e">
        <f ca="1">'QTR Raw'!L6+'QTR Raw'!L8</f>
        <v>#NAME?</v>
      </c>
      <c r="AS19" s="25" t="e">
        <f ca="1">'QTR Raw'!M6+'QTR Raw'!M8</f>
        <v>#NAME?</v>
      </c>
      <c r="AT19" s="25" t="e">
        <f ca="1">'QTR Raw'!N6+'QTR Raw'!N8</f>
        <v>#NAME?</v>
      </c>
      <c r="AU19" s="25" t="e">
        <f ca="1">'QTR Raw'!O6+'QTR Raw'!O8</f>
        <v>#NAME?</v>
      </c>
      <c r="AV19" s="25" t="e">
        <f ca="1">'QTR Raw'!P6+'QTR Raw'!P8</f>
        <v>#NAME?</v>
      </c>
      <c r="AW19" s="25" t="e">
        <f ca="1">'QTR Raw'!Q6+'QTR Raw'!Q8</f>
        <v>#NAME?</v>
      </c>
      <c r="AX19" s="25" t="e">
        <f ca="1">'QTR Raw'!R6+'QTR Raw'!R8</f>
        <v>#NAME?</v>
      </c>
      <c r="AY19" s="25" t="e">
        <f ca="1">'QTR Raw'!S6+'QTR Raw'!S8</f>
        <v>#NAME?</v>
      </c>
      <c r="AZ19" s="25" t="e">
        <f ca="1">'QTR Raw'!T6+'QTR Raw'!T8</f>
        <v>#NAME?</v>
      </c>
      <c r="BA19" s="25" t="e">
        <f ca="1">'QTR Raw'!U6+'QTR Raw'!U8</f>
        <v>#NAME?</v>
      </c>
      <c r="BB19" s="25" t="e">
        <f ca="1">'QTR Raw'!V6+'QTR Raw'!V8</f>
        <v>#NAME?</v>
      </c>
      <c r="BC19" s="25" t="e">
        <f ca="1">'QTR Raw'!W6+'QTR Raw'!W8</f>
        <v>#NAME?</v>
      </c>
      <c r="BD19" s="25" t="e">
        <f ca="1">'QTR Raw'!X6+'QTR Raw'!X8</f>
        <v>#NAME?</v>
      </c>
      <c r="BE19" s="25" t="e">
        <f ca="1">'QTR Raw'!Y6+'QTR Raw'!Y8</f>
        <v>#NAME?</v>
      </c>
      <c r="BF19" s="25" t="e">
        <f ca="1">'QTR Raw'!Z6+'QTR Raw'!Z8</f>
        <v>#NAME?</v>
      </c>
      <c r="BG19" s="25" t="e">
        <f ca="1">'QTR Raw'!AA6+'QTR Raw'!AA8</f>
        <v>#NAME?</v>
      </c>
      <c r="BH19" s="25" t="e">
        <f ca="1">'QTR Raw'!AB6+'QTR Raw'!AB8</f>
        <v>#NAME?</v>
      </c>
      <c r="BI19" s="25" t="e">
        <f ca="1">'QTR Raw'!AC6+'QTR Raw'!AC8</f>
        <v>#NAME?</v>
      </c>
      <c r="BJ19" s="25" t="e">
        <f ca="1">'QTR Raw'!AD6+'QTR Raw'!AD8</f>
        <v>#NAME?</v>
      </c>
      <c r="BK19" s="25" t="e">
        <f ca="1">'QTR Raw'!AE6+'QTR Raw'!AE8</f>
        <v>#NAME?</v>
      </c>
      <c r="BL19" s="25" t="e">
        <f ca="1">'QTR Raw'!AF6+'QTR Raw'!AF8</f>
        <v>#NAME?</v>
      </c>
      <c r="BM19" s="25" t="e">
        <f ca="1">'QTR Raw'!AG6+'QTR Raw'!AG8</f>
        <v>#NAME?</v>
      </c>
      <c r="BN19" s="25" t="e">
        <f ca="1">'QTR Raw'!AH6+'QTR Raw'!AH8</f>
        <v>#NAME?</v>
      </c>
      <c r="BO19" s="25" t="e">
        <f ca="1">'QTR Raw'!AI6+'QTR Raw'!AI8</f>
        <v>#NAME?</v>
      </c>
      <c r="BP19" s="25" t="e">
        <f ca="1">'QTR Raw'!AJ6+'QTR Raw'!AJ8</f>
        <v>#NAME?</v>
      </c>
      <c r="BQ19" s="25" t="e">
        <f ca="1">'QTR Raw'!AK6+'QTR Raw'!AK8</f>
        <v>#NAME?</v>
      </c>
      <c r="BR19" s="25" t="e">
        <f ca="1">'QTR Raw'!AL6+'QTR Raw'!AL8</f>
        <v>#NAME?</v>
      </c>
      <c r="BS19" s="25" t="e">
        <f ca="1">'QTR Raw'!AM6+'QTR Raw'!AM8</f>
        <v>#NAME?</v>
      </c>
      <c r="BT19" s="25" t="e">
        <f ca="1">'QTR Raw'!AN6+'QTR Raw'!AN8</f>
        <v>#NAME?</v>
      </c>
      <c r="BU19" s="25" t="e">
        <f ca="1">'QTR Raw'!AO6+'QTR Raw'!AO8</f>
        <v>#NAME?</v>
      </c>
      <c r="BV19" s="25" t="e">
        <f ca="1">'QTR Raw'!AP6+'QTR Raw'!AP8</f>
        <v>#NAME?</v>
      </c>
      <c r="BW19" s="25" t="e">
        <f ca="1">'QTR Raw'!AQ6+'QTR Raw'!AQ8</f>
        <v>#NAME?</v>
      </c>
      <c r="BX19" s="25" t="e">
        <f ca="1">'QTR Raw'!AR6+'QTR Raw'!AR8</f>
        <v>#NAME?</v>
      </c>
      <c r="BY19" s="25" t="e">
        <f ca="1">'QTR Raw'!AS6+'QTR Raw'!AS8</f>
        <v>#NAME?</v>
      </c>
      <c r="BZ19" s="25" t="e">
        <f ca="1">'QTR Raw'!AT6+'QTR Raw'!AT8</f>
        <v>#NAME?</v>
      </c>
      <c r="CA19" s="25" t="e">
        <f ca="1">'QTR Raw'!AU6+'QTR Raw'!AU8</f>
        <v>#NAME?</v>
      </c>
      <c r="CB19" s="25" t="e">
        <f ca="1">'QTR Raw'!AV6+'QTR Raw'!AV8</f>
        <v>#NAME?</v>
      </c>
      <c r="CC19" s="25" t="e">
        <f ca="1">'QTR Raw'!AW6+'QTR Raw'!AW8</f>
        <v>#NAME?</v>
      </c>
      <c r="CD19" s="25" t="e">
        <f ca="1">'QTR Raw'!AX6+'QTR Raw'!AX8</f>
        <v>#NAME?</v>
      </c>
      <c r="CE19" s="25" t="e">
        <f ca="1">'QTR Raw'!AY6+'QTR Raw'!AY8</f>
        <v>#NAME?</v>
      </c>
      <c r="CF19" s="25" t="e">
        <f ca="1">'QTR Raw'!AZ6+'QTR Raw'!AZ8</f>
        <v>#NAME?</v>
      </c>
      <c r="CG19" s="25">
        <v>102.69699999999999</v>
      </c>
      <c r="CH19" s="25" t="e">
        <f ca="1">'QTR Raw'!BB6+'QTR Raw'!BB8</f>
        <v>#NAME?</v>
      </c>
      <c r="CI19" s="25" t="e">
        <f ca="1">'QTR Raw'!BC6+'QTR Raw'!BC8</f>
        <v>#NAME?</v>
      </c>
      <c r="CJ19" s="25" t="e">
        <f ca="1">'QTR Raw'!BD6+'QTR Raw'!BD8</f>
        <v>#NAME?</v>
      </c>
      <c r="CK19" s="25" t="e">
        <f ca="1">'QTR Raw'!BE6+'QTR Raw'!BE8</f>
        <v>#NAME?</v>
      </c>
      <c r="CL19" s="25" t="e">
        <f ca="1">'QTR Raw'!BF6+'QTR Raw'!BF8</f>
        <v>#NAME?</v>
      </c>
      <c r="CM19" s="17">
        <f t="shared" ref="CM19:DB19" si="56">CM8</f>
        <v>155.5</v>
      </c>
      <c r="CN19" s="17">
        <f t="shared" si="56"/>
        <v>188.3</v>
      </c>
      <c r="CO19" s="17">
        <f t="shared" si="56"/>
        <v>208.5</v>
      </c>
      <c r="CP19" s="17">
        <f t="shared" si="56"/>
        <v>285.91919999999999</v>
      </c>
      <c r="CQ19" s="17">
        <f t="shared" si="56"/>
        <v>203.65</v>
      </c>
      <c r="CR19" s="17">
        <f t="shared" si="56"/>
        <v>247.13</v>
      </c>
      <c r="CS19" s="17">
        <f t="shared" si="56"/>
        <v>274.64999999999998</v>
      </c>
      <c r="CT19" s="17">
        <f t="shared" si="56"/>
        <v>379.8306</v>
      </c>
      <c r="CU19" s="17">
        <f t="shared" si="56"/>
        <v>269.69499999999999</v>
      </c>
      <c r="CV19" s="17">
        <f t="shared" si="56"/>
        <v>327.947</v>
      </c>
      <c r="CW19" s="17">
        <f t="shared" si="56"/>
        <v>365.86500000000001</v>
      </c>
      <c r="CX19" s="17">
        <f t="shared" si="56"/>
        <v>510.32224799999995</v>
      </c>
      <c r="CY19" s="17">
        <f t="shared" si="56"/>
        <v>361.26850000000002</v>
      </c>
      <c r="CZ19" s="17">
        <f t="shared" si="56"/>
        <v>440.1497</v>
      </c>
      <c r="DA19" s="17">
        <f t="shared" si="56"/>
        <v>492.95850000000002</v>
      </c>
      <c r="DB19" s="17">
        <f t="shared" si="56"/>
        <v>693.43943400000001</v>
      </c>
      <c r="DE19" s="119"/>
      <c r="DF19" s="25">
        <v>639.12400000000002</v>
      </c>
    </row>
    <row r="20" spans="1:110" s="92" customFormat="1" outlineLevel="1" x14ac:dyDescent="0.2">
      <c r="A20" s="92" t="s">
        <v>109</v>
      </c>
      <c r="B20" s="92" t="e">
        <f ca="1">'Annual Raw'!C7+'Annual Raw'!C8+'Annual Raw'!C9</f>
        <v>#NAME?</v>
      </c>
      <c r="C20" s="92" t="e">
        <f ca="1">'Annual Raw'!D7+'Annual Raw'!D8+'Annual Raw'!D9</f>
        <v>#NAME?</v>
      </c>
      <c r="D20" s="92" t="e">
        <f ca="1">'Annual Raw'!E7+'Annual Raw'!E8+'Annual Raw'!E9</f>
        <v>#NAME?</v>
      </c>
      <c r="E20" s="92" t="e">
        <f ca="1">'Annual Raw'!F7+'Annual Raw'!F8+'Annual Raw'!F9</f>
        <v>#NAME?</v>
      </c>
      <c r="F20" s="92" t="e">
        <f ca="1">'Annual Raw'!G7+'Annual Raw'!G8+'Annual Raw'!G9</f>
        <v>#NAME?</v>
      </c>
      <c r="G20" s="92" t="e">
        <f ca="1">'Annual Raw'!H7+'Annual Raw'!H8+'Annual Raw'!H9</f>
        <v>#NAME?</v>
      </c>
      <c r="H20" s="92" t="e">
        <f ca="1">'Annual Raw'!I7+'Annual Raw'!I8+'Annual Raw'!I9</f>
        <v>#NAME?</v>
      </c>
      <c r="I20" s="92" t="e">
        <f ca="1">'Annual Raw'!J7+'Annual Raw'!J8+'Annual Raw'!J9</f>
        <v>#NAME?</v>
      </c>
      <c r="J20" s="92" t="e">
        <f ca="1">'Annual Raw'!K7+'Annual Raw'!K8+'Annual Raw'!K9</f>
        <v>#NAME?</v>
      </c>
      <c r="K20" s="92" t="e">
        <f ca="1">'Annual Raw'!L7+'Annual Raw'!L8+'Annual Raw'!L9</f>
        <v>#NAME?</v>
      </c>
      <c r="L20" s="92" t="e">
        <f ca="1">'Annual Raw'!M7+'Annual Raw'!M8+'Annual Raw'!M9</f>
        <v>#NAME?</v>
      </c>
      <c r="M20" s="92" t="e">
        <f ca="1">'Annual Raw'!N7+'Annual Raw'!N8+'Annual Raw'!N9</f>
        <v>#NAME?</v>
      </c>
      <c r="N20" s="92" t="e">
        <f ca="1">'Annual Raw'!O7+'Annual Raw'!O8+'Annual Raw'!O9</f>
        <v>#NAME?</v>
      </c>
      <c r="O20" s="92" t="e">
        <f ca="1">'Annual Raw'!P7+'Annual Raw'!P8+'Annual Raw'!P9</f>
        <v>#NAME?</v>
      </c>
      <c r="P20" s="92" t="e">
        <f ca="1">'Annual Raw'!Q7+'Annual Raw'!Q8+'Annual Raw'!Q9</f>
        <v>#NAME?</v>
      </c>
      <c r="Q20" s="92" t="e">
        <f ca="1">'Annual Raw'!R7+'Annual Raw'!R8+'Annual Raw'!R9</f>
        <v>#NAME?</v>
      </c>
      <c r="R20" s="92" t="e">
        <f ca="1">'Annual Raw'!S7+'Annual Raw'!S8+'Annual Raw'!S9</f>
        <v>#NAME?</v>
      </c>
      <c r="S20" s="92" t="e">
        <f ca="1">'Annual Raw'!T7+'Annual Raw'!T8+'Annual Raw'!T9</f>
        <v>#NAME?</v>
      </c>
      <c r="T20" s="92" t="e">
        <f ca="1">'Annual Raw'!U7+'Annual Raw'!U8+'Annual Raw'!U9</f>
        <v>#NAME?</v>
      </c>
      <c r="U20" s="92" t="e">
        <f ca="1">'Annual Raw'!V7+'Annual Raw'!V8+'Annual Raw'!V9</f>
        <v>#NAME?</v>
      </c>
      <c r="V20" s="92" t="e">
        <f ca="1">'Annual Raw'!W7+'Annual Raw'!W8+'Annual Raw'!W9</f>
        <v>#NAME?</v>
      </c>
      <c r="W20" s="92" t="e">
        <f ca="1">'Annual Raw'!X7+'Annual Raw'!X8+'Annual Raw'!X9</f>
        <v>#NAME?</v>
      </c>
      <c r="X20" s="92" t="e">
        <f ca="1">'Annual Raw'!Y7+'Annual Raw'!Y8+'Annual Raw'!Y9</f>
        <v>#NAME?</v>
      </c>
      <c r="Y20" s="92" t="e">
        <f ca="1">'Annual Raw'!Z7+'Annual Raw'!Z8+'Annual Raw'!Z9</f>
        <v>#NAME?</v>
      </c>
      <c r="Z20" s="92" t="e">
        <f ca="1">'Annual Raw'!AA7+'Annual Raw'!AA8+'Annual Raw'!AA9</f>
        <v>#NAME?</v>
      </c>
      <c r="AA20" s="92" t="e">
        <f ca="1">'Annual Raw'!AB7+'Annual Raw'!AB8+'Annual Raw'!AB9</f>
        <v>#NAME?</v>
      </c>
      <c r="AB20" s="76">
        <f>+SUM(CM20:CP20)</f>
        <v>0</v>
      </c>
      <c r="AC20" s="76">
        <f>+SUM(CQ20:CT20)</f>
        <v>0</v>
      </c>
      <c r="AD20" s="76">
        <f>+SUM(CU20:CX20)</f>
        <v>0</v>
      </c>
      <c r="AE20" s="76">
        <f>+SUM(CY20:DB20)</f>
        <v>0</v>
      </c>
      <c r="AI20" s="92" t="e">
        <f ca="1">+'QTR Raw'!C20+'QTR Raw'!C19+'QTR Raw'!C13+'QTR Raw'!C7</f>
        <v>#NAME?</v>
      </c>
      <c r="AJ20" s="92" t="e">
        <f ca="1">+'QTR Raw'!D20+'QTR Raw'!D19+'QTR Raw'!D13+'QTR Raw'!D7</f>
        <v>#NAME?</v>
      </c>
      <c r="AK20" s="92" t="e">
        <f ca="1">+'QTR Raw'!E20+'QTR Raw'!E19+'QTR Raw'!E13+'QTR Raw'!E7</f>
        <v>#NAME?</v>
      </c>
      <c r="AL20" s="92" t="e">
        <f ca="1">+'QTR Raw'!F20+'QTR Raw'!F19+'QTR Raw'!F13+'QTR Raw'!F7</f>
        <v>#NAME?</v>
      </c>
      <c r="AM20" s="92" t="e">
        <f ca="1">+'QTR Raw'!G20+'QTR Raw'!G19+'QTR Raw'!G13+'QTR Raw'!G7</f>
        <v>#NAME?</v>
      </c>
      <c r="AN20" s="92" t="e">
        <f ca="1">+'QTR Raw'!H20+'QTR Raw'!H19+'QTR Raw'!H13+'QTR Raw'!H7</f>
        <v>#NAME?</v>
      </c>
      <c r="AO20" s="92" t="e">
        <f ca="1">+'QTR Raw'!I20+'QTR Raw'!I19+'QTR Raw'!I13+'QTR Raw'!I7</f>
        <v>#NAME?</v>
      </c>
      <c r="AP20" s="92" t="e">
        <f ca="1">+'QTR Raw'!J20+'QTR Raw'!J19+'QTR Raw'!J13+'QTR Raw'!J7</f>
        <v>#NAME?</v>
      </c>
      <c r="AQ20" s="92" t="e">
        <f ca="1">+'QTR Raw'!K20+'QTR Raw'!K19+'QTR Raw'!K13+'QTR Raw'!K7</f>
        <v>#NAME?</v>
      </c>
      <c r="AR20" s="92" t="e">
        <f ca="1">+'QTR Raw'!L20+'QTR Raw'!L19+'QTR Raw'!L13+'QTR Raw'!L7</f>
        <v>#NAME?</v>
      </c>
      <c r="AS20" s="92" t="e">
        <f ca="1">+'QTR Raw'!M20+'QTR Raw'!M19+'QTR Raw'!M13+'QTR Raw'!M7</f>
        <v>#NAME?</v>
      </c>
      <c r="AT20" s="92" t="e">
        <f ca="1">+'QTR Raw'!N20+'QTR Raw'!N19+'QTR Raw'!N13+'QTR Raw'!N7</f>
        <v>#NAME?</v>
      </c>
      <c r="AU20" s="92" t="e">
        <f ca="1">+'QTR Raw'!O20+'QTR Raw'!O19+'QTR Raw'!O13+'QTR Raw'!O7</f>
        <v>#NAME?</v>
      </c>
      <c r="AV20" s="92" t="e">
        <f ca="1">+'QTR Raw'!P20+'QTR Raw'!P19+'QTR Raw'!P13+'QTR Raw'!P7</f>
        <v>#NAME?</v>
      </c>
      <c r="AW20" s="92" t="e">
        <f ca="1">+'QTR Raw'!Q20+'QTR Raw'!Q19+'QTR Raw'!Q13+'QTR Raw'!Q7</f>
        <v>#NAME?</v>
      </c>
      <c r="AX20" s="92" t="e">
        <f ca="1">+'QTR Raw'!R20+'QTR Raw'!R19+'QTR Raw'!R13+'QTR Raw'!R7</f>
        <v>#NAME?</v>
      </c>
      <c r="AY20" s="92" t="e">
        <f ca="1">+'QTR Raw'!S20+'QTR Raw'!S19+'QTR Raw'!S13+'QTR Raw'!S7</f>
        <v>#NAME?</v>
      </c>
      <c r="AZ20" s="92" t="e">
        <f ca="1">+'QTR Raw'!T20+'QTR Raw'!T19+'QTR Raw'!T13+'QTR Raw'!T7</f>
        <v>#NAME?</v>
      </c>
      <c r="BA20" s="92" t="e">
        <f ca="1">+'QTR Raw'!U20+'QTR Raw'!U19+'QTR Raw'!U13+'QTR Raw'!U7</f>
        <v>#NAME?</v>
      </c>
      <c r="BB20" s="92" t="e">
        <f ca="1">+'QTR Raw'!V20+'QTR Raw'!V19+'QTR Raw'!V13+'QTR Raw'!V7</f>
        <v>#NAME?</v>
      </c>
      <c r="BC20" s="92" t="e">
        <f ca="1">+'QTR Raw'!W20+'QTR Raw'!W19+'QTR Raw'!W13+'QTR Raw'!W7</f>
        <v>#NAME?</v>
      </c>
      <c r="BD20" s="92" t="e">
        <f ca="1">+'QTR Raw'!X20+'QTR Raw'!X19+'QTR Raw'!X13+'QTR Raw'!X7</f>
        <v>#NAME?</v>
      </c>
      <c r="BE20" s="92" t="e">
        <f ca="1">+'QTR Raw'!Y20+'QTR Raw'!Y19+'QTR Raw'!Y13+'QTR Raw'!Y7</f>
        <v>#NAME?</v>
      </c>
      <c r="BF20" s="92" t="e">
        <f ca="1">+'QTR Raw'!Z20+'QTR Raw'!Z19+'QTR Raw'!Z13+'QTR Raw'!Z7</f>
        <v>#NAME?</v>
      </c>
      <c r="BG20" s="92" t="e">
        <f ca="1">+'QTR Raw'!AA20+'QTR Raw'!AA19+'QTR Raw'!AA13+'QTR Raw'!AA7</f>
        <v>#NAME?</v>
      </c>
      <c r="BH20" s="92" t="e">
        <f ca="1">+'QTR Raw'!AB20+'QTR Raw'!AB19+'QTR Raw'!AB13+'QTR Raw'!AB7</f>
        <v>#NAME?</v>
      </c>
      <c r="BI20" s="92" t="e">
        <f ca="1">+'QTR Raw'!AC20+'QTR Raw'!AC19+'QTR Raw'!AC13+'QTR Raw'!AC7</f>
        <v>#NAME?</v>
      </c>
      <c r="BJ20" s="92" t="e">
        <f ca="1">+'QTR Raw'!AD20+'QTR Raw'!AD19+'QTR Raw'!AD13+'QTR Raw'!AD7</f>
        <v>#NAME?</v>
      </c>
      <c r="BK20" s="92" t="e">
        <f ca="1">+'QTR Raw'!AE20+'QTR Raw'!AE19+'QTR Raw'!AE13+'QTR Raw'!AE7</f>
        <v>#NAME?</v>
      </c>
      <c r="BL20" s="92" t="e">
        <f ca="1">+'QTR Raw'!AF20+'QTR Raw'!AF19+'QTR Raw'!AF13+'QTR Raw'!AF7</f>
        <v>#NAME?</v>
      </c>
      <c r="BM20" s="92" t="e">
        <f ca="1">+'QTR Raw'!AG20+'QTR Raw'!AG19+'QTR Raw'!AG13+'QTR Raw'!AG7</f>
        <v>#NAME?</v>
      </c>
      <c r="BN20" s="92" t="e">
        <f ca="1">+'QTR Raw'!AH20+'QTR Raw'!AH19+'QTR Raw'!AH13+'QTR Raw'!AH7</f>
        <v>#NAME?</v>
      </c>
      <c r="BO20" s="92" t="e">
        <f ca="1">+'QTR Raw'!AI20+'QTR Raw'!AI19+'QTR Raw'!AI13+'QTR Raw'!AI7</f>
        <v>#NAME?</v>
      </c>
      <c r="BP20" s="92" t="e">
        <f ca="1">+'QTR Raw'!AJ20+'QTR Raw'!AJ19+'QTR Raw'!AJ13+'QTR Raw'!AJ7</f>
        <v>#NAME?</v>
      </c>
      <c r="BQ20" s="92" t="e">
        <f ca="1">+'QTR Raw'!AK20+'QTR Raw'!AK19+'QTR Raw'!AK13+'QTR Raw'!AK7</f>
        <v>#NAME?</v>
      </c>
      <c r="BR20" s="92" t="e">
        <f ca="1">+'QTR Raw'!AL20+'QTR Raw'!AL19+'QTR Raw'!AL13+'QTR Raw'!AL7</f>
        <v>#NAME?</v>
      </c>
      <c r="BS20" s="92" t="e">
        <f ca="1">+'QTR Raw'!AM20+'QTR Raw'!AM19+'QTR Raw'!AM13+'QTR Raw'!AM7</f>
        <v>#NAME?</v>
      </c>
      <c r="BT20" s="92" t="e">
        <f ca="1">+'QTR Raw'!AN20+'QTR Raw'!AN19+'QTR Raw'!AN13+'QTR Raw'!AN7</f>
        <v>#NAME?</v>
      </c>
      <c r="BU20" s="92" t="e">
        <f ca="1">+'QTR Raw'!AO20+'QTR Raw'!AO19+'QTR Raw'!AO13+'QTR Raw'!AO7</f>
        <v>#NAME?</v>
      </c>
      <c r="BV20" s="92" t="e">
        <f ca="1">+'QTR Raw'!AP20+'QTR Raw'!AP19+'QTR Raw'!AP13+'QTR Raw'!AP7</f>
        <v>#NAME?</v>
      </c>
      <c r="BW20" s="92" t="e">
        <f ca="1">+'QTR Raw'!AQ20+'QTR Raw'!AQ19+'QTR Raw'!AQ13+'QTR Raw'!AQ7</f>
        <v>#NAME?</v>
      </c>
      <c r="BX20" s="92" t="e">
        <f ca="1">+'QTR Raw'!AR20+'QTR Raw'!AR19+'QTR Raw'!AR13+'QTR Raw'!AR7</f>
        <v>#NAME?</v>
      </c>
      <c r="BY20" s="92" t="e">
        <f ca="1">+'QTR Raw'!AS20+'QTR Raw'!AS19+'QTR Raw'!AS13+'QTR Raw'!AS7</f>
        <v>#NAME?</v>
      </c>
      <c r="BZ20" s="92" t="e">
        <f ca="1">+'QTR Raw'!AT20+'QTR Raw'!AT19+'QTR Raw'!AT13+'QTR Raw'!AT7</f>
        <v>#NAME?</v>
      </c>
      <c r="CA20" s="92" t="e">
        <f ca="1">+'QTR Raw'!AU20+'QTR Raw'!AU19+'QTR Raw'!AU13+'QTR Raw'!AU7</f>
        <v>#NAME?</v>
      </c>
      <c r="CB20" s="92" t="e">
        <f ca="1">+'QTR Raw'!AV20+'QTR Raw'!AV19+'QTR Raw'!AV13+'QTR Raw'!AV7</f>
        <v>#NAME?</v>
      </c>
      <c r="CC20" s="92" t="e">
        <f ca="1">+'QTR Raw'!AW20+'QTR Raw'!AW19+'QTR Raw'!AW13+'QTR Raw'!AW7</f>
        <v>#NAME?</v>
      </c>
      <c r="CD20" s="92" t="e">
        <f ca="1">+'QTR Raw'!AX20+'QTR Raw'!AX19+'QTR Raw'!AX13+'QTR Raw'!AX7</f>
        <v>#NAME?</v>
      </c>
      <c r="CE20" s="92" t="e">
        <f ca="1">+'QTR Raw'!AY20+'QTR Raw'!AY19+'QTR Raw'!AY13+'QTR Raw'!AY7</f>
        <v>#NAME?</v>
      </c>
      <c r="CF20" s="92" t="e">
        <f ca="1">+'QTR Raw'!AZ20+'QTR Raw'!AZ19+'QTR Raw'!AZ13+'QTR Raw'!AZ7</f>
        <v>#NAME?</v>
      </c>
      <c r="CG20" s="92">
        <v>0</v>
      </c>
      <c r="CH20" s="92" t="e">
        <f ca="1">+'QTR Raw'!BB20+'QTR Raw'!BB19+'QTR Raw'!BB13+'QTR Raw'!BB7</f>
        <v>#NAME?</v>
      </c>
      <c r="CI20" s="92" t="e">
        <f ca="1">+'QTR Raw'!BC20+'QTR Raw'!BC19+'QTR Raw'!BC13+'QTR Raw'!BC7</f>
        <v>#NAME?</v>
      </c>
      <c r="CJ20" s="92" t="e">
        <f ca="1">+'QTR Raw'!BD20+'QTR Raw'!BD19+'QTR Raw'!BD13+'QTR Raw'!BD7</f>
        <v>#NAME?</v>
      </c>
      <c r="CK20" s="92" t="e">
        <f ca="1">+'QTR Raw'!BE20+'QTR Raw'!BE19+'QTR Raw'!BE13+'QTR Raw'!BE7</f>
        <v>#NAME?</v>
      </c>
      <c r="CL20" s="92" t="e">
        <f ca="1">+'QTR Raw'!BF20+'QTR Raw'!BF19+'QTR Raw'!BF13+'QTR Raw'!BF7</f>
        <v>#NAME?</v>
      </c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E20" s="120"/>
      <c r="DF20" s="92">
        <v>0</v>
      </c>
    </row>
    <row r="21" spans="1:110" s="26" customFormat="1" x14ac:dyDescent="0.2">
      <c r="A21" s="26" t="s">
        <v>431</v>
      </c>
      <c r="B21" s="26" t="e">
        <f ca="1">+B19-B20</f>
        <v>#NAME?</v>
      </c>
      <c r="C21" s="26" t="e">
        <f ca="1">+C19-C20</f>
        <v>#NAME?</v>
      </c>
      <c r="D21" s="26" t="e">
        <f t="shared" ref="D21:U21" ca="1" si="57">+D19-D20</f>
        <v>#NAME?</v>
      </c>
      <c r="E21" s="26" t="e">
        <f t="shared" ca="1" si="57"/>
        <v>#NAME?</v>
      </c>
      <c r="F21" s="26" t="e">
        <f t="shared" ca="1" si="57"/>
        <v>#NAME?</v>
      </c>
      <c r="G21" s="26" t="e">
        <f t="shared" ca="1" si="57"/>
        <v>#NAME?</v>
      </c>
      <c r="H21" s="26" t="e">
        <f t="shared" ca="1" si="57"/>
        <v>#NAME?</v>
      </c>
      <c r="I21" s="26" t="e">
        <f t="shared" ca="1" si="57"/>
        <v>#NAME?</v>
      </c>
      <c r="J21" s="26" t="e">
        <f t="shared" ca="1" si="57"/>
        <v>#NAME?</v>
      </c>
      <c r="K21" s="26" t="e">
        <f t="shared" ca="1" si="57"/>
        <v>#NAME?</v>
      </c>
      <c r="L21" s="26" t="e">
        <f t="shared" ca="1" si="57"/>
        <v>#NAME?</v>
      </c>
      <c r="M21" s="26" t="e">
        <f t="shared" ca="1" si="57"/>
        <v>#NAME?</v>
      </c>
      <c r="N21" s="26" t="e">
        <f t="shared" ca="1" si="57"/>
        <v>#NAME?</v>
      </c>
      <c r="O21" s="26" t="e">
        <f t="shared" ca="1" si="57"/>
        <v>#NAME?</v>
      </c>
      <c r="P21" s="26" t="e">
        <f t="shared" ca="1" si="57"/>
        <v>#NAME?</v>
      </c>
      <c r="Q21" s="26" t="e">
        <f t="shared" ca="1" si="57"/>
        <v>#NAME?</v>
      </c>
      <c r="R21" s="26" t="e">
        <f t="shared" ca="1" si="57"/>
        <v>#NAME?</v>
      </c>
      <c r="S21" s="26" t="e">
        <f t="shared" ca="1" si="57"/>
        <v>#NAME?</v>
      </c>
      <c r="T21" s="26" t="e">
        <f t="shared" ca="1" si="57"/>
        <v>#NAME?</v>
      </c>
      <c r="U21" s="26" t="e">
        <f t="shared" ca="1" si="57"/>
        <v>#NAME?</v>
      </c>
      <c r="V21" s="26" t="e">
        <f ca="1">+V19-V20</f>
        <v>#NAME?</v>
      </c>
      <c r="W21" s="26" t="e">
        <f ca="1">+W19-W20</f>
        <v>#NAME?</v>
      </c>
      <c r="X21" s="26" t="e">
        <f ca="1">+X19-X20</f>
        <v>#NAME?</v>
      </c>
      <c r="Y21" s="26" t="e">
        <f ca="1">+Y19-Y20</f>
        <v>#NAME?</v>
      </c>
      <c r="Z21" s="26" t="e">
        <f ca="1">+Z19-Z20</f>
        <v>#NAME?</v>
      </c>
      <c r="AA21" s="26" t="e">
        <f ca="1">+AA19-AA20</f>
        <v>#NAME?</v>
      </c>
      <c r="AB21" s="27">
        <f t="shared" ref="AB21:AD21" si="58">+AB19-AB20</f>
        <v>838.2192</v>
      </c>
      <c r="AC21" s="27">
        <f t="shared" si="58"/>
        <v>1105.2606000000001</v>
      </c>
      <c r="AD21" s="27">
        <f t="shared" si="58"/>
        <v>1473.829248</v>
      </c>
      <c r="AE21" s="27">
        <f t="shared" ref="AE21" si="59">+AE19-AE20</f>
        <v>1987.8161340000001</v>
      </c>
      <c r="AI21" s="26" t="e">
        <f t="shared" ref="AI21" ca="1" si="60">+AI19-AI20</f>
        <v>#NAME?</v>
      </c>
      <c r="AJ21" s="26" t="e">
        <f t="shared" ref="AJ21" ca="1" si="61">+AJ19-AJ20</f>
        <v>#NAME?</v>
      </c>
      <c r="AK21" s="26" t="e">
        <f t="shared" ref="AK21:AM21" ca="1" si="62">+AK19-AK20</f>
        <v>#NAME?</v>
      </c>
      <c r="AL21" s="26" t="e">
        <f t="shared" ca="1" si="62"/>
        <v>#NAME?</v>
      </c>
      <c r="AM21" s="26" t="e">
        <f t="shared" ca="1" si="62"/>
        <v>#NAME?</v>
      </c>
      <c r="AN21" s="26" t="e">
        <f t="shared" ref="AN21:AO21" ca="1" si="63">+AN19-AN20</f>
        <v>#NAME?</v>
      </c>
      <c r="AO21" s="26" t="e">
        <f t="shared" ca="1" si="63"/>
        <v>#NAME?</v>
      </c>
      <c r="AP21" s="26" t="e">
        <f t="shared" ref="AP21:AW21" ca="1" si="64">+AP19-AP20</f>
        <v>#NAME?</v>
      </c>
      <c r="AQ21" s="26" t="e">
        <f t="shared" ca="1" si="64"/>
        <v>#NAME?</v>
      </c>
      <c r="AR21" s="26" t="e">
        <f t="shared" ca="1" si="64"/>
        <v>#NAME?</v>
      </c>
      <c r="AS21" s="26" t="e">
        <f t="shared" ca="1" si="64"/>
        <v>#NAME?</v>
      </c>
      <c r="AT21" s="26" t="e">
        <f t="shared" ca="1" si="64"/>
        <v>#NAME?</v>
      </c>
      <c r="AU21" s="26" t="e">
        <f t="shared" ca="1" si="64"/>
        <v>#NAME?</v>
      </c>
      <c r="AV21" s="26" t="e">
        <f t="shared" ca="1" si="64"/>
        <v>#NAME?</v>
      </c>
      <c r="AW21" s="26" t="e">
        <f t="shared" ca="1" si="64"/>
        <v>#NAME?</v>
      </c>
      <c r="AX21" s="26" t="e">
        <f t="shared" ref="AX21:CF21" ca="1" si="65">+AX19-AX20</f>
        <v>#NAME?</v>
      </c>
      <c r="AY21" s="26" t="e">
        <f t="shared" ca="1" si="65"/>
        <v>#NAME?</v>
      </c>
      <c r="AZ21" s="26" t="e">
        <f t="shared" ca="1" si="65"/>
        <v>#NAME?</v>
      </c>
      <c r="BA21" s="26" t="e">
        <f t="shared" ca="1" si="65"/>
        <v>#NAME?</v>
      </c>
      <c r="BB21" s="26" t="e">
        <f t="shared" ca="1" si="65"/>
        <v>#NAME?</v>
      </c>
      <c r="BC21" s="26" t="e">
        <f t="shared" ca="1" si="65"/>
        <v>#NAME?</v>
      </c>
      <c r="BD21" s="26" t="e">
        <f t="shared" ca="1" si="65"/>
        <v>#NAME?</v>
      </c>
      <c r="BE21" s="26" t="e">
        <f t="shared" ca="1" si="65"/>
        <v>#NAME?</v>
      </c>
      <c r="BF21" s="26" t="e">
        <f t="shared" ca="1" si="65"/>
        <v>#NAME?</v>
      </c>
      <c r="BG21" s="26" t="e">
        <f t="shared" ca="1" si="65"/>
        <v>#NAME?</v>
      </c>
      <c r="BH21" s="26" t="e">
        <f t="shared" ca="1" si="65"/>
        <v>#NAME?</v>
      </c>
      <c r="BI21" s="26" t="e">
        <f t="shared" ca="1" si="65"/>
        <v>#NAME?</v>
      </c>
      <c r="BJ21" s="26" t="e">
        <f t="shared" ca="1" si="65"/>
        <v>#NAME?</v>
      </c>
      <c r="BK21" s="26" t="e">
        <f t="shared" ca="1" si="65"/>
        <v>#NAME?</v>
      </c>
      <c r="BL21" s="26" t="e">
        <f t="shared" ca="1" si="65"/>
        <v>#NAME?</v>
      </c>
      <c r="BM21" s="26" t="e">
        <f t="shared" ca="1" si="65"/>
        <v>#NAME?</v>
      </c>
      <c r="BN21" s="26" t="e">
        <f t="shared" ca="1" si="65"/>
        <v>#NAME?</v>
      </c>
      <c r="BO21" s="26" t="e">
        <f t="shared" ca="1" si="65"/>
        <v>#NAME?</v>
      </c>
      <c r="BP21" s="26" t="e">
        <f t="shared" ca="1" si="65"/>
        <v>#NAME?</v>
      </c>
      <c r="BQ21" s="26" t="e">
        <f t="shared" ca="1" si="65"/>
        <v>#NAME?</v>
      </c>
      <c r="BR21" s="26" t="e">
        <f t="shared" ca="1" si="65"/>
        <v>#NAME?</v>
      </c>
      <c r="BS21" s="26" t="e">
        <f t="shared" ca="1" si="65"/>
        <v>#NAME?</v>
      </c>
      <c r="BT21" s="26" t="e">
        <f t="shared" ca="1" si="65"/>
        <v>#NAME?</v>
      </c>
      <c r="BU21" s="26" t="e">
        <f t="shared" ca="1" si="65"/>
        <v>#NAME?</v>
      </c>
      <c r="BV21" s="26" t="e">
        <f t="shared" ca="1" si="65"/>
        <v>#NAME?</v>
      </c>
      <c r="BW21" s="26" t="e">
        <f t="shared" ca="1" si="65"/>
        <v>#NAME?</v>
      </c>
      <c r="BX21" s="26" t="e">
        <f t="shared" ca="1" si="65"/>
        <v>#NAME?</v>
      </c>
      <c r="BY21" s="26" t="e">
        <f t="shared" ca="1" si="65"/>
        <v>#NAME?</v>
      </c>
      <c r="BZ21" s="26" t="e">
        <f t="shared" ca="1" si="65"/>
        <v>#NAME?</v>
      </c>
      <c r="CA21" s="26" t="e">
        <f t="shared" ca="1" si="65"/>
        <v>#NAME?</v>
      </c>
      <c r="CB21" s="26" t="e">
        <f t="shared" ca="1" si="65"/>
        <v>#NAME?</v>
      </c>
      <c r="CC21" s="26" t="e">
        <f t="shared" ca="1" si="65"/>
        <v>#NAME?</v>
      </c>
      <c r="CD21" s="26" t="e">
        <f t="shared" ca="1" si="65"/>
        <v>#NAME?</v>
      </c>
      <c r="CE21" s="26" t="e">
        <f t="shared" ca="1" si="65"/>
        <v>#NAME?</v>
      </c>
      <c r="CF21" s="26" t="e">
        <f t="shared" ca="1" si="65"/>
        <v>#NAME?</v>
      </c>
      <c r="CG21" s="26">
        <v>102.69699999999999</v>
      </c>
      <c r="CH21" s="26" t="e">
        <f t="shared" ref="CH21" ca="1" si="66">+CH19-CH20</f>
        <v>#NAME?</v>
      </c>
      <c r="CI21" s="26" t="e">
        <f t="shared" ref="CI21:CJ21" ca="1" si="67">+CI19-CI20</f>
        <v>#NAME?</v>
      </c>
      <c r="CJ21" s="26" t="e">
        <f t="shared" ca="1" si="67"/>
        <v>#NAME?</v>
      </c>
      <c r="CK21" s="26" t="e">
        <f t="shared" ref="CK21:CL21" ca="1" si="68">+CK19-CK20</f>
        <v>#NAME?</v>
      </c>
      <c r="CL21" s="26" t="e">
        <f t="shared" ca="1" si="68"/>
        <v>#NAME?</v>
      </c>
      <c r="CM21" s="27">
        <f t="shared" ref="CM21:DB21" si="69">+CM19-CM20</f>
        <v>155.5</v>
      </c>
      <c r="CN21" s="27">
        <f t="shared" si="69"/>
        <v>188.3</v>
      </c>
      <c r="CO21" s="27">
        <f t="shared" si="69"/>
        <v>208.5</v>
      </c>
      <c r="CP21" s="27">
        <f t="shared" si="69"/>
        <v>285.91919999999999</v>
      </c>
      <c r="CQ21" s="27">
        <f t="shared" si="69"/>
        <v>203.65</v>
      </c>
      <c r="CR21" s="27">
        <f t="shared" si="69"/>
        <v>247.13</v>
      </c>
      <c r="CS21" s="27">
        <f t="shared" si="69"/>
        <v>274.64999999999998</v>
      </c>
      <c r="CT21" s="27">
        <f t="shared" si="69"/>
        <v>379.8306</v>
      </c>
      <c r="CU21" s="27">
        <f t="shared" si="69"/>
        <v>269.69499999999999</v>
      </c>
      <c r="CV21" s="27">
        <f t="shared" si="69"/>
        <v>327.947</v>
      </c>
      <c r="CW21" s="27">
        <f t="shared" si="69"/>
        <v>365.86500000000001</v>
      </c>
      <c r="CX21" s="27">
        <f t="shared" si="69"/>
        <v>510.32224799999995</v>
      </c>
      <c r="CY21" s="27">
        <f t="shared" si="69"/>
        <v>361.26850000000002</v>
      </c>
      <c r="CZ21" s="27">
        <f t="shared" si="69"/>
        <v>440.1497</v>
      </c>
      <c r="DA21" s="27">
        <f t="shared" si="69"/>
        <v>492.95850000000002</v>
      </c>
      <c r="DB21" s="27">
        <f t="shared" si="69"/>
        <v>693.43943400000001</v>
      </c>
      <c r="DE21" s="121"/>
      <c r="DF21" s="26">
        <v>639.12400000000002</v>
      </c>
    </row>
    <row r="22" spans="1:110" s="39" customFormat="1" x14ac:dyDescent="0.2">
      <c r="A22" s="39" t="s">
        <v>484</v>
      </c>
      <c r="C22" s="39" t="e">
        <f t="shared" ref="C22" ca="1" si="70">C21/B21-1</f>
        <v>#NAME?</v>
      </c>
      <c r="D22" s="39" t="e">
        <f t="shared" ref="D22" ca="1" si="71">D21/C21-1</f>
        <v>#NAME?</v>
      </c>
      <c r="E22" s="39" t="e">
        <f t="shared" ref="E22" ca="1" si="72">E21/D21-1</f>
        <v>#NAME?</v>
      </c>
      <c r="F22" s="39" t="e">
        <f t="shared" ref="F22:R22" ca="1" si="73">F21/E21-1</f>
        <v>#NAME?</v>
      </c>
      <c r="G22" s="39" t="e">
        <f t="shared" ca="1" si="73"/>
        <v>#NAME?</v>
      </c>
      <c r="H22" s="39" t="e">
        <f t="shared" ca="1" si="73"/>
        <v>#NAME?</v>
      </c>
      <c r="I22" s="39" t="e">
        <f t="shared" ca="1" si="73"/>
        <v>#NAME?</v>
      </c>
      <c r="J22" s="39" t="e">
        <f t="shared" ca="1" si="73"/>
        <v>#NAME?</v>
      </c>
      <c r="K22" s="39" t="e">
        <f ca="1">K21/J21-1</f>
        <v>#NAME?</v>
      </c>
      <c r="L22" s="39" t="e">
        <f t="shared" ca="1" si="73"/>
        <v>#NAME?</v>
      </c>
      <c r="M22" s="39" t="e">
        <f t="shared" ca="1" si="73"/>
        <v>#NAME?</v>
      </c>
      <c r="N22" s="39" t="e">
        <f t="shared" ca="1" si="73"/>
        <v>#NAME?</v>
      </c>
      <c r="O22" s="39" t="e">
        <f t="shared" ca="1" si="73"/>
        <v>#NAME?</v>
      </c>
      <c r="P22" s="39" t="e">
        <f t="shared" ca="1" si="73"/>
        <v>#NAME?</v>
      </c>
      <c r="Q22" s="39" t="e">
        <f t="shared" ca="1" si="73"/>
        <v>#NAME?</v>
      </c>
      <c r="R22" s="39" t="e">
        <f t="shared" ca="1" si="73"/>
        <v>#NAME?</v>
      </c>
      <c r="S22" s="39" t="e">
        <f t="shared" ref="S22:AA22" ca="1" si="74">S21/R21-1</f>
        <v>#NAME?</v>
      </c>
      <c r="T22" s="39" t="e">
        <f t="shared" ca="1" si="74"/>
        <v>#NAME?</v>
      </c>
      <c r="U22" s="39" t="e">
        <f t="shared" ca="1" si="74"/>
        <v>#NAME?</v>
      </c>
      <c r="V22" s="39" t="e">
        <f t="shared" ca="1" si="74"/>
        <v>#NAME?</v>
      </c>
      <c r="W22" s="39" t="e">
        <f t="shared" ca="1" si="74"/>
        <v>#NAME?</v>
      </c>
      <c r="X22" s="39" t="e">
        <f t="shared" ca="1" si="74"/>
        <v>#NAME?</v>
      </c>
      <c r="Y22" s="39" t="e">
        <f t="shared" ca="1" si="74"/>
        <v>#NAME?</v>
      </c>
      <c r="Z22" s="39" t="e">
        <f t="shared" ca="1" si="74"/>
        <v>#NAME?</v>
      </c>
      <c r="AA22" s="39" t="e">
        <f t="shared" ca="1" si="74"/>
        <v>#NAME?</v>
      </c>
      <c r="AB22" s="40" t="e">
        <f t="shared" ref="AB22" ca="1" si="75">AB21/AA21-1</f>
        <v>#NAME?</v>
      </c>
      <c r="AC22" s="40">
        <f t="shared" ref="AC22" si="76">AC21/AB21-1</f>
        <v>0.31858182203414098</v>
      </c>
      <c r="AD22" s="40">
        <f t="shared" ref="AD22" si="77">AD21/AC21-1</f>
        <v>0.33346764373940396</v>
      </c>
      <c r="AE22" s="40">
        <f t="shared" ref="AE22" si="78">AE21/AD21-1</f>
        <v>0.3487424928616969</v>
      </c>
      <c r="AM22" s="39" t="e">
        <f t="shared" ref="AM22:CI22" ca="1" si="79">+IF(AI21&lt;0,1-AM21/AI21,AM21/AI21-1)</f>
        <v>#NAME?</v>
      </c>
      <c r="AN22" s="39" t="e">
        <f t="shared" ca="1" si="79"/>
        <v>#NAME?</v>
      </c>
      <c r="AO22" s="39" t="e">
        <f t="shared" ca="1" si="79"/>
        <v>#NAME?</v>
      </c>
      <c r="AP22" s="39" t="e">
        <f t="shared" ca="1" si="79"/>
        <v>#NAME?</v>
      </c>
      <c r="AQ22" s="39" t="e">
        <f t="shared" ca="1" si="79"/>
        <v>#NAME?</v>
      </c>
      <c r="AR22" s="39" t="e">
        <f t="shared" ca="1" si="79"/>
        <v>#NAME?</v>
      </c>
      <c r="AS22" s="39" t="e">
        <f t="shared" ca="1" si="79"/>
        <v>#NAME?</v>
      </c>
      <c r="AT22" s="39" t="e">
        <f t="shared" ca="1" si="79"/>
        <v>#NAME?</v>
      </c>
      <c r="AU22" s="39" t="e">
        <f t="shared" ca="1" si="79"/>
        <v>#NAME?</v>
      </c>
      <c r="AV22" s="39" t="e">
        <f t="shared" ca="1" si="79"/>
        <v>#NAME?</v>
      </c>
      <c r="AW22" s="39" t="e">
        <f t="shared" ca="1" si="79"/>
        <v>#NAME?</v>
      </c>
      <c r="AX22" s="39" t="e">
        <f t="shared" ca="1" si="79"/>
        <v>#NAME?</v>
      </c>
      <c r="AY22" s="39" t="e">
        <f t="shared" ca="1" si="79"/>
        <v>#NAME?</v>
      </c>
      <c r="AZ22" s="39" t="e">
        <f t="shared" ca="1" si="79"/>
        <v>#NAME?</v>
      </c>
      <c r="BA22" s="39" t="e">
        <f t="shared" ca="1" si="79"/>
        <v>#NAME?</v>
      </c>
      <c r="BB22" s="39" t="e">
        <f t="shared" ca="1" si="79"/>
        <v>#NAME?</v>
      </c>
      <c r="BC22" s="39" t="e">
        <f t="shared" ca="1" si="79"/>
        <v>#NAME?</v>
      </c>
      <c r="BD22" s="39" t="e">
        <f t="shared" ca="1" si="79"/>
        <v>#NAME?</v>
      </c>
      <c r="BE22" s="39" t="e">
        <f t="shared" ca="1" si="79"/>
        <v>#NAME?</v>
      </c>
      <c r="BF22" s="39" t="e">
        <f t="shared" ca="1" si="79"/>
        <v>#NAME?</v>
      </c>
      <c r="BG22" s="39" t="e">
        <f t="shared" ca="1" si="79"/>
        <v>#NAME?</v>
      </c>
      <c r="BH22" s="39" t="e">
        <f t="shared" ca="1" si="79"/>
        <v>#NAME?</v>
      </c>
      <c r="BI22" s="39" t="e">
        <f t="shared" ca="1" si="79"/>
        <v>#NAME?</v>
      </c>
      <c r="BJ22" s="39" t="e">
        <f t="shared" ca="1" si="79"/>
        <v>#NAME?</v>
      </c>
      <c r="BK22" s="39" t="e">
        <f t="shared" ca="1" si="79"/>
        <v>#NAME?</v>
      </c>
      <c r="BL22" s="39" t="e">
        <f t="shared" ca="1" si="79"/>
        <v>#NAME?</v>
      </c>
      <c r="BM22" s="39" t="e">
        <f t="shared" ca="1" si="79"/>
        <v>#NAME?</v>
      </c>
      <c r="BN22" s="39" t="e">
        <f t="shared" ca="1" si="79"/>
        <v>#NAME?</v>
      </c>
      <c r="BO22" s="39" t="e">
        <f t="shared" ca="1" si="79"/>
        <v>#NAME?</v>
      </c>
      <c r="BP22" s="39" t="e">
        <f t="shared" ca="1" si="79"/>
        <v>#NAME?</v>
      </c>
      <c r="BQ22" s="39" t="e">
        <f t="shared" ca="1" si="79"/>
        <v>#NAME?</v>
      </c>
      <c r="BR22" s="39" t="e">
        <f t="shared" ca="1" si="79"/>
        <v>#NAME?</v>
      </c>
      <c r="BS22" s="39" t="e">
        <f t="shared" ca="1" si="79"/>
        <v>#NAME?</v>
      </c>
      <c r="BT22" s="39" t="e">
        <f t="shared" ca="1" si="79"/>
        <v>#NAME?</v>
      </c>
      <c r="BU22" s="39" t="e">
        <f t="shared" ca="1" si="79"/>
        <v>#NAME?</v>
      </c>
      <c r="BV22" s="39" t="e">
        <f t="shared" ca="1" si="79"/>
        <v>#NAME?</v>
      </c>
      <c r="BW22" s="39" t="e">
        <f t="shared" ca="1" si="79"/>
        <v>#NAME?</v>
      </c>
      <c r="BX22" s="39" t="e">
        <f t="shared" ca="1" si="79"/>
        <v>#NAME?</v>
      </c>
      <c r="BY22" s="39" t="e">
        <f t="shared" ca="1" si="79"/>
        <v>#NAME?</v>
      </c>
      <c r="BZ22" s="39" t="e">
        <f t="shared" ca="1" si="79"/>
        <v>#NAME?</v>
      </c>
      <c r="CA22" s="39" t="e">
        <f t="shared" ca="1" si="79"/>
        <v>#NAME?</v>
      </c>
      <c r="CB22" s="39" t="e">
        <f t="shared" ca="1" si="79"/>
        <v>#NAME?</v>
      </c>
      <c r="CC22" s="39" t="e">
        <f t="shared" ca="1" si="79"/>
        <v>#NAME?</v>
      </c>
      <c r="CD22" s="39" t="e">
        <f t="shared" ca="1" si="79"/>
        <v>#NAME?</v>
      </c>
      <c r="CE22" s="39" t="e">
        <f t="shared" ca="1" si="79"/>
        <v>#NAME?</v>
      </c>
      <c r="CF22" s="39" t="e">
        <f t="shared" ca="1" si="79"/>
        <v>#NAME?</v>
      </c>
      <c r="CG22" s="39">
        <v>0.18031675248253021</v>
      </c>
      <c r="CH22" s="39" t="e">
        <f t="shared" ca="1" si="79"/>
        <v>#NAME?</v>
      </c>
      <c r="CI22" s="39" t="e">
        <f t="shared" ca="1" si="79"/>
        <v>#NAME?</v>
      </c>
      <c r="CJ22" s="39" t="e">
        <f ca="1">+IF(CF21&lt;0,1-CJ21/CF21,CJ21/CF21-1)</f>
        <v>#NAME?</v>
      </c>
      <c r="CK22" s="39" t="e">
        <f ca="1">+IF(CG21&lt;0,1-CK21/CG21,CK21/CG21-1)</f>
        <v>#NAME?</v>
      </c>
      <c r="CL22" s="39" t="e">
        <f ca="1">+IF(CH21&lt;0,1-CL21/CH21,CL21/CH21-1)</f>
        <v>#NAME?</v>
      </c>
      <c r="CM22" s="40" t="e">
        <f t="shared" ref="CM22:DB22" ca="1" si="80">+IF(CI21&lt;0,1-CM21/CI21,CM21/CI21-1)</f>
        <v>#NAME?</v>
      </c>
      <c r="CN22" s="40" t="e">
        <f t="shared" ca="1" si="80"/>
        <v>#NAME?</v>
      </c>
      <c r="CO22" s="40" t="e">
        <f t="shared" ca="1" si="80"/>
        <v>#NAME?</v>
      </c>
      <c r="CP22" s="40" t="e">
        <f t="shared" ca="1" si="80"/>
        <v>#NAME?</v>
      </c>
      <c r="CQ22" s="40">
        <f t="shared" si="80"/>
        <v>0.30964630225080381</v>
      </c>
      <c r="CR22" s="40">
        <f t="shared" si="80"/>
        <v>0.31242697822623455</v>
      </c>
      <c r="CS22" s="40">
        <f t="shared" si="80"/>
        <v>0.31726618705035969</v>
      </c>
      <c r="CT22" s="40">
        <f t="shared" si="80"/>
        <v>0.32845433255269318</v>
      </c>
      <c r="CU22" s="40">
        <f t="shared" si="80"/>
        <v>0.32430640805303201</v>
      </c>
      <c r="CV22" s="40">
        <f t="shared" si="80"/>
        <v>0.32702221502852757</v>
      </c>
      <c r="CW22" s="40">
        <f t="shared" si="80"/>
        <v>0.33211359912616079</v>
      </c>
      <c r="CX22" s="40">
        <f t="shared" si="80"/>
        <v>0.34355222565006605</v>
      </c>
      <c r="CY22" s="40">
        <f t="shared" si="80"/>
        <v>0.33954467083186568</v>
      </c>
      <c r="CZ22" s="40">
        <f t="shared" si="80"/>
        <v>0.34213668672072006</v>
      </c>
      <c r="DA22" s="40">
        <f t="shared" si="80"/>
        <v>0.34737813127793049</v>
      </c>
      <c r="DB22" s="40">
        <f t="shared" si="80"/>
        <v>0.35882657814283658</v>
      </c>
      <c r="DE22" s="122"/>
      <c r="DF22" s="39">
        <v>0.40832761701449738</v>
      </c>
    </row>
    <row r="23" spans="1:110" s="39" customFormat="1" x14ac:dyDescent="0.2">
      <c r="A23" s="39" t="s">
        <v>446</v>
      </c>
      <c r="AB23" s="40"/>
      <c r="AC23" s="40"/>
      <c r="AD23" s="40"/>
      <c r="AE23" s="40"/>
      <c r="AJ23" s="39" t="e">
        <f t="shared" ref="AJ23:AL23" ca="1" si="81">+IF(AI21&lt;0,1-AJ21/AI21,AJ21/AI21-1)</f>
        <v>#NAME?</v>
      </c>
      <c r="AK23" s="39" t="e">
        <f t="shared" ca="1" si="81"/>
        <v>#NAME?</v>
      </c>
      <c r="AL23" s="39" t="e">
        <f t="shared" ca="1" si="81"/>
        <v>#NAME?</v>
      </c>
      <c r="AM23" s="39" t="e">
        <f t="shared" ref="AM23:CI23" ca="1" si="82">+IF(AL21&lt;0,1-AM21/AL21,AM21/AL21-1)</f>
        <v>#NAME?</v>
      </c>
      <c r="AN23" s="39" t="e">
        <f t="shared" ca="1" si="82"/>
        <v>#NAME?</v>
      </c>
      <c r="AO23" s="39" t="e">
        <f t="shared" ca="1" si="82"/>
        <v>#NAME?</v>
      </c>
      <c r="AP23" s="39" t="e">
        <f t="shared" ca="1" si="82"/>
        <v>#NAME?</v>
      </c>
      <c r="AQ23" s="39" t="e">
        <f t="shared" ca="1" si="82"/>
        <v>#NAME?</v>
      </c>
      <c r="AR23" s="39" t="e">
        <f t="shared" ca="1" si="82"/>
        <v>#NAME?</v>
      </c>
      <c r="AS23" s="39" t="e">
        <f t="shared" ca="1" si="82"/>
        <v>#NAME?</v>
      </c>
      <c r="AT23" s="39" t="e">
        <f t="shared" ca="1" si="82"/>
        <v>#NAME?</v>
      </c>
      <c r="AU23" s="39" t="e">
        <f t="shared" ca="1" si="82"/>
        <v>#NAME?</v>
      </c>
      <c r="AV23" s="39" t="e">
        <f t="shared" ca="1" si="82"/>
        <v>#NAME?</v>
      </c>
      <c r="AW23" s="39" t="e">
        <f t="shared" ca="1" si="82"/>
        <v>#NAME?</v>
      </c>
      <c r="AX23" s="39" t="e">
        <f t="shared" ca="1" si="82"/>
        <v>#NAME?</v>
      </c>
      <c r="AY23" s="39" t="e">
        <f t="shared" ca="1" si="82"/>
        <v>#NAME?</v>
      </c>
      <c r="AZ23" s="39" t="e">
        <f t="shared" ca="1" si="82"/>
        <v>#NAME?</v>
      </c>
      <c r="BA23" s="39" t="e">
        <f t="shared" ca="1" si="82"/>
        <v>#NAME?</v>
      </c>
      <c r="BB23" s="39" t="e">
        <f t="shared" ca="1" si="82"/>
        <v>#NAME?</v>
      </c>
      <c r="BC23" s="39" t="e">
        <f t="shared" ca="1" si="82"/>
        <v>#NAME?</v>
      </c>
      <c r="BD23" s="39" t="e">
        <f t="shared" ca="1" si="82"/>
        <v>#NAME?</v>
      </c>
      <c r="BE23" s="39" t="e">
        <f t="shared" ca="1" si="82"/>
        <v>#NAME?</v>
      </c>
      <c r="BF23" s="39" t="e">
        <f t="shared" ca="1" si="82"/>
        <v>#NAME?</v>
      </c>
      <c r="BG23" s="39" t="e">
        <f t="shared" ca="1" si="82"/>
        <v>#NAME?</v>
      </c>
      <c r="BH23" s="39" t="e">
        <f t="shared" ca="1" si="82"/>
        <v>#NAME?</v>
      </c>
      <c r="BI23" s="39" t="e">
        <f t="shared" ca="1" si="82"/>
        <v>#NAME?</v>
      </c>
      <c r="BJ23" s="39" t="e">
        <f t="shared" ca="1" si="82"/>
        <v>#NAME?</v>
      </c>
      <c r="BK23" s="39" t="e">
        <f t="shared" ca="1" si="82"/>
        <v>#NAME?</v>
      </c>
      <c r="BL23" s="39" t="e">
        <f t="shared" ca="1" si="82"/>
        <v>#NAME?</v>
      </c>
      <c r="BM23" s="39" t="e">
        <f t="shared" ca="1" si="82"/>
        <v>#NAME?</v>
      </c>
      <c r="BN23" s="39" t="e">
        <f t="shared" ca="1" si="82"/>
        <v>#NAME?</v>
      </c>
      <c r="BO23" s="39" t="e">
        <f t="shared" ca="1" si="82"/>
        <v>#NAME?</v>
      </c>
      <c r="BP23" s="39" t="e">
        <f t="shared" ca="1" si="82"/>
        <v>#NAME?</v>
      </c>
      <c r="BQ23" s="39" t="e">
        <f t="shared" ca="1" si="82"/>
        <v>#NAME?</v>
      </c>
      <c r="BR23" s="39" t="e">
        <f t="shared" ca="1" si="82"/>
        <v>#NAME?</v>
      </c>
      <c r="BS23" s="39" t="e">
        <f t="shared" ca="1" si="82"/>
        <v>#NAME?</v>
      </c>
      <c r="BT23" s="39" t="e">
        <f t="shared" ca="1" si="82"/>
        <v>#NAME?</v>
      </c>
      <c r="BU23" s="39" t="e">
        <f t="shared" ca="1" si="82"/>
        <v>#NAME?</v>
      </c>
      <c r="BV23" s="39" t="e">
        <f t="shared" ca="1" si="82"/>
        <v>#NAME?</v>
      </c>
      <c r="BW23" s="39" t="e">
        <f t="shared" ca="1" si="82"/>
        <v>#NAME?</v>
      </c>
      <c r="BX23" s="39" t="e">
        <f t="shared" ca="1" si="82"/>
        <v>#NAME?</v>
      </c>
      <c r="BY23" s="39" t="e">
        <f t="shared" ca="1" si="82"/>
        <v>#NAME?</v>
      </c>
      <c r="BZ23" s="39" t="e">
        <f t="shared" ca="1" si="82"/>
        <v>#NAME?</v>
      </c>
      <c r="CA23" s="39" t="e">
        <f t="shared" ca="1" si="82"/>
        <v>#NAME?</v>
      </c>
      <c r="CB23" s="39" t="e">
        <f t="shared" ca="1" si="82"/>
        <v>#NAME?</v>
      </c>
      <c r="CC23" s="39" t="e">
        <f t="shared" ca="1" si="82"/>
        <v>#NAME?</v>
      </c>
      <c r="CD23" s="39" t="e">
        <f t="shared" ca="1" si="82"/>
        <v>#NAME?</v>
      </c>
      <c r="CE23" s="39" t="e">
        <f t="shared" ca="1" si="82"/>
        <v>#NAME?</v>
      </c>
      <c r="CF23" s="39" t="e">
        <f t="shared" ca="1" si="82"/>
        <v>#NAME?</v>
      </c>
      <c r="CG23" s="39">
        <v>-4.3379846116586296E-2</v>
      </c>
      <c r="CH23" s="39" t="e">
        <f t="shared" ca="1" si="82"/>
        <v>#NAME?</v>
      </c>
      <c r="CI23" s="39" t="e">
        <f t="shared" ca="1" si="82"/>
        <v>#NAME?</v>
      </c>
      <c r="CJ23" s="39" t="e">
        <f ca="1">+IF(CI21&lt;0,1-CJ21/CI21,CJ21/CI21-1)</f>
        <v>#NAME?</v>
      </c>
      <c r="CK23" s="39" t="e">
        <f ca="1">+IF(CJ21&lt;0,1-CK21/CJ21,CK21/CJ21-1)</f>
        <v>#NAME?</v>
      </c>
      <c r="CL23" s="39" t="e">
        <f ca="1">+IF(CK21&lt;0,1-CL21/CK21,CL21/CK21-1)</f>
        <v>#NAME?</v>
      </c>
      <c r="CM23" s="40" t="e">
        <f t="shared" ref="CM23:DB23" ca="1" si="83">+IF(CL21&lt;0,1-CM21/CL21,CM21/CL21-1)</f>
        <v>#NAME?</v>
      </c>
      <c r="CN23" s="40">
        <f t="shared" si="83"/>
        <v>0.21093247588424435</v>
      </c>
      <c r="CO23" s="40">
        <f t="shared" si="83"/>
        <v>0.1072756240042485</v>
      </c>
      <c r="CP23" s="40">
        <f t="shared" si="83"/>
        <v>0.37131510791366895</v>
      </c>
      <c r="CQ23" s="40">
        <f t="shared" si="83"/>
        <v>-0.28773583585852225</v>
      </c>
      <c r="CR23" s="40">
        <f t="shared" si="83"/>
        <v>0.21350356002946236</v>
      </c>
      <c r="CS23" s="40">
        <f t="shared" si="83"/>
        <v>0.11135839436733685</v>
      </c>
      <c r="CT23" s="40">
        <f t="shared" si="83"/>
        <v>0.38296231567449501</v>
      </c>
      <c r="CU23" s="40">
        <f t="shared" si="83"/>
        <v>-0.28995978733677596</v>
      </c>
      <c r="CV23" s="40">
        <f t="shared" si="83"/>
        <v>0.21599213926843297</v>
      </c>
      <c r="CW23" s="40">
        <f t="shared" si="83"/>
        <v>0.11562234141492378</v>
      </c>
      <c r="CX23" s="40">
        <f t="shared" si="83"/>
        <v>0.39483757123529162</v>
      </c>
      <c r="CY23" s="40">
        <f t="shared" si="83"/>
        <v>-0.29207769910905379</v>
      </c>
      <c r="CZ23" s="40">
        <f t="shared" si="83"/>
        <v>0.21834508128995456</v>
      </c>
      <c r="DA23" s="40">
        <f t="shared" si="83"/>
        <v>0.11997917981086892</v>
      </c>
      <c r="DB23" s="40">
        <f t="shared" si="83"/>
        <v>0.40668927303211122</v>
      </c>
      <c r="DE23" s="122"/>
    </row>
    <row r="24" spans="1:110" s="23" customFormat="1" outlineLevel="1" x14ac:dyDescent="0.2">
      <c r="A24" s="23" t="s">
        <v>2</v>
      </c>
      <c r="B24" s="23" t="e">
        <f ca="1">'Annual Raw'!C11</f>
        <v>#NAME?</v>
      </c>
      <c r="C24" s="23" t="e">
        <f ca="1">'Annual Raw'!D11</f>
        <v>#NAME?</v>
      </c>
      <c r="D24" s="23" t="e">
        <f ca="1">'Annual Raw'!E11</f>
        <v>#NAME?</v>
      </c>
      <c r="E24" s="23" t="e">
        <f ca="1">'Annual Raw'!F11</f>
        <v>#NAME?</v>
      </c>
      <c r="F24" s="23" t="e">
        <f ca="1">'Annual Raw'!G11</f>
        <v>#NAME?</v>
      </c>
      <c r="G24" s="23" t="e">
        <f ca="1">'Annual Raw'!H11</f>
        <v>#NAME?</v>
      </c>
      <c r="H24" s="23" t="e">
        <f ca="1">'Annual Raw'!I11</f>
        <v>#NAME?</v>
      </c>
      <c r="I24" s="23" t="e">
        <f ca="1">'Annual Raw'!J11</f>
        <v>#NAME?</v>
      </c>
      <c r="J24" s="23" t="e">
        <f ca="1">'Annual Raw'!K11</f>
        <v>#NAME?</v>
      </c>
      <c r="K24" s="23" t="e">
        <f ca="1">'Annual Raw'!L11</f>
        <v>#NAME?</v>
      </c>
      <c r="L24" s="23" t="e">
        <f ca="1">'Annual Raw'!M11</f>
        <v>#NAME?</v>
      </c>
      <c r="M24" s="23" t="e">
        <f ca="1">'Annual Raw'!N11</f>
        <v>#NAME?</v>
      </c>
      <c r="N24" s="23" t="e">
        <f ca="1">'Annual Raw'!O11</f>
        <v>#NAME?</v>
      </c>
      <c r="O24" s="23" t="e">
        <f ca="1">'Annual Raw'!P11</f>
        <v>#NAME?</v>
      </c>
      <c r="P24" s="23" t="e">
        <f ca="1">'Annual Raw'!Q11</f>
        <v>#NAME?</v>
      </c>
      <c r="Q24" s="23" t="e">
        <f ca="1">'Annual Raw'!R11</f>
        <v>#NAME?</v>
      </c>
      <c r="R24" s="23" t="e">
        <f ca="1">'Annual Raw'!S11</f>
        <v>#NAME?</v>
      </c>
      <c r="S24" s="23" t="e">
        <f ca="1">'Annual Raw'!T11</f>
        <v>#NAME?</v>
      </c>
      <c r="T24" s="23" t="e">
        <f ca="1">'Annual Raw'!U11</f>
        <v>#NAME?</v>
      </c>
      <c r="U24" s="23" t="e">
        <f ca="1">'Annual Raw'!V11</f>
        <v>#NAME?</v>
      </c>
      <c r="V24" s="23" t="e">
        <f ca="1">'Annual Raw'!W11</f>
        <v>#NAME?</v>
      </c>
      <c r="W24" s="23" t="e">
        <f ca="1">'Annual Raw'!X11</f>
        <v>#NAME?</v>
      </c>
      <c r="X24" s="23" t="e">
        <f ca="1">'Annual Raw'!Y11</f>
        <v>#NAME?</v>
      </c>
      <c r="Y24" s="23" t="e">
        <f ca="1">'Annual Raw'!Z11</f>
        <v>#NAME?</v>
      </c>
      <c r="Z24" s="23" t="e">
        <f ca="1">'Annual Raw'!AA11</f>
        <v>#NAME?</v>
      </c>
      <c r="AA24" s="23" t="e">
        <f ca="1">'Annual Raw'!AB11</f>
        <v>#NAME?</v>
      </c>
      <c r="AB24" s="76">
        <f>+SUM(CM24:CP24)</f>
        <v>0</v>
      </c>
      <c r="AC24" s="76">
        <f>+SUM(CQ24:CT24)</f>
        <v>0</v>
      </c>
      <c r="AD24" s="76">
        <f>+SUM(CU24:CX24)</f>
        <v>0</v>
      </c>
      <c r="AE24" s="76">
        <f>+SUM(CY24:DB24)</f>
        <v>0</v>
      </c>
      <c r="AI24" s="23" t="e">
        <f ca="1">'QTR Raw'!C10</f>
        <v>#NAME?</v>
      </c>
      <c r="AJ24" s="23" t="e">
        <f ca="1">'QTR Raw'!D10</f>
        <v>#NAME?</v>
      </c>
      <c r="AK24" s="23" t="e">
        <f ca="1">'QTR Raw'!E10</f>
        <v>#NAME?</v>
      </c>
      <c r="AL24" s="23" t="e">
        <f ca="1">'QTR Raw'!F10</f>
        <v>#NAME?</v>
      </c>
      <c r="AM24" s="23" t="e">
        <f ca="1">'QTR Raw'!G10</f>
        <v>#NAME?</v>
      </c>
      <c r="AN24" s="23" t="e">
        <f ca="1">'QTR Raw'!H10</f>
        <v>#NAME?</v>
      </c>
      <c r="AO24" s="23" t="e">
        <f ca="1">'QTR Raw'!I10</f>
        <v>#NAME?</v>
      </c>
      <c r="AP24" s="23" t="e">
        <f ca="1">'QTR Raw'!J10</f>
        <v>#NAME?</v>
      </c>
      <c r="AQ24" s="23" t="e">
        <f ca="1">'QTR Raw'!K10</f>
        <v>#NAME?</v>
      </c>
      <c r="AR24" s="23" t="e">
        <f ca="1">'QTR Raw'!L10</f>
        <v>#NAME?</v>
      </c>
      <c r="AS24" s="23" t="e">
        <f ca="1">'QTR Raw'!M10</f>
        <v>#NAME?</v>
      </c>
      <c r="AT24" s="23" t="e">
        <f ca="1">'QTR Raw'!N10</f>
        <v>#NAME?</v>
      </c>
      <c r="AU24" s="23" t="e">
        <f ca="1">'QTR Raw'!O10</f>
        <v>#NAME?</v>
      </c>
      <c r="AV24" s="23" t="e">
        <f ca="1">'QTR Raw'!P10</f>
        <v>#NAME?</v>
      </c>
      <c r="AW24" s="23" t="e">
        <f ca="1">'QTR Raw'!Q10</f>
        <v>#NAME?</v>
      </c>
      <c r="AX24" s="23" t="e">
        <f ca="1">'QTR Raw'!R10</f>
        <v>#NAME?</v>
      </c>
      <c r="AY24" s="23" t="e">
        <f ca="1">'QTR Raw'!S10</f>
        <v>#NAME?</v>
      </c>
      <c r="AZ24" s="23" t="e">
        <f ca="1">'QTR Raw'!T10</f>
        <v>#NAME?</v>
      </c>
      <c r="BA24" s="23" t="e">
        <f ca="1">'QTR Raw'!U10</f>
        <v>#NAME?</v>
      </c>
      <c r="BB24" s="23" t="e">
        <f ca="1">'QTR Raw'!V10</f>
        <v>#NAME?</v>
      </c>
      <c r="BC24" s="23" t="e">
        <f ca="1">'QTR Raw'!W10</f>
        <v>#NAME?</v>
      </c>
      <c r="BD24" s="23" t="e">
        <f ca="1">'QTR Raw'!X10</f>
        <v>#NAME?</v>
      </c>
      <c r="BE24" s="23" t="e">
        <f ca="1">'QTR Raw'!Y10</f>
        <v>#NAME?</v>
      </c>
      <c r="BF24" s="23" t="e">
        <f ca="1">'QTR Raw'!Z10</f>
        <v>#NAME?</v>
      </c>
      <c r="BG24" s="23" t="e">
        <f ca="1">'QTR Raw'!AA10</f>
        <v>#NAME?</v>
      </c>
      <c r="BH24" s="23" t="e">
        <f ca="1">'QTR Raw'!AB10</f>
        <v>#NAME?</v>
      </c>
      <c r="BI24" s="23" t="e">
        <f ca="1">'QTR Raw'!AC10</f>
        <v>#NAME?</v>
      </c>
      <c r="BJ24" s="23" t="e">
        <f ca="1">'QTR Raw'!AD10</f>
        <v>#NAME?</v>
      </c>
      <c r="BK24" s="23" t="e">
        <f ca="1">'QTR Raw'!AE10</f>
        <v>#NAME?</v>
      </c>
      <c r="BL24" s="23" t="e">
        <f ca="1">'QTR Raw'!AF10</f>
        <v>#NAME?</v>
      </c>
      <c r="BM24" s="23" t="e">
        <f ca="1">'QTR Raw'!AG10</f>
        <v>#NAME?</v>
      </c>
      <c r="BN24" s="23" t="e">
        <f ca="1">'QTR Raw'!AH10</f>
        <v>#NAME?</v>
      </c>
      <c r="BO24" s="23" t="e">
        <f ca="1">'QTR Raw'!AI10</f>
        <v>#NAME?</v>
      </c>
      <c r="BP24" s="23" t="e">
        <f ca="1">'QTR Raw'!AJ10</f>
        <v>#NAME?</v>
      </c>
      <c r="BQ24" s="23" t="e">
        <f ca="1">'QTR Raw'!AK10</f>
        <v>#NAME?</v>
      </c>
      <c r="BR24" s="23" t="e">
        <f ca="1">'QTR Raw'!AL10</f>
        <v>#NAME?</v>
      </c>
      <c r="BS24" s="23" t="e">
        <f ca="1">'QTR Raw'!AM10</f>
        <v>#NAME?</v>
      </c>
      <c r="BT24" s="23" t="e">
        <f ca="1">'QTR Raw'!AN10</f>
        <v>#NAME?</v>
      </c>
      <c r="BU24" s="23" t="e">
        <f ca="1">'QTR Raw'!AO10</f>
        <v>#NAME?</v>
      </c>
      <c r="BV24" s="23" t="e">
        <f ca="1">'QTR Raw'!AP10</f>
        <v>#NAME?</v>
      </c>
      <c r="BW24" s="23" t="e">
        <f ca="1">'QTR Raw'!AQ10</f>
        <v>#NAME?</v>
      </c>
      <c r="BX24" s="23" t="e">
        <f ca="1">'QTR Raw'!AR10</f>
        <v>#NAME?</v>
      </c>
      <c r="BY24" s="23" t="e">
        <f ca="1">'QTR Raw'!AS10</f>
        <v>#NAME?</v>
      </c>
      <c r="BZ24" s="23" t="e">
        <f ca="1">'QTR Raw'!AT10</f>
        <v>#NAME?</v>
      </c>
      <c r="CA24" s="23" t="e">
        <f ca="1">'QTR Raw'!AU10</f>
        <v>#NAME?</v>
      </c>
      <c r="CB24" s="23" t="e">
        <f ca="1">'QTR Raw'!AV10</f>
        <v>#NAME?</v>
      </c>
      <c r="CC24" s="23" t="e">
        <f ca="1">'QTR Raw'!AW10</f>
        <v>#NAME?</v>
      </c>
      <c r="CD24" s="23" t="e">
        <f ca="1">'QTR Raw'!AX10</f>
        <v>#NAME?</v>
      </c>
      <c r="CE24" s="23" t="e">
        <f ca="1">'QTR Raw'!AY10</f>
        <v>#NAME?</v>
      </c>
      <c r="CF24" s="23" t="e">
        <f ca="1">'QTR Raw'!AZ10</f>
        <v>#NAME?</v>
      </c>
      <c r="CG24" s="23">
        <v>-0.26100000000000001</v>
      </c>
      <c r="CH24" s="23" t="e">
        <f ca="1">'QTR Raw'!BB10</f>
        <v>#NAME?</v>
      </c>
      <c r="CI24" s="23" t="e">
        <f ca="1">'QTR Raw'!BC10</f>
        <v>#NAME?</v>
      </c>
      <c r="CJ24" s="23" t="e">
        <f ca="1">'QTR Raw'!BD10</f>
        <v>#NAME?</v>
      </c>
      <c r="CK24" s="23" t="e">
        <f ca="1">'QTR Raw'!BE10</f>
        <v>#NAME?</v>
      </c>
      <c r="CL24" s="23" t="e">
        <f ca="1">'QTR Raw'!BF10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-31.692</v>
      </c>
    </row>
    <row r="25" spans="1:110" s="23" customFormat="1" outlineLevel="1" x14ac:dyDescent="0.2">
      <c r="A25" s="23" t="s">
        <v>3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23" t="e">
        <f ca="1">'QTR Raw'!C12</f>
        <v>#NAME?</v>
      </c>
      <c r="AJ25" s="23" t="e">
        <f ca="1">'QTR Raw'!D12</f>
        <v>#NAME?</v>
      </c>
      <c r="AK25" s="23" t="e">
        <f ca="1">'QTR Raw'!E12</f>
        <v>#NAME?</v>
      </c>
      <c r="AL25" s="23" t="e">
        <f ca="1">'QTR Raw'!F12</f>
        <v>#NAME?</v>
      </c>
      <c r="AM25" s="23" t="e">
        <f ca="1">'QTR Raw'!G12</f>
        <v>#NAME?</v>
      </c>
      <c r="AN25" s="23" t="e">
        <f ca="1">'QTR Raw'!H12</f>
        <v>#NAME?</v>
      </c>
      <c r="AO25" s="23" t="e">
        <f ca="1">'QTR Raw'!I12</f>
        <v>#NAME?</v>
      </c>
      <c r="AP25" s="23" t="e">
        <f ca="1">'QTR Raw'!J12</f>
        <v>#NAME?</v>
      </c>
      <c r="AQ25" s="23" t="e">
        <f ca="1">'QTR Raw'!K12</f>
        <v>#NAME?</v>
      </c>
      <c r="AR25" s="23" t="e">
        <f ca="1">'QTR Raw'!L12</f>
        <v>#NAME?</v>
      </c>
      <c r="AS25" s="23" t="e">
        <f ca="1">'QTR Raw'!M12</f>
        <v>#NAME?</v>
      </c>
      <c r="AT25" s="23" t="e">
        <f ca="1">'QTR Raw'!N12</f>
        <v>#NAME?</v>
      </c>
      <c r="AU25" s="23" t="e">
        <f ca="1">'QTR Raw'!O12</f>
        <v>#NAME?</v>
      </c>
      <c r="AV25" s="23" t="e">
        <f ca="1">'QTR Raw'!P12</f>
        <v>#NAME?</v>
      </c>
      <c r="AW25" s="23" t="e">
        <f ca="1">'QTR Raw'!Q12</f>
        <v>#NAME?</v>
      </c>
      <c r="AX25" s="23" t="e">
        <f ca="1">'QTR Raw'!R12</f>
        <v>#NAME?</v>
      </c>
      <c r="AY25" s="23" t="e">
        <f ca="1">'QTR Raw'!S12</f>
        <v>#NAME?</v>
      </c>
      <c r="AZ25" s="23" t="e">
        <f ca="1">'QTR Raw'!T12</f>
        <v>#NAME?</v>
      </c>
      <c r="BA25" s="23" t="e">
        <f ca="1">'QTR Raw'!U12</f>
        <v>#NAME?</v>
      </c>
      <c r="BB25" s="23" t="e">
        <f ca="1">'QTR Raw'!V12</f>
        <v>#NAME?</v>
      </c>
      <c r="BC25" s="23" t="e">
        <f ca="1">'QTR Raw'!W12</f>
        <v>#NAME?</v>
      </c>
      <c r="BD25" s="23" t="e">
        <f ca="1">'QTR Raw'!X12</f>
        <v>#NAME?</v>
      </c>
      <c r="BE25" s="23" t="e">
        <f ca="1">'QTR Raw'!Y12</f>
        <v>#NAME?</v>
      </c>
      <c r="BF25" s="23" t="e">
        <f ca="1">'QTR Raw'!Z12</f>
        <v>#NAME?</v>
      </c>
      <c r="BG25" s="23" t="e">
        <f ca="1">'QTR Raw'!AA12</f>
        <v>#NAME?</v>
      </c>
      <c r="BH25" s="23" t="e">
        <f ca="1">'QTR Raw'!AB12</f>
        <v>#NAME?</v>
      </c>
      <c r="BI25" s="23" t="e">
        <f ca="1">'QTR Raw'!AC12</f>
        <v>#NAME?</v>
      </c>
      <c r="BJ25" s="23" t="e">
        <f ca="1">'QTR Raw'!AD12</f>
        <v>#NAME?</v>
      </c>
      <c r="BK25" s="23" t="e">
        <f ca="1">'QTR Raw'!AE12</f>
        <v>#NAME?</v>
      </c>
      <c r="BL25" s="23" t="e">
        <f ca="1">'QTR Raw'!AF12</f>
        <v>#NAME?</v>
      </c>
      <c r="BM25" s="23" t="e">
        <f ca="1">'QTR Raw'!AG12</f>
        <v>#NAME?</v>
      </c>
      <c r="BN25" s="23" t="e">
        <f ca="1">'QTR Raw'!AH12</f>
        <v>#NAME?</v>
      </c>
      <c r="BO25" s="23" t="e">
        <f ca="1">'QTR Raw'!AI12</f>
        <v>#NAME?</v>
      </c>
      <c r="BP25" s="23" t="e">
        <f ca="1">'QTR Raw'!AJ12</f>
        <v>#NAME?</v>
      </c>
      <c r="BQ25" s="23" t="e">
        <f ca="1">'QTR Raw'!AK12</f>
        <v>#NAME?</v>
      </c>
      <c r="BR25" s="23" t="e">
        <f ca="1">'QTR Raw'!AL12</f>
        <v>#NAME?</v>
      </c>
      <c r="BS25" s="23" t="e">
        <f ca="1">'QTR Raw'!AM12</f>
        <v>#NAME?</v>
      </c>
      <c r="BT25" s="23" t="e">
        <f ca="1">'QTR Raw'!AN12</f>
        <v>#NAME?</v>
      </c>
      <c r="BU25" s="23" t="e">
        <f ca="1">'QTR Raw'!AO12</f>
        <v>#NAME?</v>
      </c>
      <c r="BV25" s="23" t="e">
        <f ca="1">'QTR Raw'!AP12</f>
        <v>#NAME?</v>
      </c>
      <c r="BW25" s="23" t="e">
        <f ca="1">'QTR Raw'!AQ12</f>
        <v>#NAME?</v>
      </c>
      <c r="BX25" s="23" t="e">
        <f ca="1">'QTR Raw'!AR12</f>
        <v>#NAME?</v>
      </c>
      <c r="BY25" s="23" t="e">
        <f ca="1">'QTR Raw'!AS12</f>
        <v>#NAME?</v>
      </c>
      <c r="BZ25" s="23" t="e">
        <f ca="1">'QTR Raw'!AT12</f>
        <v>#NAME?</v>
      </c>
      <c r="CA25" s="23" t="e">
        <f ca="1">'QTR Raw'!AU12</f>
        <v>#NAME?</v>
      </c>
      <c r="CB25" s="23" t="e">
        <f ca="1">'QTR Raw'!AV12</f>
        <v>#NAME?</v>
      </c>
      <c r="CC25" s="23" t="e">
        <f ca="1">'QTR Raw'!AW12</f>
        <v>#NAME?</v>
      </c>
      <c r="CD25" s="23" t="e">
        <f ca="1">'QTR Raw'!AX12</f>
        <v>#NAME?</v>
      </c>
      <c r="CE25" s="23" t="e">
        <f ca="1">'QTR Raw'!AY12</f>
        <v>#NAME?</v>
      </c>
      <c r="CF25" s="23" t="e">
        <f ca="1">'QTR Raw'!AZ12</f>
        <v>#NAME?</v>
      </c>
      <c r="CG25" s="23">
        <v>0</v>
      </c>
      <c r="CH25" s="23" t="e">
        <f ca="1">'QTR Raw'!BB12</f>
        <v>#NAME?</v>
      </c>
      <c r="CI25" s="23" t="e">
        <f ca="1">'QTR Raw'!BC12</f>
        <v>#NAME?</v>
      </c>
      <c r="CJ25" s="23" t="e">
        <f ca="1">'QTR Raw'!BD12</f>
        <v>#NAME?</v>
      </c>
      <c r="CK25" s="23" t="e">
        <f ca="1">'QTR Raw'!BE12</f>
        <v>#NAME?</v>
      </c>
      <c r="CL25" s="23" t="e">
        <f ca="1">'QTR Raw'!BF12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3" customFormat="1" outlineLevel="1" x14ac:dyDescent="0.2">
      <c r="A26" s="23" t="s">
        <v>4</v>
      </c>
      <c r="B26" s="23" t="e">
        <f ca="1">'Annual Raw'!C12</f>
        <v>#NAME?</v>
      </c>
      <c r="C26" s="23" t="e">
        <f ca="1">'Annual Raw'!D12</f>
        <v>#NAME?</v>
      </c>
      <c r="D26" s="23" t="e">
        <f ca="1">'Annual Raw'!E12</f>
        <v>#NAME?</v>
      </c>
      <c r="E26" s="23" t="e">
        <f ca="1">'Annual Raw'!F12</f>
        <v>#NAME?</v>
      </c>
      <c r="F26" s="23" t="e">
        <f ca="1">'Annual Raw'!G12</f>
        <v>#NAME?</v>
      </c>
      <c r="G26" s="23" t="e">
        <f ca="1">'Annual Raw'!H12</f>
        <v>#NAME?</v>
      </c>
      <c r="H26" s="23" t="e">
        <f ca="1">'Annual Raw'!I12</f>
        <v>#NAME?</v>
      </c>
      <c r="I26" s="23" t="e">
        <f ca="1">'Annual Raw'!J12</f>
        <v>#NAME?</v>
      </c>
      <c r="J26" s="23" t="e">
        <f ca="1">'Annual Raw'!K12</f>
        <v>#NAME?</v>
      </c>
      <c r="K26" s="23" t="e">
        <f ca="1">'Annual Raw'!L12</f>
        <v>#NAME?</v>
      </c>
      <c r="L26" s="23" t="e">
        <f ca="1">'Annual Raw'!M12</f>
        <v>#NAME?</v>
      </c>
      <c r="M26" s="23" t="e">
        <f ca="1">'Annual Raw'!N12</f>
        <v>#NAME?</v>
      </c>
      <c r="N26" s="23" t="e">
        <f ca="1">'Annual Raw'!O12</f>
        <v>#NAME?</v>
      </c>
      <c r="O26" s="23" t="e">
        <f ca="1">'Annual Raw'!P12</f>
        <v>#NAME?</v>
      </c>
      <c r="P26" s="23" t="e">
        <f ca="1">'Annual Raw'!Q12</f>
        <v>#NAME?</v>
      </c>
      <c r="Q26" s="23" t="e">
        <f ca="1">'Annual Raw'!R12</f>
        <v>#NAME?</v>
      </c>
      <c r="R26" s="23" t="e">
        <f ca="1">'Annual Raw'!S12</f>
        <v>#NAME?</v>
      </c>
      <c r="S26" s="23" t="e">
        <f ca="1">'Annual Raw'!T12</f>
        <v>#NAME?</v>
      </c>
      <c r="T26" s="23" t="e">
        <f ca="1">'Annual Raw'!U12</f>
        <v>#NAME?</v>
      </c>
      <c r="U26" s="23" t="e">
        <f ca="1">'Annual Raw'!V12</f>
        <v>#NAME?</v>
      </c>
      <c r="V26" s="23" t="e">
        <f ca="1">'Annual Raw'!W12</f>
        <v>#NAME?</v>
      </c>
      <c r="W26" s="23" t="e">
        <f ca="1">'Annual Raw'!X12</f>
        <v>#NAME?</v>
      </c>
      <c r="X26" s="23" t="e">
        <f ca="1">'Annual Raw'!Y12</f>
        <v>#NAME?</v>
      </c>
      <c r="Y26" s="23" t="e">
        <f ca="1">'Annual Raw'!Z12</f>
        <v>#NAME?</v>
      </c>
      <c r="Z26" s="23" t="e">
        <f ca="1">'Annual Raw'!AA12</f>
        <v>#NAME?</v>
      </c>
      <c r="AA26" s="23" t="e">
        <f ca="1">'Annual Raw'!AB12</f>
        <v>#NAME?</v>
      </c>
      <c r="AB26" s="24" t="e">
        <f ca="1">+SUM(CM26:CP26)</f>
        <v>#NAME?</v>
      </c>
      <c r="AC26" s="24" t="e">
        <f ca="1">+SUM(CQ26:CT26)</f>
        <v>#NAME?</v>
      </c>
      <c r="AD26" s="24" t="e">
        <f ca="1">+SUM(CU26:CX26)</f>
        <v>#NAME?</v>
      </c>
      <c r="AE26" s="24" t="e">
        <f ca="1">+SUM(CY26:DB26)</f>
        <v>#NAME?</v>
      </c>
      <c r="AI26" s="23" t="e">
        <f ca="1">'QTR Raw'!C11</f>
        <v>#NAME?</v>
      </c>
      <c r="AJ26" s="23" t="e">
        <f ca="1">'QTR Raw'!D11</f>
        <v>#NAME?</v>
      </c>
      <c r="AK26" s="23" t="e">
        <f ca="1">'QTR Raw'!E11</f>
        <v>#NAME?</v>
      </c>
      <c r="AL26" s="23" t="e">
        <f ca="1">'QTR Raw'!F11</f>
        <v>#NAME?</v>
      </c>
      <c r="AM26" s="23" t="e">
        <f ca="1">'QTR Raw'!G11</f>
        <v>#NAME?</v>
      </c>
      <c r="AN26" s="23" t="e">
        <f ca="1">'QTR Raw'!H11</f>
        <v>#NAME?</v>
      </c>
      <c r="AO26" s="23" t="e">
        <f ca="1">'QTR Raw'!I11</f>
        <v>#NAME?</v>
      </c>
      <c r="AP26" s="23" t="e">
        <f ca="1">'QTR Raw'!J11</f>
        <v>#NAME?</v>
      </c>
      <c r="AQ26" s="23" t="e">
        <f ca="1">'QTR Raw'!K11</f>
        <v>#NAME?</v>
      </c>
      <c r="AR26" s="23" t="e">
        <f ca="1">'QTR Raw'!L11</f>
        <v>#NAME?</v>
      </c>
      <c r="AS26" s="23" t="e">
        <f ca="1">'QTR Raw'!M11</f>
        <v>#NAME?</v>
      </c>
      <c r="AT26" s="23" t="e">
        <f ca="1">'QTR Raw'!N11</f>
        <v>#NAME?</v>
      </c>
      <c r="AU26" s="23" t="e">
        <f ca="1">'QTR Raw'!O11</f>
        <v>#NAME?</v>
      </c>
      <c r="AV26" s="23" t="e">
        <f ca="1">'QTR Raw'!P11</f>
        <v>#NAME?</v>
      </c>
      <c r="AW26" s="23" t="e">
        <f ca="1">'QTR Raw'!Q11</f>
        <v>#NAME?</v>
      </c>
      <c r="AX26" s="23" t="e">
        <f ca="1">'QTR Raw'!R11</f>
        <v>#NAME?</v>
      </c>
      <c r="AY26" s="23" t="e">
        <f ca="1">'QTR Raw'!S11</f>
        <v>#NAME?</v>
      </c>
      <c r="AZ26" s="23" t="e">
        <f ca="1">'QTR Raw'!T11</f>
        <v>#NAME?</v>
      </c>
      <c r="BA26" s="23" t="e">
        <f ca="1">'QTR Raw'!U11</f>
        <v>#NAME?</v>
      </c>
      <c r="BB26" s="23" t="e">
        <f ca="1">'QTR Raw'!V11</f>
        <v>#NAME?</v>
      </c>
      <c r="BC26" s="23" t="e">
        <f ca="1">'QTR Raw'!W11</f>
        <v>#NAME?</v>
      </c>
      <c r="BD26" s="23" t="e">
        <f ca="1">'QTR Raw'!X11</f>
        <v>#NAME?</v>
      </c>
      <c r="BE26" s="23" t="e">
        <f ca="1">'QTR Raw'!Y11</f>
        <v>#NAME?</v>
      </c>
      <c r="BF26" s="23" t="e">
        <f ca="1">'QTR Raw'!Z11</f>
        <v>#NAME?</v>
      </c>
      <c r="BG26" s="23" t="e">
        <f ca="1">'QTR Raw'!AA11</f>
        <v>#NAME?</v>
      </c>
      <c r="BH26" s="23" t="e">
        <f ca="1">'QTR Raw'!AB11</f>
        <v>#NAME?</v>
      </c>
      <c r="BI26" s="23" t="e">
        <f ca="1">'QTR Raw'!AC11</f>
        <v>#NAME?</v>
      </c>
      <c r="BJ26" s="23" t="e">
        <f ca="1">'QTR Raw'!AD11</f>
        <v>#NAME?</v>
      </c>
      <c r="BK26" s="23" t="e">
        <f ca="1">'QTR Raw'!AE11</f>
        <v>#NAME?</v>
      </c>
      <c r="BL26" s="23" t="e">
        <f ca="1">'QTR Raw'!AF11</f>
        <v>#NAME?</v>
      </c>
      <c r="BM26" s="23" t="e">
        <f ca="1">'QTR Raw'!AG11</f>
        <v>#NAME?</v>
      </c>
      <c r="BN26" s="23" t="e">
        <f ca="1">'QTR Raw'!AH11</f>
        <v>#NAME?</v>
      </c>
      <c r="BO26" s="23" t="e">
        <f ca="1">'QTR Raw'!AI11</f>
        <v>#NAME?</v>
      </c>
      <c r="BP26" s="23" t="e">
        <f ca="1">'QTR Raw'!AJ11</f>
        <v>#NAME?</v>
      </c>
      <c r="BQ26" s="23" t="e">
        <f ca="1">'QTR Raw'!AK11</f>
        <v>#NAME?</v>
      </c>
      <c r="BR26" s="23" t="e">
        <f ca="1">'QTR Raw'!AL11</f>
        <v>#NAME?</v>
      </c>
      <c r="BS26" s="23" t="e">
        <f ca="1">'QTR Raw'!AM11</f>
        <v>#NAME?</v>
      </c>
      <c r="BT26" s="23" t="e">
        <f ca="1">'QTR Raw'!AN11</f>
        <v>#NAME?</v>
      </c>
      <c r="BU26" s="23" t="e">
        <f ca="1">'QTR Raw'!AO11</f>
        <v>#NAME?</v>
      </c>
      <c r="BV26" s="23" t="e">
        <f ca="1">'QTR Raw'!AP11</f>
        <v>#NAME?</v>
      </c>
      <c r="BW26" s="23" t="e">
        <f ca="1">'QTR Raw'!AQ11</f>
        <v>#NAME?</v>
      </c>
      <c r="BX26" s="23" t="e">
        <f ca="1">'QTR Raw'!AR11</f>
        <v>#NAME?</v>
      </c>
      <c r="BY26" s="23" t="e">
        <f ca="1">'QTR Raw'!AS11</f>
        <v>#NAME?</v>
      </c>
      <c r="BZ26" s="23" t="e">
        <f ca="1">'QTR Raw'!AT11</f>
        <v>#NAME?</v>
      </c>
      <c r="CA26" s="23" t="e">
        <f ca="1">'QTR Raw'!AU11</f>
        <v>#NAME?</v>
      </c>
      <c r="CB26" s="23" t="e">
        <f ca="1">'QTR Raw'!AV11</f>
        <v>#NAME?</v>
      </c>
      <c r="CC26" s="23" t="e">
        <f ca="1">'QTR Raw'!AW11</f>
        <v>#NAME?</v>
      </c>
      <c r="CD26" s="23" t="e">
        <f ca="1">'QTR Raw'!AX11</f>
        <v>#NAME?</v>
      </c>
      <c r="CE26" s="23" t="e">
        <f ca="1">'QTR Raw'!AY11</f>
        <v>#NAME?</v>
      </c>
      <c r="CF26" s="23" t="e">
        <f ca="1">'QTR Raw'!AZ11</f>
        <v>#NAME?</v>
      </c>
      <c r="CG26" s="23">
        <v>73.179000000000002</v>
      </c>
      <c r="CH26" s="23" t="e">
        <f ca="1">'QTR Raw'!BB11</f>
        <v>#NAME?</v>
      </c>
      <c r="CI26" s="23" t="e">
        <f ca="1">'QTR Raw'!BC11</f>
        <v>#NAME?</v>
      </c>
      <c r="CJ26" s="23" t="e">
        <f ca="1">'QTR Raw'!BD11</f>
        <v>#NAME?</v>
      </c>
      <c r="CK26" s="23" t="e">
        <f ca="1">'QTR Raw'!BE11</f>
        <v>#NAME?</v>
      </c>
      <c r="CL26" s="23" t="e">
        <f ca="1">'QTR Raw'!BF11</f>
        <v>#NAME?</v>
      </c>
      <c r="CM26" s="24" t="e">
        <f t="shared" ref="CM26:DB26" ca="1" si="84">+CM21-CM27</f>
        <v>#NAME?</v>
      </c>
      <c r="CN26" s="24" t="e">
        <f t="shared" ca="1" si="84"/>
        <v>#NAME?</v>
      </c>
      <c r="CO26" s="24" t="e">
        <f t="shared" ca="1" si="84"/>
        <v>#NAME?</v>
      </c>
      <c r="CP26" s="24" t="e">
        <f t="shared" ca="1" si="84"/>
        <v>#NAME?</v>
      </c>
      <c r="CQ26" s="24" t="e">
        <f t="shared" ca="1" si="84"/>
        <v>#NAME?</v>
      </c>
      <c r="CR26" s="24" t="e">
        <f t="shared" ca="1" si="84"/>
        <v>#NAME?</v>
      </c>
      <c r="CS26" s="24" t="e">
        <f t="shared" ca="1" si="84"/>
        <v>#NAME?</v>
      </c>
      <c r="CT26" s="24" t="e">
        <f t="shared" ca="1" si="84"/>
        <v>#NAME?</v>
      </c>
      <c r="CU26" s="24" t="e">
        <f t="shared" ca="1" si="84"/>
        <v>#NAME?</v>
      </c>
      <c r="CV26" s="24" t="e">
        <f t="shared" ca="1" si="84"/>
        <v>#NAME?</v>
      </c>
      <c r="CW26" s="24" t="e">
        <f t="shared" ca="1" si="84"/>
        <v>#NAME?</v>
      </c>
      <c r="CX26" s="24" t="e">
        <f t="shared" ca="1" si="84"/>
        <v>#NAME?</v>
      </c>
      <c r="CY26" s="24" t="e">
        <f t="shared" ca="1" si="84"/>
        <v>#NAME?</v>
      </c>
      <c r="CZ26" s="24" t="e">
        <f t="shared" ca="1" si="84"/>
        <v>#NAME?</v>
      </c>
      <c r="DA26" s="24" t="e">
        <f t="shared" ca="1" si="84"/>
        <v>#NAME?</v>
      </c>
      <c r="DB26" s="24" t="e">
        <f t="shared" ca="1" si="84"/>
        <v>#NAME?</v>
      </c>
      <c r="DE26" s="123"/>
      <c r="DF26" s="23">
        <v>485.83799999999997</v>
      </c>
    </row>
    <row r="27" spans="1:110" s="31" customFormat="1" x14ac:dyDescent="0.2">
      <c r="A27" s="31" t="s">
        <v>5</v>
      </c>
      <c r="B27" s="31" t="e">
        <f t="shared" ref="B27:T27" ca="1" si="85">B21-B24-B26-B25</f>
        <v>#NAME?</v>
      </c>
      <c r="C27" s="31" t="e">
        <f t="shared" ca="1" si="85"/>
        <v>#NAME?</v>
      </c>
      <c r="D27" s="31" t="e">
        <f t="shared" ca="1" si="85"/>
        <v>#NAME?</v>
      </c>
      <c r="E27" s="31" t="e">
        <f t="shared" ca="1" si="85"/>
        <v>#NAME?</v>
      </c>
      <c r="F27" s="31" t="e">
        <f t="shared" ca="1" si="85"/>
        <v>#NAME?</v>
      </c>
      <c r="G27" s="31" t="e">
        <f t="shared" ca="1" si="85"/>
        <v>#NAME?</v>
      </c>
      <c r="H27" s="31" t="e">
        <f t="shared" ca="1" si="85"/>
        <v>#NAME?</v>
      </c>
      <c r="I27" s="31" t="e">
        <f t="shared" ca="1" si="85"/>
        <v>#NAME?</v>
      </c>
      <c r="J27" s="31" t="e">
        <f t="shared" ca="1" si="85"/>
        <v>#NAME?</v>
      </c>
      <c r="K27" s="31" t="e">
        <f t="shared" ca="1" si="85"/>
        <v>#NAME?</v>
      </c>
      <c r="L27" s="31" t="e">
        <f t="shared" ca="1" si="85"/>
        <v>#NAME?</v>
      </c>
      <c r="M27" s="31" t="e">
        <f t="shared" ca="1" si="85"/>
        <v>#NAME?</v>
      </c>
      <c r="N27" s="31" t="e">
        <f t="shared" ca="1" si="85"/>
        <v>#NAME?</v>
      </c>
      <c r="O27" s="31" t="e">
        <f t="shared" ca="1" si="85"/>
        <v>#NAME?</v>
      </c>
      <c r="P27" s="31" t="e">
        <f t="shared" ca="1" si="85"/>
        <v>#NAME?</v>
      </c>
      <c r="Q27" s="31" t="e">
        <f t="shared" ca="1" si="85"/>
        <v>#NAME?</v>
      </c>
      <c r="R27" s="31" t="e">
        <f t="shared" ca="1" si="85"/>
        <v>#NAME?</v>
      </c>
      <c r="S27" s="31" t="e">
        <f t="shared" ca="1" si="85"/>
        <v>#NAME?</v>
      </c>
      <c r="T27" s="31" t="e">
        <f t="shared" ca="1" si="85"/>
        <v>#NAME?</v>
      </c>
      <c r="U27" s="31" t="e">
        <f t="shared" ref="U27:Z27" ca="1" si="86">U21-U24-U26-U25</f>
        <v>#NAME?</v>
      </c>
      <c r="V27" s="31" t="e">
        <f t="shared" ca="1" si="86"/>
        <v>#NAME?</v>
      </c>
      <c r="W27" s="31" t="e">
        <f t="shared" ca="1" si="86"/>
        <v>#NAME?</v>
      </c>
      <c r="X27" s="31" t="e">
        <f t="shared" ca="1" si="86"/>
        <v>#NAME?</v>
      </c>
      <c r="Y27" s="31" t="e">
        <f t="shared" ca="1" si="86"/>
        <v>#NAME?</v>
      </c>
      <c r="Z27" s="31" t="e">
        <f t="shared" ca="1" si="86"/>
        <v>#NAME?</v>
      </c>
      <c r="AA27" s="31" t="e">
        <f t="shared" ref="AA27" ca="1" si="87">AA21-AA24-AA26-AA25</f>
        <v>#NAME?</v>
      </c>
      <c r="AB27" s="32" t="e">
        <f t="shared" ref="AA27:AD27" ca="1" si="88">AB21-AB24-AB26-AB25</f>
        <v>#NAME?</v>
      </c>
      <c r="AC27" s="32" t="e">
        <f t="shared" ca="1" si="88"/>
        <v>#NAME?</v>
      </c>
      <c r="AD27" s="32" t="e">
        <f t="shared" ca="1" si="88"/>
        <v>#NAME?</v>
      </c>
      <c r="AE27" s="32" t="e">
        <f t="shared" ref="AE27" ca="1" si="89">AE21-AE24-AE26-AE25</f>
        <v>#NAME?</v>
      </c>
      <c r="AI27" s="31" t="e">
        <f t="shared" ref="AI27" ca="1" si="90">AI21-AI24-AI26-AI25</f>
        <v>#NAME?</v>
      </c>
      <c r="AJ27" s="31" t="e">
        <f t="shared" ref="AJ27" ca="1" si="91">AJ21-AJ24-AJ26-AJ25</f>
        <v>#NAME?</v>
      </c>
      <c r="AK27" s="31" t="e">
        <f t="shared" ref="AK27:AM27" ca="1" si="92">AK21-AK24-AK26-AK25</f>
        <v>#NAME?</v>
      </c>
      <c r="AL27" s="31" t="e">
        <f t="shared" ca="1" si="92"/>
        <v>#NAME?</v>
      </c>
      <c r="AM27" s="31" t="e">
        <f t="shared" ca="1" si="92"/>
        <v>#NAME?</v>
      </c>
      <c r="AN27" s="31" t="e">
        <f t="shared" ref="AN27:AO27" ca="1" si="93">AN21-AN24-AN26-AN25</f>
        <v>#NAME?</v>
      </c>
      <c r="AO27" s="31" t="e">
        <f t="shared" ca="1" si="93"/>
        <v>#NAME?</v>
      </c>
      <c r="AP27" s="31" t="e">
        <f t="shared" ref="AP27:CD27" ca="1" si="94">AP21-AP24-AP26-AP25</f>
        <v>#NAME?</v>
      </c>
      <c r="AQ27" s="31" t="e">
        <f t="shared" ca="1" si="94"/>
        <v>#NAME?</v>
      </c>
      <c r="AR27" s="31" t="e">
        <f t="shared" ca="1" si="94"/>
        <v>#NAME?</v>
      </c>
      <c r="AS27" s="31" t="e">
        <f t="shared" ca="1" si="94"/>
        <v>#NAME?</v>
      </c>
      <c r="AT27" s="31" t="e">
        <f t="shared" ca="1" si="94"/>
        <v>#NAME?</v>
      </c>
      <c r="AU27" s="31" t="e">
        <f t="shared" ca="1" si="94"/>
        <v>#NAME?</v>
      </c>
      <c r="AV27" s="31" t="e">
        <f t="shared" ca="1" si="94"/>
        <v>#NAME?</v>
      </c>
      <c r="AW27" s="31" t="e">
        <f t="shared" ca="1" si="94"/>
        <v>#NAME?</v>
      </c>
      <c r="AX27" s="31" t="e">
        <f t="shared" ca="1" si="94"/>
        <v>#NAME?</v>
      </c>
      <c r="AY27" s="31" t="e">
        <f t="shared" ca="1" si="94"/>
        <v>#NAME?</v>
      </c>
      <c r="AZ27" s="31" t="e">
        <f t="shared" ca="1" si="94"/>
        <v>#NAME?</v>
      </c>
      <c r="BA27" s="31" t="e">
        <f t="shared" ca="1" si="94"/>
        <v>#NAME?</v>
      </c>
      <c r="BB27" s="31" t="e">
        <f t="shared" ca="1" si="94"/>
        <v>#NAME?</v>
      </c>
      <c r="BC27" s="31" t="e">
        <f t="shared" ca="1" si="94"/>
        <v>#NAME?</v>
      </c>
      <c r="BD27" s="31" t="e">
        <f t="shared" ca="1" si="94"/>
        <v>#NAME?</v>
      </c>
      <c r="BE27" s="31" t="e">
        <f t="shared" ca="1" si="94"/>
        <v>#NAME?</v>
      </c>
      <c r="BF27" s="31" t="e">
        <f t="shared" ca="1" si="94"/>
        <v>#NAME?</v>
      </c>
      <c r="BG27" s="31" t="e">
        <f t="shared" ca="1" si="94"/>
        <v>#NAME?</v>
      </c>
      <c r="BH27" s="31" t="e">
        <f t="shared" ca="1" si="94"/>
        <v>#NAME?</v>
      </c>
      <c r="BI27" s="31" t="e">
        <f t="shared" ca="1" si="94"/>
        <v>#NAME?</v>
      </c>
      <c r="BJ27" s="31" t="e">
        <f t="shared" ca="1" si="94"/>
        <v>#NAME?</v>
      </c>
      <c r="BK27" s="31" t="e">
        <f t="shared" ca="1" si="94"/>
        <v>#NAME?</v>
      </c>
      <c r="BL27" s="31" t="e">
        <f t="shared" ca="1" si="94"/>
        <v>#NAME?</v>
      </c>
      <c r="BM27" s="31" t="e">
        <f t="shared" ca="1" si="94"/>
        <v>#NAME?</v>
      </c>
      <c r="BN27" s="31" t="e">
        <f t="shared" ca="1" si="94"/>
        <v>#NAME?</v>
      </c>
      <c r="BO27" s="31" t="e">
        <f t="shared" ca="1" si="94"/>
        <v>#NAME?</v>
      </c>
      <c r="BP27" s="31" t="e">
        <f t="shared" ca="1" si="94"/>
        <v>#NAME?</v>
      </c>
      <c r="BQ27" s="31" t="e">
        <f t="shared" ca="1" si="94"/>
        <v>#NAME?</v>
      </c>
      <c r="BR27" s="31" t="e">
        <f t="shared" ca="1" si="94"/>
        <v>#NAME?</v>
      </c>
      <c r="BS27" s="31" t="e">
        <f t="shared" ca="1" si="94"/>
        <v>#NAME?</v>
      </c>
      <c r="BT27" s="31" t="e">
        <f t="shared" ca="1" si="94"/>
        <v>#NAME?</v>
      </c>
      <c r="BU27" s="31" t="e">
        <f t="shared" ca="1" si="94"/>
        <v>#NAME?</v>
      </c>
      <c r="BV27" s="31" t="e">
        <f t="shared" ca="1" si="94"/>
        <v>#NAME?</v>
      </c>
      <c r="BW27" s="31" t="e">
        <f t="shared" ca="1" si="94"/>
        <v>#NAME?</v>
      </c>
      <c r="BX27" s="31" t="e">
        <f t="shared" ca="1" si="94"/>
        <v>#NAME?</v>
      </c>
      <c r="BY27" s="31" t="e">
        <f t="shared" ca="1" si="94"/>
        <v>#NAME?</v>
      </c>
      <c r="BZ27" s="31" t="e">
        <f t="shared" ca="1" si="94"/>
        <v>#NAME?</v>
      </c>
      <c r="CA27" s="31" t="e">
        <f t="shared" ca="1" si="94"/>
        <v>#NAME?</v>
      </c>
      <c r="CB27" s="31" t="e">
        <f t="shared" ca="1" si="94"/>
        <v>#NAME?</v>
      </c>
      <c r="CC27" s="31" t="e">
        <f t="shared" ca="1" si="94"/>
        <v>#NAME?</v>
      </c>
      <c r="CD27" s="31" t="e">
        <f t="shared" ca="1" si="94"/>
        <v>#NAME?</v>
      </c>
      <c r="CE27" s="31" t="e">
        <f t="shared" ref="CE27:CF27" ca="1" si="95">CE21-CE24-CE26-CE25</f>
        <v>#NAME?</v>
      </c>
      <c r="CF27" s="31" t="e">
        <f t="shared" ca="1" si="95"/>
        <v>#NAME?</v>
      </c>
      <c r="CG27" s="31">
        <v>29.778999999999982</v>
      </c>
      <c r="CH27" s="31" t="e">
        <f t="shared" ref="CH27" ca="1" si="96">CH21-CH24-CH26-CH25</f>
        <v>#NAME?</v>
      </c>
      <c r="CI27" s="31" t="e">
        <f t="shared" ref="CI27:CJ27" ca="1" si="97">CI21-CI24-CI26-CI25</f>
        <v>#NAME?</v>
      </c>
      <c r="CJ27" s="31" t="e">
        <f t="shared" ca="1" si="97"/>
        <v>#NAME?</v>
      </c>
      <c r="CK27" s="31" t="e">
        <f t="shared" ref="CK27:CL27" ca="1" si="98">CK21-CK24-CK26-CK25</f>
        <v>#NAME?</v>
      </c>
      <c r="CL27" s="31" t="e">
        <f t="shared" ca="1" si="98"/>
        <v>#NAME?</v>
      </c>
      <c r="CM27" s="32" t="e">
        <f t="shared" ref="CM27:DB27" ca="1" si="99">+CM28*CM21</f>
        <v>#NAME?</v>
      </c>
      <c r="CN27" s="32" t="e">
        <f t="shared" ca="1" si="99"/>
        <v>#NAME?</v>
      </c>
      <c r="CO27" s="32" t="e">
        <f t="shared" ca="1" si="99"/>
        <v>#NAME?</v>
      </c>
      <c r="CP27" s="32" t="e">
        <f t="shared" ca="1" si="99"/>
        <v>#NAME?</v>
      </c>
      <c r="CQ27" s="32" t="e">
        <f t="shared" ca="1" si="99"/>
        <v>#NAME?</v>
      </c>
      <c r="CR27" s="32" t="e">
        <f t="shared" ca="1" si="99"/>
        <v>#NAME?</v>
      </c>
      <c r="CS27" s="32" t="e">
        <f t="shared" ca="1" si="99"/>
        <v>#NAME?</v>
      </c>
      <c r="CT27" s="32" t="e">
        <f t="shared" ca="1" si="99"/>
        <v>#NAME?</v>
      </c>
      <c r="CU27" s="32" t="e">
        <f t="shared" ca="1" si="99"/>
        <v>#NAME?</v>
      </c>
      <c r="CV27" s="32" t="e">
        <f t="shared" ca="1" si="99"/>
        <v>#NAME?</v>
      </c>
      <c r="CW27" s="32" t="e">
        <f t="shared" ca="1" si="99"/>
        <v>#NAME?</v>
      </c>
      <c r="CX27" s="32" t="e">
        <f t="shared" ca="1" si="99"/>
        <v>#NAME?</v>
      </c>
      <c r="CY27" s="32" t="e">
        <f t="shared" ca="1" si="99"/>
        <v>#NAME?</v>
      </c>
      <c r="CZ27" s="32" t="e">
        <f t="shared" ca="1" si="99"/>
        <v>#NAME?</v>
      </c>
      <c r="DA27" s="32" t="e">
        <f t="shared" ca="1" si="99"/>
        <v>#NAME?</v>
      </c>
      <c r="DB27" s="32" t="e">
        <f t="shared" ca="1" si="99"/>
        <v>#NAME?</v>
      </c>
      <c r="DE27" s="124"/>
      <c r="DF27" s="31">
        <v>184.97800000000007</v>
      </c>
    </row>
    <row r="28" spans="1:110" s="41" customFormat="1" x14ac:dyDescent="0.2">
      <c r="A28" s="41" t="s">
        <v>6</v>
      </c>
      <c r="B28" s="41" t="e">
        <f ca="1">B27/B21</f>
        <v>#NAME?</v>
      </c>
      <c r="C28" s="41" t="e">
        <f t="shared" ref="C28:U28" ca="1" si="100">C27/C21</f>
        <v>#NAME?</v>
      </c>
      <c r="D28" s="41" t="e">
        <f t="shared" ca="1" si="100"/>
        <v>#NAME?</v>
      </c>
      <c r="E28" s="41" t="e">
        <f t="shared" ca="1" si="100"/>
        <v>#NAME?</v>
      </c>
      <c r="F28" s="41" t="e">
        <f t="shared" ca="1" si="100"/>
        <v>#NAME?</v>
      </c>
      <c r="G28" s="41" t="e">
        <f t="shared" ca="1" si="100"/>
        <v>#NAME?</v>
      </c>
      <c r="H28" s="41" t="e">
        <f t="shared" ca="1" si="100"/>
        <v>#NAME?</v>
      </c>
      <c r="I28" s="41" t="e">
        <f t="shared" ca="1" si="100"/>
        <v>#NAME?</v>
      </c>
      <c r="J28" s="41" t="e">
        <f t="shared" ca="1" si="100"/>
        <v>#NAME?</v>
      </c>
      <c r="K28" s="41" t="e">
        <f t="shared" ca="1" si="100"/>
        <v>#NAME?</v>
      </c>
      <c r="L28" s="41" t="e">
        <f t="shared" ca="1" si="100"/>
        <v>#NAME?</v>
      </c>
      <c r="M28" s="41" t="e">
        <f t="shared" ca="1" si="100"/>
        <v>#NAME?</v>
      </c>
      <c r="N28" s="41" t="e">
        <f t="shared" ca="1" si="100"/>
        <v>#NAME?</v>
      </c>
      <c r="O28" s="41" t="e">
        <f t="shared" ca="1" si="100"/>
        <v>#NAME?</v>
      </c>
      <c r="P28" s="41" t="e">
        <f t="shared" ca="1" si="100"/>
        <v>#NAME?</v>
      </c>
      <c r="Q28" s="41" t="e">
        <f t="shared" ca="1" si="100"/>
        <v>#NAME?</v>
      </c>
      <c r="R28" s="41" t="e">
        <f t="shared" ca="1" si="100"/>
        <v>#NAME?</v>
      </c>
      <c r="S28" s="41" t="e">
        <f t="shared" ca="1" si="100"/>
        <v>#NAME?</v>
      </c>
      <c r="T28" s="41" t="e">
        <f t="shared" ca="1" si="100"/>
        <v>#NAME?</v>
      </c>
      <c r="U28" s="41" t="e">
        <f t="shared" ca="1" si="100"/>
        <v>#NAME?</v>
      </c>
      <c r="V28" s="41" t="e">
        <f ca="1">V27/V21</f>
        <v>#NAME?</v>
      </c>
      <c r="W28" s="41" t="e">
        <f ca="1">W27/W21</f>
        <v>#NAME?</v>
      </c>
      <c r="X28" s="41" t="e">
        <f ca="1">X27/X21</f>
        <v>#NAME?</v>
      </c>
      <c r="Y28" s="41" t="e">
        <f ca="1">Y27/Y21</f>
        <v>#NAME?</v>
      </c>
      <c r="Z28" s="41" t="e">
        <f ca="1">Z27/Z21</f>
        <v>#NAME?</v>
      </c>
      <c r="AA28" s="41" t="e">
        <f ca="1">AA27/AA21</f>
        <v>#NAME?</v>
      </c>
      <c r="AB28" s="42" t="e">
        <f t="shared" ref="AA28:AD28" ca="1" si="101">AB27/AB21</f>
        <v>#NAME?</v>
      </c>
      <c r="AC28" s="42" t="e">
        <f t="shared" ca="1" si="101"/>
        <v>#NAME?</v>
      </c>
      <c r="AD28" s="42" t="e">
        <f t="shared" ca="1" si="101"/>
        <v>#NAME?</v>
      </c>
      <c r="AE28" s="42" t="e">
        <f t="shared" ref="AE28" ca="1" si="102">AE27/AE21</f>
        <v>#NAME?</v>
      </c>
      <c r="AI28" s="41" t="e">
        <f t="shared" ref="AI28" ca="1" si="103">AI27/AI21</f>
        <v>#NAME?</v>
      </c>
      <c r="AJ28" s="41" t="e">
        <f t="shared" ref="AJ28" ca="1" si="104">AJ27/AJ21</f>
        <v>#NAME?</v>
      </c>
      <c r="AK28" s="41" t="e">
        <f t="shared" ref="AK28:AM28" ca="1" si="105">AK27/AK21</f>
        <v>#NAME?</v>
      </c>
      <c r="AL28" s="41" t="e">
        <f t="shared" ca="1" si="105"/>
        <v>#NAME?</v>
      </c>
      <c r="AM28" s="41" t="e">
        <f t="shared" ca="1" si="105"/>
        <v>#NAME?</v>
      </c>
      <c r="AN28" s="41" t="e">
        <f t="shared" ref="AN28:AO28" ca="1" si="106">AN27/AN21</f>
        <v>#NAME?</v>
      </c>
      <c r="AO28" s="41" t="e">
        <f t="shared" ca="1" si="106"/>
        <v>#NAME?</v>
      </c>
      <c r="AP28" s="41" t="e">
        <f t="shared" ref="AP28:CD28" ca="1" si="107">AP27/AP21</f>
        <v>#NAME?</v>
      </c>
      <c r="AQ28" s="41" t="e">
        <f t="shared" ca="1" si="107"/>
        <v>#NAME?</v>
      </c>
      <c r="AR28" s="41" t="e">
        <f t="shared" ca="1" si="107"/>
        <v>#NAME?</v>
      </c>
      <c r="AS28" s="41" t="e">
        <f t="shared" ca="1" si="107"/>
        <v>#NAME?</v>
      </c>
      <c r="AT28" s="41" t="e">
        <f t="shared" ca="1" si="107"/>
        <v>#NAME?</v>
      </c>
      <c r="AU28" s="41" t="e">
        <f t="shared" ca="1" si="107"/>
        <v>#NAME?</v>
      </c>
      <c r="AV28" s="41" t="e">
        <f t="shared" ca="1" si="107"/>
        <v>#NAME?</v>
      </c>
      <c r="AW28" s="41" t="e">
        <f t="shared" ca="1" si="107"/>
        <v>#NAME?</v>
      </c>
      <c r="AX28" s="41" t="e">
        <f t="shared" ca="1" si="107"/>
        <v>#NAME?</v>
      </c>
      <c r="AY28" s="41" t="e">
        <f t="shared" ca="1" si="107"/>
        <v>#NAME?</v>
      </c>
      <c r="AZ28" s="41" t="e">
        <f t="shared" ca="1" si="107"/>
        <v>#NAME?</v>
      </c>
      <c r="BA28" s="41" t="e">
        <f t="shared" ca="1" si="107"/>
        <v>#NAME?</v>
      </c>
      <c r="BB28" s="41" t="e">
        <f t="shared" ca="1" si="107"/>
        <v>#NAME?</v>
      </c>
      <c r="BC28" s="41" t="e">
        <f t="shared" ca="1" si="107"/>
        <v>#NAME?</v>
      </c>
      <c r="BD28" s="41" t="e">
        <f t="shared" ca="1" si="107"/>
        <v>#NAME?</v>
      </c>
      <c r="BE28" s="41" t="e">
        <f t="shared" ca="1" si="107"/>
        <v>#NAME?</v>
      </c>
      <c r="BF28" s="41" t="e">
        <f t="shared" ca="1" si="107"/>
        <v>#NAME?</v>
      </c>
      <c r="BG28" s="41" t="e">
        <f t="shared" ca="1" si="107"/>
        <v>#NAME?</v>
      </c>
      <c r="BH28" s="41" t="e">
        <f t="shared" ca="1" si="107"/>
        <v>#NAME?</v>
      </c>
      <c r="BI28" s="41" t="e">
        <f t="shared" ca="1" si="107"/>
        <v>#NAME?</v>
      </c>
      <c r="BJ28" s="41" t="e">
        <f t="shared" ca="1" si="107"/>
        <v>#NAME?</v>
      </c>
      <c r="BK28" s="41" t="e">
        <f t="shared" ca="1" si="107"/>
        <v>#NAME?</v>
      </c>
      <c r="BL28" s="41" t="e">
        <f t="shared" ca="1" si="107"/>
        <v>#NAME?</v>
      </c>
      <c r="BM28" s="41" t="e">
        <f t="shared" ca="1" si="107"/>
        <v>#NAME?</v>
      </c>
      <c r="BN28" s="41" t="e">
        <f t="shared" ca="1" si="107"/>
        <v>#NAME?</v>
      </c>
      <c r="BO28" s="41" t="e">
        <f t="shared" ca="1" si="107"/>
        <v>#NAME?</v>
      </c>
      <c r="BP28" s="41" t="e">
        <f t="shared" ca="1" si="107"/>
        <v>#NAME?</v>
      </c>
      <c r="BQ28" s="41" t="e">
        <f t="shared" ca="1" si="107"/>
        <v>#NAME?</v>
      </c>
      <c r="BR28" s="41" t="e">
        <f t="shared" ca="1" si="107"/>
        <v>#NAME?</v>
      </c>
      <c r="BS28" s="41" t="e">
        <f t="shared" ca="1" si="107"/>
        <v>#NAME?</v>
      </c>
      <c r="BT28" s="41" t="e">
        <f t="shared" ca="1" si="107"/>
        <v>#NAME?</v>
      </c>
      <c r="BU28" s="41" t="e">
        <f t="shared" ca="1" si="107"/>
        <v>#NAME?</v>
      </c>
      <c r="BV28" s="41" t="e">
        <f t="shared" ca="1" si="107"/>
        <v>#NAME?</v>
      </c>
      <c r="BW28" s="41" t="e">
        <f t="shared" ca="1" si="107"/>
        <v>#NAME?</v>
      </c>
      <c r="BX28" s="41" t="e">
        <f t="shared" ca="1" si="107"/>
        <v>#NAME?</v>
      </c>
      <c r="BY28" s="41" t="e">
        <f t="shared" ca="1" si="107"/>
        <v>#NAME?</v>
      </c>
      <c r="BZ28" s="41" t="e">
        <f t="shared" ca="1" si="107"/>
        <v>#NAME?</v>
      </c>
      <c r="CA28" s="41" t="e">
        <f t="shared" ca="1" si="107"/>
        <v>#NAME?</v>
      </c>
      <c r="CB28" s="41" t="e">
        <f t="shared" ca="1" si="107"/>
        <v>#NAME?</v>
      </c>
      <c r="CC28" s="41" t="e">
        <f t="shared" ca="1" si="107"/>
        <v>#NAME?</v>
      </c>
      <c r="CD28" s="41" t="e">
        <f t="shared" ca="1" si="107"/>
        <v>#NAME?</v>
      </c>
      <c r="CE28" s="41" t="e">
        <f t="shared" ref="CE28:CF28" ca="1" si="108">CE27/CE21</f>
        <v>#NAME?</v>
      </c>
      <c r="CF28" s="41" t="e">
        <f t="shared" ca="1" si="108"/>
        <v>#NAME?</v>
      </c>
      <c r="CG28" s="41">
        <v>0.28996952199187886</v>
      </c>
      <c r="CH28" s="41" t="e">
        <f t="shared" ref="CH28" ca="1" si="109">CH27/CH21</f>
        <v>#NAME?</v>
      </c>
      <c r="CI28" s="41" t="e">
        <f t="shared" ref="CI28:CJ28" ca="1" si="110">CI27/CI21</f>
        <v>#NAME?</v>
      </c>
      <c r="CJ28" s="41" t="e">
        <f t="shared" ca="1" si="110"/>
        <v>#NAME?</v>
      </c>
      <c r="CK28" s="41" t="e">
        <f t="shared" ref="CK28:CL28" ca="1" si="111">CK27/CK21</f>
        <v>#NAME?</v>
      </c>
      <c r="CL28" s="41" t="e">
        <f t="shared" ca="1" si="111"/>
        <v>#NAME?</v>
      </c>
      <c r="CM28" s="42" t="e">
        <f ca="1">AVERAGE(CI28:CL28)*0.98</f>
        <v>#NAME?</v>
      </c>
      <c r="CN28" s="42" t="e">
        <f ca="1">AVERAGE(CJ28:CM28)*0.98</f>
        <v>#NAME?</v>
      </c>
      <c r="CO28" s="42" t="e">
        <f t="shared" ref="CO28:DB28" ca="1" si="112">AVERAGE(CK28:CN28)</f>
        <v>#NAME?</v>
      </c>
      <c r="CP28" s="42" t="e">
        <f t="shared" ca="1" si="112"/>
        <v>#NAME?</v>
      </c>
      <c r="CQ28" s="42" t="e">
        <f t="shared" ca="1" si="112"/>
        <v>#NAME?</v>
      </c>
      <c r="CR28" s="42" t="e">
        <f t="shared" ca="1" si="112"/>
        <v>#NAME?</v>
      </c>
      <c r="CS28" s="42" t="e">
        <f t="shared" ca="1" si="112"/>
        <v>#NAME?</v>
      </c>
      <c r="CT28" s="42" t="e">
        <f t="shared" ca="1" si="112"/>
        <v>#NAME?</v>
      </c>
      <c r="CU28" s="42" t="e">
        <f t="shared" ca="1" si="112"/>
        <v>#NAME?</v>
      </c>
      <c r="CV28" s="42" t="e">
        <f t="shared" ca="1" si="112"/>
        <v>#NAME?</v>
      </c>
      <c r="CW28" s="42" t="e">
        <f t="shared" ca="1" si="112"/>
        <v>#NAME?</v>
      </c>
      <c r="CX28" s="42" t="e">
        <f t="shared" ca="1" si="112"/>
        <v>#NAME?</v>
      </c>
      <c r="CY28" s="42" t="e">
        <f t="shared" ca="1" si="112"/>
        <v>#NAME?</v>
      </c>
      <c r="CZ28" s="42" t="e">
        <f t="shared" ca="1" si="112"/>
        <v>#NAME?</v>
      </c>
      <c r="DA28" s="42" t="e">
        <f t="shared" ca="1" si="112"/>
        <v>#NAME?</v>
      </c>
      <c r="DB28" s="42" t="e">
        <f t="shared" ca="1" si="112"/>
        <v>#NAME?</v>
      </c>
      <c r="DE28" s="125"/>
      <c r="DF28" s="41">
        <v>0.28942427447568869</v>
      </c>
    </row>
    <row r="29" spans="1:110" s="39" customFormat="1" x14ac:dyDescent="0.2">
      <c r="A29" s="39" t="s">
        <v>447</v>
      </c>
      <c r="C29" s="39" t="e">
        <f t="shared" ref="C29:AE29" ca="1" si="113">+IF(B27&lt;0,1-C27/B27,C27/B27-1)</f>
        <v>#NAME?</v>
      </c>
      <c r="D29" s="39" t="e">
        <f t="shared" ca="1" si="113"/>
        <v>#NAME?</v>
      </c>
      <c r="E29" s="39" t="e">
        <f t="shared" ca="1" si="113"/>
        <v>#NAME?</v>
      </c>
      <c r="F29" s="39" t="e">
        <f t="shared" ca="1" si="113"/>
        <v>#NAME?</v>
      </c>
      <c r="G29" s="39" t="e">
        <f t="shared" ca="1" si="113"/>
        <v>#NAME?</v>
      </c>
      <c r="H29" s="39" t="e">
        <f t="shared" ca="1" si="113"/>
        <v>#NAME?</v>
      </c>
      <c r="I29" s="39" t="e">
        <f t="shared" ca="1" si="113"/>
        <v>#NAME?</v>
      </c>
      <c r="J29" s="39" t="e">
        <f t="shared" ca="1" si="113"/>
        <v>#NAME?</v>
      </c>
      <c r="K29" s="39" t="e">
        <f t="shared" ca="1" si="113"/>
        <v>#NAME?</v>
      </c>
      <c r="L29" s="39" t="e">
        <f t="shared" ca="1" si="113"/>
        <v>#NAME?</v>
      </c>
      <c r="M29" s="39" t="e">
        <f t="shared" ca="1" si="113"/>
        <v>#NAME?</v>
      </c>
      <c r="N29" s="39" t="e">
        <f t="shared" ca="1" si="113"/>
        <v>#NAME?</v>
      </c>
      <c r="O29" s="39" t="e">
        <f t="shared" ca="1" si="113"/>
        <v>#NAME?</v>
      </c>
      <c r="P29" s="39" t="e">
        <f t="shared" ca="1" si="113"/>
        <v>#NAME?</v>
      </c>
      <c r="Q29" s="39" t="e">
        <f t="shared" ca="1" si="113"/>
        <v>#NAME?</v>
      </c>
      <c r="R29" s="39" t="e">
        <f t="shared" ca="1" si="113"/>
        <v>#NAME?</v>
      </c>
      <c r="S29" s="39" t="e">
        <f t="shared" ca="1" si="113"/>
        <v>#NAME?</v>
      </c>
      <c r="T29" s="39" t="e">
        <f t="shared" ca="1" si="113"/>
        <v>#NAME?</v>
      </c>
      <c r="U29" s="39" t="e">
        <f t="shared" ca="1" si="113"/>
        <v>#NAME?</v>
      </c>
      <c r="V29" s="39" t="e">
        <f t="shared" ca="1" si="113"/>
        <v>#NAME?</v>
      </c>
      <c r="W29" s="39" t="e">
        <f t="shared" ca="1" si="113"/>
        <v>#NAME?</v>
      </c>
      <c r="X29" s="39" t="e">
        <f t="shared" ca="1" si="113"/>
        <v>#NAME?</v>
      </c>
      <c r="Y29" s="39" t="e">
        <f t="shared" ca="1" si="113"/>
        <v>#NAME?</v>
      </c>
      <c r="Z29" s="39" t="e">
        <f t="shared" ca="1" si="113"/>
        <v>#NAME?</v>
      </c>
      <c r="AA29" s="39" t="e">
        <f t="shared" ca="1" si="113"/>
        <v>#NAME?</v>
      </c>
      <c r="AB29" s="40" t="e">
        <f t="shared" ca="1" si="113"/>
        <v>#NAME?</v>
      </c>
      <c r="AC29" s="40" t="e">
        <f t="shared" ca="1" si="113"/>
        <v>#NAME?</v>
      </c>
      <c r="AD29" s="40" t="e">
        <f t="shared" ca="1" si="113"/>
        <v>#NAME?</v>
      </c>
      <c r="AE29" s="40" t="e">
        <f t="shared" ca="1" si="113"/>
        <v>#NAME?</v>
      </c>
      <c r="AM29" s="39" t="e">
        <f ca="1">+IF(AI27&lt;0,1-AM27/AI27,AM27/AI27-1)</f>
        <v>#NAME?</v>
      </c>
      <c r="AN29" s="39" t="e">
        <f t="shared" ref="AN29" ca="1" si="114">+IF(AJ27&lt;0,1-AN27/AJ27,AN27/AJ27-1)</f>
        <v>#NAME?</v>
      </c>
      <c r="AO29" s="39" t="e">
        <f t="shared" ref="AO29" ca="1" si="115">+IF(AK27&lt;0,1-AO27/AK27,AO27/AK27-1)</f>
        <v>#NAME?</v>
      </c>
      <c r="AP29" s="39" t="e">
        <f t="shared" ref="AP29" ca="1" si="116">+IF(AL27&lt;0,1-AP27/AL27,AP27/AL27-1)</f>
        <v>#NAME?</v>
      </c>
      <c r="AQ29" s="39" t="e">
        <f t="shared" ref="AQ29" ca="1" si="117">+IF(AM27&lt;0,1-AQ27/AM27,AQ27/AM27-1)</f>
        <v>#NAME?</v>
      </c>
      <c r="AR29" s="39" t="e">
        <f t="shared" ref="AR29" ca="1" si="118">+IF(AN27&lt;0,1-AR27/AN27,AR27/AN27-1)</f>
        <v>#NAME?</v>
      </c>
      <c r="AS29" s="39" t="e">
        <f t="shared" ref="AS29" ca="1" si="119">+IF(AO27&lt;0,1-AS27/AO27,AS27/AO27-1)</f>
        <v>#NAME?</v>
      </c>
      <c r="AT29" s="39" t="e">
        <f t="shared" ref="AT29" ca="1" si="120">+IF(AP27&lt;0,1-AT27/AP27,AT27/AP27-1)</f>
        <v>#NAME?</v>
      </c>
      <c r="AU29" s="39" t="e">
        <f t="shared" ref="AU29" ca="1" si="121">+IF(AQ27&lt;0,1-AU27/AQ27,AU27/AQ27-1)</f>
        <v>#NAME?</v>
      </c>
      <c r="AV29" s="39" t="e">
        <f t="shared" ref="AV29" ca="1" si="122">+IF(AR27&lt;0,1-AV27/AR27,AV27/AR27-1)</f>
        <v>#NAME?</v>
      </c>
      <c r="AW29" s="39" t="e">
        <f t="shared" ref="AW29" ca="1" si="123">+IF(AS27&lt;0,1-AW27/AS27,AW27/AS27-1)</f>
        <v>#NAME?</v>
      </c>
      <c r="AX29" s="39" t="e">
        <f t="shared" ref="AX29" ca="1" si="124">+IF(AT27&lt;0,1-AX27/AT27,AX27/AT27-1)</f>
        <v>#NAME?</v>
      </c>
      <c r="AY29" s="39" t="e">
        <f t="shared" ref="AY29" ca="1" si="125">+IF(AU27&lt;0,1-AY27/AU27,AY27/AU27-1)</f>
        <v>#NAME?</v>
      </c>
      <c r="AZ29" s="39" t="e">
        <f t="shared" ref="AZ29" ca="1" si="126">+IF(AV27&lt;0,1-AZ27/AV27,AZ27/AV27-1)</f>
        <v>#NAME?</v>
      </c>
      <c r="BA29" s="39" t="e">
        <f t="shared" ref="BA29" ca="1" si="127">+IF(AW27&lt;0,1-BA27/AW27,BA27/AW27-1)</f>
        <v>#NAME?</v>
      </c>
      <c r="BB29" s="39" t="e">
        <f t="shared" ref="BB29" ca="1" si="128">+IF(AX27&lt;0,1-BB27/AX27,BB27/AX27-1)</f>
        <v>#NAME?</v>
      </c>
      <c r="BC29" s="39" t="e">
        <f t="shared" ref="BC29" ca="1" si="129">+IF(AY27&lt;0,1-BC27/AY27,BC27/AY27-1)</f>
        <v>#NAME?</v>
      </c>
      <c r="BD29" s="39" t="e">
        <f t="shared" ref="BD29" ca="1" si="130">+IF(AZ27&lt;0,1-BD27/AZ27,BD27/AZ27-1)</f>
        <v>#NAME?</v>
      </c>
      <c r="BE29" s="39" t="e">
        <f t="shared" ref="BE29" ca="1" si="131">+IF(BA27&lt;0,1-BE27/BA27,BE27/BA27-1)</f>
        <v>#NAME?</v>
      </c>
      <c r="BF29" s="39" t="e">
        <f t="shared" ref="BF29" ca="1" si="132">+IF(BB27&lt;0,1-BF27/BB27,BF27/BB27-1)</f>
        <v>#NAME?</v>
      </c>
      <c r="BG29" s="39" t="e">
        <f t="shared" ref="BG29" ca="1" si="133">+IF(BC27&lt;0,1-BG27/BC27,BG27/BC27-1)</f>
        <v>#NAME?</v>
      </c>
      <c r="BH29" s="39" t="e">
        <f t="shared" ref="BH29" ca="1" si="134">+IF(BD27&lt;0,1-BH27/BD27,BH27/BD27-1)</f>
        <v>#NAME?</v>
      </c>
      <c r="BI29" s="39" t="e">
        <f t="shared" ref="BI29" ca="1" si="135">+IF(BE27&lt;0,1-BI27/BE27,BI27/BE27-1)</f>
        <v>#NAME?</v>
      </c>
      <c r="BJ29" s="39" t="e">
        <f t="shared" ref="BJ29" ca="1" si="136">+IF(BF27&lt;0,1-BJ27/BF27,BJ27/BF27-1)</f>
        <v>#NAME?</v>
      </c>
      <c r="BK29" s="39" t="e">
        <f t="shared" ref="BK29" ca="1" si="137">+IF(BG27&lt;0,1-BK27/BG27,BK27/BG27-1)</f>
        <v>#NAME?</v>
      </c>
      <c r="BL29" s="39" t="e">
        <f t="shared" ref="BL29" ca="1" si="138">+IF(BH27&lt;0,1-BL27/BH27,BL27/BH27-1)</f>
        <v>#NAME?</v>
      </c>
      <c r="BM29" s="39" t="e">
        <f t="shared" ref="BM29" ca="1" si="139">+IF(BI27&lt;0,1-BM27/BI27,BM27/BI27-1)</f>
        <v>#NAME?</v>
      </c>
      <c r="BN29" s="39" t="e">
        <f t="shared" ref="BN29" ca="1" si="140">+IF(BJ27&lt;0,1-BN27/BJ27,BN27/BJ27-1)</f>
        <v>#NAME?</v>
      </c>
      <c r="BO29" s="39" t="e">
        <f t="shared" ref="BO29" ca="1" si="141">+IF(BK27&lt;0,1-BO27/BK27,BO27/BK27-1)</f>
        <v>#NAME?</v>
      </c>
      <c r="BP29" s="39" t="e">
        <f t="shared" ref="BP29" ca="1" si="142">+IF(BL27&lt;0,1-BP27/BL27,BP27/BL27-1)</f>
        <v>#NAME?</v>
      </c>
      <c r="BQ29" s="39" t="e">
        <f t="shared" ref="BQ29" ca="1" si="143">+IF(BM27&lt;0,1-BQ27/BM27,BQ27/BM27-1)</f>
        <v>#NAME?</v>
      </c>
      <c r="BR29" s="39" t="e">
        <f t="shared" ref="BR29" ca="1" si="144">+IF(BN27&lt;0,1-BR27/BN27,BR27/BN27-1)</f>
        <v>#NAME?</v>
      </c>
      <c r="BS29" s="39" t="e">
        <f t="shared" ref="BS29" ca="1" si="145">+IF(BO27&lt;0,1-BS27/BO27,BS27/BO27-1)</f>
        <v>#NAME?</v>
      </c>
      <c r="BT29" s="39" t="e">
        <f t="shared" ref="BT29" ca="1" si="146">+IF(BP27&lt;0,1-BT27/BP27,BT27/BP27-1)</f>
        <v>#NAME?</v>
      </c>
      <c r="BU29" s="39" t="e">
        <f t="shared" ref="BU29" ca="1" si="147">+IF(BQ27&lt;0,1-BU27/BQ27,BU27/BQ27-1)</f>
        <v>#NAME?</v>
      </c>
      <c r="BV29" s="39" t="e">
        <f t="shared" ref="BV29" ca="1" si="148">+IF(BR27&lt;0,1-BV27/BR27,BV27/BR27-1)</f>
        <v>#NAME?</v>
      </c>
      <c r="BW29" s="39" t="e">
        <f t="shared" ref="BW29" ca="1" si="149">+IF(BS27&lt;0,1-BW27/BS27,BW27/BS27-1)</f>
        <v>#NAME?</v>
      </c>
      <c r="BX29" s="39" t="e">
        <f t="shared" ref="BX29" ca="1" si="150">+IF(BT27&lt;0,1-BX27/BT27,BX27/BT27-1)</f>
        <v>#NAME?</v>
      </c>
      <c r="BY29" s="39" t="e">
        <f t="shared" ref="BY29" ca="1" si="151">+IF(BU27&lt;0,1-BY27/BU27,BY27/BU27-1)</f>
        <v>#NAME?</v>
      </c>
      <c r="BZ29" s="39" t="e">
        <f t="shared" ref="BZ29" ca="1" si="152">+IF(BV27&lt;0,1-BZ27/BV27,BZ27/BV27-1)</f>
        <v>#NAME?</v>
      </c>
      <c r="CA29" s="39" t="e">
        <f t="shared" ref="CA29" ca="1" si="153">+IF(BW27&lt;0,1-CA27/BW27,CA27/BW27-1)</f>
        <v>#NAME?</v>
      </c>
      <c r="CB29" s="39" t="e">
        <f t="shared" ref="CB29" ca="1" si="154">+IF(BX27&lt;0,1-CB27/BX27,CB27/BX27-1)</f>
        <v>#NAME?</v>
      </c>
      <c r="CC29" s="39" t="e">
        <f t="shared" ref="CC29" ca="1" si="155">+IF(BY27&lt;0,1-CC27/BY27,CC27/BY27-1)</f>
        <v>#NAME?</v>
      </c>
      <c r="CD29" s="39" t="e">
        <f t="shared" ref="CD29" ca="1" si="156">+IF(BZ27&lt;0,1-CD27/BZ27,CD27/BZ27-1)</f>
        <v>#NAME?</v>
      </c>
      <c r="CE29" s="39" t="e">
        <f t="shared" ref="CE29" ca="1" si="157">+IF(CA27&lt;0,1-CE27/CA27,CE27/CA27-1)</f>
        <v>#NAME?</v>
      </c>
      <c r="CF29" s="39" t="e">
        <f t="shared" ref="CF29" ca="1" si="158">+IF(CB27&lt;0,1-CF27/CB27,CF27/CB27-1)</f>
        <v>#NAME?</v>
      </c>
      <c r="CG29" s="39">
        <v>0.26649087738697719</v>
      </c>
      <c r="CH29" s="39" t="e">
        <f t="shared" ref="CH29:CL29" ca="1" si="159">+IF(CD27&lt;0,1-CH27/CD27,CH27/CD27-1)</f>
        <v>#NAME?</v>
      </c>
      <c r="CI29" s="39" t="e">
        <f t="shared" ca="1" si="159"/>
        <v>#NAME?</v>
      </c>
      <c r="CJ29" s="39" t="e">
        <f t="shared" ca="1" si="159"/>
        <v>#NAME?</v>
      </c>
      <c r="CK29" s="39" t="e">
        <f t="shared" ca="1" si="159"/>
        <v>#NAME?</v>
      </c>
      <c r="CL29" s="39" t="e">
        <f t="shared" ca="1" si="159"/>
        <v>#NAME?</v>
      </c>
      <c r="CM29" s="40" t="e">
        <f t="shared" ref="CM29" ca="1" si="160">+CM27/CI27-1</f>
        <v>#NAME?</v>
      </c>
      <c r="CN29" s="40" t="e">
        <f t="shared" ref="CN29" ca="1" si="161">+CN27/CJ27-1</f>
        <v>#NAME?</v>
      </c>
      <c r="CO29" s="40" t="e">
        <f t="shared" ref="CO29" ca="1" si="162">+CO27/CK27-1</f>
        <v>#NAME?</v>
      </c>
      <c r="CP29" s="40" t="e">
        <f t="shared" ref="CP29" ca="1" si="163">+CP27/CL27-1</f>
        <v>#NAME?</v>
      </c>
      <c r="CQ29" s="40" t="e">
        <f t="shared" ref="CQ29" ca="1" si="164">+CQ27/CM27-1</f>
        <v>#NAME?</v>
      </c>
      <c r="CR29" s="40" t="e">
        <f t="shared" ref="CR29" ca="1" si="165">+CR27/CN27-1</f>
        <v>#NAME?</v>
      </c>
      <c r="CS29" s="40" t="e">
        <f t="shared" ref="CS29" ca="1" si="166">+CS27/CO27-1</f>
        <v>#NAME?</v>
      </c>
      <c r="CT29" s="40" t="e">
        <f t="shared" ref="CT29" ca="1" si="167">+CT27/CP27-1</f>
        <v>#NAME?</v>
      </c>
      <c r="CU29" s="40" t="e">
        <f t="shared" ref="CU29" ca="1" si="168">+CU27/CQ27-1</f>
        <v>#NAME?</v>
      </c>
      <c r="CV29" s="40" t="e">
        <f t="shared" ref="CV29" ca="1" si="169">+CV27/CR27-1</f>
        <v>#NAME?</v>
      </c>
      <c r="CW29" s="40" t="e">
        <f t="shared" ref="CW29" ca="1" si="170">+CW27/CS27-1</f>
        <v>#NAME?</v>
      </c>
      <c r="CX29" s="40" t="e">
        <f t="shared" ref="CX29" ca="1" si="171">+CX27/CT27-1</f>
        <v>#NAME?</v>
      </c>
      <c r="CY29" s="40" t="e">
        <f t="shared" ref="CY29" ca="1" si="172">+CY27/CU27-1</f>
        <v>#NAME?</v>
      </c>
      <c r="CZ29" s="40" t="e">
        <f t="shared" ref="CZ29" ca="1" si="173">+CZ27/CV27-1</f>
        <v>#NAME?</v>
      </c>
      <c r="DA29" s="40" t="e">
        <f t="shared" ref="DA29" ca="1" si="174">+DA27/CW27-1</f>
        <v>#NAME?</v>
      </c>
      <c r="DB29" s="40" t="e">
        <f t="shared" ref="DB29" ca="1" si="175">+DB27/CX27-1</f>
        <v>#NAME?</v>
      </c>
      <c r="DE29" s="122"/>
      <c r="DF29" s="39">
        <v>0.49434424415157285</v>
      </c>
    </row>
    <row r="30" spans="1:110" s="39" customFormat="1" x14ac:dyDescent="0.2">
      <c r="A30" s="39" t="s">
        <v>448</v>
      </c>
      <c r="AB30" s="40"/>
      <c r="AC30" s="40"/>
      <c r="AD30" s="40"/>
      <c r="AE30" s="40"/>
      <c r="AJ30" s="39" t="e">
        <f ca="1">+IF(AI27&lt;0,1-AJ27/AI27,AJ27/AI27-1)</f>
        <v>#NAME?</v>
      </c>
      <c r="AK30" s="39" t="e">
        <f t="shared" ref="AK30" ca="1" si="176">+IF(AJ27&lt;0,1-AK27/AJ27,AK27/AJ27-1)</f>
        <v>#NAME?</v>
      </c>
      <c r="AL30" s="39" t="e">
        <f t="shared" ref="AL30" ca="1" si="177">+IF(AK27&lt;0,1-AL27/AK27,AL27/AK27-1)</f>
        <v>#NAME?</v>
      </c>
      <c r="AM30" s="39" t="e">
        <f t="shared" ref="AM30" ca="1" si="178">+IF(AL27&lt;0,1-AM27/AL27,AM27/AL27-1)</f>
        <v>#NAME?</v>
      </c>
      <c r="AN30" s="39" t="e">
        <f t="shared" ref="AN30" ca="1" si="179">+IF(AM27&lt;0,1-AN27/AM27,AN27/AM27-1)</f>
        <v>#NAME?</v>
      </c>
      <c r="AO30" s="39" t="e">
        <f t="shared" ref="AO30" ca="1" si="180">+IF(AN27&lt;0,1-AO27/AN27,AO27/AN27-1)</f>
        <v>#NAME?</v>
      </c>
      <c r="AP30" s="39" t="e">
        <f t="shared" ref="AP30" ca="1" si="181">+IF(AO27&lt;0,1-AP27/AO27,AP27/AO27-1)</f>
        <v>#NAME?</v>
      </c>
      <c r="AQ30" s="39" t="e">
        <f t="shared" ref="AQ30" ca="1" si="182">+IF(AP27&lt;0,1-AQ27/AP27,AQ27/AP27-1)</f>
        <v>#NAME?</v>
      </c>
      <c r="AR30" s="39" t="e">
        <f t="shared" ref="AR30" ca="1" si="183">+IF(AQ27&lt;0,1-AR27/AQ27,AR27/AQ27-1)</f>
        <v>#NAME?</v>
      </c>
      <c r="AS30" s="39" t="e">
        <f t="shared" ref="AS30" ca="1" si="184">+IF(AR27&lt;0,1-AS27/AR27,AS27/AR27-1)</f>
        <v>#NAME?</v>
      </c>
      <c r="AT30" s="39" t="e">
        <f t="shared" ref="AT30" ca="1" si="185">+IF(AS27&lt;0,1-AT27/AS27,AT27/AS27-1)</f>
        <v>#NAME?</v>
      </c>
      <c r="AU30" s="39" t="e">
        <f t="shared" ref="AU30" ca="1" si="186">+IF(AT27&lt;0,1-AU27/AT27,AU27/AT27-1)</f>
        <v>#NAME?</v>
      </c>
      <c r="AV30" s="39" t="e">
        <f t="shared" ref="AV30" ca="1" si="187">+IF(AU27&lt;0,1-AV27/AU27,AV27/AU27-1)</f>
        <v>#NAME?</v>
      </c>
      <c r="AW30" s="39" t="e">
        <f t="shared" ref="AW30" ca="1" si="188">+IF(AV27&lt;0,1-AW27/AV27,AW27/AV27-1)</f>
        <v>#NAME?</v>
      </c>
      <c r="AX30" s="39" t="e">
        <f t="shared" ref="AX30" ca="1" si="189">+IF(AW27&lt;0,1-AX27/AW27,AX27/AW27-1)</f>
        <v>#NAME?</v>
      </c>
      <c r="AY30" s="39" t="e">
        <f t="shared" ref="AY30" ca="1" si="190">+IF(AX27&lt;0,1-AY27/AX27,AY27/AX27-1)</f>
        <v>#NAME?</v>
      </c>
      <c r="AZ30" s="39" t="e">
        <f t="shared" ref="AZ30" ca="1" si="191">+IF(AY27&lt;0,1-AZ27/AY27,AZ27/AY27-1)</f>
        <v>#NAME?</v>
      </c>
      <c r="BA30" s="39" t="e">
        <f t="shared" ref="BA30" ca="1" si="192">+IF(AZ27&lt;0,1-BA27/AZ27,BA27/AZ27-1)</f>
        <v>#NAME?</v>
      </c>
      <c r="BB30" s="39" t="e">
        <f t="shared" ref="BB30" ca="1" si="193">+IF(BA27&lt;0,1-BB27/BA27,BB27/BA27-1)</f>
        <v>#NAME?</v>
      </c>
      <c r="BC30" s="39" t="e">
        <f t="shared" ref="BC30" ca="1" si="194">+IF(BB27&lt;0,1-BC27/BB27,BC27/BB27-1)</f>
        <v>#NAME?</v>
      </c>
      <c r="BD30" s="39" t="e">
        <f t="shared" ref="BD30" ca="1" si="195">+IF(BC27&lt;0,1-BD27/BC27,BD27/BC27-1)</f>
        <v>#NAME?</v>
      </c>
      <c r="BE30" s="39" t="e">
        <f t="shared" ref="BE30" ca="1" si="196">+IF(BD27&lt;0,1-BE27/BD27,BE27/BD27-1)</f>
        <v>#NAME?</v>
      </c>
      <c r="BF30" s="39" t="e">
        <f t="shared" ref="BF30" ca="1" si="197">+IF(BE27&lt;0,1-BF27/BE27,BF27/BE27-1)</f>
        <v>#NAME?</v>
      </c>
      <c r="BG30" s="39" t="e">
        <f t="shared" ref="BG30" ca="1" si="198">+IF(BF27&lt;0,1-BG27/BF27,BG27/BF27-1)</f>
        <v>#NAME?</v>
      </c>
      <c r="BH30" s="39" t="e">
        <f t="shared" ref="BH30" ca="1" si="199">+IF(BG27&lt;0,1-BH27/BG27,BH27/BG27-1)</f>
        <v>#NAME?</v>
      </c>
      <c r="BI30" s="39" t="e">
        <f t="shared" ref="BI30" ca="1" si="200">+IF(BH27&lt;0,1-BI27/BH27,BI27/BH27-1)</f>
        <v>#NAME?</v>
      </c>
      <c r="BJ30" s="39" t="e">
        <f t="shared" ref="BJ30" ca="1" si="201">+IF(BI27&lt;0,1-BJ27/BI27,BJ27/BI27-1)</f>
        <v>#NAME?</v>
      </c>
      <c r="BK30" s="39" t="e">
        <f t="shared" ref="BK30" ca="1" si="202">+IF(BJ27&lt;0,1-BK27/BJ27,BK27/BJ27-1)</f>
        <v>#NAME?</v>
      </c>
      <c r="BL30" s="39" t="e">
        <f t="shared" ref="BL30" ca="1" si="203">+IF(BK27&lt;0,1-BL27/BK27,BL27/BK27-1)</f>
        <v>#NAME?</v>
      </c>
      <c r="BM30" s="39" t="e">
        <f t="shared" ref="BM30" ca="1" si="204">+IF(BL27&lt;0,1-BM27/BL27,BM27/BL27-1)</f>
        <v>#NAME?</v>
      </c>
      <c r="BN30" s="39" t="e">
        <f t="shared" ref="BN30" ca="1" si="205">+IF(BM27&lt;0,1-BN27/BM27,BN27/BM27-1)</f>
        <v>#NAME?</v>
      </c>
      <c r="BO30" s="39" t="e">
        <f t="shared" ref="BO30" ca="1" si="206">+IF(BN27&lt;0,1-BO27/BN27,BO27/BN27-1)</f>
        <v>#NAME?</v>
      </c>
      <c r="BP30" s="39" t="e">
        <f t="shared" ref="BP30" ca="1" si="207">+IF(BO27&lt;0,1-BP27/BO27,BP27/BO27-1)</f>
        <v>#NAME?</v>
      </c>
      <c r="BQ30" s="39" t="e">
        <f t="shared" ref="BQ30" ca="1" si="208">+IF(BP27&lt;0,1-BQ27/BP27,BQ27/BP27-1)</f>
        <v>#NAME?</v>
      </c>
      <c r="BR30" s="39" t="e">
        <f t="shared" ref="BR30" ca="1" si="209">+IF(BQ27&lt;0,1-BR27/BQ27,BR27/BQ27-1)</f>
        <v>#NAME?</v>
      </c>
      <c r="BS30" s="39" t="e">
        <f t="shared" ref="BS30" ca="1" si="210">+IF(BR27&lt;0,1-BS27/BR27,BS27/BR27-1)</f>
        <v>#NAME?</v>
      </c>
      <c r="BT30" s="39" t="e">
        <f t="shared" ref="BT30" ca="1" si="211">+IF(BS27&lt;0,1-BT27/BS27,BT27/BS27-1)</f>
        <v>#NAME?</v>
      </c>
      <c r="BU30" s="39" t="e">
        <f t="shared" ref="BU30" ca="1" si="212">+IF(BT27&lt;0,1-BU27/BT27,BU27/BT27-1)</f>
        <v>#NAME?</v>
      </c>
      <c r="BV30" s="39" t="e">
        <f t="shared" ref="BV30" ca="1" si="213">+IF(BU27&lt;0,1-BV27/BU27,BV27/BU27-1)</f>
        <v>#NAME?</v>
      </c>
      <c r="BW30" s="39" t="e">
        <f t="shared" ref="BW30" ca="1" si="214">+IF(BV27&lt;0,1-BW27/BV27,BW27/BV27-1)</f>
        <v>#NAME?</v>
      </c>
      <c r="BX30" s="39" t="e">
        <f t="shared" ref="BX30" ca="1" si="215">+IF(BW27&lt;0,1-BX27/BW27,BX27/BW27-1)</f>
        <v>#NAME?</v>
      </c>
      <c r="BY30" s="39" t="e">
        <f t="shared" ref="BY30" ca="1" si="216">+IF(BX27&lt;0,1-BY27/BX27,BY27/BX27-1)</f>
        <v>#NAME?</v>
      </c>
      <c r="BZ30" s="39" t="e">
        <f t="shared" ref="BZ30" ca="1" si="217">+IF(BY27&lt;0,1-BZ27/BY27,BZ27/BY27-1)</f>
        <v>#NAME?</v>
      </c>
      <c r="CA30" s="39" t="e">
        <f t="shared" ref="CA30" ca="1" si="218">+IF(BZ27&lt;0,1-CA27/BZ27,CA27/BZ27-1)</f>
        <v>#NAME?</v>
      </c>
      <c r="CB30" s="39" t="e">
        <f t="shared" ref="CB30" ca="1" si="219">+IF(CA27&lt;0,1-CB27/CA27,CB27/CA27-1)</f>
        <v>#NAME?</v>
      </c>
      <c r="CC30" s="39" t="e">
        <f t="shared" ref="CC30" ca="1" si="220">+IF(CB27&lt;0,1-CC27/CB27,CC27/CB27-1)</f>
        <v>#NAME?</v>
      </c>
      <c r="CD30" s="39" t="e">
        <f t="shared" ref="CD30" ca="1" si="221">+IF(CC27&lt;0,1-CD27/CC27,CD27/CC27-1)</f>
        <v>#NAME?</v>
      </c>
      <c r="CE30" s="39" t="e">
        <f t="shared" ref="CE30" ca="1" si="222">+IF(CD27&lt;0,1-CE27/CD27,CE27/CD27-1)</f>
        <v>#NAME?</v>
      </c>
      <c r="CF30" s="39" t="e">
        <f t="shared" ref="CF30" ca="1" si="223">+IF(CE27&lt;0,1-CF27/CE27,CF27/CE27-1)</f>
        <v>#NAME?</v>
      </c>
      <c r="CG30" s="39">
        <v>-5.6820701232066173E-2</v>
      </c>
      <c r="CH30" s="39" t="e">
        <f t="shared" ref="CH30:CL30" ca="1" si="224">+IF(CG27&lt;0,1-CH27/CG27,CH27/CG27-1)</f>
        <v>#NAME?</v>
      </c>
      <c r="CI30" s="39" t="e">
        <f t="shared" ca="1" si="224"/>
        <v>#NAME?</v>
      </c>
      <c r="CJ30" s="39" t="e">
        <f t="shared" ca="1" si="224"/>
        <v>#NAME?</v>
      </c>
      <c r="CK30" s="39" t="e">
        <f t="shared" ca="1" si="224"/>
        <v>#NAME?</v>
      </c>
      <c r="CL30" s="39" t="e">
        <f t="shared" ca="1" si="224"/>
        <v>#NAME?</v>
      </c>
      <c r="CM30" s="40" t="e">
        <f t="shared" ref="CM30" ca="1" si="225">+CM27/CL27-1</f>
        <v>#NAME?</v>
      </c>
      <c r="CN30" s="40" t="e">
        <f t="shared" ref="CN30" ca="1" si="226">+CN27/CM27-1</f>
        <v>#NAME?</v>
      </c>
      <c r="CO30" s="40" t="e">
        <f t="shared" ref="CO30" ca="1" si="227">+CO27/CN27-1</f>
        <v>#NAME?</v>
      </c>
      <c r="CP30" s="40" t="e">
        <f t="shared" ref="CP30" ca="1" si="228">+CP27/CO27-1</f>
        <v>#NAME?</v>
      </c>
      <c r="CQ30" s="40" t="e">
        <f t="shared" ref="CQ30" ca="1" si="229">+CQ27/CP27-1</f>
        <v>#NAME?</v>
      </c>
      <c r="CR30" s="40" t="e">
        <f t="shared" ref="CR30" ca="1" si="230">+CR27/CQ27-1</f>
        <v>#NAME?</v>
      </c>
      <c r="CS30" s="40" t="e">
        <f t="shared" ref="CS30" ca="1" si="231">+CS27/CR27-1</f>
        <v>#NAME?</v>
      </c>
      <c r="CT30" s="40" t="e">
        <f t="shared" ref="CT30" ca="1" si="232">+CT27/CS27-1</f>
        <v>#NAME?</v>
      </c>
      <c r="CU30" s="40" t="e">
        <f t="shared" ref="CU30" ca="1" si="233">+CU27/CT27-1</f>
        <v>#NAME?</v>
      </c>
      <c r="CV30" s="40" t="e">
        <f t="shared" ref="CV30" ca="1" si="234">+CV27/CU27-1</f>
        <v>#NAME?</v>
      </c>
      <c r="CW30" s="40" t="e">
        <f t="shared" ref="CW30" ca="1" si="235">+CW27/CV27-1</f>
        <v>#NAME?</v>
      </c>
      <c r="CX30" s="40" t="e">
        <f t="shared" ref="CX30" ca="1" si="236">+CX27/CW27-1</f>
        <v>#NAME?</v>
      </c>
      <c r="CY30" s="40" t="e">
        <f t="shared" ref="CY30" ca="1" si="237">+CY27/CX27-1</f>
        <v>#NAME?</v>
      </c>
      <c r="CZ30" s="40" t="e">
        <f t="shared" ref="CZ30" ca="1" si="238">+CZ27/CY27-1</f>
        <v>#NAME?</v>
      </c>
      <c r="DA30" s="40" t="e">
        <f t="shared" ref="DA30" ca="1" si="239">+DA27/CZ27-1</f>
        <v>#NAME?</v>
      </c>
      <c r="DB30" s="40" t="e">
        <f t="shared" ref="DB30" ca="1" si="240">+DB27/DA27-1</f>
        <v>#NAME?</v>
      </c>
      <c r="DE30" s="122"/>
    </row>
    <row r="31" spans="1:110" s="23" customFormat="1" outlineLevel="1" x14ac:dyDescent="0.2">
      <c r="A31" s="23" t="s">
        <v>8</v>
      </c>
      <c r="B31" s="23" t="e">
        <f ca="1">'Annual Raw'!C14</f>
        <v>#NAME?</v>
      </c>
      <c r="C31" s="23" t="e">
        <f ca="1">'Annual Raw'!D14</f>
        <v>#NAME?</v>
      </c>
      <c r="D31" s="23" t="e">
        <f ca="1">'Annual Raw'!E14</f>
        <v>#NAME?</v>
      </c>
      <c r="E31" s="23" t="e">
        <f ca="1">'Annual Raw'!F14</f>
        <v>#NAME?</v>
      </c>
      <c r="F31" s="23" t="e">
        <f ca="1">'Annual Raw'!G14</f>
        <v>#NAME?</v>
      </c>
      <c r="G31" s="23" t="e">
        <f ca="1">'Annual Raw'!H14</f>
        <v>#NAME?</v>
      </c>
      <c r="H31" s="23" t="e">
        <f ca="1">'Annual Raw'!I14</f>
        <v>#NAME?</v>
      </c>
      <c r="I31" s="23" t="e">
        <f ca="1">'Annual Raw'!J14</f>
        <v>#NAME?</v>
      </c>
      <c r="J31" s="23" t="e">
        <f ca="1">'Annual Raw'!K14</f>
        <v>#NAME?</v>
      </c>
      <c r="K31" s="23" t="e">
        <f ca="1">'Annual Raw'!L14</f>
        <v>#NAME?</v>
      </c>
      <c r="L31" s="23" t="e">
        <f ca="1">'Annual Raw'!M14</f>
        <v>#NAME?</v>
      </c>
      <c r="M31" s="23" t="e">
        <f ca="1">'Annual Raw'!N14</f>
        <v>#NAME?</v>
      </c>
      <c r="N31" s="23" t="e">
        <f ca="1">'Annual Raw'!O14</f>
        <v>#NAME?</v>
      </c>
      <c r="O31" s="23" t="e">
        <f ca="1">'Annual Raw'!P14</f>
        <v>#NAME?</v>
      </c>
      <c r="P31" s="23" t="e">
        <f ca="1">'Annual Raw'!Q14</f>
        <v>#NAME?</v>
      </c>
      <c r="Q31" s="23" t="e">
        <f ca="1">'Annual Raw'!R14</f>
        <v>#NAME?</v>
      </c>
      <c r="R31" s="23" t="e">
        <f ca="1">'Annual Raw'!S14</f>
        <v>#NAME?</v>
      </c>
      <c r="S31" s="23" t="e">
        <f ca="1">'Annual Raw'!T14</f>
        <v>#NAME?</v>
      </c>
      <c r="T31" s="23" t="e">
        <f ca="1">'Annual Raw'!U14</f>
        <v>#NAME?</v>
      </c>
      <c r="U31" s="23" t="e">
        <f ca="1">'Annual Raw'!V14</f>
        <v>#NAME?</v>
      </c>
      <c r="V31" s="23" t="e">
        <f ca="1">'Annual Raw'!W14</f>
        <v>#NAME?</v>
      </c>
      <c r="W31" s="23" t="e">
        <f ca="1">'Annual Raw'!X14</f>
        <v>#NAME?</v>
      </c>
      <c r="X31" s="23" t="e">
        <f ca="1">'Annual Raw'!Y14</f>
        <v>#NAME?</v>
      </c>
      <c r="Y31" s="23" t="e">
        <f ca="1">'Annual Raw'!Z14</f>
        <v>#NAME?</v>
      </c>
      <c r="Z31" s="23" t="e">
        <f ca="1">'Annual Raw'!AA14</f>
        <v>#NAME?</v>
      </c>
      <c r="AA31" s="23" t="e">
        <f ca="1">'Annual Raw'!AB14</f>
        <v>#NAME?</v>
      </c>
      <c r="AB31" s="76" t="e">
        <f t="shared" ref="AB31:AB36" ca="1" si="241">+SUM(CM31:CP31)</f>
        <v>#NAME?</v>
      </c>
      <c r="AC31" s="76" t="e">
        <f t="shared" ref="AC31:AC36" ca="1" si="242">+SUM(CQ31:CT31)</f>
        <v>#NAME?</v>
      </c>
      <c r="AD31" s="76" t="e">
        <f t="shared" ref="AD31:AD36" ca="1" si="243">+SUM(CU31:CX31)</f>
        <v>#NAME?</v>
      </c>
      <c r="AE31" s="76" t="e">
        <f t="shared" ref="AE31:AE36" ca="1" si="244">+SUM(CY31:DB31)</f>
        <v>#NAME?</v>
      </c>
      <c r="AI31" s="23" t="e">
        <f ca="1">'QTR Raw'!C16</f>
        <v>#NAME?</v>
      </c>
      <c r="AJ31" s="23" t="e">
        <f ca="1">'QTR Raw'!D16</f>
        <v>#NAME?</v>
      </c>
      <c r="AK31" s="23" t="e">
        <f ca="1">'QTR Raw'!E16</f>
        <v>#NAME?</v>
      </c>
      <c r="AL31" s="23" t="e">
        <f ca="1">'QTR Raw'!F16</f>
        <v>#NAME?</v>
      </c>
      <c r="AM31" s="23" t="e">
        <f ca="1">'QTR Raw'!G16</f>
        <v>#NAME?</v>
      </c>
      <c r="AN31" s="23" t="e">
        <f ca="1">'QTR Raw'!H16</f>
        <v>#NAME?</v>
      </c>
      <c r="AO31" s="23" t="e">
        <f ca="1">'QTR Raw'!I16</f>
        <v>#NAME?</v>
      </c>
      <c r="AP31" s="23" t="e">
        <f ca="1">'QTR Raw'!J16</f>
        <v>#NAME?</v>
      </c>
      <c r="AQ31" s="23" t="e">
        <f ca="1">'QTR Raw'!K16</f>
        <v>#NAME?</v>
      </c>
      <c r="AR31" s="23" t="e">
        <f ca="1">'QTR Raw'!L16</f>
        <v>#NAME?</v>
      </c>
      <c r="AS31" s="23" t="e">
        <f ca="1">'QTR Raw'!M16</f>
        <v>#NAME?</v>
      </c>
      <c r="AT31" s="23" t="e">
        <f ca="1">'QTR Raw'!N16</f>
        <v>#NAME?</v>
      </c>
      <c r="AU31" s="23" t="e">
        <f ca="1">'QTR Raw'!O16</f>
        <v>#NAME?</v>
      </c>
      <c r="AV31" s="23" t="e">
        <f ca="1">'QTR Raw'!P16</f>
        <v>#NAME?</v>
      </c>
      <c r="AW31" s="23" t="e">
        <f ca="1">'QTR Raw'!Q16</f>
        <v>#NAME?</v>
      </c>
      <c r="AX31" s="23" t="e">
        <f ca="1">'QTR Raw'!R16</f>
        <v>#NAME?</v>
      </c>
      <c r="AY31" s="23" t="e">
        <f ca="1">'QTR Raw'!S16</f>
        <v>#NAME?</v>
      </c>
      <c r="AZ31" s="23" t="e">
        <f ca="1">'QTR Raw'!T16</f>
        <v>#NAME?</v>
      </c>
      <c r="BA31" s="23" t="e">
        <f ca="1">'QTR Raw'!U16</f>
        <v>#NAME?</v>
      </c>
      <c r="BB31" s="23" t="e">
        <f ca="1">'QTR Raw'!V16</f>
        <v>#NAME?</v>
      </c>
      <c r="BC31" s="23" t="e">
        <f ca="1">'QTR Raw'!W16</f>
        <v>#NAME?</v>
      </c>
      <c r="BD31" s="23" t="e">
        <f ca="1">'QTR Raw'!X16</f>
        <v>#NAME?</v>
      </c>
      <c r="BE31" s="23" t="e">
        <f ca="1">'QTR Raw'!Y16</f>
        <v>#NAME?</v>
      </c>
      <c r="BF31" s="23" t="e">
        <f ca="1">'QTR Raw'!Z16</f>
        <v>#NAME?</v>
      </c>
      <c r="BG31" s="23" t="e">
        <f ca="1">'QTR Raw'!AA16</f>
        <v>#NAME?</v>
      </c>
      <c r="BH31" s="23" t="e">
        <f ca="1">'QTR Raw'!AB16</f>
        <v>#NAME?</v>
      </c>
      <c r="BI31" s="23" t="e">
        <f ca="1">'QTR Raw'!AC16</f>
        <v>#NAME?</v>
      </c>
      <c r="BJ31" s="23" t="e">
        <f ca="1">'QTR Raw'!AD16</f>
        <v>#NAME?</v>
      </c>
      <c r="BK31" s="23" t="e">
        <f ca="1">'QTR Raw'!AE16</f>
        <v>#NAME?</v>
      </c>
      <c r="BL31" s="23" t="e">
        <f ca="1">'QTR Raw'!AF16</f>
        <v>#NAME?</v>
      </c>
      <c r="BM31" s="23" t="e">
        <f ca="1">'QTR Raw'!AG16</f>
        <v>#NAME?</v>
      </c>
      <c r="BN31" s="23" t="e">
        <f ca="1">'QTR Raw'!AH16</f>
        <v>#NAME?</v>
      </c>
      <c r="BO31" s="23" t="e">
        <f ca="1">'QTR Raw'!AI16</f>
        <v>#NAME?</v>
      </c>
      <c r="BP31" s="23" t="e">
        <f ca="1">'QTR Raw'!AJ16</f>
        <v>#NAME?</v>
      </c>
      <c r="BQ31" s="23" t="e">
        <f ca="1">'QTR Raw'!AK16</f>
        <v>#NAME?</v>
      </c>
      <c r="BR31" s="23" t="e">
        <f ca="1">'QTR Raw'!AL16</f>
        <v>#NAME?</v>
      </c>
      <c r="BS31" s="23" t="e">
        <f ca="1">'QTR Raw'!AM16</f>
        <v>#NAME?</v>
      </c>
      <c r="BT31" s="23" t="e">
        <f ca="1">'QTR Raw'!AN16</f>
        <v>#NAME?</v>
      </c>
      <c r="BU31" s="23" t="e">
        <f ca="1">'QTR Raw'!AO16</f>
        <v>#NAME?</v>
      </c>
      <c r="BV31" s="23" t="e">
        <f ca="1">'QTR Raw'!AP16</f>
        <v>#NAME?</v>
      </c>
      <c r="BW31" s="23" t="e">
        <f ca="1">'QTR Raw'!AQ16</f>
        <v>#NAME?</v>
      </c>
      <c r="BX31" s="23" t="e">
        <f ca="1">'QTR Raw'!AR16</f>
        <v>#NAME?</v>
      </c>
      <c r="BY31" s="23" t="e">
        <f ca="1">'QTR Raw'!AS16</f>
        <v>#NAME?</v>
      </c>
      <c r="BZ31" s="23" t="e">
        <f ca="1">'QTR Raw'!AT16</f>
        <v>#NAME?</v>
      </c>
      <c r="CA31" s="23" t="e">
        <f ca="1">'QTR Raw'!AU16</f>
        <v>#NAME?</v>
      </c>
      <c r="CB31" s="23" t="e">
        <f ca="1">'QTR Raw'!AV16</f>
        <v>#NAME?</v>
      </c>
      <c r="CC31" s="23" t="e">
        <f ca="1">'QTR Raw'!AW16</f>
        <v>#NAME?</v>
      </c>
      <c r="CD31" s="23" t="e">
        <f ca="1">'QTR Raw'!AX16</f>
        <v>#NAME?</v>
      </c>
      <c r="CE31" s="23" t="e">
        <f ca="1">'QTR Raw'!AY16</f>
        <v>#NAME?</v>
      </c>
      <c r="CF31" s="23" t="e">
        <f ca="1">'QTR Raw'!AZ16</f>
        <v>#NAME?</v>
      </c>
      <c r="CG31" s="23">
        <v>5.8490000000000002</v>
      </c>
      <c r="CH31" s="23" t="e">
        <f ca="1">'QTR Raw'!BB16</f>
        <v>#NAME?</v>
      </c>
      <c r="CI31" s="23" t="e">
        <f ca="1">'QTR Raw'!BC16</f>
        <v>#NAME?</v>
      </c>
      <c r="CJ31" s="23" t="e">
        <f ca="1">'QTR Raw'!BD16</f>
        <v>#NAME?</v>
      </c>
      <c r="CK31" s="23" t="e">
        <f ca="1">'QTR Raw'!BE16</f>
        <v>#NAME?</v>
      </c>
      <c r="CL31" s="23" t="e">
        <f ca="1">'QTR Raw'!BF16</f>
        <v>#NAME?</v>
      </c>
      <c r="CM31" s="24" t="e">
        <f t="shared" ref="CM31:DB31" ca="1" si="245">CI31*107%</f>
        <v>#NAME?</v>
      </c>
      <c r="CN31" s="24" t="e">
        <f t="shared" ca="1" si="245"/>
        <v>#NAME?</v>
      </c>
      <c r="CO31" s="24" t="e">
        <f t="shared" ca="1" si="245"/>
        <v>#NAME?</v>
      </c>
      <c r="CP31" s="24" t="e">
        <f t="shared" ca="1" si="245"/>
        <v>#NAME?</v>
      </c>
      <c r="CQ31" s="24" t="e">
        <f t="shared" ca="1" si="245"/>
        <v>#NAME?</v>
      </c>
      <c r="CR31" s="24" t="e">
        <f t="shared" ca="1" si="245"/>
        <v>#NAME?</v>
      </c>
      <c r="CS31" s="24" t="e">
        <f t="shared" ca="1" si="245"/>
        <v>#NAME?</v>
      </c>
      <c r="CT31" s="24" t="e">
        <f t="shared" ca="1" si="245"/>
        <v>#NAME?</v>
      </c>
      <c r="CU31" s="24" t="e">
        <f t="shared" ca="1" si="245"/>
        <v>#NAME?</v>
      </c>
      <c r="CV31" s="24" t="e">
        <f t="shared" ca="1" si="245"/>
        <v>#NAME?</v>
      </c>
      <c r="CW31" s="24" t="e">
        <f t="shared" ca="1" si="245"/>
        <v>#NAME?</v>
      </c>
      <c r="CX31" s="24" t="e">
        <f t="shared" ca="1" si="245"/>
        <v>#NAME?</v>
      </c>
      <c r="CY31" s="24" t="e">
        <f t="shared" ca="1" si="245"/>
        <v>#NAME?</v>
      </c>
      <c r="CZ31" s="24" t="e">
        <f t="shared" ca="1" si="245"/>
        <v>#NAME?</v>
      </c>
      <c r="DA31" s="24" t="e">
        <f t="shared" ca="1" si="245"/>
        <v>#NAME?</v>
      </c>
      <c r="DB31" s="24" t="e">
        <f t="shared" ca="1" si="245"/>
        <v>#NAME?</v>
      </c>
      <c r="DE31" s="123"/>
      <c r="DF31" s="23">
        <v>32.944000000000003</v>
      </c>
    </row>
    <row r="32" spans="1:110" s="23" customFormat="1" outlineLevel="1" x14ac:dyDescent="0.2">
      <c r="A32" s="23" t="s">
        <v>10</v>
      </c>
      <c r="B32" s="23" t="e">
        <f ca="1">'Annual Raw'!C17</f>
        <v>#NAME?</v>
      </c>
      <c r="C32" s="23" t="e">
        <f ca="1">'Annual Raw'!D17</f>
        <v>#NAME?</v>
      </c>
      <c r="D32" s="23" t="e">
        <f ca="1">'Annual Raw'!E17</f>
        <v>#NAME?</v>
      </c>
      <c r="E32" s="23" t="e">
        <f ca="1">'Annual Raw'!F17</f>
        <v>#NAME?</v>
      </c>
      <c r="F32" s="23" t="e">
        <f ca="1">'Annual Raw'!G17</f>
        <v>#NAME?</v>
      </c>
      <c r="G32" s="23" t="e">
        <f ca="1">'Annual Raw'!H17</f>
        <v>#NAME?</v>
      </c>
      <c r="H32" s="23" t="e">
        <f ca="1">'Annual Raw'!I17</f>
        <v>#NAME?</v>
      </c>
      <c r="I32" s="23" t="e">
        <f ca="1">'Annual Raw'!J17</f>
        <v>#NAME?</v>
      </c>
      <c r="J32" s="23" t="e">
        <f ca="1">'Annual Raw'!K17</f>
        <v>#NAME?</v>
      </c>
      <c r="K32" s="23" t="e">
        <f ca="1">'Annual Raw'!L17</f>
        <v>#NAME?</v>
      </c>
      <c r="L32" s="23" t="e">
        <f ca="1">'Annual Raw'!M17</f>
        <v>#NAME?</v>
      </c>
      <c r="M32" s="23" t="e">
        <f ca="1">'Annual Raw'!N17</f>
        <v>#NAME?</v>
      </c>
      <c r="N32" s="23" t="e">
        <f ca="1">'Annual Raw'!O17</f>
        <v>#NAME?</v>
      </c>
      <c r="O32" s="23" t="e">
        <f ca="1">'Annual Raw'!P17</f>
        <v>#NAME?</v>
      </c>
      <c r="P32" s="23" t="e">
        <f ca="1">'Annual Raw'!Q17</f>
        <v>#NAME?</v>
      </c>
      <c r="Q32" s="23" t="e">
        <f ca="1">'Annual Raw'!R17</f>
        <v>#NAME?</v>
      </c>
      <c r="R32" s="23" t="e">
        <f ca="1">'Annual Raw'!S17</f>
        <v>#NAME?</v>
      </c>
      <c r="S32" s="23" t="e">
        <f ca="1">'Annual Raw'!T17</f>
        <v>#NAME?</v>
      </c>
      <c r="T32" s="23" t="e">
        <f ca="1">'Annual Raw'!U17</f>
        <v>#NAME?</v>
      </c>
      <c r="U32" s="23" t="e">
        <f ca="1">'Annual Raw'!V17</f>
        <v>#NAME?</v>
      </c>
      <c r="V32" s="23" t="e">
        <f ca="1">'Annual Raw'!W17</f>
        <v>#NAME?</v>
      </c>
      <c r="W32" s="23" t="e">
        <f ca="1">'Annual Raw'!X17</f>
        <v>#NAME?</v>
      </c>
      <c r="X32" s="23" t="e">
        <f ca="1">'Annual Raw'!Y17</f>
        <v>#NAME?</v>
      </c>
      <c r="Y32" s="23" t="e">
        <f ca="1">'Annual Raw'!Z17</f>
        <v>#NAME?</v>
      </c>
      <c r="Z32" s="23" t="e">
        <f ca="1">'Annual Raw'!AA17</f>
        <v>#NAME?</v>
      </c>
      <c r="AA32" s="23" t="e">
        <f ca="1">'Annual Raw'!AB17</f>
        <v>#NAME?</v>
      </c>
      <c r="AB32" s="76">
        <f t="shared" si="241"/>
        <v>0</v>
      </c>
      <c r="AC32" s="76">
        <f t="shared" si="242"/>
        <v>0</v>
      </c>
      <c r="AD32" s="76">
        <f t="shared" si="243"/>
        <v>0</v>
      </c>
      <c r="AE32" s="76">
        <f t="shared" si="244"/>
        <v>0</v>
      </c>
      <c r="AI32" s="23" t="e">
        <f ca="1">'QTR Raw'!C17</f>
        <v>#NAME?</v>
      </c>
      <c r="AJ32" s="23" t="e">
        <f ca="1">'QTR Raw'!D17</f>
        <v>#NAME?</v>
      </c>
      <c r="AK32" s="23" t="e">
        <f ca="1">'QTR Raw'!E17</f>
        <v>#NAME?</v>
      </c>
      <c r="AL32" s="23" t="e">
        <f ca="1">'QTR Raw'!F17</f>
        <v>#NAME?</v>
      </c>
      <c r="AM32" s="23" t="e">
        <f ca="1">'QTR Raw'!G17</f>
        <v>#NAME?</v>
      </c>
      <c r="AN32" s="23" t="e">
        <f ca="1">'QTR Raw'!H17</f>
        <v>#NAME?</v>
      </c>
      <c r="AO32" s="23" t="e">
        <f ca="1">'QTR Raw'!I17</f>
        <v>#NAME?</v>
      </c>
      <c r="AP32" s="23" t="e">
        <f ca="1">'QTR Raw'!J17</f>
        <v>#NAME?</v>
      </c>
      <c r="AQ32" s="23" t="e">
        <f ca="1">'QTR Raw'!K17</f>
        <v>#NAME?</v>
      </c>
      <c r="AR32" s="23" t="e">
        <f ca="1">'QTR Raw'!L17</f>
        <v>#NAME?</v>
      </c>
      <c r="AS32" s="23" t="e">
        <f ca="1">'QTR Raw'!M17</f>
        <v>#NAME?</v>
      </c>
      <c r="AT32" s="23" t="e">
        <f ca="1">'QTR Raw'!N17</f>
        <v>#NAME?</v>
      </c>
      <c r="AU32" s="23" t="e">
        <f ca="1">'QTR Raw'!O17</f>
        <v>#NAME?</v>
      </c>
      <c r="AV32" s="23" t="e">
        <f ca="1">'QTR Raw'!P17</f>
        <v>#NAME?</v>
      </c>
      <c r="AW32" s="23" t="e">
        <f ca="1">'QTR Raw'!Q17</f>
        <v>#NAME?</v>
      </c>
      <c r="AX32" s="23" t="e">
        <f ca="1">'QTR Raw'!R17</f>
        <v>#NAME?</v>
      </c>
      <c r="AY32" s="23" t="e">
        <f ca="1">'QTR Raw'!S17</f>
        <v>#NAME?</v>
      </c>
      <c r="AZ32" s="23" t="e">
        <f ca="1">'QTR Raw'!T17</f>
        <v>#NAME?</v>
      </c>
      <c r="BA32" s="23" t="e">
        <f ca="1">'QTR Raw'!U17</f>
        <v>#NAME?</v>
      </c>
      <c r="BB32" s="23" t="e">
        <f ca="1">'QTR Raw'!V17</f>
        <v>#NAME?</v>
      </c>
      <c r="BC32" s="23" t="e">
        <f ca="1">'QTR Raw'!W17</f>
        <v>#NAME?</v>
      </c>
      <c r="BD32" s="23" t="e">
        <f ca="1">'QTR Raw'!X17</f>
        <v>#NAME?</v>
      </c>
      <c r="BE32" s="23" t="e">
        <f ca="1">'QTR Raw'!Y17</f>
        <v>#NAME?</v>
      </c>
      <c r="BF32" s="23" t="e">
        <f ca="1">'QTR Raw'!Z17</f>
        <v>#NAME?</v>
      </c>
      <c r="BG32" s="23" t="e">
        <f ca="1">'QTR Raw'!AA17</f>
        <v>#NAME?</v>
      </c>
      <c r="BH32" s="23" t="e">
        <f ca="1">'QTR Raw'!AB17</f>
        <v>#NAME?</v>
      </c>
      <c r="BI32" s="23" t="e">
        <f ca="1">'QTR Raw'!AC17</f>
        <v>#NAME?</v>
      </c>
      <c r="BJ32" s="23" t="e">
        <f ca="1">'QTR Raw'!AD17</f>
        <v>#NAME?</v>
      </c>
      <c r="BK32" s="23" t="e">
        <f ca="1">'QTR Raw'!AE17</f>
        <v>#NAME?</v>
      </c>
      <c r="BL32" s="23" t="e">
        <f ca="1">'QTR Raw'!AF17</f>
        <v>#NAME?</v>
      </c>
      <c r="BM32" s="23" t="e">
        <f ca="1">'QTR Raw'!AG17</f>
        <v>#NAME?</v>
      </c>
      <c r="BN32" s="23" t="e">
        <f ca="1">'QTR Raw'!AH17</f>
        <v>#NAME?</v>
      </c>
      <c r="BO32" s="23" t="e">
        <f ca="1">'QTR Raw'!AI17</f>
        <v>#NAME?</v>
      </c>
      <c r="BP32" s="23" t="e">
        <f ca="1">'QTR Raw'!AJ17</f>
        <v>#NAME?</v>
      </c>
      <c r="BQ32" s="23" t="e">
        <f ca="1">'QTR Raw'!AK17</f>
        <v>#NAME?</v>
      </c>
      <c r="BR32" s="23" t="e">
        <f ca="1">'QTR Raw'!AL17</f>
        <v>#NAME?</v>
      </c>
      <c r="BS32" s="23" t="e">
        <f ca="1">'QTR Raw'!AM17</f>
        <v>#NAME?</v>
      </c>
      <c r="BT32" s="23" t="e">
        <f ca="1">'QTR Raw'!AN17</f>
        <v>#NAME?</v>
      </c>
      <c r="BU32" s="23" t="e">
        <f ca="1">'QTR Raw'!AO17</f>
        <v>#NAME?</v>
      </c>
      <c r="BV32" s="23" t="e">
        <f ca="1">'QTR Raw'!AP17</f>
        <v>#NAME?</v>
      </c>
      <c r="BW32" s="23" t="e">
        <f ca="1">'QTR Raw'!AQ17</f>
        <v>#NAME?</v>
      </c>
      <c r="BX32" s="23" t="e">
        <f ca="1">'QTR Raw'!AR17</f>
        <v>#NAME?</v>
      </c>
      <c r="BY32" s="23" t="e">
        <f ca="1">'QTR Raw'!AS17</f>
        <v>#NAME?</v>
      </c>
      <c r="BZ32" s="23" t="e">
        <f ca="1">'QTR Raw'!AT17</f>
        <v>#NAME?</v>
      </c>
      <c r="CA32" s="23" t="e">
        <f ca="1">'QTR Raw'!AU17</f>
        <v>#NAME?</v>
      </c>
      <c r="CB32" s="23" t="e">
        <f ca="1">'QTR Raw'!AV17</f>
        <v>#NAME?</v>
      </c>
      <c r="CC32" s="23" t="e">
        <f ca="1">'QTR Raw'!AW17</f>
        <v>#NAME?</v>
      </c>
      <c r="CD32" s="23" t="e">
        <f ca="1">'QTR Raw'!AX17</f>
        <v>#NAME?</v>
      </c>
      <c r="CE32" s="23" t="e">
        <f ca="1">'QTR Raw'!AY17</f>
        <v>#NAME?</v>
      </c>
      <c r="CF32" s="23" t="e">
        <f ca="1">'QTR Raw'!AZ17</f>
        <v>#NAME?</v>
      </c>
      <c r="CG32" s="23">
        <v>0</v>
      </c>
      <c r="CH32" s="23" t="e">
        <f ca="1">'QTR Raw'!BB17</f>
        <v>#NAME?</v>
      </c>
      <c r="CI32" s="23" t="e">
        <f ca="1">'QTR Raw'!BC17</f>
        <v>#NAME?</v>
      </c>
      <c r="CJ32" s="23" t="e">
        <f ca="1">'QTR Raw'!BD17</f>
        <v>#NAME?</v>
      </c>
      <c r="CK32" s="23" t="e">
        <f ca="1">'QTR Raw'!BE17</f>
        <v>#NAME?</v>
      </c>
      <c r="CL32" s="23" t="e">
        <f ca="1">'QTR Raw'!BF17</f>
        <v>#NAME?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12</v>
      </c>
      <c r="B33" s="23" t="e">
        <f ca="1">'Annual Raw'!C19-'Annual Raw'!C20</f>
        <v>#NAME?</v>
      </c>
      <c r="C33" s="23" t="e">
        <f ca="1">'Annual Raw'!D19-'Annual Raw'!D20</f>
        <v>#NAME?</v>
      </c>
      <c r="D33" s="23" t="e">
        <f ca="1">'Annual Raw'!E19-'Annual Raw'!E20</f>
        <v>#NAME?</v>
      </c>
      <c r="E33" s="23" t="e">
        <f ca="1">'Annual Raw'!F19-'Annual Raw'!F20</f>
        <v>#NAME?</v>
      </c>
      <c r="F33" s="23" t="e">
        <f ca="1">'Annual Raw'!G19-'Annual Raw'!G20</f>
        <v>#NAME?</v>
      </c>
      <c r="G33" s="23" t="e">
        <f ca="1">'Annual Raw'!H19-'Annual Raw'!H20</f>
        <v>#NAME?</v>
      </c>
      <c r="H33" s="23" t="e">
        <f ca="1">'Annual Raw'!I19-'Annual Raw'!I20</f>
        <v>#NAME?</v>
      </c>
      <c r="I33" s="23" t="e">
        <f ca="1">'Annual Raw'!J19-'Annual Raw'!J20</f>
        <v>#NAME?</v>
      </c>
      <c r="J33" s="23" t="e">
        <f ca="1">'Annual Raw'!K19-'Annual Raw'!K20</f>
        <v>#NAME?</v>
      </c>
      <c r="K33" s="23" t="e">
        <f ca="1">'Annual Raw'!L19-'Annual Raw'!L20</f>
        <v>#NAME?</v>
      </c>
      <c r="L33" s="23" t="e">
        <f ca="1">'Annual Raw'!M19-'Annual Raw'!M20</f>
        <v>#NAME?</v>
      </c>
      <c r="M33" s="23" t="e">
        <f ca="1">'Annual Raw'!N19-'Annual Raw'!N20</f>
        <v>#NAME?</v>
      </c>
      <c r="N33" s="23" t="e">
        <f ca="1">'Annual Raw'!O19-'Annual Raw'!O20</f>
        <v>#NAME?</v>
      </c>
      <c r="O33" s="23" t="e">
        <f ca="1">'Annual Raw'!P19-'Annual Raw'!P20</f>
        <v>#NAME?</v>
      </c>
      <c r="P33" s="23" t="e">
        <f ca="1">'Annual Raw'!Q19-'Annual Raw'!Q20</f>
        <v>#NAME?</v>
      </c>
      <c r="Q33" s="23" t="e">
        <f ca="1">'Annual Raw'!R19-'Annual Raw'!R20</f>
        <v>#NAME?</v>
      </c>
      <c r="R33" s="23" t="e">
        <f ca="1">'Annual Raw'!S19-'Annual Raw'!S20</f>
        <v>#NAME?</v>
      </c>
      <c r="S33" s="23" t="e">
        <f ca="1">'Annual Raw'!T19-'Annual Raw'!T20</f>
        <v>#NAME?</v>
      </c>
      <c r="T33" s="23" t="e">
        <f ca="1">'Annual Raw'!U19-'Annual Raw'!U20</f>
        <v>#NAME?</v>
      </c>
      <c r="U33" s="23" t="e">
        <f ca="1">'Annual Raw'!V19-'Annual Raw'!V20</f>
        <v>#NAME?</v>
      </c>
      <c r="V33" s="23" t="e">
        <f ca="1">'Annual Raw'!W19-'Annual Raw'!W20</f>
        <v>#NAME?</v>
      </c>
      <c r="W33" s="23" t="e">
        <f ca="1">'Annual Raw'!X19-'Annual Raw'!X20</f>
        <v>#NAME?</v>
      </c>
      <c r="X33" s="23" t="e">
        <f ca="1">'Annual Raw'!Y19-'Annual Raw'!Y20</f>
        <v>#NAME?</v>
      </c>
      <c r="Y33" s="23" t="e">
        <f ca="1">'Annual Raw'!Z19-'Annual Raw'!Z20</f>
        <v>#NAME?</v>
      </c>
      <c r="Z33" s="23" t="e">
        <f ca="1">'Annual Raw'!AA19-'Annual Raw'!AA20</f>
        <v>#NAME?</v>
      </c>
      <c r="AA33" s="23" t="e">
        <f ca="1">'Annual Raw'!AB19-'Annual Raw'!AB20</f>
        <v>#NAME?</v>
      </c>
      <c r="AB33" s="76">
        <f t="shared" si="241"/>
        <v>0</v>
      </c>
      <c r="AC33" s="76">
        <f t="shared" si="242"/>
        <v>0</v>
      </c>
      <c r="AD33" s="76">
        <f t="shared" si="243"/>
        <v>0</v>
      </c>
      <c r="AE33" s="76">
        <f t="shared" si="244"/>
        <v>0</v>
      </c>
      <c r="AI33" s="23" t="e">
        <f ca="1">+'QTR Raw'!C21</f>
        <v>#NAME?</v>
      </c>
      <c r="AJ33" s="23" t="e">
        <f ca="1">+'QTR Raw'!D21</f>
        <v>#NAME?</v>
      </c>
      <c r="AK33" s="23" t="e">
        <f ca="1">+'QTR Raw'!E21</f>
        <v>#NAME?</v>
      </c>
      <c r="AL33" s="23" t="e">
        <f ca="1">+'QTR Raw'!F21</f>
        <v>#NAME?</v>
      </c>
      <c r="AM33" s="23" t="e">
        <f ca="1">+'QTR Raw'!G21</f>
        <v>#NAME?</v>
      </c>
      <c r="AN33" s="23" t="e">
        <f ca="1">+'QTR Raw'!H21</f>
        <v>#NAME?</v>
      </c>
      <c r="AO33" s="23" t="e">
        <f ca="1">+'QTR Raw'!I21</f>
        <v>#NAME?</v>
      </c>
      <c r="AP33" s="23" t="e">
        <f ca="1">+'QTR Raw'!J21</f>
        <v>#NAME?</v>
      </c>
      <c r="AQ33" s="23" t="e">
        <f ca="1">+'QTR Raw'!K21</f>
        <v>#NAME?</v>
      </c>
      <c r="AR33" s="23" t="e">
        <f ca="1">+'QTR Raw'!L21</f>
        <v>#NAME?</v>
      </c>
      <c r="AS33" s="23" t="e">
        <f ca="1">+'QTR Raw'!M21</f>
        <v>#NAME?</v>
      </c>
      <c r="AT33" s="23" t="e">
        <f ca="1">+'QTR Raw'!N21</f>
        <v>#NAME?</v>
      </c>
      <c r="AU33" s="23" t="e">
        <f ca="1">+'QTR Raw'!O21</f>
        <v>#NAME?</v>
      </c>
      <c r="AV33" s="23" t="e">
        <f ca="1">+'QTR Raw'!P21</f>
        <v>#NAME?</v>
      </c>
      <c r="AW33" s="23" t="e">
        <f ca="1">+'QTR Raw'!Q21</f>
        <v>#NAME?</v>
      </c>
      <c r="AX33" s="23" t="e">
        <f ca="1">+'QTR Raw'!R21</f>
        <v>#NAME?</v>
      </c>
      <c r="AY33" s="23" t="e">
        <f ca="1">+'QTR Raw'!S21</f>
        <v>#NAME?</v>
      </c>
      <c r="AZ33" s="23" t="e">
        <f ca="1">+'QTR Raw'!T21</f>
        <v>#NAME?</v>
      </c>
      <c r="BA33" s="23" t="e">
        <f ca="1">+'QTR Raw'!U21</f>
        <v>#NAME?</v>
      </c>
      <c r="BB33" s="23" t="e">
        <f ca="1">+'QTR Raw'!V21</f>
        <v>#NAME?</v>
      </c>
      <c r="BC33" s="23" t="e">
        <f ca="1">+'QTR Raw'!W21</f>
        <v>#NAME?</v>
      </c>
      <c r="BD33" s="23" t="e">
        <f ca="1">+'QTR Raw'!X21</f>
        <v>#NAME?</v>
      </c>
      <c r="BE33" s="23" t="e">
        <f ca="1">+'QTR Raw'!Y21</f>
        <v>#NAME?</v>
      </c>
      <c r="BF33" s="23" t="e">
        <f ca="1">+'QTR Raw'!Z21</f>
        <v>#NAME?</v>
      </c>
      <c r="BG33" s="23" t="e">
        <f ca="1">+'QTR Raw'!AA21</f>
        <v>#NAME?</v>
      </c>
      <c r="BH33" s="23" t="e">
        <f ca="1">+'QTR Raw'!AB21</f>
        <v>#NAME?</v>
      </c>
      <c r="BI33" s="23" t="e">
        <f ca="1">+'QTR Raw'!AC21</f>
        <v>#NAME?</v>
      </c>
      <c r="BJ33" s="23" t="e">
        <f ca="1">+'QTR Raw'!AD21</f>
        <v>#NAME?</v>
      </c>
      <c r="BK33" s="23" t="e">
        <f ca="1">+'QTR Raw'!AE21</f>
        <v>#NAME?</v>
      </c>
      <c r="BL33" s="23" t="e">
        <f ca="1">+'QTR Raw'!AF21</f>
        <v>#NAME?</v>
      </c>
      <c r="BM33" s="23" t="e">
        <f ca="1">+'QTR Raw'!AG21</f>
        <v>#NAME?</v>
      </c>
      <c r="BN33" s="23" t="e">
        <f ca="1">+'QTR Raw'!AH21</f>
        <v>#NAME?</v>
      </c>
      <c r="BO33" s="23" t="e">
        <f ca="1">+'QTR Raw'!AI21</f>
        <v>#NAME?</v>
      </c>
      <c r="BP33" s="23" t="e">
        <f ca="1">+'QTR Raw'!AJ21</f>
        <v>#NAME?</v>
      </c>
      <c r="BQ33" s="23" t="e">
        <f ca="1">+'QTR Raw'!AK21</f>
        <v>#NAME?</v>
      </c>
      <c r="BR33" s="23" t="e">
        <f ca="1">+'QTR Raw'!AL21</f>
        <v>#NAME?</v>
      </c>
      <c r="BS33" s="23" t="e">
        <f ca="1">+'QTR Raw'!AM21</f>
        <v>#NAME?</v>
      </c>
      <c r="BT33" s="23" t="e">
        <f ca="1">+'QTR Raw'!AN21</f>
        <v>#NAME?</v>
      </c>
      <c r="BU33" s="23" t="e">
        <f ca="1">+'QTR Raw'!AO21</f>
        <v>#NAME?</v>
      </c>
      <c r="BV33" s="23" t="e">
        <f ca="1">+'QTR Raw'!AP21</f>
        <v>#NAME?</v>
      </c>
      <c r="BW33" s="23" t="e">
        <f ca="1">+'QTR Raw'!AQ21</f>
        <v>#NAME?</v>
      </c>
      <c r="BX33" s="23" t="e">
        <f ca="1">+'QTR Raw'!AR21</f>
        <v>#NAME?</v>
      </c>
      <c r="BY33" s="23" t="e">
        <f ca="1">+'QTR Raw'!AS21</f>
        <v>#NAME?</v>
      </c>
      <c r="BZ33" s="23" t="e">
        <f ca="1">+'QTR Raw'!AT21</f>
        <v>#NAME?</v>
      </c>
      <c r="CA33" s="23" t="e">
        <f ca="1">+'QTR Raw'!AU21</f>
        <v>#NAME?</v>
      </c>
      <c r="CB33" s="23" t="e">
        <f ca="1">+'QTR Raw'!AV21</f>
        <v>#NAME?</v>
      </c>
      <c r="CC33" s="23" t="e">
        <f ca="1">+'QTR Raw'!AW21</f>
        <v>#NAME?</v>
      </c>
      <c r="CD33" s="23" t="e">
        <f ca="1">+'QTR Raw'!AX21</f>
        <v>#NAME?</v>
      </c>
      <c r="CE33" s="23" t="e">
        <f ca="1">+'QTR Raw'!AY21</f>
        <v>#NAME?</v>
      </c>
      <c r="CF33" s="23" t="e">
        <f ca="1">+'QTR Raw'!AZ21</f>
        <v>#NAME?</v>
      </c>
      <c r="CG33" s="23">
        <v>0</v>
      </c>
      <c r="CH33" s="23" t="e">
        <f ca="1">+'QTR Raw'!BB21</f>
        <v>#NAME?</v>
      </c>
      <c r="CI33" s="23" t="e">
        <f ca="1">+'QTR Raw'!BC21</f>
        <v>#NAME?</v>
      </c>
      <c r="CJ33" s="23" t="e">
        <f ca="1">+'QTR Raw'!BD21</f>
        <v>#NAME?</v>
      </c>
      <c r="CK33" s="23" t="e">
        <f ca="1">+'QTR Raw'!BE21</f>
        <v>#NAME?</v>
      </c>
      <c r="CL33" s="23" t="e">
        <f ca="1">+'QTR Raw'!BF21</f>
        <v>#NAME?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0</v>
      </c>
    </row>
    <row r="34" spans="1:110" s="23" customFormat="1" outlineLevel="1" x14ac:dyDescent="0.2">
      <c r="A34" s="23" t="s">
        <v>9</v>
      </c>
      <c r="B34" s="23" t="e">
        <f ca="1">'Annual Raw'!C15+'Annual Raw'!C16</f>
        <v>#NAME?</v>
      </c>
      <c r="C34" s="23" t="e">
        <f ca="1">'Annual Raw'!D15+'Annual Raw'!D16</f>
        <v>#NAME?</v>
      </c>
      <c r="D34" s="23" t="e">
        <f ca="1">'Annual Raw'!E15+'Annual Raw'!E16</f>
        <v>#NAME?</v>
      </c>
      <c r="E34" s="23" t="e">
        <f ca="1">'Annual Raw'!F15+'Annual Raw'!F16</f>
        <v>#NAME?</v>
      </c>
      <c r="F34" s="23" t="e">
        <f ca="1">'Annual Raw'!G15+'Annual Raw'!G16</f>
        <v>#NAME?</v>
      </c>
      <c r="G34" s="23" t="e">
        <f ca="1">'Annual Raw'!H15+'Annual Raw'!H16</f>
        <v>#NAME?</v>
      </c>
      <c r="H34" s="23" t="e">
        <f ca="1">'Annual Raw'!I15+'Annual Raw'!I16</f>
        <v>#NAME?</v>
      </c>
      <c r="I34" s="23" t="e">
        <f ca="1">'Annual Raw'!J15+'Annual Raw'!J16</f>
        <v>#NAME?</v>
      </c>
      <c r="J34" s="23" t="e">
        <f ca="1">'Annual Raw'!K15+'Annual Raw'!K16</f>
        <v>#NAME?</v>
      </c>
      <c r="K34" s="23" t="e">
        <f ca="1">'Annual Raw'!L15+'Annual Raw'!L16</f>
        <v>#NAME?</v>
      </c>
      <c r="L34" s="23" t="e">
        <f ca="1">'Annual Raw'!M15+'Annual Raw'!M16</f>
        <v>#NAME?</v>
      </c>
      <c r="M34" s="23" t="e">
        <f ca="1">'Annual Raw'!N15+'Annual Raw'!N16</f>
        <v>#NAME?</v>
      </c>
      <c r="N34" s="23" t="e">
        <f ca="1">'Annual Raw'!O15+'Annual Raw'!O16</f>
        <v>#NAME?</v>
      </c>
      <c r="O34" s="23" t="e">
        <f ca="1">'Annual Raw'!P15+'Annual Raw'!P16</f>
        <v>#NAME?</v>
      </c>
      <c r="P34" s="23" t="e">
        <f ca="1">'Annual Raw'!Q15+'Annual Raw'!Q16</f>
        <v>#NAME?</v>
      </c>
      <c r="Q34" s="23" t="e">
        <f ca="1">'Annual Raw'!R15+'Annual Raw'!R16</f>
        <v>#NAME?</v>
      </c>
      <c r="R34" s="23" t="e">
        <f ca="1">'Annual Raw'!S15+'Annual Raw'!S16</f>
        <v>#NAME?</v>
      </c>
      <c r="S34" s="23" t="e">
        <f ca="1">'Annual Raw'!T15+'Annual Raw'!T16</f>
        <v>#NAME?</v>
      </c>
      <c r="T34" s="23" t="e">
        <f ca="1">'Annual Raw'!U15+'Annual Raw'!U16</f>
        <v>#NAME?</v>
      </c>
      <c r="U34" s="23" t="e">
        <f ca="1">'Annual Raw'!V15+'Annual Raw'!V16</f>
        <v>#NAME?</v>
      </c>
      <c r="V34" s="23" t="e">
        <f ca="1">'Annual Raw'!W15+'Annual Raw'!W16</f>
        <v>#NAME?</v>
      </c>
      <c r="W34" s="23" t="e">
        <f ca="1">'Annual Raw'!X15+'Annual Raw'!X16</f>
        <v>#NAME?</v>
      </c>
      <c r="X34" s="23" t="e">
        <f ca="1">'Annual Raw'!Y15+'Annual Raw'!Y16</f>
        <v>#NAME?</v>
      </c>
      <c r="Y34" s="23" t="e">
        <f ca="1">'Annual Raw'!Z15+'Annual Raw'!Z16</f>
        <v>#NAME?</v>
      </c>
      <c r="Z34" s="23" t="e">
        <f ca="1">'Annual Raw'!AA15+'Annual Raw'!AA16</f>
        <v>#NAME?</v>
      </c>
      <c r="AA34" s="23" t="e">
        <f ca="1">'Annual Raw'!AB15+'Annual Raw'!AB16</f>
        <v>#NAME?</v>
      </c>
      <c r="AB34" s="76" t="e">
        <f t="shared" ca="1" si="241"/>
        <v>#NAME?</v>
      </c>
      <c r="AC34" s="76" t="e">
        <f t="shared" ca="1" si="242"/>
        <v>#NAME?</v>
      </c>
      <c r="AD34" s="76" t="e">
        <f t="shared" ca="1" si="243"/>
        <v>#NAME?</v>
      </c>
      <c r="AE34" s="76" t="e">
        <f t="shared" ca="1" si="244"/>
        <v>#NAME?</v>
      </c>
      <c r="AI34" s="23" t="e">
        <f ca="1">'QTR Raw'!C14</f>
        <v>#NAME?</v>
      </c>
      <c r="AJ34" s="23" t="e">
        <f ca="1">'QTR Raw'!D14</f>
        <v>#NAME?</v>
      </c>
      <c r="AK34" s="23" t="e">
        <f ca="1">'QTR Raw'!E14</f>
        <v>#NAME?</v>
      </c>
      <c r="AL34" s="23" t="e">
        <f ca="1">'QTR Raw'!F14</f>
        <v>#NAME?</v>
      </c>
      <c r="AM34" s="23" t="e">
        <f ca="1">'QTR Raw'!G14</f>
        <v>#NAME?</v>
      </c>
      <c r="AN34" s="23" t="e">
        <f ca="1">'QTR Raw'!H14</f>
        <v>#NAME?</v>
      </c>
      <c r="AO34" s="23" t="e">
        <f ca="1">'QTR Raw'!I14</f>
        <v>#NAME?</v>
      </c>
      <c r="AP34" s="23" t="e">
        <f ca="1">'QTR Raw'!J14</f>
        <v>#NAME?</v>
      </c>
      <c r="AQ34" s="23" t="e">
        <f ca="1">'QTR Raw'!K14</f>
        <v>#NAME?</v>
      </c>
      <c r="AR34" s="23" t="e">
        <f ca="1">'QTR Raw'!L14</f>
        <v>#NAME?</v>
      </c>
      <c r="AS34" s="23" t="e">
        <f ca="1">'QTR Raw'!M14</f>
        <v>#NAME?</v>
      </c>
      <c r="AT34" s="23" t="e">
        <f ca="1">'QTR Raw'!N14</f>
        <v>#NAME?</v>
      </c>
      <c r="AU34" s="23" t="e">
        <f ca="1">'QTR Raw'!O14</f>
        <v>#NAME?</v>
      </c>
      <c r="AV34" s="23" t="e">
        <f ca="1">'QTR Raw'!P14</f>
        <v>#NAME?</v>
      </c>
      <c r="AW34" s="23" t="e">
        <f ca="1">'QTR Raw'!Q14</f>
        <v>#NAME?</v>
      </c>
      <c r="AX34" s="23" t="e">
        <f ca="1">'QTR Raw'!R14</f>
        <v>#NAME?</v>
      </c>
      <c r="AY34" s="23" t="e">
        <f ca="1">'QTR Raw'!S14</f>
        <v>#NAME?</v>
      </c>
      <c r="AZ34" s="23" t="e">
        <f ca="1">'QTR Raw'!T14</f>
        <v>#NAME?</v>
      </c>
      <c r="BA34" s="23" t="e">
        <f ca="1">'QTR Raw'!U14</f>
        <v>#NAME?</v>
      </c>
      <c r="BB34" s="23" t="e">
        <f ca="1">'QTR Raw'!V14</f>
        <v>#NAME?</v>
      </c>
      <c r="BC34" s="23" t="e">
        <f ca="1">'QTR Raw'!W14</f>
        <v>#NAME?</v>
      </c>
      <c r="BD34" s="23" t="e">
        <f ca="1">'QTR Raw'!X14</f>
        <v>#NAME?</v>
      </c>
      <c r="BE34" s="23" t="e">
        <f ca="1">'QTR Raw'!Y14</f>
        <v>#NAME?</v>
      </c>
      <c r="BF34" s="23" t="e">
        <f ca="1">'QTR Raw'!Z14</f>
        <v>#NAME?</v>
      </c>
      <c r="BG34" s="23" t="e">
        <f ca="1">'QTR Raw'!AA14</f>
        <v>#NAME?</v>
      </c>
      <c r="BH34" s="23" t="e">
        <f ca="1">'QTR Raw'!AB14</f>
        <v>#NAME?</v>
      </c>
      <c r="BI34" s="23" t="e">
        <f ca="1">'QTR Raw'!AC14</f>
        <v>#NAME?</v>
      </c>
      <c r="BJ34" s="23" t="e">
        <f ca="1">'QTR Raw'!AD14</f>
        <v>#NAME?</v>
      </c>
      <c r="BK34" s="23" t="e">
        <f ca="1">'QTR Raw'!AE14</f>
        <v>#NAME?</v>
      </c>
      <c r="BL34" s="23" t="e">
        <f ca="1">'QTR Raw'!AF14</f>
        <v>#NAME?</v>
      </c>
      <c r="BM34" s="23" t="e">
        <f ca="1">'QTR Raw'!AG14</f>
        <v>#NAME?</v>
      </c>
      <c r="BN34" s="23" t="e">
        <f ca="1">'QTR Raw'!AH14</f>
        <v>#NAME?</v>
      </c>
      <c r="BO34" s="23" t="e">
        <f ca="1">'QTR Raw'!AI14</f>
        <v>#NAME?</v>
      </c>
      <c r="BP34" s="23" t="e">
        <f ca="1">'QTR Raw'!AJ14</f>
        <v>#NAME?</v>
      </c>
      <c r="BQ34" s="23" t="e">
        <f ca="1">'QTR Raw'!AK14</f>
        <v>#NAME?</v>
      </c>
      <c r="BR34" s="23" t="e">
        <f ca="1">'QTR Raw'!AL14</f>
        <v>#NAME?</v>
      </c>
      <c r="BS34" s="23" t="e">
        <f ca="1">'QTR Raw'!AM14</f>
        <v>#NAME?</v>
      </c>
      <c r="BT34" s="23" t="e">
        <f ca="1">'QTR Raw'!AN14</f>
        <v>#NAME?</v>
      </c>
      <c r="BU34" s="23" t="e">
        <f ca="1">'QTR Raw'!AO14</f>
        <v>#NAME?</v>
      </c>
      <c r="BV34" s="23" t="e">
        <f ca="1">'QTR Raw'!AP14</f>
        <v>#NAME?</v>
      </c>
      <c r="BW34" s="23" t="e">
        <f ca="1">'QTR Raw'!AQ14</f>
        <v>#NAME?</v>
      </c>
      <c r="BX34" s="23" t="e">
        <f ca="1">'QTR Raw'!AR14</f>
        <v>#NAME?</v>
      </c>
      <c r="BY34" s="23" t="e">
        <f ca="1">'QTR Raw'!AS14</f>
        <v>#NAME?</v>
      </c>
      <c r="BZ34" s="23" t="e">
        <f ca="1">'QTR Raw'!AT14</f>
        <v>#NAME?</v>
      </c>
      <c r="CA34" s="23" t="e">
        <f ca="1">'QTR Raw'!AU14</f>
        <v>#NAME?</v>
      </c>
      <c r="CB34" s="23" t="e">
        <f ca="1">'QTR Raw'!AV14</f>
        <v>#NAME?</v>
      </c>
      <c r="CC34" s="23" t="e">
        <f ca="1">'QTR Raw'!AW14</f>
        <v>#NAME?</v>
      </c>
      <c r="CD34" s="23" t="e">
        <f ca="1">'QTR Raw'!AX14</f>
        <v>#NAME?</v>
      </c>
      <c r="CE34" s="23" t="e">
        <f ca="1">'QTR Raw'!AY14</f>
        <v>#NAME?</v>
      </c>
      <c r="CF34" s="23" t="e">
        <f ca="1">'QTR Raw'!AZ14</f>
        <v>#NAME?</v>
      </c>
      <c r="CG34" s="23">
        <v>10.701000000000001</v>
      </c>
      <c r="CH34" s="23" t="e">
        <f ca="1">'QTR Raw'!BB14</f>
        <v>#NAME?</v>
      </c>
      <c r="CI34" s="23" t="e">
        <f ca="1">'QTR Raw'!BC14</f>
        <v>#NAME?</v>
      </c>
      <c r="CJ34" s="23" t="e">
        <f ca="1">'QTR Raw'!BD14</f>
        <v>#NAME?</v>
      </c>
      <c r="CK34" s="23" t="e">
        <f ca="1">'QTR Raw'!BE14</f>
        <v>#NAME?</v>
      </c>
      <c r="CL34" s="23" t="e">
        <f ca="1">'QTR Raw'!BF14</f>
        <v>#NAME?</v>
      </c>
      <c r="CM34" s="24" t="e">
        <f t="shared" ref="CM34:DB34" ca="1" si="246">CM37-CM31-CM32-CM33-CM35-CM36</f>
        <v>#NAME?</v>
      </c>
      <c r="CN34" s="24" t="e">
        <f t="shared" ca="1" si="246"/>
        <v>#NAME?</v>
      </c>
      <c r="CO34" s="24" t="e">
        <f t="shared" ca="1" si="246"/>
        <v>#NAME?</v>
      </c>
      <c r="CP34" s="24" t="e">
        <f t="shared" ca="1" si="246"/>
        <v>#NAME?</v>
      </c>
      <c r="CQ34" s="24" t="e">
        <f t="shared" ca="1" si="246"/>
        <v>#NAME?</v>
      </c>
      <c r="CR34" s="24" t="e">
        <f t="shared" ca="1" si="246"/>
        <v>#NAME?</v>
      </c>
      <c r="CS34" s="24" t="e">
        <f t="shared" ca="1" si="246"/>
        <v>#NAME?</v>
      </c>
      <c r="CT34" s="24" t="e">
        <f t="shared" ca="1" si="246"/>
        <v>#NAME?</v>
      </c>
      <c r="CU34" s="24" t="e">
        <f t="shared" ca="1" si="246"/>
        <v>#NAME?</v>
      </c>
      <c r="CV34" s="24" t="e">
        <f t="shared" ca="1" si="246"/>
        <v>#NAME?</v>
      </c>
      <c r="CW34" s="24" t="e">
        <f t="shared" ca="1" si="246"/>
        <v>#NAME?</v>
      </c>
      <c r="CX34" s="24" t="e">
        <f t="shared" ca="1" si="246"/>
        <v>#NAME?</v>
      </c>
      <c r="CY34" s="24" t="e">
        <f t="shared" ca="1" si="246"/>
        <v>#NAME?</v>
      </c>
      <c r="CZ34" s="24" t="e">
        <f t="shared" ca="1" si="246"/>
        <v>#NAME?</v>
      </c>
      <c r="DA34" s="24" t="e">
        <f t="shared" ca="1" si="246"/>
        <v>#NAME?</v>
      </c>
      <c r="DB34" s="24" t="e">
        <f t="shared" ca="1" si="246"/>
        <v>#NAME?</v>
      </c>
      <c r="DE34" s="123"/>
      <c r="DF34" s="23">
        <v>57.495999999999995</v>
      </c>
    </row>
    <row r="35" spans="1:110" s="23" customFormat="1" outlineLevel="1" x14ac:dyDescent="0.2">
      <c r="A35" s="23" t="s">
        <v>7</v>
      </c>
      <c r="B35" s="23" t="e">
        <f ca="1">'Annual Raw'!C13</f>
        <v>#NAME?</v>
      </c>
      <c r="C35" s="23" t="e">
        <f ca="1">'Annual Raw'!D13</f>
        <v>#NAME?</v>
      </c>
      <c r="D35" s="23" t="e">
        <f ca="1">'Annual Raw'!E13</f>
        <v>#NAME?</v>
      </c>
      <c r="E35" s="23" t="e">
        <f ca="1">'Annual Raw'!F13</f>
        <v>#NAME?</v>
      </c>
      <c r="F35" s="23" t="e">
        <f ca="1">'Annual Raw'!G13</f>
        <v>#NAME?</v>
      </c>
      <c r="G35" s="23" t="e">
        <f ca="1">'Annual Raw'!H13</f>
        <v>#NAME?</v>
      </c>
      <c r="H35" s="23" t="e">
        <f ca="1">'Annual Raw'!I13</f>
        <v>#NAME?</v>
      </c>
      <c r="I35" s="23" t="e">
        <f ca="1">'Annual Raw'!J13</f>
        <v>#NAME?</v>
      </c>
      <c r="J35" s="23" t="e">
        <f ca="1">'Annual Raw'!K13</f>
        <v>#NAME?</v>
      </c>
      <c r="K35" s="23" t="e">
        <f ca="1">'Annual Raw'!L13</f>
        <v>#NAME?</v>
      </c>
      <c r="L35" s="23" t="e">
        <f ca="1">'Annual Raw'!M13</f>
        <v>#NAME?</v>
      </c>
      <c r="M35" s="23" t="e">
        <f ca="1">'Annual Raw'!N13</f>
        <v>#NAME?</v>
      </c>
      <c r="N35" s="23" t="e">
        <f ca="1">'Annual Raw'!O13</f>
        <v>#NAME?</v>
      </c>
      <c r="O35" s="23" t="e">
        <f ca="1">'Annual Raw'!P13</f>
        <v>#NAME?</v>
      </c>
      <c r="P35" s="23" t="e">
        <f ca="1">'Annual Raw'!Q13</f>
        <v>#NAME?</v>
      </c>
      <c r="Q35" s="23" t="e">
        <f ca="1">'Annual Raw'!R13</f>
        <v>#NAME?</v>
      </c>
      <c r="R35" s="23" t="e">
        <f ca="1">'Annual Raw'!S13</f>
        <v>#NAME?</v>
      </c>
      <c r="S35" s="23" t="e">
        <f ca="1">'Annual Raw'!T13</f>
        <v>#NAME?</v>
      </c>
      <c r="T35" s="23" t="e">
        <f ca="1">'Annual Raw'!U13</f>
        <v>#NAME?</v>
      </c>
      <c r="U35" s="23" t="e">
        <f ca="1">'Annual Raw'!V13</f>
        <v>#NAME?</v>
      </c>
      <c r="V35" s="23" t="e">
        <f ca="1">'Annual Raw'!W13</f>
        <v>#NAME?</v>
      </c>
      <c r="W35" s="23" t="e">
        <f ca="1">'Annual Raw'!X13</f>
        <v>#NAME?</v>
      </c>
      <c r="X35" s="23" t="e">
        <f ca="1">'Annual Raw'!Y13</f>
        <v>#NAME?</v>
      </c>
      <c r="Y35" s="23" t="e">
        <f ca="1">'Annual Raw'!Z13</f>
        <v>#NAME?</v>
      </c>
      <c r="Z35" s="23" t="e">
        <f ca="1">'Annual Raw'!AA13</f>
        <v>#NAME?</v>
      </c>
      <c r="AA35" s="23" t="e">
        <f ca="1">'Annual Raw'!AB13</f>
        <v>#NAME?</v>
      </c>
      <c r="AB35" s="76">
        <f t="shared" si="241"/>
        <v>0</v>
      </c>
      <c r="AC35" s="76">
        <f t="shared" si="242"/>
        <v>0</v>
      </c>
      <c r="AD35" s="76">
        <f t="shared" si="243"/>
        <v>0</v>
      </c>
      <c r="AE35" s="76">
        <f t="shared" si="244"/>
        <v>0</v>
      </c>
      <c r="AI35" s="23" t="e">
        <f ca="1">'QTR Raw'!C15</f>
        <v>#NAME?</v>
      </c>
      <c r="AJ35" s="23" t="e">
        <f ca="1">'QTR Raw'!D15</f>
        <v>#NAME?</v>
      </c>
      <c r="AK35" s="23" t="e">
        <f ca="1">'QTR Raw'!E15</f>
        <v>#NAME?</v>
      </c>
      <c r="AL35" s="23" t="e">
        <f ca="1">'QTR Raw'!F15</f>
        <v>#NAME?</v>
      </c>
      <c r="AM35" s="23" t="e">
        <f ca="1">'QTR Raw'!G15</f>
        <v>#NAME?</v>
      </c>
      <c r="AN35" s="23" t="e">
        <f ca="1">'QTR Raw'!H15</f>
        <v>#NAME?</v>
      </c>
      <c r="AO35" s="23" t="e">
        <f ca="1">'QTR Raw'!I15</f>
        <v>#NAME?</v>
      </c>
      <c r="AP35" s="23" t="e">
        <f ca="1">'QTR Raw'!J15</f>
        <v>#NAME?</v>
      </c>
      <c r="AQ35" s="23" t="e">
        <f ca="1">'QTR Raw'!K15</f>
        <v>#NAME?</v>
      </c>
      <c r="AR35" s="23" t="e">
        <f ca="1">'QTR Raw'!L15</f>
        <v>#NAME?</v>
      </c>
      <c r="AS35" s="23" t="e">
        <f ca="1">'QTR Raw'!M15</f>
        <v>#NAME?</v>
      </c>
      <c r="AT35" s="23" t="e">
        <f ca="1">'QTR Raw'!N15</f>
        <v>#NAME?</v>
      </c>
      <c r="AU35" s="23" t="e">
        <f ca="1">'QTR Raw'!O15</f>
        <v>#NAME?</v>
      </c>
      <c r="AV35" s="23" t="e">
        <f ca="1">'QTR Raw'!P15</f>
        <v>#NAME?</v>
      </c>
      <c r="AW35" s="23" t="e">
        <f ca="1">'QTR Raw'!Q15</f>
        <v>#NAME?</v>
      </c>
      <c r="AX35" s="23" t="e">
        <f ca="1">'QTR Raw'!R15</f>
        <v>#NAME?</v>
      </c>
      <c r="AY35" s="23" t="e">
        <f ca="1">'QTR Raw'!S15</f>
        <v>#NAME?</v>
      </c>
      <c r="AZ35" s="23" t="e">
        <f ca="1">'QTR Raw'!T15</f>
        <v>#NAME?</v>
      </c>
      <c r="BA35" s="23" t="e">
        <f ca="1">'QTR Raw'!U15</f>
        <v>#NAME?</v>
      </c>
      <c r="BB35" s="23" t="e">
        <f ca="1">'QTR Raw'!V15</f>
        <v>#NAME?</v>
      </c>
      <c r="BC35" s="23" t="e">
        <f ca="1">'QTR Raw'!W15</f>
        <v>#NAME?</v>
      </c>
      <c r="BD35" s="23" t="e">
        <f ca="1">'QTR Raw'!X15</f>
        <v>#NAME?</v>
      </c>
      <c r="BE35" s="23" t="e">
        <f ca="1">'QTR Raw'!Y15</f>
        <v>#NAME?</v>
      </c>
      <c r="BF35" s="23" t="e">
        <f ca="1">'QTR Raw'!Z15</f>
        <v>#NAME?</v>
      </c>
      <c r="BG35" s="23" t="e">
        <f ca="1">'QTR Raw'!AA15</f>
        <v>#NAME?</v>
      </c>
      <c r="BH35" s="23" t="e">
        <f ca="1">'QTR Raw'!AB15</f>
        <v>#NAME?</v>
      </c>
      <c r="BI35" s="23" t="e">
        <f ca="1">'QTR Raw'!AC15</f>
        <v>#NAME?</v>
      </c>
      <c r="BJ35" s="23" t="e">
        <f ca="1">'QTR Raw'!AD15</f>
        <v>#NAME?</v>
      </c>
      <c r="BK35" s="23" t="e">
        <f ca="1">'QTR Raw'!AE15</f>
        <v>#NAME?</v>
      </c>
      <c r="BL35" s="23" t="e">
        <f ca="1">'QTR Raw'!AF15</f>
        <v>#NAME?</v>
      </c>
      <c r="BM35" s="23" t="e">
        <f ca="1">'QTR Raw'!AG15</f>
        <v>#NAME?</v>
      </c>
      <c r="BN35" s="23" t="e">
        <f ca="1">'QTR Raw'!AH15</f>
        <v>#NAME?</v>
      </c>
      <c r="BO35" s="23" t="e">
        <f ca="1">'QTR Raw'!AI15</f>
        <v>#NAME?</v>
      </c>
      <c r="BP35" s="23" t="e">
        <f ca="1">'QTR Raw'!AJ15</f>
        <v>#NAME?</v>
      </c>
      <c r="BQ35" s="23" t="e">
        <f ca="1">'QTR Raw'!AK15</f>
        <v>#NAME?</v>
      </c>
      <c r="BR35" s="23" t="e">
        <f ca="1">'QTR Raw'!AL15</f>
        <v>#NAME?</v>
      </c>
      <c r="BS35" s="23" t="e">
        <f ca="1">'QTR Raw'!AM15</f>
        <v>#NAME?</v>
      </c>
      <c r="BT35" s="23" t="e">
        <f ca="1">'QTR Raw'!AN15</f>
        <v>#NAME?</v>
      </c>
      <c r="BU35" s="23" t="e">
        <f ca="1">'QTR Raw'!AO15</f>
        <v>#NAME?</v>
      </c>
      <c r="BV35" s="23" t="e">
        <f ca="1">'QTR Raw'!AP15</f>
        <v>#NAME?</v>
      </c>
      <c r="BW35" s="23" t="e">
        <f ca="1">'QTR Raw'!AQ15</f>
        <v>#NAME?</v>
      </c>
      <c r="BX35" s="23" t="e">
        <f ca="1">'QTR Raw'!AR15</f>
        <v>#NAME?</v>
      </c>
      <c r="BY35" s="23" t="e">
        <f ca="1">'QTR Raw'!AS15</f>
        <v>#NAME?</v>
      </c>
      <c r="BZ35" s="23" t="e">
        <f ca="1">'QTR Raw'!AT15</f>
        <v>#NAME?</v>
      </c>
      <c r="CA35" s="23" t="e">
        <f ca="1">'QTR Raw'!AU15</f>
        <v>#NAME?</v>
      </c>
      <c r="CB35" s="23" t="e">
        <f ca="1">'QTR Raw'!AV15</f>
        <v>#NAME?</v>
      </c>
      <c r="CC35" s="23" t="e">
        <f ca="1">'QTR Raw'!AW15</f>
        <v>#NAME?</v>
      </c>
      <c r="CD35" s="23" t="e">
        <f ca="1">'QTR Raw'!AX15</f>
        <v>#NAME?</v>
      </c>
      <c r="CE35" s="23" t="e">
        <f ca="1">'QTR Raw'!AY15</f>
        <v>#NAME?</v>
      </c>
      <c r="CF35" s="23" t="e">
        <f ca="1">'QTR Raw'!AZ15</f>
        <v>#NAME?</v>
      </c>
      <c r="CG35" s="23">
        <v>0</v>
      </c>
      <c r="CH35" s="23" t="e">
        <f ca="1">'QTR Raw'!BB15</f>
        <v>#NAME?</v>
      </c>
      <c r="CI35" s="23" t="e">
        <f ca="1">'QTR Raw'!BC15</f>
        <v>#NAME?</v>
      </c>
      <c r="CJ35" s="23" t="e">
        <f ca="1">'QTR Raw'!BD15</f>
        <v>#NAME?</v>
      </c>
      <c r="CK35" s="23" t="e">
        <f ca="1">'QTR Raw'!BE15</f>
        <v>#NAME?</v>
      </c>
      <c r="CL35" s="23" t="e">
        <f ca="1">'QTR Raw'!BF15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outlineLevel="1" x14ac:dyDescent="0.2">
      <c r="A36" s="23" t="s">
        <v>11</v>
      </c>
      <c r="B36" s="23" t="e">
        <f ca="1">'Annual Raw'!C18</f>
        <v>#NAME?</v>
      </c>
      <c r="C36" s="23" t="e">
        <f ca="1">'Annual Raw'!D18</f>
        <v>#NAME?</v>
      </c>
      <c r="D36" s="23" t="e">
        <f ca="1">'Annual Raw'!E18</f>
        <v>#NAME?</v>
      </c>
      <c r="E36" s="23" t="e">
        <f ca="1">'Annual Raw'!F18</f>
        <v>#NAME?</v>
      </c>
      <c r="F36" s="23" t="e">
        <f ca="1">'Annual Raw'!G18</f>
        <v>#NAME?</v>
      </c>
      <c r="G36" s="23" t="e">
        <f ca="1">'Annual Raw'!H18</f>
        <v>#NAME?</v>
      </c>
      <c r="H36" s="23" t="e">
        <f ca="1">'Annual Raw'!I18</f>
        <v>#NAME?</v>
      </c>
      <c r="I36" s="23" t="e">
        <f ca="1">'Annual Raw'!J18</f>
        <v>#NAME?</v>
      </c>
      <c r="J36" s="23" t="e">
        <f ca="1">'Annual Raw'!K18</f>
        <v>#NAME?</v>
      </c>
      <c r="K36" s="23" t="e">
        <f ca="1">'Annual Raw'!L18</f>
        <v>#NAME?</v>
      </c>
      <c r="L36" s="23" t="e">
        <f ca="1">'Annual Raw'!M18</f>
        <v>#NAME?</v>
      </c>
      <c r="M36" s="23" t="e">
        <f ca="1">'Annual Raw'!N18</f>
        <v>#NAME?</v>
      </c>
      <c r="N36" s="23" t="e">
        <f ca="1">'Annual Raw'!O18</f>
        <v>#NAME?</v>
      </c>
      <c r="O36" s="23" t="e">
        <f ca="1">'Annual Raw'!P18</f>
        <v>#NAME?</v>
      </c>
      <c r="P36" s="23" t="e">
        <f ca="1">'Annual Raw'!Q18</f>
        <v>#NAME?</v>
      </c>
      <c r="Q36" s="23" t="e">
        <f ca="1">'Annual Raw'!R18</f>
        <v>#NAME?</v>
      </c>
      <c r="R36" s="23" t="e">
        <f ca="1">'Annual Raw'!S18</f>
        <v>#NAME?</v>
      </c>
      <c r="S36" s="23" t="e">
        <f ca="1">'Annual Raw'!T18</f>
        <v>#NAME?</v>
      </c>
      <c r="T36" s="23" t="e">
        <f ca="1">'Annual Raw'!U18</f>
        <v>#NAME?</v>
      </c>
      <c r="U36" s="23" t="e">
        <f ca="1">'Annual Raw'!V18</f>
        <v>#NAME?</v>
      </c>
      <c r="V36" s="23" t="e">
        <f ca="1">'Annual Raw'!W18</f>
        <v>#NAME?</v>
      </c>
      <c r="W36" s="23" t="e">
        <f ca="1">'Annual Raw'!X18</f>
        <v>#NAME?</v>
      </c>
      <c r="X36" s="23" t="e">
        <f ca="1">'Annual Raw'!Y18</f>
        <v>#NAME?</v>
      </c>
      <c r="Y36" s="23" t="e">
        <f ca="1">'Annual Raw'!Z18</f>
        <v>#NAME?</v>
      </c>
      <c r="Z36" s="23" t="e">
        <f ca="1">'Annual Raw'!AA18</f>
        <v>#NAME?</v>
      </c>
      <c r="AA36" s="23" t="e">
        <f ca="1">'Annual Raw'!AB18</f>
        <v>#NAME?</v>
      </c>
      <c r="AB36" s="76">
        <f t="shared" si="241"/>
        <v>0</v>
      </c>
      <c r="AC36" s="76">
        <f t="shared" si="242"/>
        <v>0</v>
      </c>
      <c r="AD36" s="76">
        <f t="shared" si="243"/>
        <v>0</v>
      </c>
      <c r="AE36" s="76">
        <f t="shared" si="244"/>
        <v>0</v>
      </c>
      <c r="AI36" s="23" t="e">
        <f ca="1">'QTR Raw'!C18</f>
        <v>#NAME?</v>
      </c>
      <c r="AJ36" s="23" t="e">
        <f ca="1">'QTR Raw'!D18</f>
        <v>#NAME?</v>
      </c>
      <c r="AK36" s="23" t="e">
        <f ca="1">'QTR Raw'!E18</f>
        <v>#NAME?</v>
      </c>
      <c r="AL36" s="23" t="e">
        <f ca="1">'QTR Raw'!F18</f>
        <v>#NAME?</v>
      </c>
      <c r="AM36" s="23" t="e">
        <f ca="1">'QTR Raw'!G18</f>
        <v>#NAME?</v>
      </c>
      <c r="AN36" s="23" t="e">
        <f ca="1">'QTR Raw'!H18</f>
        <v>#NAME?</v>
      </c>
      <c r="AO36" s="23" t="e">
        <f ca="1">'QTR Raw'!I18</f>
        <v>#NAME?</v>
      </c>
      <c r="AP36" s="23" t="e">
        <f ca="1">'QTR Raw'!J18</f>
        <v>#NAME?</v>
      </c>
      <c r="AQ36" s="23" t="e">
        <f ca="1">'QTR Raw'!K18</f>
        <v>#NAME?</v>
      </c>
      <c r="AR36" s="23" t="e">
        <f ca="1">'QTR Raw'!L18</f>
        <v>#NAME?</v>
      </c>
      <c r="AS36" s="23" t="e">
        <f ca="1">'QTR Raw'!M18</f>
        <v>#NAME?</v>
      </c>
      <c r="AT36" s="23" t="e">
        <f ca="1">'QTR Raw'!N18</f>
        <v>#NAME?</v>
      </c>
      <c r="AU36" s="23" t="e">
        <f ca="1">'QTR Raw'!O18</f>
        <v>#NAME?</v>
      </c>
      <c r="AV36" s="23" t="e">
        <f ca="1">'QTR Raw'!P18</f>
        <v>#NAME?</v>
      </c>
      <c r="AW36" s="23" t="e">
        <f ca="1">'QTR Raw'!Q18</f>
        <v>#NAME?</v>
      </c>
      <c r="AX36" s="23" t="e">
        <f ca="1">'QTR Raw'!R18</f>
        <v>#NAME?</v>
      </c>
      <c r="AY36" s="23" t="e">
        <f ca="1">'QTR Raw'!S18</f>
        <v>#NAME?</v>
      </c>
      <c r="AZ36" s="23" t="e">
        <f ca="1">'QTR Raw'!T18</f>
        <v>#NAME?</v>
      </c>
      <c r="BA36" s="23" t="e">
        <f ca="1">'QTR Raw'!U18</f>
        <v>#NAME?</v>
      </c>
      <c r="BB36" s="23" t="e">
        <f ca="1">'QTR Raw'!V18</f>
        <v>#NAME?</v>
      </c>
      <c r="BC36" s="23" t="e">
        <f ca="1">'QTR Raw'!W18</f>
        <v>#NAME?</v>
      </c>
      <c r="BD36" s="23" t="e">
        <f ca="1">'QTR Raw'!X18</f>
        <v>#NAME?</v>
      </c>
      <c r="BE36" s="23" t="e">
        <f ca="1">'QTR Raw'!Y18</f>
        <v>#NAME?</v>
      </c>
      <c r="BF36" s="23" t="e">
        <f ca="1">'QTR Raw'!Z18</f>
        <v>#NAME?</v>
      </c>
      <c r="BG36" s="23" t="e">
        <f ca="1">'QTR Raw'!AA18</f>
        <v>#NAME?</v>
      </c>
      <c r="BH36" s="23" t="e">
        <f ca="1">'QTR Raw'!AB18</f>
        <v>#NAME?</v>
      </c>
      <c r="BI36" s="23" t="e">
        <f ca="1">'QTR Raw'!AC18</f>
        <v>#NAME?</v>
      </c>
      <c r="BJ36" s="23" t="e">
        <f ca="1">'QTR Raw'!AD18</f>
        <v>#NAME?</v>
      </c>
      <c r="BK36" s="23" t="e">
        <f ca="1">'QTR Raw'!AE18</f>
        <v>#NAME?</v>
      </c>
      <c r="BL36" s="23" t="e">
        <f ca="1">'QTR Raw'!AF18</f>
        <v>#NAME?</v>
      </c>
      <c r="BM36" s="23" t="e">
        <f ca="1">'QTR Raw'!AG18</f>
        <v>#NAME?</v>
      </c>
      <c r="BN36" s="23" t="e">
        <f ca="1">'QTR Raw'!AH18</f>
        <v>#NAME?</v>
      </c>
      <c r="BO36" s="23" t="e">
        <f ca="1">'QTR Raw'!AI18</f>
        <v>#NAME?</v>
      </c>
      <c r="BP36" s="23" t="e">
        <f ca="1">'QTR Raw'!AJ18</f>
        <v>#NAME?</v>
      </c>
      <c r="BQ36" s="23" t="e">
        <f ca="1">'QTR Raw'!AK18</f>
        <v>#NAME?</v>
      </c>
      <c r="BR36" s="23" t="e">
        <f ca="1">'QTR Raw'!AL18</f>
        <v>#NAME?</v>
      </c>
      <c r="BS36" s="23" t="e">
        <f ca="1">'QTR Raw'!AM18</f>
        <v>#NAME?</v>
      </c>
      <c r="BT36" s="23" t="e">
        <f ca="1">'QTR Raw'!AN18</f>
        <v>#NAME?</v>
      </c>
      <c r="BU36" s="23" t="e">
        <f ca="1">'QTR Raw'!AO18</f>
        <v>#NAME?</v>
      </c>
      <c r="BV36" s="23" t="e">
        <f ca="1">'QTR Raw'!AP18</f>
        <v>#NAME?</v>
      </c>
      <c r="BW36" s="23" t="e">
        <f ca="1">'QTR Raw'!AQ18</f>
        <v>#NAME?</v>
      </c>
      <c r="BX36" s="23" t="e">
        <f ca="1">'QTR Raw'!AR18</f>
        <v>#NAME?</v>
      </c>
      <c r="BY36" s="23" t="e">
        <f ca="1">'QTR Raw'!AS18</f>
        <v>#NAME?</v>
      </c>
      <c r="BZ36" s="23" t="e">
        <f ca="1">'QTR Raw'!AT18</f>
        <v>#NAME?</v>
      </c>
      <c r="CA36" s="23" t="e">
        <f ca="1">'QTR Raw'!AU18</f>
        <v>#NAME?</v>
      </c>
      <c r="CB36" s="23" t="e">
        <f ca="1">'QTR Raw'!AV18</f>
        <v>#NAME?</v>
      </c>
      <c r="CC36" s="23" t="e">
        <f ca="1">'QTR Raw'!AW18</f>
        <v>#NAME?</v>
      </c>
      <c r="CD36" s="23" t="e">
        <f ca="1">'QTR Raw'!AX18</f>
        <v>#NAME?</v>
      </c>
      <c r="CE36" s="23" t="e">
        <f ca="1">'QTR Raw'!AY18</f>
        <v>#NAME?</v>
      </c>
      <c r="CF36" s="23" t="e">
        <f ca="1">'QTR Raw'!AZ18</f>
        <v>#NAME?</v>
      </c>
      <c r="CG36" s="23">
        <v>0</v>
      </c>
      <c r="CH36" s="23" t="e">
        <f ca="1">'QTR Raw'!BB18</f>
        <v>#NAME?</v>
      </c>
      <c r="CI36" s="23" t="e">
        <f ca="1">'QTR Raw'!BC18</f>
        <v>#NAME?</v>
      </c>
      <c r="CJ36" s="23" t="e">
        <f ca="1">'QTR Raw'!BD18</f>
        <v>#NAME?</v>
      </c>
      <c r="CK36" s="23" t="e">
        <f ca="1">'QTR Raw'!BE18</f>
        <v>#NAME?</v>
      </c>
      <c r="CL36" s="23" t="e">
        <f ca="1">'QTR Raw'!BF18</f>
        <v>#NAME?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E36" s="123"/>
      <c r="DF36" s="23">
        <v>0</v>
      </c>
    </row>
    <row r="37" spans="1:110" s="22" customFormat="1" x14ac:dyDescent="0.2">
      <c r="A37" s="33" t="s">
        <v>348</v>
      </c>
      <c r="B37" s="22" t="e">
        <f t="shared" ref="B37:E37" ca="1" si="247">+SUM(B31:B36)</f>
        <v>#NAME?</v>
      </c>
      <c r="C37" s="22" t="e">
        <f t="shared" ca="1" si="247"/>
        <v>#NAME?</v>
      </c>
      <c r="D37" s="22" t="e">
        <f t="shared" ca="1" si="247"/>
        <v>#NAME?</v>
      </c>
      <c r="E37" s="22" t="e">
        <f t="shared" ca="1" si="247"/>
        <v>#NAME?</v>
      </c>
      <c r="F37" s="22" t="e">
        <f t="shared" ref="F37:AE37" ca="1" si="248">+SUM(F31:F36)</f>
        <v>#NAME?</v>
      </c>
      <c r="G37" s="22" t="e">
        <f t="shared" ca="1" si="248"/>
        <v>#NAME?</v>
      </c>
      <c r="H37" s="22" t="e">
        <f t="shared" ca="1" si="248"/>
        <v>#NAME?</v>
      </c>
      <c r="I37" s="22" t="e">
        <f t="shared" ca="1" si="248"/>
        <v>#NAME?</v>
      </c>
      <c r="J37" s="22" t="e">
        <f t="shared" ca="1" si="248"/>
        <v>#NAME?</v>
      </c>
      <c r="K37" s="22" t="e">
        <f t="shared" ca="1" si="248"/>
        <v>#NAME?</v>
      </c>
      <c r="L37" s="22" t="e">
        <f t="shared" ca="1" si="248"/>
        <v>#NAME?</v>
      </c>
      <c r="M37" s="22" t="e">
        <f t="shared" ca="1" si="248"/>
        <v>#NAME?</v>
      </c>
      <c r="N37" s="22" t="e">
        <f t="shared" ca="1" si="248"/>
        <v>#NAME?</v>
      </c>
      <c r="O37" s="22" t="e">
        <f t="shared" ca="1" si="248"/>
        <v>#NAME?</v>
      </c>
      <c r="P37" s="22" t="e">
        <f t="shared" ca="1" si="248"/>
        <v>#NAME?</v>
      </c>
      <c r="Q37" s="22" t="e">
        <f t="shared" ca="1" si="248"/>
        <v>#NAME?</v>
      </c>
      <c r="R37" s="22" t="e">
        <f t="shared" ca="1" si="248"/>
        <v>#NAME?</v>
      </c>
      <c r="S37" s="22" t="e">
        <f t="shared" ca="1" si="248"/>
        <v>#NAME?</v>
      </c>
      <c r="T37" s="22" t="e">
        <f t="shared" ca="1" si="248"/>
        <v>#NAME?</v>
      </c>
      <c r="U37" s="22" t="e">
        <f t="shared" ca="1" si="248"/>
        <v>#NAME?</v>
      </c>
      <c r="V37" s="22" t="e">
        <f t="shared" ca="1" si="248"/>
        <v>#NAME?</v>
      </c>
      <c r="W37" s="22" t="e">
        <f t="shared" ca="1" si="248"/>
        <v>#NAME?</v>
      </c>
      <c r="X37" s="22" t="e">
        <f t="shared" ca="1" si="248"/>
        <v>#NAME?</v>
      </c>
      <c r="Y37" s="22" t="e">
        <f t="shared" ca="1" si="248"/>
        <v>#NAME?</v>
      </c>
      <c r="Z37" s="22" t="e">
        <f t="shared" ref="Z37:AA37" ca="1" si="249">+SUM(Z31:Z36)</f>
        <v>#NAME?</v>
      </c>
      <c r="AA37" s="22" t="e">
        <f t="shared" ca="1" si="249"/>
        <v>#NAME?</v>
      </c>
      <c r="AB37" s="21" t="e">
        <f t="shared" ca="1" si="248"/>
        <v>#NAME?</v>
      </c>
      <c r="AC37" s="21" t="e">
        <f t="shared" ca="1" si="248"/>
        <v>#NAME?</v>
      </c>
      <c r="AD37" s="21" t="e">
        <f t="shared" ca="1" si="248"/>
        <v>#NAME?</v>
      </c>
      <c r="AE37" s="21" t="e">
        <f t="shared" ca="1" si="248"/>
        <v>#NAME?</v>
      </c>
      <c r="AI37" s="22" t="e">
        <f t="shared" ref="AI37:BN37" ca="1" si="250">+SUM(AI31:AI36)</f>
        <v>#NAME?</v>
      </c>
      <c r="AJ37" s="22" t="e">
        <f t="shared" ca="1" si="250"/>
        <v>#NAME?</v>
      </c>
      <c r="AK37" s="22" t="e">
        <f t="shared" ca="1" si="250"/>
        <v>#NAME?</v>
      </c>
      <c r="AL37" s="22" t="e">
        <f t="shared" ca="1" si="250"/>
        <v>#NAME?</v>
      </c>
      <c r="AM37" s="22" t="e">
        <f t="shared" ca="1" si="250"/>
        <v>#NAME?</v>
      </c>
      <c r="AN37" s="22" t="e">
        <f t="shared" ca="1" si="250"/>
        <v>#NAME?</v>
      </c>
      <c r="AO37" s="22" t="e">
        <f t="shared" ca="1" si="250"/>
        <v>#NAME?</v>
      </c>
      <c r="AP37" s="22" t="e">
        <f t="shared" ca="1" si="250"/>
        <v>#NAME?</v>
      </c>
      <c r="AQ37" s="22" t="e">
        <f t="shared" ca="1" si="250"/>
        <v>#NAME?</v>
      </c>
      <c r="AR37" s="22" t="e">
        <f t="shared" ca="1" si="250"/>
        <v>#NAME?</v>
      </c>
      <c r="AS37" s="22" t="e">
        <f t="shared" ca="1" si="250"/>
        <v>#NAME?</v>
      </c>
      <c r="AT37" s="22" t="e">
        <f t="shared" ca="1" si="250"/>
        <v>#NAME?</v>
      </c>
      <c r="AU37" s="22" t="e">
        <f t="shared" ca="1" si="250"/>
        <v>#NAME?</v>
      </c>
      <c r="AV37" s="22" t="e">
        <f t="shared" ca="1" si="250"/>
        <v>#NAME?</v>
      </c>
      <c r="AW37" s="22" t="e">
        <f t="shared" ca="1" si="250"/>
        <v>#NAME?</v>
      </c>
      <c r="AX37" s="22" t="e">
        <f t="shared" ca="1" si="250"/>
        <v>#NAME?</v>
      </c>
      <c r="AY37" s="22" t="e">
        <f t="shared" ca="1" si="250"/>
        <v>#NAME?</v>
      </c>
      <c r="AZ37" s="22" t="e">
        <f t="shared" ca="1" si="250"/>
        <v>#NAME?</v>
      </c>
      <c r="BA37" s="22" t="e">
        <f t="shared" ca="1" si="250"/>
        <v>#NAME?</v>
      </c>
      <c r="BB37" s="22" t="e">
        <f t="shared" ca="1" si="250"/>
        <v>#NAME?</v>
      </c>
      <c r="BC37" s="22" t="e">
        <f t="shared" ca="1" si="250"/>
        <v>#NAME?</v>
      </c>
      <c r="BD37" s="22" t="e">
        <f t="shared" ca="1" si="250"/>
        <v>#NAME?</v>
      </c>
      <c r="BE37" s="22" t="e">
        <f t="shared" ca="1" si="250"/>
        <v>#NAME?</v>
      </c>
      <c r="BF37" s="22" t="e">
        <f t="shared" ca="1" si="250"/>
        <v>#NAME?</v>
      </c>
      <c r="BG37" s="22" t="e">
        <f t="shared" ca="1" si="250"/>
        <v>#NAME?</v>
      </c>
      <c r="BH37" s="22" t="e">
        <f t="shared" ca="1" si="250"/>
        <v>#NAME?</v>
      </c>
      <c r="BI37" s="22" t="e">
        <f t="shared" ca="1" si="250"/>
        <v>#NAME?</v>
      </c>
      <c r="BJ37" s="22" t="e">
        <f t="shared" ca="1" si="250"/>
        <v>#NAME?</v>
      </c>
      <c r="BK37" s="22" t="e">
        <f t="shared" ca="1" si="250"/>
        <v>#NAME?</v>
      </c>
      <c r="BL37" s="22" t="e">
        <f t="shared" ca="1" si="250"/>
        <v>#NAME?</v>
      </c>
      <c r="BM37" s="22" t="e">
        <f t="shared" ca="1" si="250"/>
        <v>#NAME?</v>
      </c>
      <c r="BN37" s="22" t="e">
        <f t="shared" ca="1" si="250"/>
        <v>#NAME?</v>
      </c>
      <c r="BO37" s="22" t="e">
        <f t="shared" ref="BO37:CH37" ca="1" si="251">+SUM(BO31:BO36)</f>
        <v>#NAME?</v>
      </c>
      <c r="BP37" s="22" t="e">
        <f t="shared" ca="1" si="251"/>
        <v>#NAME?</v>
      </c>
      <c r="BQ37" s="22" t="e">
        <f t="shared" ca="1" si="251"/>
        <v>#NAME?</v>
      </c>
      <c r="BR37" s="22" t="e">
        <f t="shared" ca="1" si="251"/>
        <v>#NAME?</v>
      </c>
      <c r="BS37" s="22" t="e">
        <f t="shared" ca="1" si="251"/>
        <v>#NAME?</v>
      </c>
      <c r="BT37" s="22" t="e">
        <f t="shared" ca="1" si="251"/>
        <v>#NAME?</v>
      </c>
      <c r="BU37" s="22" t="e">
        <f t="shared" ca="1" si="251"/>
        <v>#NAME?</v>
      </c>
      <c r="BV37" s="22" t="e">
        <f t="shared" ca="1" si="251"/>
        <v>#NAME?</v>
      </c>
      <c r="BW37" s="22" t="e">
        <f t="shared" ca="1" si="251"/>
        <v>#NAME?</v>
      </c>
      <c r="BX37" s="22" t="e">
        <f t="shared" ca="1" si="251"/>
        <v>#NAME?</v>
      </c>
      <c r="BY37" s="22" t="e">
        <f t="shared" ca="1" si="251"/>
        <v>#NAME?</v>
      </c>
      <c r="BZ37" s="22" t="e">
        <f t="shared" ca="1" si="251"/>
        <v>#NAME?</v>
      </c>
      <c r="CA37" s="22" t="e">
        <f t="shared" ca="1" si="251"/>
        <v>#NAME?</v>
      </c>
      <c r="CB37" s="22" t="e">
        <f t="shared" ca="1" si="251"/>
        <v>#NAME?</v>
      </c>
      <c r="CC37" s="22" t="e">
        <f t="shared" ca="1" si="251"/>
        <v>#NAME?</v>
      </c>
      <c r="CD37" s="22" t="e">
        <f t="shared" ca="1" si="251"/>
        <v>#NAME?</v>
      </c>
      <c r="CE37" s="22" t="e">
        <f t="shared" ca="1" si="251"/>
        <v>#NAME?</v>
      </c>
      <c r="CF37" s="22" t="e">
        <f t="shared" ca="1" si="251"/>
        <v>#NAME?</v>
      </c>
      <c r="CG37" s="22">
        <v>16.55</v>
      </c>
      <c r="CH37" s="22" t="e">
        <f t="shared" ca="1" si="251"/>
        <v>#NAME?</v>
      </c>
      <c r="CI37" s="22" t="e">
        <f t="shared" ref="CI37:CJ37" ca="1" si="252">+SUM(CI31:CI36)</f>
        <v>#NAME?</v>
      </c>
      <c r="CJ37" s="22" t="e">
        <f t="shared" ca="1" si="252"/>
        <v>#NAME?</v>
      </c>
      <c r="CK37" s="22" t="e">
        <f t="shared" ref="CK37:CL37" ca="1" si="253">+SUM(CK31:CK36)</f>
        <v>#NAME?</v>
      </c>
      <c r="CL37" s="22" t="e">
        <f t="shared" ca="1" si="253"/>
        <v>#NAME?</v>
      </c>
      <c r="CM37" s="21" t="e">
        <f t="shared" ref="CM37:DB37" ca="1" si="254">CM38*CM21</f>
        <v>#NAME?</v>
      </c>
      <c r="CN37" s="21" t="e">
        <f t="shared" ca="1" si="254"/>
        <v>#NAME?</v>
      </c>
      <c r="CO37" s="21" t="e">
        <f t="shared" ca="1" si="254"/>
        <v>#NAME?</v>
      </c>
      <c r="CP37" s="21" t="e">
        <f t="shared" ca="1" si="254"/>
        <v>#NAME?</v>
      </c>
      <c r="CQ37" s="21" t="e">
        <f t="shared" ca="1" si="254"/>
        <v>#NAME?</v>
      </c>
      <c r="CR37" s="21" t="e">
        <f t="shared" ca="1" si="254"/>
        <v>#NAME?</v>
      </c>
      <c r="CS37" s="21" t="e">
        <f t="shared" ca="1" si="254"/>
        <v>#NAME?</v>
      </c>
      <c r="CT37" s="21" t="e">
        <f t="shared" ca="1" si="254"/>
        <v>#NAME?</v>
      </c>
      <c r="CU37" s="21" t="e">
        <f t="shared" ca="1" si="254"/>
        <v>#NAME?</v>
      </c>
      <c r="CV37" s="21" t="e">
        <f t="shared" ca="1" si="254"/>
        <v>#NAME?</v>
      </c>
      <c r="CW37" s="21" t="e">
        <f t="shared" ca="1" si="254"/>
        <v>#NAME?</v>
      </c>
      <c r="CX37" s="21" t="e">
        <f t="shared" ca="1" si="254"/>
        <v>#NAME?</v>
      </c>
      <c r="CY37" s="21" t="e">
        <f t="shared" ca="1" si="254"/>
        <v>#NAME?</v>
      </c>
      <c r="CZ37" s="21" t="e">
        <f t="shared" ca="1" si="254"/>
        <v>#NAME?</v>
      </c>
      <c r="DA37" s="21" t="e">
        <f t="shared" ca="1" si="254"/>
        <v>#NAME?</v>
      </c>
      <c r="DB37" s="21" t="e">
        <f t="shared" ca="1" si="254"/>
        <v>#NAME?</v>
      </c>
      <c r="DE37" s="126"/>
      <c r="DF37" s="22">
        <v>90.44</v>
      </c>
    </row>
    <row r="38" spans="1:110" s="44" customFormat="1" x14ac:dyDescent="0.2">
      <c r="A38" s="43" t="s">
        <v>349</v>
      </c>
      <c r="B38" s="44" t="e">
        <f t="shared" ref="B38:E38" ca="1" si="255">B37/B21</f>
        <v>#NAME?</v>
      </c>
      <c r="C38" s="44" t="e">
        <f t="shared" ca="1" si="255"/>
        <v>#NAME?</v>
      </c>
      <c r="D38" s="44" t="e">
        <f t="shared" ca="1" si="255"/>
        <v>#NAME?</v>
      </c>
      <c r="E38" s="44" t="e">
        <f t="shared" ca="1" si="255"/>
        <v>#NAME?</v>
      </c>
      <c r="F38" s="44" t="e">
        <f t="shared" ref="F38:AE38" ca="1" si="256">F37/F21</f>
        <v>#NAME?</v>
      </c>
      <c r="G38" s="44" t="e">
        <f t="shared" ca="1" si="256"/>
        <v>#NAME?</v>
      </c>
      <c r="H38" s="44" t="e">
        <f t="shared" ca="1" si="256"/>
        <v>#NAME?</v>
      </c>
      <c r="I38" s="44" t="e">
        <f t="shared" ca="1" si="256"/>
        <v>#NAME?</v>
      </c>
      <c r="J38" s="44" t="e">
        <f t="shared" ca="1" si="256"/>
        <v>#NAME?</v>
      </c>
      <c r="K38" s="44" t="e">
        <f t="shared" ca="1" si="256"/>
        <v>#NAME?</v>
      </c>
      <c r="L38" s="44" t="e">
        <f t="shared" ca="1" si="256"/>
        <v>#NAME?</v>
      </c>
      <c r="M38" s="44" t="e">
        <f t="shared" ca="1" si="256"/>
        <v>#NAME?</v>
      </c>
      <c r="N38" s="44" t="e">
        <f t="shared" ca="1" si="256"/>
        <v>#NAME?</v>
      </c>
      <c r="O38" s="44" t="e">
        <f t="shared" ca="1" si="256"/>
        <v>#NAME?</v>
      </c>
      <c r="P38" s="44" t="e">
        <f t="shared" ca="1" si="256"/>
        <v>#NAME?</v>
      </c>
      <c r="Q38" s="44" t="e">
        <f t="shared" ca="1" si="256"/>
        <v>#NAME?</v>
      </c>
      <c r="R38" s="44" t="e">
        <f t="shared" ca="1" si="256"/>
        <v>#NAME?</v>
      </c>
      <c r="S38" s="44" t="e">
        <f t="shared" ca="1" si="256"/>
        <v>#NAME?</v>
      </c>
      <c r="T38" s="44" t="e">
        <f t="shared" ca="1" si="256"/>
        <v>#NAME?</v>
      </c>
      <c r="U38" s="44" t="e">
        <f t="shared" ca="1" si="256"/>
        <v>#NAME?</v>
      </c>
      <c r="V38" s="44" t="e">
        <f t="shared" ca="1" si="256"/>
        <v>#NAME?</v>
      </c>
      <c r="W38" s="44" t="e">
        <f t="shared" ca="1" si="256"/>
        <v>#NAME?</v>
      </c>
      <c r="X38" s="44" t="e">
        <f t="shared" ca="1" si="256"/>
        <v>#NAME?</v>
      </c>
      <c r="Y38" s="44" t="e">
        <f t="shared" ca="1" si="256"/>
        <v>#NAME?</v>
      </c>
      <c r="Z38" s="44" t="e">
        <f t="shared" ref="Z38:AA38" ca="1" si="257">Z37/Z21</f>
        <v>#NAME?</v>
      </c>
      <c r="AA38" s="44" t="e">
        <f t="shared" ca="1" si="257"/>
        <v>#NAME?</v>
      </c>
      <c r="AB38" s="52" t="e">
        <f t="shared" ca="1" si="256"/>
        <v>#NAME?</v>
      </c>
      <c r="AC38" s="52" t="e">
        <f t="shared" ca="1" si="256"/>
        <v>#NAME?</v>
      </c>
      <c r="AD38" s="52" t="e">
        <f t="shared" ca="1" si="256"/>
        <v>#NAME?</v>
      </c>
      <c r="AE38" s="52" t="e">
        <f t="shared" ca="1" si="256"/>
        <v>#NAME?</v>
      </c>
      <c r="AI38" s="44" t="e">
        <f t="shared" ref="AI38:BN38" ca="1" si="258">AI37/AI21</f>
        <v>#NAME?</v>
      </c>
      <c r="AJ38" s="44" t="e">
        <f t="shared" ca="1" si="258"/>
        <v>#NAME?</v>
      </c>
      <c r="AK38" s="44" t="e">
        <f t="shared" ca="1" si="258"/>
        <v>#NAME?</v>
      </c>
      <c r="AL38" s="44" t="e">
        <f t="shared" ca="1" si="258"/>
        <v>#NAME?</v>
      </c>
      <c r="AM38" s="44" t="e">
        <f t="shared" ca="1" si="258"/>
        <v>#NAME?</v>
      </c>
      <c r="AN38" s="44" t="e">
        <f t="shared" ca="1" si="258"/>
        <v>#NAME?</v>
      </c>
      <c r="AO38" s="44" t="e">
        <f t="shared" ca="1" si="258"/>
        <v>#NAME?</v>
      </c>
      <c r="AP38" s="44" t="e">
        <f t="shared" ca="1" si="258"/>
        <v>#NAME?</v>
      </c>
      <c r="AQ38" s="44" t="e">
        <f t="shared" ca="1" si="258"/>
        <v>#NAME?</v>
      </c>
      <c r="AR38" s="44" t="e">
        <f t="shared" ca="1" si="258"/>
        <v>#NAME?</v>
      </c>
      <c r="AS38" s="44" t="e">
        <f t="shared" ca="1" si="258"/>
        <v>#NAME?</v>
      </c>
      <c r="AT38" s="44" t="e">
        <f t="shared" ca="1" si="258"/>
        <v>#NAME?</v>
      </c>
      <c r="AU38" s="44" t="e">
        <f t="shared" ca="1" si="258"/>
        <v>#NAME?</v>
      </c>
      <c r="AV38" s="44" t="e">
        <f t="shared" ca="1" si="258"/>
        <v>#NAME?</v>
      </c>
      <c r="AW38" s="44" t="e">
        <f t="shared" ca="1" si="258"/>
        <v>#NAME?</v>
      </c>
      <c r="AX38" s="44" t="e">
        <f t="shared" ca="1" si="258"/>
        <v>#NAME?</v>
      </c>
      <c r="AY38" s="44" t="e">
        <f t="shared" ca="1" si="258"/>
        <v>#NAME?</v>
      </c>
      <c r="AZ38" s="44" t="e">
        <f t="shared" ca="1" si="258"/>
        <v>#NAME?</v>
      </c>
      <c r="BA38" s="44" t="e">
        <f t="shared" ca="1" si="258"/>
        <v>#NAME?</v>
      </c>
      <c r="BB38" s="44" t="e">
        <f t="shared" ca="1" si="258"/>
        <v>#NAME?</v>
      </c>
      <c r="BC38" s="44" t="e">
        <f t="shared" ca="1" si="258"/>
        <v>#NAME?</v>
      </c>
      <c r="BD38" s="44" t="e">
        <f t="shared" ca="1" si="258"/>
        <v>#NAME?</v>
      </c>
      <c r="BE38" s="44" t="e">
        <f t="shared" ca="1" si="258"/>
        <v>#NAME?</v>
      </c>
      <c r="BF38" s="44" t="e">
        <f t="shared" ca="1" si="258"/>
        <v>#NAME?</v>
      </c>
      <c r="BG38" s="44" t="e">
        <f t="shared" ca="1" si="258"/>
        <v>#NAME?</v>
      </c>
      <c r="BH38" s="44" t="e">
        <f t="shared" ca="1" si="258"/>
        <v>#NAME?</v>
      </c>
      <c r="BI38" s="44" t="e">
        <f t="shared" ca="1" si="258"/>
        <v>#NAME?</v>
      </c>
      <c r="BJ38" s="44" t="e">
        <f t="shared" ca="1" si="258"/>
        <v>#NAME?</v>
      </c>
      <c r="BK38" s="44" t="e">
        <f t="shared" ca="1" si="258"/>
        <v>#NAME?</v>
      </c>
      <c r="BL38" s="44" t="e">
        <f t="shared" ca="1" si="258"/>
        <v>#NAME?</v>
      </c>
      <c r="BM38" s="44" t="e">
        <f t="shared" ca="1" si="258"/>
        <v>#NAME?</v>
      </c>
      <c r="BN38" s="44" t="e">
        <f t="shared" ca="1" si="258"/>
        <v>#NAME?</v>
      </c>
      <c r="BO38" s="44" t="e">
        <f t="shared" ref="BO38:CH38" ca="1" si="259">BO37/BO21</f>
        <v>#NAME?</v>
      </c>
      <c r="BP38" s="44" t="e">
        <f t="shared" ca="1" si="259"/>
        <v>#NAME?</v>
      </c>
      <c r="BQ38" s="44" t="e">
        <f t="shared" ca="1" si="259"/>
        <v>#NAME?</v>
      </c>
      <c r="BR38" s="44" t="e">
        <f t="shared" ca="1" si="259"/>
        <v>#NAME?</v>
      </c>
      <c r="BS38" s="44" t="e">
        <f t="shared" ca="1" si="259"/>
        <v>#NAME?</v>
      </c>
      <c r="BT38" s="44" t="e">
        <f t="shared" ca="1" si="259"/>
        <v>#NAME?</v>
      </c>
      <c r="BU38" s="44" t="e">
        <f t="shared" ca="1" si="259"/>
        <v>#NAME?</v>
      </c>
      <c r="BV38" s="44" t="e">
        <f t="shared" ca="1" si="259"/>
        <v>#NAME?</v>
      </c>
      <c r="BW38" s="44" t="e">
        <f t="shared" ca="1" si="259"/>
        <v>#NAME?</v>
      </c>
      <c r="BX38" s="44" t="e">
        <f t="shared" ca="1" si="259"/>
        <v>#NAME?</v>
      </c>
      <c r="BY38" s="44" t="e">
        <f t="shared" ca="1" si="259"/>
        <v>#NAME?</v>
      </c>
      <c r="BZ38" s="44" t="e">
        <f t="shared" ca="1" si="259"/>
        <v>#NAME?</v>
      </c>
      <c r="CA38" s="44" t="e">
        <f t="shared" ca="1" si="259"/>
        <v>#NAME?</v>
      </c>
      <c r="CB38" s="44" t="e">
        <f t="shared" ca="1" si="259"/>
        <v>#NAME?</v>
      </c>
      <c r="CC38" s="44" t="e">
        <f t="shared" ca="1" si="259"/>
        <v>#NAME?</v>
      </c>
      <c r="CD38" s="44" t="e">
        <f t="shared" ca="1" si="259"/>
        <v>#NAME?</v>
      </c>
      <c r="CE38" s="44" t="e">
        <f t="shared" ca="1" si="259"/>
        <v>#NAME?</v>
      </c>
      <c r="CF38" s="44" t="e">
        <f t="shared" ca="1" si="259"/>
        <v>#NAME?</v>
      </c>
      <c r="CG38" s="44">
        <v>0.16115368511251549</v>
      </c>
      <c r="CH38" s="44" t="e">
        <f t="shared" ca="1" si="259"/>
        <v>#NAME?</v>
      </c>
      <c r="CI38" s="44" t="e">
        <f t="shared" ref="CI38:CJ38" ca="1" si="260">CI37/CI21</f>
        <v>#NAME?</v>
      </c>
      <c r="CJ38" s="44" t="e">
        <f t="shared" ca="1" si="260"/>
        <v>#NAME?</v>
      </c>
      <c r="CK38" s="44" t="e">
        <f t="shared" ref="CK38:CL38" ca="1" si="261">CK37/CK21</f>
        <v>#NAME?</v>
      </c>
      <c r="CL38" s="44" t="e">
        <f t="shared" ca="1" si="261"/>
        <v>#NAME?</v>
      </c>
      <c r="CM38" s="52" t="e">
        <f t="shared" ref="CM38:DB38" ca="1" si="262">AVERAGE(CI38:CL38)</f>
        <v>#NAME?</v>
      </c>
      <c r="CN38" s="52" t="e">
        <f t="shared" ca="1" si="262"/>
        <v>#NAME?</v>
      </c>
      <c r="CO38" s="52" t="e">
        <f t="shared" ca="1" si="262"/>
        <v>#NAME?</v>
      </c>
      <c r="CP38" s="52" t="e">
        <f t="shared" ca="1" si="262"/>
        <v>#NAME?</v>
      </c>
      <c r="CQ38" s="52" t="e">
        <f t="shared" ca="1" si="262"/>
        <v>#NAME?</v>
      </c>
      <c r="CR38" s="52" t="e">
        <f t="shared" ca="1" si="262"/>
        <v>#NAME?</v>
      </c>
      <c r="CS38" s="52" t="e">
        <f t="shared" ca="1" si="262"/>
        <v>#NAME?</v>
      </c>
      <c r="CT38" s="52" t="e">
        <f t="shared" ca="1" si="262"/>
        <v>#NAME?</v>
      </c>
      <c r="CU38" s="52" t="e">
        <f t="shared" ca="1" si="262"/>
        <v>#NAME?</v>
      </c>
      <c r="CV38" s="52" t="e">
        <f t="shared" ca="1" si="262"/>
        <v>#NAME?</v>
      </c>
      <c r="CW38" s="52" t="e">
        <f t="shared" ca="1" si="262"/>
        <v>#NAME?</v>
      </c>
      <c r="CX38" s="52" t="e">
        <f t="shared" ca="1" si="262"/>
        <v>#NAME?</v>
      </c>
      <c r="CY38" s="52" t="e">
        <f t="shared" ca="1" si="262"/>
        <v>#NAME?</v>
      </c>
      <c r="CZ38" s="52" t="e">
        <f t="shared" ca="1" si="262"/>
        <v>#NAME?</v>
      </c>
      <c r="DA38" s="52" t="e">
        <f t="shared" ca="1" si="262"/>
        <v>#NAME?</v>
      </c>
      <c r="DB38" s="52" t="e">
        <f t="shared" ca="1" si="262"/>
        <v>#NAME?</v>
      </c>
      <c r="DE38" s="128"/>
      <c r="DF38" s="44">
        <v>0.14150618659289901</v>
      </c>
    </row>
    <row r="39" spans="1:110" s="26" customFormat="1" x14ac:dyDescent="0.2">
      <c r="A39" s="34" t="s">
        <v>13</v>
      </c>
      <c r="B39" s="26" t="e">
        <f t="shared" ref="B39:E39" ca="1" si="263">B27-B37</f>
        <v>#NAME?</v>
      </c>
      <c r="C39" s="26" t="e">
        <f t="shared" ca="1" si="263"/>
        <v>#NAME?</v>
      </c>
      <c r="D39" s="26" t="e">
        <f t="shared" ca="1" si="263"/>
        <v>#NAME?</v>
      </c>
      <c r="E39" s="26" t="e">
        <f t="shared" ca="1" si="263"/>
        <v>#NAME?</v>
      </c>
      <c r="F39" s="26" t="e">
        <f t="shared" ref="F39:AE39" ca="1" si="264">F27-F37</f>
        <v>#NAME?</v>
      </c>
      <c r="G39" s="26" t="e">
        <f t="shared" ca="1" si="264"/>
        <v>#NAME?</v>
      </c>
      <c r="H39" s="26" t="e">
        <f t="shared" ca="1" si="264"/>
        <v>#NAME?</v>
      </c>
      <c r="I39" s="26" t="e">
        <f t="shared" ca="1" si="264"/>
        <v>#NAME?</v>
      </c>
      <c r="J39" s="26" t="e">
        <f t="shared" ca="1" si="264"/>
        <v>#NAME?</v>
      </c>
      <c r="K39" s="26" t="e">
        <f t="shared" ca="1" si="264"/>
        <v>#NAME?</v>
      </c>
      <c r="L39" s="26" t="e">
        <f t="shared" ca="1" si="264"/>
        <v>#NAME?</v>
      </c>
      <c r="M39" s="26" t="e">
        <f t="shared" ca="1" si="264"/>
        <v>#NAME?</v>
      </c>
      <c r="N39" s="26" t="e">
        <f t="shared" ca="1" si="264"/>
        <v>#NAME?</v>
      </c>
      <c r="O39" s="26" t="e">
        <f t="shared" ca="1" si="264"/>
        <v>#NAME?</v>
      </c>
      <c r="P39" s="26" t="e">
        <f t="shared" ca="1" si="264"/>
        <v>#NAME?</v>
      </c>
      <c r="Q39" s="26" t="e">
        <f t="shared" ca="1" si="264"/>
        <v>#NAME?</v>
      </c>
      <c r="R39" s="26" t="e">
        <f t="shared" ca="1" si="264"/>
        <v>#NAME?</v>
      </c>
      <c r="S39" s="26" t="e">
        <f t="shared" ca="1" si="264"/>
        <v>#NAME?</v>
      </c>
      <c r="T39" s="26" t="e">
        <f t="shared" ca="1" si="264"/>
        <v>#NAME?</v>
      </c>
      <c r="U39" s="26" t="e">
        <f t="shared" ca="1" si="264"/>
        <v>#NAME?</v>
      </c>
      <c r="V39" s="26" t="e">
        <f t="shared" ca="1" si="264"/>
        <v>#NAME?</v>
      </c>
      <c r="W39" s="26" t="e">
        <f t="shared" ca="1" si="264"/>
        <v>#NAME?</v>
      </c>
      <c r="X39" s="26" t="e">
        <f t="shared" ca="1" si="264"/>
        <v>#NAME?</v>
      </c>
      <c r="Y39" s="26" t="e">
        <f t="shared" ca="1" si="264"/>
        <v>#NAME?</v>
      </c>
      <c r="Z39" s="26" t="e">
        <f t="shared" ref="Z39:AA39" ca="1" si="265">Z27-Z37</f>
        <v>#NAME?</v>
      </c>
      <c r="AA39" s="26" t="e">
        <f t="shared" ca="1" si="265"/>
        <v>#NAME?</v>
      </c>
      <c r="AB39" s="27" t="e">
        <f t="shared" ca="1" si="264"/>
        <v>#NAME?</v>
      </c>
      <c r="AC39" s="27" t="e">
        <f t="shared" ca="1" si="264"/>
        <v>#NAME?</v>
      </c>
      <c r="AD39" s="27" t="e">
        <f t="shared" ca="1" si="264"/>
        <v>#NAME?</v>
      </c>
      <c r="AE39" s="27" t="e">
        <f t="shared" ca="1" si="264"/>
        <v>#NAME?</v>
      </c>
      <c r="AI39" s="26" t="e">
        <f t="shared" ref="AI39:BN39" ca="1" si="266">AI27-AI37</f>
        <v>#NAME?</v>
      </c>
      <c r="AJ39" s="26" t="e">
        <f t="shared" ca="1" si="266"/>
        <v>#NAME?</v>
      </c>
      <c r="AK39" s="26" t="e">
        <f t="shared" ca="1" si="266"/>
        <v>#NAME?</v>
      </c>
      <c r="AL39" s="26" t="e">
        <f t="shared" ca="1" si="266"/>
        <v>#NAME?</v>
      </c>
      <c r="AM39" s="26" t="e">
        <f t="shared" ca="1" si="266"/>
        <v>#NAME?</v>
      </c>
      <c r="AN39" s="26" t="e">
        <f t="shared" ca="1" si="266"/>
        <v>#NAME?</v>
      </c>
      <c r="AO39" s="26" t="e">
        <f t="shared" ca="1" si="266"/>
        <v>#NAME?</v>
      </c>
      <c r="AP39" s="26" t="e">
        <f t="shared" ca="1" si="266"/>
        <v>#NAME?</v>
      </c>
      <c r="AQ39" s="26" t="e">
        <f t="shared" ca="1" si="266"/>
        <v>#NAME?</v>
      </c>
      <c r="AR39" s="26" t="e">
        <f t="shared" ca="1" si="266"/>
        <v>#NAME?</v>
      </c>
      <c r="AS39" s="26" t="e">
        <f t="shared" ca="1" si="266"/>
        <v>#NAME?</v>
      </c>
      <c r="AT39" s="26" t="e">
        <f t="shared" ca="1" si="266"/>
        <v>#NAME?</v>
      </c>
      <c r="AU39" s="26" t="e">
        <f t="shared" ca="1" si="266"/>
        <v>#NAME?</v>
      </c>
      <c r="AV39" s="26" t="e">
        <f t="shared" ca="1" si="266"/>
        <v>#NAME?</v>
      </c>
      <c r="AW39" s="26" t="e">
        <f t="shared" ca="1" si="266"/>
        <v>#NAME?</v>
      </c>
      <c r="AX39" s="26" t="e">
        <f t="shared" ca="1" si="266"/>
        <v>#NAME?</v>
      </c>
      <c r="AY39" s="26" t="e">
        <f t="shared" ca="1" si="266"/>
        <v>#NAME?</v>
      </c>
      <c r="AZ39" s="26" t="e">
        <f t="shared" ca="1" si="266"/>
        <v>#NAME?</v>
      </c>
      <c r="BA39" s="26" t="e">
        <f t="shared" ca="1" si="266"/>
        <v>#NAME?</v>
      </c>
      <c r="BB39" s="26" t="e">
        <f t="shared" ca="1" si="266"/>
        <v>#NAME?</v>
      </c>
      <c r="BC39" s="26" t="e">
        <f t="shared" ca="1" si="266"/>
        <v>#NAME?</v>
      </c>
      <c r="BD39" s="26" t="e">
        <f t="shared" ca="1" si="266"/>
        <v>#NAME?</v>
      </c>
      <c r="BE39" s="26" t="e">
        <f t="shared" ca="1" si="266"/>
        <v>#NAME?</v>
      </c>
      <c r="BF39" s="26" t="e">
        <f t="shared" ca="1" si="266"/>
        <v>#NAME?</v>
      </c>
      <c r="BG39" s="26" t="e">
        <f t="shared" ca="1" si="266"/>
        <v>#NAME?</v>
      </c>
      <c r="BH39" s="26" t="e">
        <f t="shared" ca="1" si="266"/>
        <v>#NAME?</v>
      </c>
      <c r="BI39" s="26" t="e">
        <f t="shared" ca="1" si="266"/>
        <v>#NAME?</v>
      </c>
      <c r="BJ39" s="26" t="e">
        <f t="shared" ca="1" si="266"/>
        <v>#NAME?</v>
      </c>
      <c r="BK39" s="26" t="e">
        <f t="shared" ca="1" si="266"/>
        <v>#NAME?</v>
      </c>
      <c r="BL39" s="26" t="e">
        <f t="shared" ca="1" si="266"/>
        <v>#NAME?</v>
      </c>
      <c r="BM39" s="26" t="e">
        <f t="shared" ca="1" si="266"/>
        <v>#NAME?</v>
      </c>
      <c r="BN39" s="26" t="e">
        <f t="shared" ca="1" si="266"/>
        <v>#NAME?</v>
      </c>
      <c r="BO39" s="26" t="e">
        <f t="shared" ref="BO39:CT39" ca="1" si="267">BO27-BO37</f>
        <v>#NAME?</v>
      </c>
      <c r="BP39" s="26" t="e">
        <f t="shared" ca="1" si="267"/>
        <v>#NAME?</v>
      </c>
      <c r="BQ39" s="26" t="e">
        <f t="shared" ca="1" si="267"/>
        <v>#NAME?</v>
      </c>
      <c r="BR39" s="26" t="e">
        <f t="shared" ca="1" si="267"/>
        <v>#NAME?</v>
      </c>
      <c r="BS39" s="26" t="e">
        <f t="shared" ca="1" si="267"/>
        <v>#NAME?</v>
      </c>
      <c r="BT39" s="26" t="e">
        <f t="shared" ca="1" si="267"/>
        <v>#NAME?</v>
      </c>
      <c r="BU39" s="26" t="e">
        <f t="shared" ca="1" si="267"/>
        <v>#NAME?</v>
      </c>
      <c r="BV39" s="26" t="e">
        <f t="shared" ca="1" si="267"/>
        <v>#NAME?</v>
      </c>
      <c r="BW39" s="26" t="e">
        <f t="shared" ca="1" si="267"/>
        <v>#NAME?</v>
      </c>
      <c r="BX39" s="26" t="e">
        <f t="shared" ca="1" si="267"/>
        <v>#NAME?</v>
      </c>
      <c r="BY39" s="26" t="e">
        <f t="shared" ca="1" si="267"/>
        <v>#NAME?</v>
      </c>
      <c r="BZ39" s="26" t="e">
        <f t="shared" ca="1" si="267"/>
        <v>#NAME?</v>
      </c>
      <c r="CA39" s="26" t="e">
        <f t="shared" ca="1" si="267"/>
        <v>#NAME?</v>
      </c>
      <c r="CB39" s="26" t="e">
        <f t="shared" ca="1" si="267"/>
        <v>#NAME?</v>
      </c>
      <c r="CC39" s="26" t="e">
        <f t="shared" ca="1" si="267"/>
        <v>#NAME?</v>
      </c>
      <c r="CD39" s="26" t="e">
        <f t="shared" ca="1" si="267"/>
        <v>#NAME?</v>
      </c>
      <c r="CE39" s="26" t="e">
        <f t="shared" ca="1" si="267"/>
        <v>#NAME?</v>
      </c>
      <c r="CF39" s="26" t="e">
        <f t="shared" ca="1" si="267"/>
        <v>#NAME?</v>
      </c>
      <c r="CG39" s="26">
        <v>13.228999999999981</v>
      </c>
      <c r="CH39" s="26" t="e">
        <f t="shared" ca="1" si="267"/>
        <v>#NAME?</v>
      </c>
      <c r="CI39" s="26" t="e">
        <f t="shared" ref="CI39:CJ39" ca="1" si="268">CI27-CI37</f>
        <v>#NAME?</v>
      </c>
      <c r="CJ39" s="26" t="e">
        <f t="shared" ca="1" si="268"/>
        <v>#NAME?</v>
      </c>
      <c r="CK39" s="26" t="e">
        <f t="shared" ref="CK39:CL39" ca="1" si="269">CK27-CK37</f>
        <v>#NAME?</v>
      </c>
      <c r="CL39" s="26" t="e">
        <f t="shared" ca="1" si="269"/>
        <v>#NAME?</v>
      </c>
      <c r="CM39" s="27" t="e">
        <f t="shared" ca="1" si="267"/>
        <v>#NAME?</v>
      </c>
      <c r="CN39" s="27" t="e">
        <f t="shared" ca="1" si="267"/>
        <v>#NAME?</v>
      </c>
      <c r="CO39" s="27" t="e">
        <f t="shared" ca="1" si="267"/>
        <v>#NAME?</v>
      </c>
      <c r="CP39" s="27" t="e">
        <f t="shared" ca="1" si="267"/>
        <v>#NAME?</v>
      </c>
      <c r="CQ39" s="27" t="e">
        <f t="shared" ca="1" si="267"/>
        <v>#NAME?</v>
      </c>
      <c r="CR39" s="27" t="e">
        <f t="shared" ca="1" si="267"/>
        <v>#NAME?</v>
      </c>
      <c r="CS39" s="27" t="e">
        <f t="shared" ca="1" si="267"/>
        <v>#NAME?</v>
      </c>
      <c r="CT39" s="27" t="e">
        <f t="shared" ca="1" si="267"/>
        <v>#NAME?</v>
      </c>
      <c r="CU39" s="27" t="e">
        <f t="shared" ref="CU39:DB39" ca="1" si="270">CU27-CU37</f>
        <v>#NAME?</v>
      </c>
      <c r="CV39" s="27" t="e">
        <f t="shared" ca="1" si="270"/>
        <v>#NAME?</v>
      </c>
      <c r="CW39" s="27" t="e">
        <f t="shared" ca="1" si="270"/>
        <v>#NAME?</v>
      </c>
      <c r="CX39" s="27" t="e">
        <f t="shared" ca="1" si="270"/>
        <v>#NAME?</v>
      </c>
      <c r="CY39" s="27" t="e">
        <f t="shared" ca="1" si="270"/>
        <v>#NAME?</v>
      </c>
      <c r="CZ39" s="27" t="e">
        <f t="shared" ca="1" si="270"/>
        <v>#NAME?</v>
      </c>
      <c r="DA39" s="27" t="e">
        <f t="shared" ca="1" si="270"/>
        <v>#NAME?</v>
      </c>
      <c r="DB39" s="27" t="e">
        <f t="shared" ca="1" si="270"/>
        <v>#NAME?</v>
      </c>
      <c r="DE39" s="121"/>
      <c r="DF39" s="26">
        <v>94.538000000000068</v>
      </c>
    </row>
    <row r="40" spans="1:110" s="168" customFormat="1" x14ac:dyDescent="0.2">
      <c r="A40" s="165" t="s">
        <v>14</v>
      </c>
      <c r="B40" s="166" t="e">
        <f t="shared" ref="B40:E40" ca="1" si="271">B39/B21</f>
        <v>#NAME?</v>
      </c>
      <c r="C40" s="166" t="e">
        <f t="shared" ca="1" si="271"/>
        <v>#NAME?</v>
      </c>
      <c r="D40" s="166" t="e">
        <f t="shared" ca="1" si="271"/>
        <v>#NAME?</v>
      </c>
      <c r="E40" s="166" t="e">
        <f t="shared" ca="1" si="271"/>
        <v>#NAME?</v>
      </c>
      <c r="F40" s="166" t="e">
        <f t="shared" ref="F40:AE40" ca="1" si="272">F39/F21</f>
        <v>#NAME?</v>
      </c>
      <c r="G40" s="166" t="e">
        <f t="shared" ca="1" si="272"/>
        <v>#NAME?</v>
      </c>
      <c r="H40" s="166" t="e">
        <f t="shared" ca="1" si="272"/>
        <v>#NAME?</v>
      </c>
      <c r="I40" s="166" t="e">
        <f t="shared" ca="1" si="272"/>
        <v>#NAME?</v>
      </c>
      <c r="J40" s="166" t="e">
        <f t="shared" ca="1" si="272"/>
        <v>#NAME?</v>
      </c>
      <c r="K40" s="166" t="e">
        <f t="shared" ca="1" si="272"/>
        <v>#NAME?</v>
      </c>
      <c r="L40" s="166" t="e">
        <f t="shared" ca="1" si="272"/>
        <v>#NAME?</v>
      </c>
      <c r="M40" s="166" t="e">
        <f t="shared" ca="1" si="272"/>
        <v>#NAME?</v>
      </c>
      <c r="N40" s="166" t="e">
        <f t="shared" ca="1" si="272"/>
        <v>#NAME?</v>
      </c>
      <c r="O40" s="166" t="e">
        <f t="shared" ca="1" si="272"/>
        <v>#NAME?</v>
      </c>
      <c r="P40" s="166" t="e">
        <f t="shared" ca="1" si="272"/>
        <v>#NAME?</v>
      </c>
      <c r="Q40" s="166" t="e">
        <f t="shared" ca="1" si="272"/>
        <v>#NAME?</v>
      </c>
      <c r="R40" s="166" t="e">
        <f t="shared" ca="1" si="272"/>
        <v>#NAME?</v>
      </c>
      <c r="S40" s="166" t="e">
        <f t="shared" ca="1" si="272"/>
        <v>#NAME?</v>
      </c>
      <c r="T40" s="166" t="e">
        <f t="shared" ca="1" si="272"/>
        <v>#NAME?</v>
      </c>
      <c r="U40" s="166" t="e">
        <f t="shared" ca="1" si="272"/>
        <v>#NAME?</v>
      </c>
      <c r="V40" s="166" t="e">
        <f t="shared" ca="1" si="272"/>
        <v>#NAME?</v>
      </c>
      <c r="W40" s="166" t="e">
        <f t="shared" ca="1" si="272"/>
        <v>#NAME?</v>
      </c>
      <c r="X40" s="166" t="e">
        <f t="shared" ca="1" si="272"/>
        <v>#NAME?</v>
      </c>
      <c r="Y40" s="166" t="e">
        <f t="shared" ca="1" si="272"/>
        <v>#NAME?</v>
      </c>
      <c r="Z40" s="166" t="e">
        <f t="shared" ref="Z40:AA40" ca="1" si="273">Z39/Z21</f>
        <v>#NAME?</v>
      </c>
      <c r="AA40" s="166" t="e">
        <f t="shared" ca="1" si="273"/>
        <v>#NAME?</v>
      </c>
      <c r="AB40" s="167" t="e">
        <f t="shared" ca="1" si="272"/>
        <v>#NAME?</v>
      </c>
      <c r="AC40" s="167" t="e">
        <f t="shared" ca="1" si="272"/>
        <v>#NAME?</v>
      </c>
      <c r="AD40" s="167" t="e">
        <f t="shared" ca="1" si="272"/>
        <v>#NAME?</v>
      </c>
      <c r="AE40" s="167" t="e">
        <f t="shared" ca="1" si="272"/>
        <v>#NAME?</v>
      </c>
      <c r="AI40" s="166" t="e">
        <f t="shared" ref="AI40:BN40" ca="1" si="274">AI39/AI21</f>
        <v>#NAME?</v>
      </c>
      <c r="AJ40" s="166" t="e">
        <f t="shared" ca="1" si="274"/>
        <v>#NAME?</v>
      </c>
      <c r="AK40" s="166" t="e">
        <f t="shared" ca="1" si="274"/>
        <v>#NAME?</v>
      </c>
      <c r="AL40" s="166" t="e">
        <f t="shared" ca="1" si="274"/>
        <v>#NAME?</v>
      </c>
      <c r="AM40" s="166" t="e">
        <f t="shared" ca="1" si="274"/>
        <v>#NAME?</v>
      </c>
      <c r="AN40" s="166" t="e">
        <f t="shared" ca="1" si="274"/>
        <v>#NAME?</v>
      </c>
      <c r="AO40" s="166" t="e">
        <f t="shared" ca="1" si="274"/>
        <v>#NAME?</v>
      </c>
      <c r="AP40" s="166" t="e">
        <f t="shared" ca="1" si="274"/>
        <v>#NAME?</v>
      </c>
      <c r="AQ40" s="166" t="e">
        <f t="shared" ca="1" si="274"/>
        <v>#NAME?</v>
      </c>
      <c r="AR40" s="166" t="e">
        <f t="shared" ca="1" si="274"/>
        <v>#NAME?</v>
      </c>
      <c r="AS40" s="166" t="e">
        <f t="shared" ca="1" si="274"/>
        <v>#NAME?</v>
      </c>
      <c r="AT40" s="166" t="e">
        <f t="shared" ca="1" si="274"/>
        <v>#NAME?</v>
      </c>
      <c r="AU40" s="166" t="e">
        <f t="shared" ca="1" si="274"/>
        <v>#NAME?</v>
      </c>
      <c r="AV40" s="166" t="e">
        <f t="shared" ca="1" si="274"/>
        <v>#NAME?</v>
      </c>
      <c r="AW40" s="166" t="e">
        <f t="shared" ca="1" si="274"/>
        <v>#NAME?</v>
      </c>
      <c r="AX40" s="166" t="e">
        <f t="shared" ca="1" si="274"/>
        <v>#NAME?</v>
      </c>
      <c r="AY40" s="166" t="e">
        <f t="shared" ca="1" si="274"/>
        <v>#NAME?</v>
      </c>
      <c r="AZ40" s="166" t="e">
        <f t="shared" ca="1" si="274"/>
        <v>#NAME?</v>
      </c>
      <c r="BA40" s="166" t="e">
        <f t="shared" ca="1" si="274"/>
        <v>#NAME?</v>
      </c>
      <c r="BB40" s="166" t="e">
        <f t="shared" ca="1" si="274"/>
        <v>#NAME?</v>
      </c>
      <c r="BC40" s="166" t="e">
        <f t="shared" ca="1" si="274"/>
        <v>#NAME?</v>
      </c>
      <c r="BD40" s="166" t="e">
        <f t="shared" ca="1" si="274"/>
        <v>#NAME?</v>
      </c>
      <c r="BE40" s="166" t="e">
        <f t="shared" ca="1" si="274"/>
        <v>#NAME?</v>
      </c>
      <c r="BF40" s="166" t="e">
        <f t="shared" ca="1" si="274"/>
        <v>#NAME?</v>
      </c>
      <c r="BG40" s="166" t="e">
        <f t="shared" ca="1" si="274"/>
        <v>#NAME?</v>
      </c>
      <c r="BH40" s="166" t="e">
        <f t="shared" ca="1" si="274"/>
        <v>#NAME?</v>
      </c>
      <c r="BI40" s="166" t="e">
        <f t="shared" ca="1" si="274"/>
        <v>#NAME?</v>
      </c>
      <c r="BJ40" s="166" t="e">
        <f t="shared" ca="1" si="274"/>
        <v>#NAME?</v>
      </c>
      <c r="BK40" s="166" t="e">
        <f t="shared" ca="1" si="274"/>
        <v>#NAME?</v>
      </c>
      <c r="BL40" s="166" t="e">
        <f t="shared" ca="1" si="274"/>
        <v>#NAME?</v>
      </c>
      <c r="BM40" s="166" t="e">
        <f t="shared" ca="1" si="274"/>
        <v>#NAME?</v>
      </c>
      <c r="BN40" s="166" t="e">
        <f t="shared" ca="1" si="274"/>
        <v>#NAME?</v>
      </c>
      <c r="BO40" s="166" t="e">
        <f t="shared" ref="BO40:CT40" ca="1" si="275">BO39/BO21</f>
        <v>#NAME?</v>
      </c>
      <c r="BP40" s="166" t="e">
        <f t="shared" ca="1" si="275"/>
        <v>#NAME?</v>
      </c>
      <c r="BQ40" s="166" t="e">
        <f t="shared" ca="1" si="275"/>
        <v>#NAME?</v>
      </c>
      <c r="BR40" s="166" t="e">
        <f t="shared" ca="1" si="275"/>
        <v>#NAME?</v>
      </c>
      <c r="BS40" s="166" t="e">
        <f t="shared" ca="1" si="275"/>
        <v>#NAME?</v>
      </c>
      <c r="BT40" s="166" t="e">
        <f t="shared" ca="1" si="275"/>
        <v>#NAME?</v>
      </c>
      <c r="BU40" s="166" t="e">
        <f t="shared" ca="1" si="275"/>
        <v>#NAME?</v>
      </c>
      <c r="BV40" s="166" t="e">
        <f t="shared" ca="1" si="275"/>
        <v>#NAME?</v>
      </c>
      <c r="BW40" s="166" t="e">
        <f t="shared" ca="1" si="275"/>
        <v>#NAME?</v>
      </c>
      <c r="BX40" s="166" t="e">
        <f t="shared" ca="1" si="275"/>
        <v>#NAME?</v>
      </c>
      <c r="BY40" s="166" t="e">
        <f t="shared" ca="1" si="275"/>
        <v>#NAME?</v>
      </c>
      <c r="BZ40" s="166" t="e">
        <f t="shared" ca="1" si="275"/>
        <v>#NAME?</v>
      </c>
      <c r="CA40" s="166" t="e">
        <f t="shared" ca="1" si="275"/>
        <v>#NAME?</v>
      </c>
      <c r="CB40" s="166" t="e">
        <f t="shared" ca="1" si="275"/>
        <v>#NAME?</v>
      </c>
      <c r="CC40" s="166" t="e">
        <f t="shared" ca="1" si="275"/>
        <v>#NAME?</v>
      </c>
      <c r="CD40" s="166" t="e">
        <f t="shared" ca="1" si="275"/>
        <v>#NAME?</v>
      </c>
      <c r="CE40" s="166" t="e">
        <f t="shared" ca="1" si="275"/>
        <v>#NAME?</v>
      </c>
      <c r="CF40" s="166" t="e">
        <f t="shared" ca="1" si="275"/>
        <v>#NAME?</v>
      </c>
      <c r="CG40" s="166">
        <v>0.1288158368793634</v>
      </c>
      <c r="CH40" s="166" t="e">
        <f t="shared" ca="1" si="275"/>
        <v>#NAME?</v>
      </c>
      <c r="CI40" s="166" t="e">
        <f t="shared" ref="CI40:CJ40" ca="1" si="276">CI39/CI21</f>
        <v>#NAME?</v>
      </c>
      <c r="CJ40" s="166" t="e">
        <f t="shared" ca="1" si="276"/>
        <v>#NAME?</v>
      </c>
      <c r="CK40" s="166" t="e">
        <f t="shared" ref="CK40:CL40" ca="1" si="277">CK39/CK21</f>
        <v>#NAME?</v>
      </c>
      <c r="CL40" s="166" t="e">
        <f t="shared" ca="1" si="277"/>
        <v>#NAME?</v>
      </c>
      <c r="CM40" s="167" t="e">
        <f t="shared" ca="1" si="275"/>
        <v>#NAME?</v>
      </c>
      <c r="CN40" s="167" t="e">
        <f t="shared" ca="1" si="275"/>
        <v>#NAME?</v>
      </c>
      <c r="CO40" s="167" t="e">
        <f t="shared" ca="1" si="275"/>
        <v>#NAME?</v>
      </c>
      <c r="CP40" s="167" t="e">
        <f t="shared" ca="1" si="275"/>
        <v>#NAME?</v>
      </c>
      <c r="CQ40" s="167" t="e">
        <f t="shared" ca="1" si="275"/>
        <v>#NAME?</v>
      </c>
      <c r="CR40" s="167" t="e">
        <f t="shared" ca="1" si="275"/>
        <v>#NAME?</v>
      </c>
      <c r="CS40" s="167" t="e">
        <f t="shared" ca="1" si="275"/>
        <v>#NAME?</v>
      </c>
      <c r="CT40" s="167" t="e">
        <f t="shared" ca="1" si="275"/>
        <v>#NAME?</v>
      </c>
      <c r="CU40" s="167" t="e">
        <f t="shared" ref="CU40:DB40" ca="1" si="278">CU39/CU21</f>
        <v>#NAME?</v>
      </c>
      <c r="CV40" s="167" t="e">
        <f t="shared" ca="1" si="278"/>
        <v>#NAME?</v>
      </c>
      <c r="CW40" s="167" t="e">
        <f t="shared" ca="1" si="278"/>
        <v>#NAME?</v>
      </c>
      <c r="CX40" s="167" t="e">
        <f t="shared" ca="1" si="278"/>
        <v>#NAME?</v>
      </c>
      <c r="CY40" s="167" t="e">
        <f t="shared" ca="1" si="278"/>
        <v>#NAME?</v>
      </c>
      <c r="CZ40" s="167" t="e">
        <f t="shared" ca="1" si="278"/>
        <v>#NAME?</v>
      </c>
      <c r="DA40" s="167" t="e">
        <f t="shared" ca="1" si="278"/>
        <v>#NAME?</v>
      </c>
      <c r="DB40" s="167" t="e">
        <f t="shared" ca="1" si="278"/>
        <v>#NAME?</v>
      </c>
      <c r="DE40" s="169"/>
      <c r="DF40" s="168">
        <v>0.14791808788278968</v>
      </c>
    </row>
    <row r="41" spans="1:110" s="38" customFormat="1" x14ac:dyDescent="0.2">
      <c r="A41" s="39" t="s">
        <v>449</v>
      </c>
      <c r="B41" s="39"/>
      <c r="C41" s="39" t="e">
        <f t="shared" ref="C41:E41" ca="1" si="279">+IF(B39&lt;0,1-C39/B39,C39/B39-1)</f>
        <v>#NAME?</v>
      </c>
      <c r="D41" s="39" t="e">
        <f t="shared" ca="1" si="279"/>
        <v>#NAME?</v>
      </c>
      <c r="E41" s="39" t="e">
        <f t="shared" ca="1" si="279"/>
        <v>#NAME?</v>
      </c>
      <c r="F41" s="39" t="e">
        <f t="shared" ref="F41:Y41" ca="1" si="280">+IF(E39&lt;0,1-F39/E39,F39/E39-1)</f>
        <v>#NAME?</v>
      </c>
      <c r="G41" s="39" t="e">
        <f t="shared" ca="1" si="280"/>
        <v>#NAME?</v>
      </c>
      <c r="H41" s="39" t="e">
        <f t="shared" ca="1" si="280"/>
        <v>#NAME?</v>
      </c>
      <c r="I41" s="39" t="e">
        <f t="shared" ca="1" si="280"/>
        <v>#NAME?</v>
      </c>
      <c r="J41" s="39" t="e">
        <f t="shared" ca="1" si="280"/>
        <v>#NAME?</v>
      </c>
      <c r="K41" s="39" t="e">
        <f t="shared" ca="1" si="280"/>
        <v>#NAME?</v>
      </c>
      <c r="L41" s="39" t="e">
        <f t="shared" ca="1" si="280"/>
        <v>#NAME?</v>
      </c>
      <c r="M41" s="39" t="e">
        <f t="shared" ca="1" si="280"/>
        <v>#NAME?</v>
      </c>
      <c r="N41" s="39" t="e">
        <f t="shared" ca="1" si="280"/>
        <v>#NAME?</v>
      </c>
      <c r="O41" s="39" t="e">
        <f t="shared" ca="1" si="280"/>
        <v>#NAME?</v>
      </c>
      <c r="P41" s="39" t="e">
        <f t="shared" ca="1" si="280"/>
        <v>#NAME?</v>
      </c>
      <c r="Q41" s="39" t="e">
        <f t="shared" ca="1" si="280"/>
        <v>#NAME?</v>
      </c>
      <c r="R41" s="39" t="e">
        <f t="shared" ca="1" si="280"/>
        <v>#NAME?</v>
      </c>
      <c r="S41" s="39" t="e">
        <f t="shared" ca="1" si="280"/>
        <v>#NAME?</v>
      </c>
      <c r="T41" s="39" t="e">
        <f t="shared" ca="1" si="280"/>
        <v>#NAME?</v>
      </c>
      <c r="U41" s="39" t="e">
        <f t="shared" ca="1" si="280"/>
        <v>#NAME?</v>
      </c>
      <c r="V41" s="39" t="e">
        <f t="shared" ca="1" si="280"/>
        <v>#NAME?</v>
      </c>
      <c r="W41" s="39" t="e">
        <f t="shared" ca="1" si="280"/>
        <v>#NAME?</v>
      </c>
      <c r="X41" s="39" t="e">
        <f t="shared" ca="1" si="280"/>
        <v>#NAME?</v>
      </c>
      <c r="Y41" s="39" t="e">
        <f t="shared" ca="1" si="280"/>
        <v>#NAME?</v>
      </c>
      <c r="Z41" s="39" t="e">
        <f t="shared" ref="Z41:AE41" ca="1" si="281">+IF(Y39&lt;0,1-Z39/Y39,Z39/Y39-1)</f>
        <v>#NAME?</v>
      </c>
      <c r="AA41" s="39" t="e">
        <f t="shared" ca="1" si="281"/>
        <v>#NAME?</v>
      </c>
      <c r="AB41" s="40" t="e">
        <f t="shared" ca="1" si="281"/>
        <v>#NAME?</v>
      </c>
      <c r="AC41" s="40" t="e">
        <f t="shared" ca="1" si="281"/>
        <v>#NAME?</v>
      </c>
      <c r="AD41" s="40" t="e">
        <f t="shared" ca="1" si="281"/>
        <v>#NAME?</v>
      </c>
      <c r="AE41" s="40" t="e">
        <f t="shared" ca="1" si="281"/>
        <v>#NAME?</v>
      </c>
      <c r="AI41" s="39"/>
      <c r="AJ41" s="39"/>
      <c r="AK41" s="39"/>
      <c r="AL41" s="39"/>
      <c r="AM41" s="39" t="e">
        <f ca="1">+IF(AI39&lt;0,1-AM39/AI39,AM39/AI39-1)</f>
        <v>#NAME?</v>
      </c>
      <c r="AN41" s="39" t="e">
        <f t="shared" ref="AN41" ca="1" si="282">+IF(AJ39&lt;0,1-AN39/AJ39,AN39/AJ39-1)</f>
        <v>#NAME?</v>
      </c>
      <c r="AO41" s="39" t="e">
        <f t="shared" ref="AO41" ca="1" si="283">+IF(AK39&lt;0,1-AO39/AK39,AO39/AK39-1)</f>
        <v>#NAME?</v>
      </c>
      <c r="AP41" s="39" t="e">
        <f t="shared" ref="AP41" ca="1" si="284">+IF(AL39&lt;0,1-AP39/AL39,AP39/AL39-1)</f>
        <v>#NAME?</v>
      </c>
      <c r="AQ41" s="39" t="e">
        <f t="shared" ref="AQ41" ca="1" si="285">+IF(AM39&lt;0,1-AQ39/AM39,AQ39/AM39-1)</f>
        <v>#NAME?</v>
      </c>
      <c r="AR41" s="39" t="e">
        <f t="shared" ref="AR41" ca="1" si="286">+IF(AN39&lt;0,1-AR39/AN39,AR39/AN39-1)</f>
        <v>#NAME?</v>
      </c>
      <c r="AS41" s="39" t="e">
        <f t="shared" ref="AS41" ca="1" si="287">+IF(AO39&lt;0,1-AS39/AO39,AS39/AO39-1)</f>
        <v>#NAME?</v>
      </c>
      <c r="AT41" s="39" t="e">
        <f t="shared" ref="AT41" ca="1" si="288">+IF(AP39&lt;0,1-AT39/AP39,AT39/AP39-1)</f>
        <v>#NAME?</v>
      </c>
      <c r="AU41" s="39" t="e">
        <f t="shared" ref="AU41" ca="1" si="289">+IF(AQ39&lt;0,1-AU39/AQ39,AU39/AQ39-1)</f>
        <v>#NAME?</v>
      </c>
      <c r="AV41" s="39" t="e">
        <f t="shared" ref="AV41" ca="1" si="290">+IF(AR39&lt;0,1-AV39/AR39,AV39/AR39-1)</f>
        <v>#NAME?</v>
      </c>
      <c r="AW41" s="39" t="e">
        <f t="shared" ref="AW41" ca="1" si="291">+IF(AS39&lt;0,1-AW39/AS39,AW39/AS39-1)</f>
        <v>#NAME?</v>
      </c>
      <c r="AX41" s="39" t="e">
        <f t="shared" ref="AX41" ca="1" si="292">+IF(AT39&lt;0,1-AX39/AT39,AX39/AT39-1)</f>
        <v>#NAME?</v>
      </c>
      <c r="AY41" s="39" t="e">
        <f t="shared" ref="AY41" ca="1" si="293">+IF(AU39&lt;0,1-AY39/AU39,AY39/AU39-1)</f>
        <v>#NAME?</v>
      </c>
      <c r="AZ41" s="39" t="e">
        <f t="shared" ref="AZ41" ca="1" si="294">+IF(AV39&lt;0,1-AZ39/AV39,AZ39/AV39-1)</f>
        <v>#NAME?</v>
      </c>
      <c r="BA41" s="39" t="e">
        <f t="shared" ref="BA41" ca="1" si="295">+IF(AW39&lt;0,1-BA39/AW39,BA39/AW39-1)</f>
        <v>#NAME?</v>
      </c>
      <c r="BB41" s="39" t="e">
        <f t="shared" ref="BB41" ca="1" si="296">+IF(AX39&lt;0,1-BB39/AX39,BB39/AX39-1)</f>
        <v>#NAME?</v>
      </c>
      <c r="BC41" s="39" t="e">
        <f t="shared" ref="BC41" ca="1" si="297">+IF(AY39&lt;0,1-BC39/AY39,BC39/AY39-1)</f>
        <v>#NAME?</v>
      </c>
      <c r="BD41" s="39" t="e">
        <f t="shared" ref="BD41" ca="1" si="298">+IF(AZ39&lt;0,1-BD39/AZ39,BD39/AZ39-1)</f>
        <v>#NAME?</v>
      </c>
      <c r="BE41" s="39" t="e">
        <f t="shared" ref="BE41" ca="1" si="299">+IF(BA39&lt;0,1-BE39/BA39,BE39/BA39-1)</f>
        <v>#NAME?</v>
      </c>
      <c r="BF41" s="39" t="e">
        <f t="shared" ref="BF41" ca="1" si="300">+IF(BB39&lt;0,1-BF39/BB39,BF39/BB39-1)</f>
        <v>#NAME?</v>
      </c>
      <c r="BG41" s="39" t="e">
        <f t="shared" ref="BG41" ca="1" si="301">+IF(BC39&lt;0,1-BG39/BC39,BG39/BC39-1)</f>
        <v>#NAME?</v>
      </c>
      <c r="BH41" s="39" t="e">
        <f t="shared" ref="BH41" ca="1" si="302">+IF(BD39&lt;0,1-BH39/BD39,BH39/BD39-1)</f>
        <v>#NAME?</v>
      </c>
      <c r="BI41" s="39" t="e">
        <f t="shared" ref="BI41" ca="1" si="303">+IF(BE39&lt;0,1-BI39/BE39,BI39/BE39-1)</f>
        <v>#NAME?</v>
      </c>
      <c r="BJ41" s="39" t="e">
        <f t="shared" ref="BJ41" ca="1" si="304">+IF(BF39&lt;0,1-BJ39/BF39,BJ39/BF39-1)</f>
        <v>#NAME?</v>
      </c>
      <c r="BK41" s="39" t="e">
        <f t="shared" ref="BK41" ca="1" si="305">+IF(BG39&lt;0,1-BK39/BG39,BK39/BG39-1)</f>
        <v>#NAME?</v>
      </c>
      <c r="BL41" s="39" t="e">
        <f t="shared" ref="BL41" ca="1" si="306">+IF(BH39&lt;0,1-BL39/BH39,BL39/BH39-1)</f>
        <v>#NAME?</v>
      </c>
      <c r="BM41" s="39" t="e">
        <f t="shared" ref="BM41" ca="1" si="307">+IF(BI39&lt;0,1-BM39/BI39,BM39/BI39-1)</f>
        <v>#NAME?</v>
      </c>
      <c r="BN41" s="39" t="e">
        <f t="shared" ref="BN41" ca="1" si="308">+IF(BJ39&lt;0,1-BN39/BJ39,BN39/BJ39-1)</f>
        <v>#NAME?</v>
      </c>
      <c r="BO41" s="39" t="e">
        <f t="shared" ref="BO41" ca="1" si="309">+IF(BK39&lt;0,1-BO39/BK39,BO39/BK39-1)</f>
        <v>#NAME?</v>
      </c>
      <c r="BP41" s="39" t="e">
        <f t="shared" ref="BP41" ca="1" si="310">+IF(BL39&lt;0,1-BP39/BL39,BP39/BL39-1)</f>
        <v>#NAME?</v>
      </c>
      <c r="BQ41" s="39" t="e">
        <f t="shared" ref="BQ41" ca="1" si="311">+IF(BM39&lt;0,1-BQ39/BM39,BQ39/BM39-1)</f>
        <v>#NAME?</v>
      </c>
      <c r="BR41" s="39" t="e">
        <f t="shared" ref="BR41" ca="1" si="312">+IF(BN39&lt;0,1-BR39/BN39,BR39/BN39-1)</f>
        <v>#NAME?</v>
      </c>
      <c r="BS41" s="39" t="e">
        <f t="shared" ref="BS41" ca="1" si="313">+IF(BO39&lt;0,1-BS39/BO39,BS39/BO39-1)</f>
        <v>#NAME?</v>
      </c>
      <c r="BT41" s="39" t="e">
        <f t="shared" ref="BT41" ca="1" si="314">+IF(BP39&lt;0,1-BT39/BP39,BT39/BP39-1)</f>
        <v>#NAME?</v>
      </c>
      <c r="BU41" s="39" t="e">
        <f t="shared" ref="BU41" ca="1" si="315">+IF(BQ39&lt;0,1-BU39/BQ39,BU39/BQ39-1)</f>
        <v>#NAME?</v>
      </c>
      <c r="BV41" s="39" t="e">
        <f t="shared" ref="BV41" ca="1" si="316">+IF(BR39&lt;0,1-BV39/BR39,BV39/BR39-1)</f>
        <v>#NAME?</v>
      </c>
      <c r="BW41" s="39" t="e">
        <f t="shared" ref="BW41" ca="1" si="317">+IF(BS39&lt;0,1-BW39/BS39,BW39/BS39-1)</f>
        <v>#NAME?</v>
      </c>
      <c r="BX41" s="39" t="e">
        <f t="shared" ref="BX41" ca="1" si="318">+IF(BT39&lt;0,1-BX39/BT39,BX39/BT39-1)</f>
        <v>#NAME?</v>
      </c>
      <c r="BY41" s="39" t="e">
        <f t="shared" ref="BY41" ca="1" si="319">+IF(BU39&lt;0,1-BY39/BU39,BY39/BU39-1)</f>
        <v>#NAME?</v>
      </c>
      <c r="BZ41" s="39" t="e">
        <f t="shared" ref="BZ41" ca="1" si="320">+IF(BV39&lt;0,1-BZ39/BV39,BZ39/BV39-1)</f>
        <v>#NAME?</v>
      </c>
      <c r="CA41" s="39" t="e">
        <f t="shared" ref="CA41" ca="1" si="321">+IF(BW39&lt;0,1-CA39/BW39,CA39/BW39-1)</f>
        <v>#NAME?</v>
      </c>
      <c r="CB41" s="39" t="e">
        <f t="shared" ref="CB41" ca="1" si="322">+IF(BX39&lt;0,1-CB39/BX39,CB39/BX39-1)</f>
        <v>#NAME?</v>
      </c>
      <c r="CC41" s="39" t="e">
        <f t="shared" ref="CC41" ca="1" si="323">+IF(BY39&lt;0,1-CC39/BY39,CC39/BY39-1)</f>
        <v>#NAME?</v>
      </c>
      <c r="CD41" s="39" t="e">
        <f t="shared" ref="CD41" ca="1" si="324">+IF(BZ39&lt;0,1-CD39/BZ39,CD39/BZ39-1)</f>
        <v>#NAME?</v>
      </c>
      <c r="CE41" s="39" t="e">
        <f t="shared" ref="CE41" ca="1" si="325">+IF(CA39&lt;0,1-CE39/CA39,CE39/CA39-1)</f>
        <v>#NAME?</v>
      </c>
      <c r="CF41" s="39" t="e">
        <f t="shared" ref="CF41" ca="1" si="326">+IF(CB39&lt;0,1-CF39/CB39,CF39/CB39-1)</f>
        <v>#NAME?</v>
      </c>
      <c r="CG41" s="39">
        <v>0.25810746552543939</v>
      </c>
      <c r="CH41" s="39" t="e">
        <f t="shared" ref="CH41:CL41" ca="1" si="327">+IF(CD39&lt;0,1-CH39/CD39,CH39/CD39-1)</f>
        <v>#NAME?</v>
      </c>
      <c r="CI41" s="39" t="e">
        <f t="shared" ca="1" si="327"/>
        <v>#NAME?</v>
      </c>
      <c r="CJ41" s="39" t="e">
        <f t="shared" ca="1" si="327"/>
        <v>#NAME?</v>
      </c>
      <c r="CK41" s="39" t="e">
        <f t="shared" ca="1" si="327"/>
        <v>#NAME?</v>
      </c>
      <c r="CL41" s="39" t="e">
        <f t="shared" ca="1" si="327"/>
        <v>#NAME?</v>
      </c>
      <c r="CM41" s="40" t="e">
        <f t="shared" ref="CM41" ca="1" si="328">+CM39/CI39-1</f>
        <v>#NAME?</v>
      </c>
      <c r="CN41" s="40" t="e">
        <f t="shared" ref="CN41" ca="1" si="329">+CN39/CJ39-1</f>
        <v>#NAME?</v>
      </c>
      <c r="CO41" s="40" t="e">
        <f t="shared" ref="CO41" ca="1" si="330">+CO39/CK39-1</f>
        <v>#NAME?</v>
      </c>
      <c r="CP41" s="40" t="e">
        <f t="shared" ref="CP41" ca="1" si="331">+CP39/CL39-1</f>
        <v>#NAME?</v>
      </c>
      <c r="CQ41" s="40" t="e">
        <f t="shared" ref="CQ41" ca="1" si="332">+CQ39/CM39-1</f>
        <v>#NAME?</v>
      </c>
      <c r="CR41" s="40" t="e">
        <f t="shared" ref="CR41" ca="1" si="333">+CR39/CN39-1</f>
        <v>#NAME?</v>
      </c>
      <c r="CS41" s="40" t="e">
        <f t="shared" ref="CS41" ca="1" si="334">+CS39/CO39-1</f>
        <v>#NAME?</v>
      </c>
      <c r="CT41" s="40" t="e">
        <f t="shared" ref="CT41" ca="1" si="335">+CT39/CP39-1</f>
        <v>#NAME?</v>
      </c>
      <c r="CU41" s="40" t="e">
        <f t="shared" ref="CU41" ca="1" si="336">+CU39/CQ39-1</f>
        <v>#NAME?</v>
      </c>
      <c r="CV41" s="40" t="e">
        <f t="shared" ref="CV41" ca="1" si="337">+CV39/CR39-1</f>
        <v>#NAME?</v>
      </c>
      <c r="CW41" s="40" t="e">
        <f t="shared" ref="CW41" ca="1" si="338">+CW39/CS39-1</f>
        <v>#NAME?</v>
      </c>
      <c r="CX41" s="40" t="e">
        <f t="shared" ref="CX41" ca="1" si="339">+CX39/CT39-1</f>
        <v>#NAME?</v>
      </c>
      <c r="CY41" s="40" t="e">
        <f t="shared" ref="CY41" ca="1" si="340">+CY39/CU39-1</f>
        <v>#NAME?</v>
      </c>
      <c r="CZ41" s="40" t="e">
        <f t="shared" ref="CZ41" ca="1" si="341">+CZ39/CV39-1</f>
        <v>#NAME?</v>
      </c>
      <c r="DA41" s="40" t="e">
        <f t="shared" ref="DA41" ca="1" si="342">+DA39/CW39-1</f>
        <v>#NAME?</v>
      </c>
      <c r="DB41" s="40" t="e">
        <f t="shared" ref="DB41" ca="1" si="343">+DB39/CX39-1</f>
        <v>#NAME?</v>
      </c>
      <c r="DE41" s="122"/>
      <c r="DF41" s="38">
        <v>0.80214149416588865</v>
      </c>
    </row>
    <row r="42" spans="1:110" s="38" customFormat="1" x14ac:dyDescent="0.2">
      <c r="A42" s="39" t="s">
        <v>450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0"/>
      <c r="AD42" s="40"/>
      <c r="AE42" s="40"/>
      <c r="AI42" s="39"/>
      <c r="AJ42" s="39" t="e">
        <f ca="1">+IF(AI39&lt;0,1-AJ39/AI39,AJ39/AI39-1)</f>
        <v>#NAME?</v>
      </c>
      <c r="AK42" s="39" t="e">
        <f t="shared" ref="AK42:AM42" ca="1" si="344">+IF(AJ39&lt;0,1-AK39/AJ39,AK39/AJ39-1)</f>
        <v>#NAME?</v>
      </c>
      <c r="AL42" s="39" t="e">
        <f t="shared" ca="1" si="344"/>
        <v>#NAME?</v>
      </c>
      <c r="AM42" s="39" t="e">
        <f t="shared" ca="1" si="344"/>
        <v>#NAME?</v>
      </c>
      <c r="AN42" s="39" t="e">
        <f t="shared" ref="AN42" ca="1" si="345">+IF(AM39&lt;0,1-AN39/AM39,AN39/AM39-1)</f>
        <v>#NAME?</v>
      </c>
      <c r="AO42" s="39" t="e">
        <f t="shared" ref="AO42" ca="1" si="346">+IF(AN39&lt;0,1-AO39/AN39,AO39/AN39-1)</f>
        <v>#NAME?</v>
      </c>
      <c r="AP42" s="39" t="e">
        <f t="shared" ref="AP42" ca="1" si="347">+IF(AO39&lt;0,1-AP39/AO39,AP39/AO39-1)</f>
        <v>#NAME?</v>
      </c>
      <c r="AQ42" s="39" t="e">
        <f t="shared" ref="AQ42" ca="1" si="348">+IF(AP39&lt;0,1-AQ39/AP39,AQ39/AP39-1)</f>
        <v>#NAME?</v>
      </c>
      <c r="AR42" s="39" t="e">
        <f t="shared" ref="AR42" ca="1" si="349">+IF(AQ39&lt;0,1-AR39/AQ39,AR39/AQ39-1)</f>
        <v>#NAME?</v>
      </c>
      <c r="AS42" s="39" t="e">
        <f t="shared" ref="AS42" ca="1" si="350">+IF(AR39&lt;0,1-AS39/AR39,AS39/AR39-1)</f>
        <v>#NAME?</v>
      </c>
      <c r="AT42" s="39" t="e">
        <f t="shared" ref="AT42" ca="1" si="351">+IF(AS39&lt;0,1-AT39/AS39,AT39/AS39-1)</f>
        <v>#NAME?</v>
      </c>
      <c r="AU42" s="39" t="e">
        <f t="shared" ref="AU42" ca="1" si="352">+IF(AT39&lt;0,1-AU39/AT39,AU39/AT39-1)</f>
        <v>#NAME?</v>
      </c>
      <c r="AV42" s="39" t="e">
        <f t="shared" ref="AV42" ca="1" si="353">+IF(AU39&lt;0,1-AV39/AU39,AV39/AU39-1)</f>
        <v>#NAME?</v>
      </c>
      <c r="AW42" s="39" t="e">
        <f t="shared" ref="AW42" ca="1" si="354">+IF(AV39&lt;0,1-AW39/AV39,AW39/AV39-1)</f>
        <v>#NAME?</v>
      </c>
      <c r="AX42" s="39" t="e">
        <f t="shared" ref="AX42" ca="1" si="355">+IF(AW39&lt;0,1-AX39/AW39,AX39/AW39-1)</f>
        <v>#NAME?</v>
      </c>
      <c r="AY42" s="39" t="e">
        <f t="shared" ref="AY42" ca="1" si="356">+IF(AX39&lt;0,1-AY39/AX39,AY39/AX39-1)</f>
        <v>#NAME?</v>
      </c>
      <c r="AZ42" s="39" t="e">
        <f t="shared" ref="AZ42" ca="1" si="357">+IF(AY39&lt;0,1-AZ39/AY39,AZ39/AY39-1)</f>
        <v>#NAME?</v>
      </c>
      <c r="BA42" s="39" t="e">
        <f t="shared" ref="BA42" ca="1" si="358">+IF(AZ39&lt;0,1-BA39/AZ39,BA39/AZ39-1)</f>
        <v>#NAME?</v>
      </c>
      <c r="BB42" s="39" t="e">
        <f t="shared" ref="BB42" ca="1" si="359">+IF(BA39&lt;0,1-BB39/BA39,BB39/BA39-1)</f>
        <v>#NAME?</v>
      </c>
      <c r="BC42" s="39" t="e">
        <f t="shared" ref="BC42" ca="1" si="360">+IF(BB39&lt;0,1-BC39/BB39,BC39/BB39-1)</f>
        <v>#NAME?</v>
      </c>
      <c r="BD42" s="39" t="e">
        <f t="shared" ref="BD42" ca="1" si="361">+IF(BC39&lt;0,1-BD39/BC39,BD39/BC39-1)</f>
        <v>#NAME?</v>
      </c>
      <c r="BE42" s="39" t="e">
        <f t="shared" ref="BE42" ca="1" si="362">+IF(BD39&lt;0,1-BE39/BD39,BE39/BD39-1)</f>
        <v>#NAME?</v>
      </c>
      <c r="BF42" s="39" t="e">
        <f t="shared" ref="BF42" ca="1" si="363">+IF(BE39&lt;0,1-BF39/BE39,BF39/BE39-1)</f>
        <v>#NAME?</v>
      </c>
      <c r="BG42" s="39" t="e">
        <f t="shared" ref="BG42" ca="1" si="364">+IF(BF39&lt;0,1-BG39/BF39,BG39/BF39-1)</f>
        <v>#NAME?</v>
      </c>
      <c r="BH42" s="39" t="e">
        <f t="shared" ref="BH42" ca="1" si="365">+IF(BG39&lt;0,1-BH39/BG39,BH39/BG39-1)</f>
        <v>#NAME?</v>
      </c>
      <c r="BI42" s="39" t="e">
        <f t="shared" ref="BI42" ca="1" si="366">+IF(BH39&lt;0,1-BI39/BH39,BI39/BH39-1)</f>
        <v>#NAME?</v>
      </c>
      <c r="BJ42" s="39" t="e">
        <f t="shared" ref="BJ42" ca="1" si="367">+IF(BI39&lt;0,1-BJ39/BI39,BJ39/BI39-1)</f>
        <v>#NAME?</v>
      </c>
      <c r="BK42" s="39" t="e">
        <f t="shared" ref="BK42" ca="1" si="368">+IF(BJ39&lt;0,1-BK39/BJ39,BK39/BJ39-1)</f>
        <v>#NAME?</v>
      </c>
      <c r="BL42" s="39" t="e">
        <f t="shared" ref="BL42" ca="1" si="369">+IF(BK39&lt;0,1-BL39/BK39,BL39/BK39-1)</f>
        <v>#NAME?</v>
      </c>
      <c r="BM42" s="39" t="e">
        <f t="shared" ref="BM42" ca="1" si="370">+IF(BL39&lt;0,1-BM39/BL39,BM39/BL39-1)</f>
        <v>#NAME?</v>
      </c>
      <c r="BN42" s="39" t="e">
        <f t="shared" ref="BN42" ca="1" si="371">+IF(BM39&lt;0,1-BN39/BM39,BN39/BM39-1)</f>
        <v>#NAME?</v>
      </c>
      <c r="BO42" s="39" t="e">
        <f t="shared" ref="BO42" ca="1" si="372">+IF(BN39&lt;0,1-BO39/BN39,BO39/BN39-1)</f>
        <v>#NAME?</v>
      </c>
      <c r="BP42" s="39" t="e">
        <f t="shared" ref="BP42" ca="1" si="373">+IF(BO39&lt;0,1-BP39/BO39,BP39/BO39-1)</f>
        <v>#NAME?</v>
      </c>
      <c r="BQ42" s="39" t="e">
        <f t="shared" ref="BQ42" ca="1" si="374">+IF(BP39&lt;0,1-BQ39/BP39,BQ39/BP39-1)</f>
        <v>#NAME?</v>
      </c>
      <c r="BR42" s="39" t="e">
        <f t="shared" ref="BR42" ca="1" si="375">+IF(BQ39&lt;0,1-BR39/BQ39,BR39/BQ39-1)</f>
        <v>#NAME?</v>
      </c>
      <c r="BS42" s="39" t="e">
        <f t="shared" ref="BS42" ca="1" si="376">+IF(BR39&lt;0,1-BS39/BR39,BS39/BR39-1)</f>
        <v>#NAME?</v>
      </c>
      <c r="BT42" s="39" t="e">
        <f t="shared" ref="BT42" ca="1" si="377">+IF(BS39&lt;0,1-BT39/BS39,BT39/BS39-1)</f>
        <v>#NAME?</v>
      </c>
      <c r="BU42" s="39" t="e">
        <f t="shared" ref="BU42" ca="1" si="378">+IF(BT39&lt;0,1-BU39/BT39,BU39/BT39-1)</f>
        <v>#NAME?</v>
      </c>
      <c r="BV42" s="39" t="e">
        <f t="shared" ref="BV42" ca="1" si="379">+IF(BU39&lt;0,1-BV39/BU39,BV39/BU39-1)</f>
        <v>#NAME?</v>
      </c>
      <c r="BW42" s="39" t="e">
        <f t="shared" ref="BW42" ca="1" si="380">+IF(BV39&lt;0,1-BW39/BV39,BW39/BV39-1)</f>
        <v>#NAME?</v>
      </c>
      <c r="BX42" s="39" t="e">
        <f t="shared" ref="BX42" ca="1" si="381">+IF(BW39&lt;0,1-BX39/BW39,BX39/BW39-1)</f>
        <v>#NAME?</v>
      </c>
      <c r="BY42" s="39" t="e">
        <f t="shared" ref="BY42" ca="1" si="382">+IF(BX39&lt;0,1-BY39/BX39,BY39/BX39-1)</f>
        <v>#NAME?</v>
      </c>
      <c r="BZ42" s="39" t="e">
        <f t="shared" ref="BZ42" ca="1" si="383">+IF(BY39&lt;0,1-BZ39/BY39,BZ39/BY39-1)</f>
        <v>#NAME?</v>
      </c>
      <c r="CA42" s="39" t="e">
        <f t="shared" ref="CA42" ca="1" si="384">+IF(BZ39&lt;0,1-CA39/BZ39,CA39/BZ39-1)</f>
        <v>#NAME?</v>
      </c>
      <c r="CB42" s="39" t="e">
        <f t="shared" ref="CB42" ca="1" si="385">+IF(CA39&lt;0,1-CB39/CA39,CB39/CA39-1)</f>
        <v>#NAME?</v>
      </c>
      <c r="CC42" s="39" t="e">
        <f t="shared" ref="CC42" ca="1" si="386">+IF(CB39&lt;0,1-CC39/CB39,CC39/CB39-1)</f>
        <v>#NAME?</v>
      </c>
      <c r="CD42" s="39" t="e">
        <f t="shared" ref="CD42" ca="1" si="387">+IF(CC39&lt;0,1-CD39/CC39,CD39/CC39-1)</f>
        <v>#NAME?</v>
      </c>
      <c r="CE42" s="39" t="e">
        <f t="shared" ref="CE42" ca="1" si="388">+IF(CD39&lt;0,1-CE39/CD39,CE39/CD39-1)</f>
        <v>#NAME?</v>
      </c>
      <c r="CF42" s="39" t="e">
        <f t="shared" ref="CF42" ca="1" si="389">+IF(CE39&lt;0,1-CF39/CE39,CF39/CE39-1)</f>
        <v>#NAME?</v>
      </c>
      <c r="CG42" s="39">
        <v>-5.1820527522937754E-2</v>
      </c>
      <c r="CH42" s="39" t="e">
        <f t="shared" ref="CH42:CI42" ca="1" si="390">+IF(CG39&lt;0,1-CH39/CG39,CH39/CG39-1)</f>
        <v>#NAME?</v>
      </c>
      <c r="CI42" s="39" t="e">
        <f t="shared" ca="1" si="390"/>
        <v>#NAME?</v>
      </c>
      <c r="CJ42" s="39" t="e">
        <f ca="1">+IF(CI39&gt;1,CJ39/CI39-1,1-CJ39/CI39)</f>
        <v>#NAME?</v>
      </c>
      <c r="CK42" s="39" t="e">
        <f ca="1">+IF(CJ39&gt;1,CK39/CJ39-1,1-CK39/CJ39)</f>
        <v>#NAME?</v>
      </c>
      <c r="CL42" s="39" t="e">
        <f ca="1">+IF(CK39&gt;1,CL39/CK39-1,1-CL39/CK39)</f>
        <v>#NAME?</v>
      </c>
      <c r="CM42" s="40" t="e">
        <f t="shared" ref="CM42" ca="1" si="391">+CM39/CL39-1</f>
        <v>#NAME?</v>
      </c>
      <c r="CN42" s="40" t="e">
        <f t="shared" ref="CN42" ca="1" si="392">+CN39/CM39-1</f>
        <v>#NAME?</v>
      </c>
      <c r="CO42" s="40" t="e">
        <f t="shared" ref="CO42" ca="1" si="393">+CO39/CN39-1</f>
        <v>#NAME?</v>
      </c>
      <c r="CP42" s="40" t="e">
        <f t="shared" ref="CP42" ca="1" si="394">+CP39/CO39-1</f>
        <v>#NAME?</v>
      </c>
      <c r="CQ42" s="40" t="e">
        <f t="shared" ref="CQ42" ca="1" si="395">+CQ39/CP39-1</f>
        <v>#NAME?</v>
      </c>
      <c r="CR42" s="40" t="e">
        <f t="shared" ref="CR42" ca="1" si="396">+CR39/CQ39-1</f>
        <v>#NAME?</v>
      </c>
      <c r="CS42" s="40" t="e">
        <f t="shared" ref="CS42" ca="1" si="397">+CS39/CR39-1</f>
        <v>#NAME?</v>
      </c>
      <c r="CT42" s="40" t="e">
        <f t="shared" ref="CT42" ca="1" si="398">+CT39/CS39-1</f>
        <v>#NAME?</v>
      </c>
      <c r="CU42" s="40" t="e">
        <f t="shared" ref="CU42" ca="1" si="399">+CU39/CT39-1</f>
        <v>#NAME?</v>
      </c>
      <c r="CV42" s="40" t="e">
        <f t="shared" ref="CV42" ca="1" si="400">+CV39/CU39-1</f>
        <v>#NAME?</v>
      </c>
      <c r="CW42" s="40" t="e">
        <f t="shared" ref="CW42" ca="1" si="401">+CW39/CV39-1</f>
        <v>#NAME?</v>
      </c>
      <c r="CX42" s="40" t="e">
        <f t="shared" ref="CX42" ca="1" si="402">+CX39/CW39-1</f>
        <v>#NAME?</v>
      </c>
      <c r="CY42" s="40" t="e">
        <f t="shared" ref="CY42" ca="1" si="403">+CY39/CX39-1</f>
        <v>#NAME?</v>
      </c>
      <c r="CZ42" s="40" t="e">
        <f t="shared" ref="CZ42" ca="1" si="404">+CZ39/CY39-1</f>
        <v>#NAME?</v>
      </c>
      <c r="DA42" s="40" t="e">
        <f t="shared" ref="DA42" ca="1" si="405">+DA39/CZ39-1</f>
        <v>#NAME?</v>
      </c>
      <c r="DB42" s="40" t="e">
        <f t="shared" ref="DB42" ca="1" si="406">+DB39/DA39-1</f>
        <v>#NAME?</v>
      </c>
      <c r="DE42" s="122"/>
    </row>
    <row r="43" spans="1:110" s="23" customFormat="1" x14ac:dyDescent="0.2">
      <c r="A43" s="23" t="s">
        <v>15</v>
      </c>
      <c r="B43" s="23" t="e">
        <f ca="1">'Annual Raw'!C27</f>
        <v>#NAME?</v>
      </c>
      <c r="C43" s="23" t="e">
        <f ca="1">'Annual Raw'!D27</f>
        <v>#NAME?</v>
      </c>
      <c r="D43" s="23" t="e">
        <f ca="1">'Annual Raw'!E27</f>
        <v>#NAME?</v>
      </c>
      <c r="E43" s="23" t="e">
        <f ca="1">'Annual Raw'!F27</f>
        <v>#NAME?</v>
      </c>
      <c r="F43" s="23" t="e">
        <f ca="1">'Annual Raw'!G27</f>
        <v>#NAME?</v>
      </c>
      <c r="G43" s="23" t="e">
        <f ca="1">'Annual Raw'!H27</f>
        <v>#NAME?</v>
      </c>
      <c r="H43" s="23" t="e">
        <f ca="1">'Annual Raw'!I27</f>
        <v>#NAME?</v>
      </c>
      <c r="I43" s="23" t="e">
        <f ca="1">'Annual Raw'!J27</f>
        <v>#NAME?</v>
      </c>
      <c r="J43" s="23" t="e">
        <f ca="1">'Annual Raw'!K27</f>
        <v>#NAME?</v>
      </c>
      <c r="K43" s="23" t="e">
        <f ca="1">'Annual Raw'!L27</f>
        <v>#NAME?</v>
      </c>
      <c r="L43" s="23" t="e">
        <f ca="1">'Annual Raw'!M27</f>
        <v>#NAME?</v>
      </c>
      <c r="M43" s="23" t="e">
        <f ca="1">'Annual Raw'!N27</f>
        <v>#NAME?</v>
      </c>
      <c r="N43" s="23" t="e">
        <f ca="1">'Annual Raw'!O27</f>
        <v>#NAME?</v>
      </c>
      <c r="O43" s="23" t="e">
        <f ca="1">'Annual Raw'!P27</f>
        <v>#NAME?</v>
      </c>
      <c r="P43" s="23" t="e">
        <f ca="1">'Annual Raw'!Q27</f>
        <v>#NAME?</v>
      </c>
      <c r="Q43" s="23" t="e">
        <f ca="1">'Annual Raw'!R27</f>
        <v>#NAME?</v>
      </c>
      <c r="R43" s="23" t="e">
        <f ca="1">'Annual Raw'!S27</f>
        <v>#NAME?</v>
      </c>
      <c r="S43" s="23" t="e">
        <f ca="1">'Annual Raw'!T27</f>
        <v>#NAME?</v>
      </c>
      <c r="T43" s="23" t="e">
        <f ca="1">'Annual Raw'!U27</f>
        <v>#NAME?</v>
      </c>
      <c r="U43" s="23" t="e">
        <f ca="1">'Annual Raw'!V27</f>
        <v>#NAME?</v>
      </c>
      <c r="V43" s="23" t="e">
        <f ca="1">'Annual Raw'!W27</f>
        <v>#NAME?</v>
      </c>
      <c r="W43" s="23" t="e">
        <f ca="1">'Annual Raw'!X27</f>
        <v>#NAME?</v>
      </c>
      <c r="X43" s="23" t="e">
        <f ca="1">'Annual Raw'!Y27</f>
        <v>#NAME?</v>
      </c>
      <c r="Y43" s="23" t="e">
        <f ca="1">'Annual Raw'!Z27</f>
        <v>#NAME?</v>
      </c>
      <c r="Z43" s="23" t="e">
        <f ca="1">'Annual Raw'!AA27</f>
        <v>#NAME?</v>
      </c>
      <c r="AA43" s="23" t="e">
        <f ca="1">'Annual Raw'!AB27</f>
        <v>#NAME?</v>
      </c>
      <c r="AB43" s="76" t="e">
        <f ca="1">+SUM(CM43:CP43)</f>
        <v>#NAME?</v>
      </c>
      <c r="AC43" s="76" t="e">
        <f ca="1">+SUM(CQ43:CT43)</f>
        <v>#NAME?</v>
      </c>
      <c r="AD43" s="76" t="e">
        <f ca="1">+SUM(CU43:CX43)</f>
        <v>#NAME?</v>
      </c>
      <c r="AE43" s="76" t="e">
        <f ca="1">+SUM(CY43:DB43)</f>
        <v>#NAME?</v>
      </c>
      <c r="AI43" s="23" t="e">
        <f ca="1">'QTR Raw'!C28</f>
        <v>#NAME?</v>
      </c>
      <c r="AJ43" s="23" t="e">
        <f ca="1">'QTR Raw'!D28</f>
        <v>#NAME?</v>
      </c>
      <c r="AK43" s="23" t="e">
        <f ca="1">'QTR Raw'!E28</f>
        <v>#NAME?</v>
      </c>
      <c r="AL43" s="23" t="e">
        <f ca="1">'QTR Raw'!F28</f>
        <v>#NAME?</v>
      </c>
      <c r="AM43" s="23" t="e">
        <f ca="1">'QTR Raw'!G28</f>
        <v>#NAME?</v>
      </c>
      <c r="AN43" s="23" t="e">
        <f ca="1">'QTR Raw'!H28</f>
        <v>#NAME?</v>
      </c>
      <c r="AO43" s="23" t="e">
        <f ca="1">'QTR Raw'!I28</f>
        <v>#NAME?</v>
      </c>
      <c r="AP43" s="23" t="e">
        <f ca="1">'QTR Raw'!J28</f>
        <v>#NAME?</v>
      </c>
      <c r="AQ43" s="23" t="e">
        <f ca="1">'QTR Raw'!K28</f>
        <v>#NAME?</v>
      </c>
      <c r="AR43" s="23" t="e">
        <f ca="1">'QTR Raw'!L28</f>
        <v>#NAME?</v>
      </c>
      <c r="AS43" s="23" t="e">
        <f ca="1">'QTR Raw'!M28</f>
        <v>#NAME?</v>
      </c>
      <c r="AT43" s="23" t="e">
        <f ca="1">'QTR Raw'!N28</f>
        <v>#NAME?</v>
      </c>
      <c r="AU43" s="23" t="e">
        <f ca="1">'QTR Raw'!O28</f>
        <v>#NAME?</v>
      </c>
      <c r="AV43" s="23" t="e">
        <f ca="1">'QTR Raw'!P28</f>
        <v>#NAME?</v>
      </c>
      <c r="AW43" s="23" t="e">
        <f ca="1">'QTR Raw'!Q28</f>
        <v>#NAME?</v>
      </c>
      <c r="AX43" s="23" t="e">
        <f ca="1">'QTR Raw'!R28</f>
        <v>#NAME?</v>
      </c>
      <c r="AY43" s="23" t="e">
        <f ca="1">'QTR Raw'!S28</f>
        <v>#NAME?</v>
      </c>
      <c r="AZ43" s="23" t="e">
        <f ca="1">'QTR Raw'!T28</f>
        <v>#NAME?</v>
      </c>
      <c r="BA43" s="23" t="e">
        <f ca="1">'QTR Raw'!U28</f>
        <v>#NAME?</v>
      </c>
      <c r="BB43" s="23" t="e">
        <f ca="1">'QTR Raw'!V28</f>
        <v>#NAME?</v>
      </c>
      <c r="BC43" s="23" t="e">
        <f ca="1">'QTR Raw'!W28</f>
        <v>#NAME?</v>
      </c>
      <c r="BD43" s="23" t="e">
        <f ca="1">'QTR Raw'!X28</f>
        <v>#NAME?</v>
      </c>
      <c r="BE43" s="23" t="e">
        <f ca="1">'QTR Raw'!Y28</f>
        <v>#NAME?</v>
      </c>
      <c r="BF43" s="23" t="e">
        <f ca="1">'QTR Raw'!Z28</f>
        <v>#NAME?</v>
      </c>
      <c r="BG43" s="23" t="e">
        <f ca="1">'QTR Raw'!AA28</f>
        <v>#NAME?</v>
      </c>
      <c r="BH43" s="23" t="e">
        <f ca="1">'QTR Raw'!AB28</f>
        <v>#NAME?</v>
      </c>
      <c r="BI43" s="23" t="e">
        <f ca="1">'QTR Raw'!AC28</f>
        <v>#NAME?</v>
      </c>
      <c r="BJ43" s="23" t="e">
        <f ca="1">'QTR Raw'!AD28</f>
        <v>#NAME?</v>
      </c>
      <c r="BK43" s="23" t="e">
        <f ca="1">'QTR Raw'!AE28</f>
        <v>#NAME?</v>
      </c>
      <c r="BL43" s="23" t="e">
        <f ca="1">'QTR Raw'!AF28</f>
        <v>#NAME?</v>
      </c>
      <c r="BM43" s="23" t="e">
        <f ca="1">'QTR Raw'!AG28</f>
        <v>#NAME?</v>
      </c>
      <c r="BN43" s="23" t="e">
        <f ca="1">'QTR Raw'!AH28</f>
        <v>#NAME?</v>
      </c>
      <c r="BO43" s="23" t="e">
        <f ca="1">'QTR Raw'!AI28</f>
        <v>#NAME?</v>
      </c>
      <c r="BP43" s="23" t="e">
        <f ca="1">'QTR Raw'!AJ28</f>
        <v>#NAME?</v>
      </c>
      <c r="BQ43" s="23" t="e">
        <f ca="1">'QTR Raw'!AK28</f>
        <v>#NAME?</v>
      </c>
      <c r="BR43" s="23" t="e">
        <f ca="1">'QTR Raw'!AL28</f>
        <v>#NAME?</v>
      </c>
      <c r="BS43" s="23" t="e">
        <f ca="1">'QTR Raw'!AM28</f>
        <v>#NAME?</v>
      </c>
      <c r="BT43" s="23" t="e">
        <f ca="1">'QTR Raw'!AN28</f>
        <v>#NAME?</v>
      </c>
      <c r="BU43" s="23" t="e">
        <f ca="1">'QTR Raw'!AO28</f>
        <v>#NAME?</v>
      </c>
      <c r="BV43" s="23" t="e">
        <f ca="1">'QTR Raw'!AP28</f>
        <v>#NAME?</v>
      </c>
      <c r="BW43" s="23" t="e">
        <f ca="1">'QTR Raw'!AQ28</f>
        <v>#NAME?</v>
      </c>
      <c r="BX43" s="23" t="e">
        <f ca="1">'QTR Raw'!AR28</f>
        <v>#NAME?</v>
      </c>
      <c r="BY43" s="23" t="e">
        <f ca="1">'QTR Raw'!AS28</f>
        <v>#NAME?</v>
      </c>
      <c r="BZ43" s="23" t="e">
        <f ca="1">'QTR Raw'!AT28</f>
        <v>#NAME?</v>
      </c>
      <c r="CA43" s="23" t="e">
        <f ca="1">'QTR Raw'!AU28</f>
        <v>#NAME?</v>
      </c>
      <c r="CB43" s="23" t="e">
        <f ca="1">'QTR Raw'!AV28</f>
        <v>#NAME?</v>
      </c>
      <c r="CC43" s="23" t="e">
        <f ca="1">'QTR Raw'!AW28</f>
        <v>#NAME?</v>
      </c>
      <c r="CD43" s="23" t="e">
        <f ca="1">'QTR Raw'!AX28</f>
        <v>#NAME?</v>
      </c>
      <c r="CE43" s="23" t="e">
        <f ca="1">'QTR Raw'!AY28</f>
        <v>#NAME?</v>
      </c>
      <c r="CF43" s="23" t="e">
        <f ca="1">'QTR Raw'!AZ28</f>
        <v>#NAME?</v>
      </c>
      <c r="CG43" s="23">
        <v>1.089</v>
      </c>
      <c r="CH43" s="23" t="e">
        <f ca="1">'QTR Raw'!BB28</f>
        <v>#NAME?</v>
      </c>
      <c r="CI43" s="23" t="e">
        <f ca="1">'QTR Raw'!BC28</f>
        <v>#NAME?</v>
      </c>
      <c r="CJ43" s="23" t="e">
        <f ca="1">'QTR Raw'!BD28</f>
        <v>#NAME?</v>
      </c>
      <c r="CK43" s="23" t="e">
        <f ca="1">'QTR Raw'!BE28</f>
        <v>#NAME?</v>
      </c>
      <c r="CL43" s="23" t="e">
        <f ca="1">'QTR Raw'!BF28</f>
        <v>#NAME?</v>
      </c>
      <c r="CM43" s="24" t="e">
        <f t="shared" ref="CM43:DB43" ca="1" si="407">CM44*CL145</f>
        <v>#NAME?</v>
      </c>
      <c r="CN43" s="24" t="e">
        <f t="shared" ca="1" si="407"/>
        <v>#NAME?</v>
      </c>
      <c r="CO43" s="24" t="e">
        <f t="shared" ca="1" si="407"/>
        <v>#NAME?</v>
      </c>
      <c r="CP43" s="24" t="e">
        <f t="shared" ca="1" si="407"/>
        <v>#NAME?</v>
      </c>
      <c r="CQ43" s="24" t="e">
        <f t="shared" ca="1" si="407"/>
        <v>#NAME?</v>
      </c>
      <c r="CR43" s="24" t="e">
        <f t="shared" ca="1" si="407"/>
        <v>#NAME?</v>
      </c>
      <c r="CS43" s="24" t="e">
        <f t="shared" ca="1" si="407"/>
        <v>#NAME?</v>
      </c>
      <c r="CT43" s="24" t="e">
        <f t="shared" ca="1" si="407"/>
        <v>#NAME?</v>
      </c>
      <c r="CU43" s="24" t="e">
        <f t="shared" ca="1" si="407"/>
        <v>#NAME?</v>
      </c>
      <c r="CV43" s="24" t="e">
        <f t="shared" ca="1" si="407"/>
        <v>#NAME?</v>
      </c>
      <c r="CW43" s="24" t="e">
        <f t="shared" ca="1" si="407"/>
        <v>#NAME?</v>
      </c>
      <c r="CX43" s="24" t="e">
        <f t="shared" ca="1" si="407"/>
        <v>#NAME?</v>
      </c>
      <c r="CY43" s="24" t="e">
        <f t="shared" ca="1" si="407"/>
        <v>#NAME?</v>
      </c>
      <c r="CZ43" s="24" t="e">
        <f t="shared" ca="1" si="407"/>
        <v>#NAME?</v>
      </c>
      <c r="DA43" s="24" t="e">
        <f t="shared" ca="1" si="407"/>
        <v>#NAME?</v>
      </c>
      <c r="DB43" s="24" t="e">
        <f t="shared" ca="1" si="407"/>
        <v>#NAME?</v>
      </c>
      <c r="DE43" s="123"/>
      <c r="DF43" s="23">
        <v>8.2469999999999999</v>
      </c>
    </row>
    <row r="44" spans="1:110" s="46" customFormat="1" x14ac:dyDescent="0.2">
      <c r="A44" s="46" t="s">
        <v>483</v>
      </c>
      <c r="B44" s="46" t="e">
        <f t="shared" ref="B44:D44" ca="1" si="408">+B43/B145</f>
        <v>#NAME?</v>
      </c>
      <c r="C44" s="46" t="e">
        <f t="shared" ca="1" si="408"/>
        <v>#NAME?</v>
      </c>
      <c r="D44" s="46" t="e">
        <f t="shared" ca="1" si="408"/>
        <v>#NAME?</v>
      </c>
      <c r="E44" s="46" t="e">
        <f t="shared" ref="E44:AE44" ca="1" si="409">+E43/E145</f>
        <v>#NAME?</v>
      </c>
      <c r="F44" s="46" t="e">
        <f t="shared" ca="1" si="409"/>
        <v>#NAME?</v>
      </c>
      <c r="G44" s="46" t="e">
        <f t="shared" ca="1" si="409"/>
        <v>#NAME?</v>
      </c>
      <c r="H44" s="46" t="e">
        <f t="shared" ca="1" si="409"/>
        <v>#NAME?</v>
      </c>
      <c r="I44" s="46" t="e">
        <f t="shared" ca="1" si="409"/>
        <v>#NAME?</v>
      </c>
      <c r="J44" s="46" t="e">
        <f t="shared" ca="1" si="409"/>
        <v>#NAME?</v>
      </c>
      <c r="K44" s="46" t="e">
        <f t="shared" ca="1" si="409"/>
        <v>#NAME?</v>
      </c>
      <c r="L44" s="46" t="e">
        <f t="shared" ca="1" si="409"/>
        <v>#NAME?</v>
      </c>
      <c r="M44" s="46" t="e">
        <f t="shared" ca="1" si="409"/>
        <v>#NAME?</v>
      </c>
      <c r="N44" s="46" t="e">
        <f t="shared" ca="1" si="409"/>
        <v>#NAME?</v>
      </c>
      <c r="O44" s="46" t="e">
        <f t="shared" ca="1" si="409"/>
        <v>#NAME?</v>
      </c>
      <c r="P44" s="46" t="e">
        <f t="shared" ca="1" si="409"/>
        <v>#NAME?</v>
      </c>
      <c r="Q44" s="46" t="e">
        <f t="shared" ca="1" si="409"/>
        <v>#NAME?</v>
      </c>
      <c r="R44" s="46" t="e">
        <f t="shared" ca="1" si="409"/>
        <v>#NAME?</v>
      </c>
      <c r="S44" s="46" t="e">
        <f t="shared" ca="1" si="409"/>
        <v>#NAME?</v>
      </c>
      <c r="T44" s="46" t="e">
        <f t="shared" ca="1" si="409"/>
        <v>#NAME?</v>
      </c>
      <c r="U44" s="46" t="e">
        <f t="shared" ca="1" si="409"/>
        <v>#NAME?</v>
      </c>
      <c r="V44" s="46" t="e">
        <f t="shared" ca="1" si="409"/>
        <v>#NAME?</v>
      </c>
      <c r="W44" s="46" t="e">
        <f t="shared" ca="1" si="409"/>
        <v>#NAME?</v>
      </c>
      <c r="X44" s="46" t="e">
        <f t="shared" ca="1" si="409"/>
        <v>#NAME?</v>
      </c>
      <c r="Y44" s="46" t="e">
        <f t="shared" ca="1" si="409"/>
        <v>#NAME?</v>
      </c>
      <c r="Z44" s="46" t="e">
        <f t="shared" ca="1" si="409"/>
        <v>#NAME?</v>
      </c>
      <c r="AA44" s="46" t="e">
        <f t="shared" ref="AA44" ca="1" si="410">+AA43/AA145</f>
        <v>#NAME?</v>
      </c>
      <c r="AB44" s="110" t="e">
        <f t="shared" ca="1" si="409"/>
        <v>#NAME?</v>
      </c>
      <c r="AC44" s="110" t="e">
        <f t="shared" ca="1" si="409"/>
        <v>#NAME?</v>
      </c>
      <c r="AD44" s="110" t="e">
        <f t="shared" ca="1" si="409"/>
        <v>#NAME?</v>
      </c>
      <c r="AE44" s="110" t="e">
        <f t="shared" ca="1" si="409"/>
        <v>#NAME?</v>
      </c>
      <c r="AI44" s="46" t="e">
        <f t="shared" ref="AI44:BN44" ca="1" si="411">+AI43/AH145</f>
        <v>#NAME?</v>
      </c>
      <c r="AJ44" s="46" t="e">
        <f t="shared" ca="1" si="411"/>
        <v>#NAME?</v>
      </c>
      <c r="AK44" s="46" t="e">
        <f t="shared" ca="1" si="411"/>
        <v>#NAME?</v>
      </c>
      <c r="AL44" s="46" t="e">
        <f t="shared" ca="1" si="411"/>
        <v>#NAME?</v>
      </c>
      <c r="AM44" s="46" t="e">
        <f t="shared" ca="1" si="411"/>
        <v>#NAME?</v>
      </c>
      <c r="AN44" s="46" t="e">
        <f t="shared" ca="1" si="411"/>
        <v>#NAME?</v>
      </c>
      <c r="AO44" s="46" t="e">
        <f t="shared" ca="1" si="411"/>
        <v>#NAME?</v>
      </c>
      <c r="AP44" s="46" t="e">
        <f t="shared" ca="1" si="411"/>
        <v>#NAME?</v>
      </c>
      <c r="AQ44" s="46" t="e">
        <f t="shared" ca="1" si="411"/>
        <v>#NAME?</v>
      </c>
      <c r="AR44" s="46" t="e">
        <f t="shared" ca="1" si="411"/>
        <v>#NAME?</v>
      </c>
      <c r="AS44" s="46" t="e">
        <f t="shared" ca="1" si="411"/>
        <v>#NAME?</v>
      </c>
      <c r="AT44" s="46" t="e">
        <f t="shared" ca="1" si="411"/>
        <v>#NAME?</v>
      </c>
      <c r="AU44" s="46" t="e">
        <f t="shared" ca="1" si="411"/>
        <v>#NAME?</v>
      </c>
      <c r="AV44" s="46" t="e">
        <f t="shared" ca="1" si="411"/>
        <v>#NAME?</v>
      </c>
      <c r="AW44" s="46" t="e">
        <f t="shared" ca="1" si="411"/>
        <v>#NAME?</v>
      </c>
      <c r="AX44" s="46" t="e">
        <f t="shared" ca="1" si="411"/>
        <v>#NAME?</v>
      </c>
      <c r="AY44" s="46" t="e">
        <f t="shared" ca="1" si="411"/>
        <v>#NAME?</v>
      </c>
      <c r="AZ44" s="46" t="e">
        <f t="shared" ca="1" si="411"/>
        <v>#NAME?</v>
      </c>
      <c r="BA44" s="46" t="e">
        <f t="shared" ca="1" si="411"/>
        <v>#NAME?</v>
      </c>
      <c r="BB44" s="46" t="e">
        <f t="shared" ca="1" si="411"/>
        <v>#NAME?</v>
      </c>
      <c r="BC44" s="46" t="e">
        <f t="shared" ca="1" si="411"/>
        <v>#NAME?</v>
      </c>
      <c r="BD44" s="46" t="e">
        <f t="shared" ca="1" si="411"/>
        <v>#NAME?</v>
      </c>
      <c r="BE44" s="46" t="e">
        <f t="shared" ca="1" si="411"/>
        <v>#NAME?</v>
      </c>
      <c r="BF44" s="46" t="e">
        <f t="shared" ca="1" si="411"/>
        <v>#NAME?</v>
      </c>
      <c r="BG44" s="46" t="e">
        <f t="shared" ca="1" si="411"/>
        <v>#NAME?</v>
      </c>
      <c r="BH44" s="46" t="e">
        <f t="shared" ca="1" si="411"/>
        <v>#NAME?</v>
      </c>
      <c r="BI44" s="46" t="e">
        <f t="shared" ca="1" si="411"/>
        <v>#NAME?</v>
      </c>
      <c r="BJ44" s="46" t="e">
        <f t="shared" ca="1" si="411"/>
        <v>#NAME?</v>
      </c>
      <c r="BK44" s="46" t="e">
        <f t="shared" ca="1" si="411"/>
        <v>#NAME?</v>
      </c>
      <c r="BL44" s="46" t="e">
        <f t="shared" ca="1" si="411"/>
        <v>#NAME?</v>
      </c>
      <c r="BM44" s="46" t="e">
        <f t="shared" ca="1" si="411"/>
        <v>#NAME?</v>
      </c>
      <c r="BN44" s="46" t="e">
        <f t="shared" ca="1" si="411"/>
        <v>#NAME?</v>
      </c>
      <c r="BO44" s="46" t="e">
        <f t="shared" ref="BO44:CL44" ca="1" si="412">+BO43/BN145</f>
        <v>#NAME?</v>
      </c>
      <c r="BP44" s="46" t="e">
        <f t="shared" ca="1" si="412"/>
        <v>#NAME?</v>
      </c>
      <c r="BQ44" s="46" t="e">
        <f t="shared" ca="1" si="412"/>
        <v>#NAME?</v>
      </c>
      <c r="BR44" s="46" t="e">
        <f t="shared" ca="1" si="412"/>
        <v>#NAME?</v>
      </c>
      <c r="BS44" s="46" t="e">
        <f t="shared" ca="1" si="412"/>
        <v>#NAME?</v>
      </c>
      <c r="BT44" s="46" t="e">
        <f t="shared" ca="1" si="412"/>
        <v>#NAME?</v>
      </c>
      <c r="BU44" s="46" t="e">
        <f t="shared" ca="1" si="412"/>
        <v>#NAME?</v>
      </c>
      <c r="BV44" s="46" t="e">
        <f t="shared" ca="1" si="412"/>
        <v>#NAME?</v>
      </c>
      <c r="BW44" s="46" t="e">
        <f t="shared" ca="1" si="412"/>
        <v>#NAME?</v>
      </c>
      <c r="BX44" s="46" t="e">
        <f t="shared" ca="1" si="412"/>
        <v>#NAME?</v>
      </c>
      <c r="BY44" s="46" t="e">
        <f t="shared" ca="1" si="412"/>
        <v>#NAME?</v>
      </c>
      <c r="BZ44" s="46" t="e">
        <f t="shared" ca="1" si="412"/>
        <v>#NAME?</v>
      </c>
      <c r="CA44" s="46" t="e">
        <f t="shared" ca="1" si="412"/>
        <v>#NAME?</v>
      </c>
      <c r="CB44" s="46" t="e">
        <f t="shared" ca="1" si="412"/>
        <v>#NAME?</v>
      </c>
      <c r="CC44" s="46" t="e">
        <f t="shared" ca="1" si="412"/>
        <v>#NAME?</v>
      </c>
      <c r="CD44" s="46" t="e">
        <f t="shared" ca="1" si="412"/>
        <v>#NAME?</v>
      </c>
      <c r="CE44" s="46" t="e">
        <f t="shared" ca="1" si="412"/>
        <v>#NAME?</v>
      </c>
      <c r="CF44" s="46" t="e">
        <f t="shared" ca="1" si="412"/>
        <v>#NAME?</v>
      </c>
      <c r="CG44" s="46">
        <v>2.2638450024945949E-2</v>
      </c>
      <c r="CH44" s="46" t="e">
        <f t="shared" ca="1" si="412"/>
        <v>#NAME?</v>
      </c>
      <c r="CI44" s="46" t="e">
        <f t="shared" ca="1" si="412"/>
        <v>#NAME?</v>
      </c>
      <c r="CJ44" s="46" t="e">
        <f t="shared" ca="1" si="412"/>
        <v>#NAME?</v>
      </c>
      <c r="CK44" s="46" t="e">
        <f t="shared" ca="1" si="412"/>
        <v>#NAME?</v>
      </c>
      <c r="CL44" s="46" t="e">
        <f t="shared" ca="1" si="412"/>
        <v>#NAME?</v>
      </c>
      <c r="CM44" s="47">
        <v>0.03</v>
      </c>
      <c r="CN44" s="47">
        <f t="shared" ref="CN44" si="413">CM44</f>
        <v>0.03</v>
      </c>
      <c r="CO44" s="47">
        <f t="shared" ref="CO44" si="414">CN44</f>
        <v>0.03</v>
      </c>
      <c r="CP44" s="47">
        <f t="shared" ref="CP44" si="415">CO44</f>
        <v>0.03</v>
      </c>
      <c r="CQ44" s="47">
        <f t="shared" ref="CQ44" si="416">CP44</f>
        <v>0.03</v>
      </c>
      <c r="CR44" s="47">
        <f t="shared" ref="CR44" si="417">CQ44</f>
        <v>0.03</v>
      </c>
      <c r="CS44" s="47">
        <f t="shared" ref="CS44" si="418">CR44</f>
        <v>0.03</v>
      </c>
      <c r="CT44" s="47">
        <f t="shared" ref="CT44" si="419">CS44</f>
        <v>0.03</v>
      </c>
      <c r="CU44" s="47">
        <f t="shared" ref="CU44" si="420">CT44</f>
        <v>0.03</v>
      </c>
      <c r="CV44" s="47">
        <f t="shared" ref="CV44" si="421">CU44</f>
        <v>0.03</v>
      </c>
      <c r="CW44" s="47">
        <f t="shared" ref="CW44" si="422">CV44</f>
        <v>0.03</v>
      </c>
      <c r="CX44" s="47">
        <f t="shared" ref="CX44" si="423">CW44</f>
        <v>0.03</v>
      </c>
      <c r="CY44" s="47">
        <f t="shared" ref="CY44" si="424">CX44</f>
        <v>0.03</v>
      </c>
      <c r="CZ44" s="47">
        <f t="shared" ref="CZ44" si="425">CY44</f>
        <v>0.03</v>
      </c>
      <c r="DA44" s="47">
        <f t="shared" ref="DA44" si="426">CZ44</f>
        <v>0.03</v>
      </c>
      <c r="DB44" s="47">
        <f t="shared" ref="DB44" si="427">DA44</f>
        <v>0.03</v>
      </c>
      <c r="DE44" s="130"/>
      <c r="DF44" s="46">
        <v>6.9735584850457888E-2</v>
      </c>
    </row>
    <row r="45" spans="1:110" s="26" customFormat="1" x14ac:dyDescent="0.2">
      <c r="A45" s="34" t="s">
        <v>16</v>
      </c>
      <c r="B45" s="26" t="e">
        <f ca="1">B39-B43</f>
        <v>#NAME?</v>
      </c>
      <c r="C45" s="26" t="e">
        <f t="shared" ref="C45:T45" ca="1" si="428">C39-C43</f>
        <v>#NAME?</v>
      </c>
      <c r="D45" s="26" t="e">
        <f ca="1">D39-D43</f>
        <v>#NAME?</v>
      </c>
      <c r="E45" s="26" t="e">
        <f t="shared" ca="1" si="428"/>
        <v>#NAME?</v>
      </c>
      <c r="F45" s="26" t="e">
        <f t="shared" ca="1" si="428"/>
        <v>#NAME?</v>
      </c>
      <c r="G45" s="26" t="e">
        <f t="shared" ca="1" si="428"/>
        <v>#NAME?</v>
      </c>
      <c r="H45" s="26" t="e">
        <f t="shared" ca="1" si="428"/>
        <v>#NAME?</v>
      </c>
      <c r="I45" s="26" t="e">
        <f t="shared" ca="1" si="428"/>
        <v>#NAME?</v>
      </c>
      <c r="J45" s="26" t="e">
        <f t="shared" ca="1" si="428"/>
        <v>#NAME?</v>
      </c>
      <c r="K45" s="26" t="e">
        <f t="shared" ca="1" si="428"/>
        <v>#NAME?</v>
      </c>
      <c r="L45" s="26" t="e">
        <f t="shared" ca="1" si="428"/>
        <v>#NAME?</v>
      </c>
      <c r="M45" s="26" t="e">
        <f t="shared" ca="1" si="428"/>
        <v>#NAME?</v>
      </c>
      <c r="N45" s="26" t="e">
        <f t="shared" ca="1" si="428"/>
        <v>#NAME?</v>
      </c>
      <c r="O45" s="26" t="e">
        <f t="shared" ca="1" si="428"/>
        <v>#NAME?</v>
      </c>
      <c r="P45" s="26" t="e">
        <f t="shared" ca="1" si="428"/>
        <v>#NAME?</v>
      </c>
      <c r="Q45" s="26" t="e">
        <f t="shared" ca="1" si="428"/>
        <v>#NAME?</v>
      </c>
      <c r="R45" s="26" t="e">
        <f t="shared" ca="1" si="428"/>
        <v>#NAME?</v>
      </c>
      <c r="S45" s="26" t="e">
        <f t="shared" ca="1" si="428"/>
        <v>#NAME?</v>
      </c>
      <c r="T45" s="26" t="e">
        <f t="shared" ca="1" si="428"/>
        <v>#NAME?</v>
      </c>
      <c r="U45" s="26" t="e">
        <f t="shared" ref="U45:Z45" ca="1" si="429">U39-U43</f>
        <v>#NAME?</v>
      </c>
      <c r="V45" s="26" t="e">
        <f t="shared" ca="1" si="429"/>
        <v>#NAME?</v>
      </c>
      <c r="W45" s="26" t="e">
        <f t="shared" ca="1" si="429"/>
        <v>#NAME?</v>
      </c>
      <c r="X45" s="26" t="e">
        <f t="shared" ca="1" si="429"/>
        <v>#NAME?</v>
      </c>
      <c r="Y45" s="26" t="e">
        <f t="shared" ca="1" si="429"/>
        <v>#NAME?</v>
      </c>
      <c r="Z45" s="26" t="e">
        <f t="shared" ca="1" si="429"/>
        <v>#NAME?</v>
      </c>
      <c r="AA45" s="26" t="e">
        <f t="shared" ref="AA45" ca="1" si="430">AA39-AA43</f>
        <v>#NAME?</v>
      </c>
      <c r="AB45" s="27" t="e">
        <f t="shared" ref="AA45:AD45" ca="1" si="431">AB39-AB43</f>
        <v>#NAME?</v>
      </c>
      <c r="AC45" s="27" t="e">
        <f t="shared" ca="1" si="431"/>
        <v>#NAME?</v>
      </c>
      <c r="AD45" s="27" t="e">
        <f t="shared" ca="1" si="431"/>
        <v>#NAME?</v>
      </c>
      <c r="AE45" s="27" t="e">
        <f t="shared" ref="AE45" ca="1" si="432">AE39-AE43</f>
        <v>#NAME?</v>
      </c>
      <c r="AI45" s="26" t="e">
        <f t="shared" ref="AI45" ca="1" si="433">AI39-AI43</f>
        <v>#NAME?</v>
      </c>
      <c r="AJ45" s="26" t="e">
        <f t="shared" ref="AJ45" ca="1" si="434">AJ39-AJ43</f>
        <v>#NAME?</v>
      </c>
      <c r="AK45" s="26" t="e">
        <f t="shared" ref="AK45:AM45" ca="1" si="435">AK39-AK43</f>
        <v>#NAME?</v>
      </c>
      <c r="AL45" s="26" t="e">
        <f t="shared" ca="1" si="435"/>
        <v>#NAME?</v>
      </c>
      <c r="AM45" s="26" t="e">
        <f t="shared" ca="1" si="435"/>
        <v>#NAME?</v>
      </c>
      <c r="AN45" s="26" t="e">
        <f t="shared" ref="AN45:AO45" ca="1" si="436">AN39-AN43</f>
        <v>#NAME?</v>
      </c>
      <c r="AO45" s="26" t="e">
        <f t="shared" ca="1" si="436"/>
        <v>#NAME?</v>
      </c>
      <c r="AP45" s="26" t="e">
        <f t="shared" ref="AP45:CD45" ca="1" si="437">AP39-AP43</f>
        <v>#NAME?</v>
      </c>
      <c r="AQ45" s="26" t="e">
        <f t="shared" ca="1" si="437"/>
        <v>#NAME?</v>
      </c>
      <c r="AR45" s="26" t="e">
        <f t="shared" ca="1" si="437"/>
        <v>#NAME?</v>
      </c>
      <c r="AS45" s="26" t="e">
        <f t="shared" ca="1" si="437"/>
        <v>#NAME?</v>
      </c>
      <c r="AT45" s="26" t="e">
        <f t="shared" ca="1" si="437"/>
        <v>#NAME?</v>
      </c>
      <c r="AU45" s="26" t="e">
        <f t="shared" ca="1" si="437"/>
        <v>#NAME?</v>
      </c>
      <c r="AV45" s="26" t="e">
        <f t="shared" ca="1" si="437"/>
        <v>#NAME?</v>
      </c>
      <c r="AW45" s="26" t="e">
        <f t="shared" ca="1" si="437"/>
        <v>#NAME?</v>
      </c>
      <c r="AX45" s="26" t="e">
        <f t="shared" ca="1" si="437"/>
        <v>#NAME?</v>
      </c>
      <c r="AY45" s="26" t="e">
        <f t="shared" ca="1" si="437"/>
        <v>#NAME?</v>
      </c>
      <c r="AZ45" s="26" t="e">
        <f t="shared" ca="1" si="437"/>
        <v>#NAME?</v>
      </c>
      <c r="BA45" s="26" t="e">
        <f t="shared" ca="1" si="437"/>
        <v>#NAME?</v>
      </c>
      <c r="BB45" s="26" t="e">
        <f t="shared" ca="1" si="437"/>
        <v>#NAME?</v>
      </c>
      <c r="BC45" s="26" t="e">
        <f t="shared" ca="1" si="437"/>
        <v>#NAME?</v>
      </c>
      <c r="BD45" s="26" t="e">
        <f t="shared" ca="1" si="437"/>
        <v>#NAME?</v>
      </c>
      <c r="BE45" s="26" t="e">
        <f t="shared" ca="1" si="437"/>
        <v>#NAME?</v>
      </c>
      <c r="BF45" s="26" t="e">
        <f t="shared" ca="1" si="437"/>
        <v>#NAME?</v>
      </c>
      <c r="BG45" s="26" t="e">
        <f t="shared" ca="1" si="437"/>
        <v>#NAME?</v>
      </c>
      <c r="BH45" s="26" t="e">
        <f t="shared" ca="1" si="437"/>
        <v>#NAME?</v>
      </c>
      <c r="BI45" s="26" t="e">
        <f t="shared" ca="1" si="437"/>
        <v>#NAME?</v>
      </c>
      <c r="BJ45" s="26" t="e">
        <f t="shared" ca="1" si="437"/>
        <v>#NAME?</v>
      </c>
      <c r="BK45" s="26" t="e">
        <f t="shared" ca="1" si="437"/>
        <v>#NAME?</v>
      </c>
      <c r="BL45" s="26" t="e">
        <f t="shared" ca="1" si="437"/>
        <v>#NAME?</v>
      </c>
      <c r="BM45" s="26" t="e">
        <f t="shared" ca="1" si="437"/>
        <v>#NAME?</v>
      </c>
      <c r="BN45" s="26" t="e">
        <f t="shared" ca="1" si="437"/>
        <v>#NAME?</v>
      </c>
      <c r="BO45" s="26" t="e">
        <f t="shared" ca="1" si="437"/>
        <v>#NAME?</v>
      </c>
      <c r="BP45" s="26" t="e">
        <f t="shared" ca="1" si="437"/>
        <v>#NAME?</v>
      </c>
      <c r="BQ45" s="26" t="e">
        <f t="shared" ca="1" si="437"/>
        <v>#NAME?</v>
      </c>
      <c r="BR45" s="26" t="e">
        <f t="shared" ca="1" si="437"/>
        <v>#NAME?</v>
      </c>
      <c r="BS45" s="26" t="e">
        <f t="shared" ca="1" si="437"/>
        <v>#NAME?</v>
      </c>
      <c r="BT45" s="26" t="e">
        <f t="shared" ca="1" si="437"/>
        <v>#NAME?</v>
      </c>
      <c r="BU45" s="26" t="e">
        <f t="shared" ca="1" si="437"/>
        <v>#NAME?</v>
      </c>
      <c r="BV45" s="26" t="e">
        <f t="shared" ca="1" si="437"/>
        <v>#NAME?</v>
      </c>
      <c r="BW45" s="26" t="e">
        <f t="shared" ca="1" si="437"/>
        <v>#NAME?</v>
      </c>
      <c r="BX45" s="26" t="e">
        <f t="shared" ca="1" si="437"/>
        <v>#NAME?</v>
      </c>
      <c r="BY45" s="26" t="e">
        <f t="shared" ca="1" si="437"/>
        <v>#NAME?</v>
      </c>
      <c r="BZ45" s="26" t="e">
        <f t="shared" ca="1" si="437"/>
        <v>#NAME?</v>
      </c>
      <c r="CA45" s="26" t="e">
        <f t="shared" ca="1" si="437"/>
        <v>#NAME?</v>
      </c>
      <c r="CB45" s="26" t="e">
        <f t="shared" ca="1" si="437"/>
        <v>#NAME?</v>
      </c>
      <c r="CC45" s="26" t="e">
        <f t="shared" ca="1" si="437"/>
        <v>#NAME?</v>
      </c>
      <c r="CD45" s="26" t="e">
        <f t="shared" ca="1" si="437"/>
        <v>#NAME?</v>
      </c>
      <c r="CE45" s="26" t="e">
        <f t="shared" ref="CE45:CF45" ca="1" si="438">CE39-CE43</f>
        <v>#NAME?</v>
      </c>
      <c r="CF45" s="26" t="e">
        <f t="shared" ca="1" si="438"/>
        <v>#NAME?</v>
      </c>
      <c r="CG45" s="26">
        <v>12.139999999999981</v>
      </c>
      <c r="CH45" s="26" t="e">
        <f t="shared" ref="CH45" ca="1" si="439">CH39-CH43</f>
        <v>#NAME?</v>
      </c>
      <c r="CI45" s="26" t="e">
        <f t="shared" ref="CI45:CJ45" ca="1" si="440">CI39-CI43</f>
        <v>#NAME?</v>
      </c>
      <c r="CJ45" s="26" t="e">
        <f t="shared" ca="1" si="440"/>
        <v>#NAME?</v>
      </c>
      <c r="CK45" s="26" t="e">
        <f t="shared" ref="CK45:CL45" ca="1" si="441">CK39-CK43</f>
        <v>#NAME?</v>
      </c>
      <c r="CL45" s="26" t="e">
        <f t="shared" ca="1" si="441"/>
        <v>#NAME?</v>
      </c>
      <c r="CM45" s="27" t="e">
        <f t="shared" ref="CM45:DB45" ca="1" si="442">CM39-CM43</f>
        <v>#NAME?</v>
      </c>
      <c r="CN45" s="27" t="e">
        <f t="shared" ca="1" si="442"/>
        <v>#NAME?</v>
      </c>
      <c r="CO45" s="27" t="e">
        <f t="shared" ca="1" si="442"/>
        <v>#NAME?</v>
      </c>
      <c r="CP45" s="27" t="e">
        <f t="shared" ca="1" si="442"/>
        <v>#NAME?</v>
      </c>
      <c r="CQ45" s="27" t="e">
        <f t="shared" ca="1" si="442"/>
        <v>#NAME?</v>
      </c>
      <c r="CR45" s="27" t="e">
        <f t="shared" ca="1" si="442"/>
        <v>#NAME?</v>
      </c>
      <c r="CS45" s="27" t="e">
        <f t="shared" ca="1" si="442"/>
        <v>#NAME?</v>
      </c>
      <c r="CT45" s="27" t="e">
        <f t="shared" ca="1" si="442"/>
        <v>#NAME?</v>
      </c>
      <c r="CU45" s="27" t="e">
        <f t="shared" ca="1" si="442"/>
        <v>#NAME?</v>
      </c>
      <c r="CV45" s="27" t="e">
        <f t="shared" ca="1" si="442"/>
        <v>#NAME?</v>
      </c>
      <c r="CW45" s="27" t="e">
        <f t="shared" ca="1" si="442"/>
        <v>#NAME?</v>
      </c>
      <c r="CX45" s="27" t="e">
        <f t="shared" ca="1" si="442"/>
        <v>#NAME?</v>
      </c>
      <c r="CY45" s="27" t="e">
        <f t="shared" ca="1" si="442"/>
        <v>#NAME?</v>
      </c>
      <c r="CZ45" s="27" t="e">
        <f t="shared" ca="1" si="442"/>
        <v>#NAME?</v>
      </c>
      <c r="DA45" s="27" t="e">
        <f t="shared" ca="1" si="442"/>
        <v>#NAME?</v>
      </c>
      <c r="DB45" s="27" t="e">
        <f t="shared" ca="1" si="442"/>
        <v>#NAME?</v>
      </c>
      <c r="DE45" s="121"/>
      <c r="DF45" s="26">
        <v>86.291000000000068</v>
      </c>
    </row>
    <row r="46" spans="1:110" s="23" customFormat="1" x14ac:dyDescent="0.2">
      <c r="A46" s="23" t="s">
        <v>17</v>
      </c>
      <c r="B46" s="23" t="e">
        <f ca="1">'Annual Raw'!C23</f>
        <v>#NAME?</v>
      </c>
      <c r="C46" s="23" t="e">
        <f ca="1">'Annual Raw'!D23</f>
        <v>#NAME?</v>
      </c>
      <c r="D46" s="23" t="e">
        <f ca="1">'Annual Raw'!E23</f>
        <v>#NAME?</v>
      </c>
      <c r="E46" s="23" t="e">
        <f ca="1">'Annual Raw'!F23</f>
        <v>#NAME?</v>
      </c>
      <c r="F46" s="23" t="e">
        <f ca="1">'Annual Raw'!G23</f>
        <v>#NAME?</v>
      </c>
      <c r="G46" s="23" t="e">
        <f ca="1">'Annual Raw'!H23</f>
        <v>#NAME?</v>
      </c>
      <c r="H46" s="23" t="e">
        <f ca="1">'Annual Raw'!I23</f>
        <v>#NAME?</v>
      </c>
      <c r="I46" s="23" t="e">
        <f ca="1">'Annual Raw'!J23</f>
        <v>#NAME?</v>
      </c>
      <c r="J46" s="23" t="e">
        <f ca="1">'Annual Raw'!K23</f>
        <v>#NAME?</v>
      </c>
      <c r="K46" s="23" t="e">
        <f ca="1">'Annual Raw'!L23</f>
        <v>#NAME?</v>
      </c>
      <c r="L46" s="23" t="e">
        <f ca="1">'Annual Raw'!M23</f>
        <v>#NAME?</v>
      </c>
      <c r="M46" s="23" t="e">
        <f ca="1">'Annual Raw'!N23</f>
        <v>#NAME?</v>
      </c>
      <c r="N46" s="23" t="e">
        <f ca="1">'Annual Raw'!O23</f>
        <v>#NAME?</v>
      </c>
      <c r="O46" s="23" t="e">
        <f ca="1">'Annual Raw'!P23</f>
        <v>#NAME?</v>
      </c>
      <c r="P46" s="23" t="e">
        <f ca="1">'Annual Raw'!Q23</f>
        <v>#NAME?</v>
      </c>
      <c r="Q46" s="23" t="e">
        <f ca="1">'Annual Raw'!R23</f>
        <v>#NAME?</v>
      </c>
      <c r="R46" s="23" t="e">
        <f ca="1">'Annual Raw'!S23</f>
        <v>#NAME?</v>
      </c>
      <c r="S46" s="23" t="e">
        <f ca="1">'Annual Raw'!T23</f>
        <v>#NAME?</v>
      </c>
      <c r="T46" s="23" t="e">
        <f ca="1">'Annual Raw'!U23</f>
        <v>#NAME?</v>
      </c>
      <c r="U46" s="23" t="e">
        <f ca="1">'Annual Raw'!V23</f>
        <v>#NAME?</v>
      </c>
      <c r="V46" s="23" t="e">
        <f ca="1">'Annual Raw'!W23</f>
        <v>#NAME?</v>
      </c>
      <c r="W46" s="23" t="e">
        <f ca="1">'Annual Raw'!X23</f>
        <v>#NAME?</v>
      </c>
      <c r="X46" s="23" t="e">
        <f ca="1">'Annual Raw'!Y23</f>
        <v>#NAME?</v>
      </c>
      <c r="Y46" s="23" t="e">
        <f ca="1">'Annual Raw'!Z23</f>
        <v>#NAME?</v>
      </c>
      <c r="Z46" s="23" t="e">
        <f ca="1">'Annual Raw'!AA23</f>
        <v>#NAME?</v>
      </c>
      <c r="AA46" s="23" t="e">
        <f ca="1">'Annual Raw'!AB23</f>
        <v>#NAME?</v>
      </c>
      <c r="AB46" s="76">
        <f t="shared" ref="AB46:AB47" si="443">+SUM(CM46:CP46)</f>
        <v>0</v>
      </c>
      <c r="AC46" s="76">
        <f t="shared" ref="AC46:AC47" si="444">+SUM(CQ46:CT46)</f>
        <v>0</v>
      </c>
      <c r="AD46" s="76">
        <f t="shared" ref="AD46:AD47" si="445">+SUM(CU46:CX46)</f>
        <v>0</v>
      </c>
      <c r="AE46" s="76">
        <f t="shared" ref="AE46:AE47" si="446">+SUM(CY46:DB46)</f>
        <v>0</v>
      </c>
      <c r="AI46" s="23" t="e">
        <f ca="1">'QTR Raw'!C23</f>
        <v>#NAME?</v>
      </c>
      <c r="AJ46" s="23" t="e">
        <f ca="1">'QTR Raw'!D23</f>
        <v>#NAME?</v>
      </c>
      <c r="AK46" s="23" t="e">
        <f ca="1">'QTR Raw'!E23</f>
        <v>#NAME?</v>
      </c>
      <c r="AL46" s="23" t="e">
        <f ca="1">'QTR Raw'!F23</f>
        <v>#NAME?</v>
      </c>
      <c r="AM46" s="23" t="e">
        <f ca="1">'QTR Raw'!G23</f>
        <v>#NAME?</v>
      </c>
      <c r="AN46" s="23" t="e">
        <f ca="1">'QTR Raw'!H23</f>
        <v>#NAME?</v>
      </c>
      <c r="AO46" s="23" t="e">
        <f ca="1">'QTR Raw'!I23</f>
        <v>#NAME?</v>
      </c>
      <c r="AP46" s="23" t="e">
        <f ca="1">'QTR Raw'!J23</f>
        <v>#NAME?</v>
      </c>
      <c r="AQ46" s="23" t="e">
        <f ca="1">'QTR Raw'!K23</f>
        <v>#NAME?</v>
      </c>
      <c r="AR46" s="23" t="e">
        <f ca="1">'QTR Raw'!L23</f>
        <v>#NAME?</v>
      </c>
      <c r="AS46" s="23" t="e">
        <f ca="1">'QTR Raw'!M23</f>
        <v>#NAME?</v>
      </c>
      <c r="AT46" s="23" t="e">
        <f ca="1">'QTR Raw'!N23</f>
        <v>#NAME?</v>
      </c>
      <c r="AU46" s="23" t="e">
        <f ca="1">'QTR Raw'!O23</f>
        <v>#NAME?</v>
      </c>
      <c r="AV46" s="23" t="e">
        <f ca="1">'QTR Raw'!P23</f>
        <v>#NAME?</v>
      </c>
      <c r="AW46" s="23" t="e">
        <f ca="1">'QTR Raw'!Q23</f>
        <v>#NAME?</v>
      </c>
      <c r="AX46" s="23" t="e">
        <f ca="1">'QTR Raw'!R23</f>
        <v>#NAME?</v>
      </c>
      <c r="AY46" s="23" t="e">
        <f ca="1">'QTR Raw'!S23</f>
        <v>#NAME?</v>
      </c>
      <c r="AZ46" s="23" t="e">
        <f ca="1">'QTR Raw'!T23</f>
        <v>#NAME?</v>
      </c>
      <c r="BA46" s="23" t="e">
        <f ca="1">'QTR Raw'!U23</f>
        <v>#NAME?</v>
      </c>
      <c r="BB46" s="23" t="e">
        <f ca="1">'QTR Raw'!V23</f>
        <v>#NAME?</v>
      </c>
      <c r="BC46" s="23" t="e">
        <f ca="1">'QTR Raw'!W23</f>
        <v>#NAME?</v>
      </c>
      <c r="BD46" s="23" t="e">
        <f ca="1">'QTR Raw'!X23</f>
        <v>#NAME?</v>
      </c>
      <c r="BE46" s="23" t="e">
        <f ca="1">'QTR Raw'!Y23</f>
        <v>#NAME?</v>
      </c>
      <c r="BF46" s="23" t="e">
        <f ca="1">'QTR Raw'!Z23</f>
        <v>#NAME?</v>
      </c>
      <c r="BG46" s="23" t="e">
        <f ca="1">'QTR Raw'!AA23</f>
        <v>#NAME?</v>
      </c>
      <c r="BH46" s="23" t="e">
        <f ca="1">'QTR Raw'!AB23</f>
        <v>#NAME?</v>
      </c>
      <c r="BI46" s="23" t="e">
        <f ca="1">'QTR Raw'!AC23</f>
        <v>#NAME?</v>
      </c>
      <c r="BJ46" s="23" t="e">
        <f ca="1">'QTR Raw'!AD23</f>
        <v>#NAME?</v>
      </c>
      <c r="BK46" s="23" t="e">
        <f ca="1">'QTR Raw'!AE23</f>
        <v>#NAME?</v>
      </c>
      <c r="BL46" s="23" t="e">
        <f ca="1">'QTR Raw'!AF23</f>
        <v>#NAME?</v>
      </c>
      <c r="BM46" s="23" t="e">
        <f ca="1">'QTR Raw'!AG23</f>
        <v>#NAME?</v>
      </c>
      <c r="BN46" s="23" t="e">
        <f ca="1">'QTR Raw'!AH23</f>
        <v>#NAME?</v>
      </c>
      <c r="BO46" s="23" t="e">
        <f ca="1">'QTR Raw'!AI23</f>
        <v>#NAME?</v>
      </c>
      <c r="BP46" s="23" t="e">
        <f ca="1">'QTR Raw'!AJ23</f>
        <v>#NAME?</v>
      </c>
      <c r="BQ46" s="23" t="e">
        <f ca="1">'QTR Raw'!AK23</f>
        <v>#NAME?</v>
      </c>
      <c r="BR46" s="23" t="e">
        <f ca="1">'QTR Raw'!AL23</f>
        <v>#NAME?</v>
      </c>
      <c r="BS46" s="23" t="e">
        <f ca="1">'QTR Raw'!AM23</f>
        <v>#NAME?</v>
      </c>
      <c r="BT46" s="23" t="e">
        <f ca="1">'QTR Raw'!AN23</f>
        <v>#NAME?</v>
      </c>
      <c r="BU46" s="23" t="e">
        <f ca="1">'QTR Raw'!AO23</f>
        <v>#NAME?</v>
      </c>
      <c r="BV46" s="23" t="e">
        <f ca="1">'QTR Raw'!AP23</f>
        <v>#NAME?</v>
      </c>
      <c r="BW46" s="23" t="e">
        <f ca="1">'QTR Raw'!AQ23</f>
        <v>#NAME?</v>
      </c>
      <c r="BX46" s="23" t="e">
        <f ca="1">'QTR Raw'!AR23</f>
        <v>#NAME?</v>
      </c>
      <c r="BY46" s="23" t="e">
        <f ca="1">'QTR Raw'!AS23</f>
        <v>#NAME?</v>
      </c>
      <c r="BZ46" s="23" t="e">
        <f ca="1">'QTR Raw'!AT23</f>
        <v>#NAME?</v>
      </c>
      <c r="CA46" s="23" t="e">
        <f ca="1">'QTR Raw'!AU23</f>
        <v>#NAME?</v>
      </c>
      <c r="CB46" s="23" t="e">
        <f ca="1">'QTR Raw'!AV23</f>
        <v>#NAME?</v>
      </c>
      <c r="CC46" s="23" t="e">
        <f ca="1">'QTR Raw'!AW23</f>
        <v>#NAME?</v>
      </c>
      <c r="CD46" s="23" t="e">
        <f ca="1">'QTR Raw'!AX23</f>
        <v>#NAME?</v>
      </c>
      <c r="CE46" s="23" t="e">
        <f ca="1">'QTR Raw'!AY23</f>
        <v>#NAME?</v>
      </c>
      <c r="CF46" s="23" t="e">
        <f ca="1">'QTR Raw'!AZ23</f>
        <v>#NAME?</v>
      </c>
      <c r="CG46" s="23">
        <v>0</v>
      </c>
      <c r="CH46" s="23" t="e">
        <f ca="1">'QTR Raw'!BB23</f>
        <v>#NAME?</v>
      </c>
      <c r="CI46" s="23" t="e">
        <f ca="1">'QTR Raw'!BC23</f>
        <v>#NAME?</v>
      </c>
      <c r="CJ46" s="23" t="e">
        <f ca="1">'QTR Raw'!BD23</f>
        <v>#NAME?</v>
      </c>
      <c r="CK46" s="23" t="e">
        <f ca="1">'QTR Raw'!BE23</f>
        <v>#NAME?</v>
      </c>
      <c r="CL46" s="23" t="e">
        <f ca="1">'QTR Raw'!BF23</f>
        <v>#NAME?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E46" s="123"/>
      <c r="DF46" s="23">
        <v>0</v>
      </c>
    </row>
    <row r="47" spans="1:110" s="23" customFormat="1" x14ac:dyDescent="0.2">
      <c r="A47" s="23" t="s">
        <v>18</v>
      </c>
      <c r="B47" s="23" t="e">
        <f ca="1">'Annual Raw'!C25</f>
        <v>#NAME?</v>
      </c>
      <c r="C47" s="23" t="e">
        <f ca="1">'Annual Raw'!D25</f>
        <v>#NAME?</v>
      </c>
      <c r="D47" s="23" t="e">
        <f ca="1">'Annual Raw'!E25</f>
        <v>#NAME?</v>
      </c>
      <c r="E47" s="23" t="e">
        <f ca="1">'Annual Raw'!F25</f>
        <v>#NAME?</v>
      </c>
      <c r="F47" s="23" t="e">
        <f ca="1">'Annual Raw'!G25</f>
        <v>#NAME?</v>
      </c>
      <c r="G47" s="23" t="e">
        <f ca="1">'Annual Raw'!H25</f>
        <v>#NAME?</v>
      </c>
      <c r="H47" s="23" t="e">
        <f ca="1">'Annual Raw'!I25</f>
        <v>#NAME?</v>
      </c>
      <c r="I47" s="23" t="e">
        <f ca="1">'Annual Raw'!J25</f>
        <v>#NAME?</v>
      </c>
      <c r="J47" s="23" t="e">
        <f ca="1">'Annual Raw'!K25</f>
        <v>#NAME?</v>
      </c>
      <c r="K47" s="23" t="e">
        <f ca="1">'Annual Raw'!L25</f>
        <v>#NAME?</v>
      </c>
      <c r="L47" s="23" t="e">
        <f ca="1">'Annual Raw'!M25</f>
        <v>#NAME?</v>
      </c>
      <c r="M47" s="23" t="e">
        <f ca="1">'Annual Raw'!N25</f>
        <v>#NAME?</v>
      </c>
      <c r="N47" s="23" t="e">
        <f ca="1">'Annual Raw'!O25</f>
        <v>#NAME?</v>
      </c>
      <c r="O47" s="23" t="e">
        <f ca="1">'Annual Raw'!P25</f>
        <v>#NAME?</v>
      </c>
      <c r="P47" s="23" t="e">
        <f ca="1">'Annual Raw'!Q25</f>
        <v>#NAME?</v>
      </c>
      <c r="Q47" s="23" t="e">
        <f ca="1">'Annual Raw'!R25</f>
        <v>#NAME?</v>
      </c>
      <c r="R47" s="23" t="e">
        <f ca="1">'Annual Raw'!S25</f>
        <v>#NAME?</v>
      </c>
      <c r="S47" s="23" t="e">
        <f ca="1">'Annual Raw'!T25</f>
        <v>#NAME?</v>
      </c>
      <c r="T47" s="23" t="e">
        <f ca="1">'Annual Raw'!U25</f>
        <v>#NAME?</v>
      </c>
      <c r="U47" s="23" t="e">
        <f ca="1">'Annual Raw'!V25</f>
        <v>#NAME?</v>
      </c>
      <c r="V47" s="23" t="e">
        <f ca="1">'Annual Raw'!W25</f>
        <v>#NAME?</v>
      </c>
      <c r="W47" s="23" t="e">
        <f ca="1">'Annual Raw'!X25</f>
        <v>#NAME?</v>
      </c>
      <c r="X47" s="23" t="e">
        <f ca="1">'Annual Raw'!Y25</f>
        <v>#NAME?</v>
      </c>
      <c r="Y47" s="23" t="e">
        <f ca="1">'Annual Raw'!Z25</f>
        <v>#NAME?</v>
      </c>
      <c r="Z47" s="23" t="e">
        <f ca="1">'Annual Raw'!AA25</f>
        <v>#NAME?</v>
      </c>
      <c r="AA47" s="23" t="e">
        <f ca="1">'Annual Raw'!AB25</f>
        <v>#NAME?</v>
      </c>
      <c r="AB47" s="76" t="e">
        <f t="shared" ca="1" si="443"/>
        <v>#NAME?</v>
      </c>
      <c r="AC47" s="76" t="e">
        <f t="shared" ca="1" si="444"/>
        <v>#NAME?</v>
      </c>
      <c r="AD47" s="76" t="e">
        <f t="shared" ca="1" si="445"/>
        <v>#NAME?</v>
      </c>
      <c r="AE47" s="76" t="e">
        <f t="shared" ca="1" si="446"/>
        <v>#NAME?</v>
      </c>
      <c r="AI47" s="23" t="e">
        <f ca="1">'QTR Raw'!C25</f>
        <v>#NAME?</v>
      </c>
      <c r="AJ47" s="23" t="e">
        <f ca="1">'QTR Raw'!D25</f>
        <v>#NAME?</v>
      </c>
      <c r="AK47" s="23" t="e">
        <f ca="1">'QTR Raw'!E25</f>
        <v>#NAME?</v>
      </c>
      <c r="AL47" s="23" t="e">
        <f ca="1">'QTR Raw'!F25</f>
        <v>#NAME?</v>
      </c>
      <c r="AM47" s="23" t="e">
        <f ca="1">'QTR Raw'!G25</f>
        <v>#NAME?</v>
      </c>
      <c r="AN47" s="23" t="e">
        <f ca="1">'QTR Raw'!H25</f>
        <v>#NAME?</v>
      </c>
      <c r="AO47" s="23" t="e">
        <f ca="1">'QTR Raw'!I25</f>
        <v>#NAME?</v>
      </c>
      <c r="AP47" s="23" t="e">
        <f ca="1">'QTR Raw'!J25</f>
        <v>#NAME?</v>
      </c>
      <c r="AQ47" s="23" t="e">
        <f ca="1">'QTR Raw'!K25</f>
        <v>#NAME?</v>
      </c>
      <c r="AR47" s="23" t="e">
        <f ca="1">'QTR Raw'!L25</f>
        <v>#NAME?</v>
      </c>
      <c r="AS47" s="23" t="e">
        <f ca="1">'QTR Raw'!M25</f>
        <v>#NAME?</v>
      </c>
      <c r="AT47" s="23" t="e">
        <f ca="1">'QTR Raw'!N25</f>
        <v>#NAME?</v>
      </c>
      <c r="AU47" s="23" t="e">
        <f ca="1">'QTR Raw'!O25</f>
        <v>#NAME?</v>
      </c>
      <c r="AV47" s="23" t="e">
        <f ca="1">'QTR Raw'!P25</f>
        <v>#NAME?</v>
      </c>
      <c r="AW47" s="23" t="e">
        <f ca="1">'QTR Raw'!Q25</f>
        <v>#NAME?</v>
      </c>
      <c r="AX47" s="23" t="e">
        <f ca="1">'QTR Raw'!R25</f>
        <v>#NAME?</v>
      </c>
      <c r="AY47" s="23" t="e">
        <f ca="1">'QTR Raw'!S25</f>
        <v>#NAME?</v>
      </c>
      <c r="AZ47" s="23" t="e">
        <f ca="1">'QTR Raw'!T25</f>
        <v>#NAME?</v>
      </c>
      <c r="BA47" s="23" t="e">
        <f ca="1">'QTR Raw'!U25</f>
        <v>#NAME?</v>
      </c>
      <c r="BB47" s="23" t="e">
        <f ca="1">'QTR Raw'!V25</f>
        <v>#NAME?</v>
      </c>
      <c r="BC47" s="23" t="e">
        <f ca="1">'QTR Raw'!W25</f>
        <v>#NAME?</v>
      </c>
      <c r="BD47" s="23" t="e">
        <f ca="1">'QTR Raw'!X25</f>
        <v>#NAME?</v>
      </c>
      <c r="BE47" s="23" t="e">
        <f ca="1">'QTR Raw'!Y25</f>
        <v>#NAME?</v>
      </c>
      <c r="BF47" s="23" t="e">
        <f ca="1">'QTR Raw'!Z25</f>
        <v>#NAME?</v>
      </c>
      <c r="BG47" s="23" t="e">
        <f ca="1">'QTR Raw'!AA25</f>
        <v>#NAME?</v>
      </c>
      <c r="BH47" s="23" t="e">
        <f ca="1">'QTR Raw'!AB25</f>
        <v>#NAME?</v>
      </c>
      <c r="BI47" s="23" t="e">
        <f ca="1">'QTR Raw'!AC25</f>
        <v>#NAME?</v>
      </c>
      <c r="BJ47" s="23" t="e">
        <f ca="1">'QTR Raw'!AD25</f>
        <v>#NAME?</v>
      </c>
      <c r="BK47" s="23" t="e">
        <f ca="1">'QTR Raw'!AE25</f>
        <v>#NAME?</v>
      </c>
      <c r="BL47" s="23" t="e">
        <f ca="1">'QTR Raw'!AF25</f>
        <v>#NAME?</v>
      </c>
      <c r="BM47" s="23" t="e">
        <f ca="1">'QTR Raw'!AG25</f>
        <v>#NAME?</v>
      </c>
      <c r="BN47" s="23" t="e">
        <f ca="1">'QTR Raw'!AH25</f>
        <v>#NAME?</v>
      </c>
      <c r="BO47" s="23" t="e">
        <f ca="1">'QTR Raw'!AI25</f>
        <v>#NAME?</v>
      </c>
      <c r="BP47" s="23" t="e">
        <f ca="1">'QTR Raw'!AJ25</f>
        <v>#NAME?</v>
      </c>
      <c r="BQ47" s="23" t="e">
        <f ca="1">'QTR Raw'!AK25</f>
        <v>#NAME?</v>
      </c>
      <c r="BR47" s="23" t="e">
        <f ca="1">'QTR Raw'!AL25</f>
        <v>#NAME?</v>
      </c>
      <c r="BS47" s="23" t="e">
        <f ca="1">'QTR Raw'!AM25</f>
        <v>#NAME?</v>
      </c>
      <c r="BT47" s="23" t="e">
        <f ca="1">'QTR Raw'!AN25</f>
        <v>#NAME?</v>
      </c>
      <c r="BU47" s="23" t="e">
        <f ca="1">'QTR Raw'!AO25</f>
        <v>#NAME?</v>
      </c>
      <c r="BV47" s="23" t="e">
        <f ca="1">'QTR Raw'!AP25</f>
        <v>#NAME?</v>
      </c>
      <c r="BW47" s="23" t="e">
        <f ca="1">'QTR Raw'!AQ25</f>
        <v>#NAME?</v>
      </c>
      <c r="BX47" s="23" t="e">
        <f ca="1">'QTR Raw'!AR25</f>
        <v>#NAME?</v>
      </c>
      <c r="BY47" s="23" t="e">
        <f ca="1">'QTR Raw'!AS25</f>
        <v>#NAME?</v>
      </c>
      <c r="BZ47" s="23" t="e">
        <f ca="1">'QTR Raw'!AT25</f>
        <v>#NAME?</v>
      </c>
      <c r="CA47" s="23" t="e">
        <f ca="1">'QTR Raw'!AU25</f>
        <v>#NAME?</v>
      </c>
      <c r="CB47" s="23" t="e">
        <f ca="1">'QTR Raw'!AV25</f>
        <v>#NAME?</v>
      </c>
      <c r="CC47" s="23" t="e">
        <f ca="1">'QTR Raw'!AW25</f>
        <v>#NAME?</v>
      </c>
      <c r="CD47" s="23" t="e">
        <f ca="1">'QTR Raw'!AX25</f>
        <v>#NAME?</v>
      </c>
      <c r="CE47" s="23" t="e">
        <f ca="1">'QTR Raw'!AY25</f>
        <v>#NAME?</v>
      </c>
      <c r="CF47" s="23" t="e">
        <f ca="1">'QTR Raw'!AZ25</f>
        <v>#NAME?</v>
      </c>
      <c r="CG47" s="23">
        <v>5.0049999999999999</v>
      </c>
      <c r="CH47" s="23" t="e">
        <f ca="1">'QTR Raw'!BB25</f>
        <v>#NAME?</v>
      </c>
      <c r="CI47" s="23" t="e">
        <f ca="1">'QTR Raw'!BC25</f>
        <v>#NAME?</v>
      </c>
      <c r="CJ47" s="23" t="e">
        <f ca="1">'QTR Raw'!BD25</f>
        <v>#NAME?</v>
      </c>
      <c r="CK47" s="23" t="e">
        <f ca="1">'QTR Raw'!BE25</f>
        <v>#NAME?</v>
      </c>
      <c r="CL47" s="23" t="e">
        <f ca="1">'QTR Raw'!BF25</f>
        <v>#NAME?</v>
      </c>
      <c r="CM47" s="24" t="e">
        <f t="shared" ref="CM47:DB47" ca="1" si="447">CM48*CL179</f>
        <v>#NAME?</v>
      </c>
      <c r="CN47" s="24" t="e">
        <f t="shared" ca="1" si="447"/>
        <v>#NAME?</v>
      </c>
      <c r="CO47" s="24" t="e">
        <f t="shared" ca="1" si="447"/>
        <v>#NAME?</v>
      </c>
      <c r="CP47" s="24" t="e">
        <f t="shared" ca="1" si="447"/>
        <v>#NAME?</v>
      </c>
      <c r="CQ47" s="24" t="e">
        <f t="shared" ca="1" si="447"/>
        <v>#NAME?</v>
      </c>
      <c r="CR47" s="24" t="e">
        <f t="shared" ca="1" si="447"/>
        <v>#NAME?</v>
      </c>
      <c r="CS47" s="24" t="e">
        <f t="shared" ca="1" si="447"/>
        <v>#NAME?</v>
      </c>
      <c r="CT47" s="24" t="e">
        <f t="shared" ca="1" si="447"/>
        <v>#NAME?</v>
      </c>
      <c r="CU47" s="24" t="e">
        <f t="shared" ca="1" si="447"/>
        <v>#NAME?</v>
      </c>
      <c r="CV47" s="24" t="e">
        <f t="shared" ca="1" si="447"/>
        <v>#NAME?</v>
      </c>
      <c r="CW47" s="24" t="e">
        <f t="shared" ca="1" si="447"/>
        <v>#NAME?</v>
      </c>
      <c r="CX47" s="24" t="e">
        <f t="shared" ca="1" si="447"/>
        <v>#NAME?</v>
      </c>
      <c r="CY47" s="24" t="e">
        <f t="shared" ca="1" si="447"/>
        <v>#NAME?</v>
      </c>
      <c r="CZ47" s="24" t="e">
        <f t="shared" ca="1" si="447"/>
        <v>#NAME?</v>
      </c>
      <c r="DA47" s="24" t="e">
        <f t="shared" ca="1" si="447"/>
        <v>#NAME?</v>
      </c>
      <c r="DB47" s="24" t="e">
        <f t="shared" ca="1" si="447"/>
        <v>#NAME?</v>
      </c>
      <c r="DE47" s="123"/>
      <c r="DF47" s="23">
        <v>39.298000000000002</v>
      </c>
    </row>
    <row r="48" spans="1:110" s="46" customFormat="1" x14ac:dyDescent="0.2">
      <c r="A48" s="46" t="s">
        <v>482</v>
      </c>
      <c r="B48" s="46" t="e">
        <f t="shared" ref="B48:D48" ca="1" si="448">+B47/B139</f>
        <v>#NAME?</v>
      </c>
      <c r="C48" s="46" t="e">
        <f t="shared" ca="1" si="448"/>
        <v>#NAME?</v>
      </c>
      <c r="D48" s="46" t="e">
        <f t="shared" ca="1" si="448"/>
        <v>#NAME?</v>
      </c>
      <c r="E48" s="46" t="e">
        <f t="shared" ref="E48:AE48" ca="1" si="449">+E47/E139</f>
        <v>#NAME?</v>
      </c>
      <c r="F48" s="46" t="e">
        <f t="shared" ca="1" si="449"/>
        <v>#NAME?</v>
      </c>
      <c r="G48" s="46" t="e">
        <f t="shared" ca="1" si="449"/>
        <v>#NAME?</v>
      </c>
      <c r="H48" s="46" t="e">
        <f t="shared" ca="1" si="449"/>
        <v>#NAME?</v>
      </c>
      <c r="I48" s="46" t="e">
        <f t="shared" ca="1" si="449"/>
        <v>#NAME?</v>
      </c>
      <c r="J48" s="46" t="e">
        <f t="shared" ca="1" si="449"/>
        <v>#NAME?</v>
      </c>
      <c r="K48" s="46" t="e">
        <f t="shared" ca="1" si="449"/>
        <v>#NAME?</v>
      </c>
      <c r="L48" s="46" t="e">
        <f t="shared" ca="1" si="449"/>
        <v>#NAME?</v>
      </c>
      <c r="M48" s="46" t="e">
        <f t="shared" ca="1" si="449"/>
        <v>#NAME?</v>
      </c>
      <c r="N48" s="46" t="e">
        <f t="shared" ca="1" si="449"/>
        <v>#NAME?</v>
      </c>
      <c r="O48" s="46" t="e">
        <f t="shared" ca="1" si="449"/>
        <v>#NAME?</v>
      </c>
      <c r="P48" s="46" t="e">
        <f t="shared" ca="1" si="449"/>
        <v>#NAME?</v>
      </c>
      <c r="Q48" s="46" t="e">
        <f t="shared" ca="1" si="449"/>
        <v>#NAME?</v>
      </c>
      <c r="R48" s="46" t="e">
        <f t="shared" ca="1" si="449"/>
        <v>#NAME?</v>
      </c>
      <c r="S48" s="46" t="e">
        <f t="shared" ca="1" si="449"/>
        <v>#NAME?</v>
      </c>
      <c r="T48" s="46" t="e">
        <f t="shared" ca="1" si="449"/>
        <v>#NAME?</v>
      </c>
      <c r="U48" s="46" t="e">
        <f t="shared" ca="1" si="449"/>
        <v>#NAME?</v>
      </c>
      <c r="V48" s="46" t="e">
        <f t="shared" ca="1" si="449"/>
        <v>#NAME?</v>
      </c>
      <c r="W48" s="46" t="e">
        <f t="shared" ca="1" si="449"/>
        <v>#NAME?</v>
      </c>
      <c r="X48" s="46" t="e">
        <f t="shared" ca="1" si="449"/>
        <v>#NAME?</v>
      </c>
      <c r="Y48" s="46" t="e">
        <f t="shared" ca="1" si="449"/>
        <v>#NAME?</v>
      </c>
      <c r="Z48" s="46" t="e">
        <f t="shared" ca="1" si="449"/>
        <v>#NAME?</v>
      </c>
      <c r="AA48" s="46" t="e">
        <f t="shared" ref="AA48" ca="1" si="450">+AA47/AA139</f>
        <v>#NAME?</v>
      </c>
      <c r="AB48" s="110" t="e">
        <f t="shared" ca="1" si="449"/>
        <v>#NAME?</v>
      </c>
      <c r="AC48" s="110" t="e">
        <f t="shared" ca="1" si="449"/>
        <v>#NAME?</v>
      </c>
      <c r="AD48" s="110" t="e">
        <f t="shared" ca="1" si="449"/>
        <v>#NAME?</v>
      </c>
      <c r="AE48" s="110" t="e">
        <f t="shared" ca="1" si="449"/>
        <v>#NAME?</v>
      </c>
      <c r="AI48" s="46" t="e">
        <f t="shared" ref="AI48:BN48" ca="1" si="451">(AI47-AI46)/AH179</f>
        <v>#NAME?</v>
      </c>
      <c r="AJ48" s="46" t="e">
        <f t="shared" ca="1" si="451"/>
        <v>#NAME?</v>
      </c>
      <c r="AK48" s="46" t="e">
        <f t="shared" ca="1" si="451"/>
        <v>#NAME?</v>
      </c>
      <c r="AL48" s="46" t="e">
        <f t="shared" ca="1" si="451"/>
        <v>#NAME?</v>
      </c>
      <c r="AM48" s="46" t="e">
        <f t="shared" ca="1" si="451"/>
        <v>#NAME?</v>
      </c>
      <c r="AN48" s="46" t="e">
        <f t="shared" ca="1" si="451"/>
        <v>#NAME?</v>
      </c>
      <c r="AO48" s="46" t="e">
        <f t="shared" ca="1" si="451"/>
        <v>#NAME?</v>
      </c>
      <c r="AP48" s="46" t="e">
        <f t="shared" ca="1" si="451"/>
        <v>#NAME?</v>
      </c>
      <c r="AQ48" s="46" t="e">
        <f t="shared" ca="1" si="451"/>
        <v>#NAME?</v>
      </c>
      <c r="AR48" s="46" t="e">
        <f t="shared" ca="1" si="451"/>
        <v>#NAME?</v>
      </c>
      <c r="AS48" s="46" t="e">
        <f t="shared" ca="1" si="451"/>
        <v>#NAME?</v>
      </c>
      <c r="AT48" s="46" t="e">
        <f t="shared" ca="1" si="451"/>
        <v>#NAME?</v>
      </c>
      <c r="AU48" s="46" t="e">
        <f t="shared" ca="1" si="451"/>
        <v>#NAME?</v>
      </c>
      <c r="AV48" s="46" t="e">
        <f t="shared" ca="1" si="451"/>
        <v>#NAME?</v>
      </c>
      <c r="AW48" s="46" t="e">
        <f t="shared" ca="1" si="451"/>
        <v>#NAME?</v>
      </c>
      <c r="AX48" s="46" t="e">
        <f t="shared" ca="1" si="451"/>
        <v>#NAME?</v>
      </c>
      <c r="AY48" s="46" t="e">
        <f t="shared" ca="1" si="451"/>
        <v>#NAME?</v>
      </c>
      <c r="AZ48" s="46" t="e">
        <f t="shared" ca="1" si="451"/>
        <v>#NAME?</v>
      </c>
      <c r="BA48" s="46" t="e">
        <f t="shared" ca="1" si="451"/>
        <v>#NAME?</v>
      </c>
      <c r="BB48" s="46" t="e">
        <f t="shared" ca="1" si="451"/>
        <v>#NAME?</v>
      </c>
      <c r="BC48" s="46" t="e">
        <f t="shared" ca="1" si="451"/>
        <v>#NAME?</v>
      </c>
      <c r="BD48" s="46" t="e">
        <f t="shared" ca="1" si="451"/>
        <v>#NAME?</v>
      </c>
      <c r="BE48" s="46" t="e">
        <f t="shared" ca="1" si="451"/>
        <v>#NAME?</v>
      </c>
      <c r="BF48" s="46" t="e">
        <f t="shared" ca="1" si="451"/>
        <v>#NAME?</v>
      </c>
      <c r="BG48" s="46" t="e">
        <f t="shared" ca="1" si="451"/>
        <v>#NAME?</v>
      </c>
      <c r="BH48" s="46" t="e">
        <f t="shared" ca="1" si="451"/>
        <v>#NAME?</v>
      </c>
      <c r="BI48" s="46" t="e">
        <f t="shared" ca="1" si="451"/>
        <v>#NAME?</v>
      </c>
      <c r="BJ48" s="46" t="e">
        <f t="shared" ca="1" si="451"/>
        <v>#NAME?</v>
      </c>
      <c r="BK48" s="46" t="e">
        <f t="shared" ca="1" si="451"/>
        <v>#NAME?</v>
      </c>
      <c r="BL48" s="46" t="e">
        <f t="shared" ca="1" si="451"/>
        <v>#NAME?</v>
      </c>
      <c r="BM48" s="46" t="e">
        <f t="shared" ca="1" si="451"/>
        <v>#NAME?</v>
      </c>
      <c r="BN48" s="46" t="e">
        <f t="shared" ca="1" si="451"/>
        <v>#NAME?</v>
      </c>
      <c r="BO48" s="46" t="e">
        <f t="shared" ref="BO48:CL48" ca="1" si="452">(BO47-BO46)/BN179</f>
        <v>#NAME?</v>
      </c>
      <c r="BP48" s="46" t="e">
        <f t="shared" ca="1" si="452"/>
        <v>#NAME?</v>
      </c>
      <c r="BQ48" s="46" t="e">
        <f t="shared" ca="1" si="452"/>
        <v>#NAME?</v>
      </c>
      <c r="BR48" s="46" t="e">
        <f t="shared" ca="1" si="452"/>
        <v>#NAME?</v>
      </c>
      <c r="BS48" s="46" t="e">
        <f t="shared" ca="1" si="452"/>
        <v>#NAME?</v>
      </c>
      <c r="BT48" s="46" t="e">
        <f t="shared" ca="1" si="452"/>
        <v>#NAME?</v>
      </c>
      <c r="BU48" s="46" t="e">
        <f t="shared" ca="1" si="452"/>
        <v>#NAME?</v>
      </c>
      <c r="BV48" s="46" t="e">
        <f t="shared" ca="1" si="452"/>
        <v>#NAME?</v>
      </c>
      <c r="BW48" s="46" t="e">
        <f t="shared" ca="1" si="452"/>
        <v>#NAME?</v>
      </c>
      <c r="BX48" s="46" t="e">
        <f t="shared" ca="1" si="452"/>
        <v>#NAME?</v>
      </c>
      <c r="BY48" s="46" t="e">
        <f t="shared" ca="1" si="452"/>
        <v>#NAME?</v>
      </c>
      <c r="BZ48" s="46" t="e">
        <f t="shared" ca="1" si="452"/>
        <v>#NAME?</v>
      </c>
      <c r="CA48" s="46" t="e">
        <f t="shared" ca="1" si="452"/>
        <v>#NAME?</v>
      </c>
      <c r="CB48" s="46" t="e">
        <f t="shared" ca="1" si="452"/>
        <v>#NAME?</v>
      </c>
      <c r="CC48" s="46" t="e">
        <f t="shared" ca="1" si="452"/>
        <v>#NAME?</v>
      </c>
      <c r="CD48" s="46" t="e">
        <f t="shared" ca="1" si="452"/>
        <v>#NAME?</v>
      </c>
      <c r="CE48" s="46" t="e">
        <f t="shared" ca="1" si="452"/>
        <v>#NAME?</v>
      </c>
      <c r="CF48" s="46" t="e">
        <f t="shared" ca="1" si="452"/>
        <v>#NAME?</v>
      </c>
      <c r="CG48" s="46">
        <v>3.6958544401943544E-2</v>
      </c>
      <c r="CH48" s="46" t="e">
        <f t="shared" ca="1" si="452"/>
        <v>#NAME?</v>
      </c>
      <c r="CI48" s="46" t="e">
        <f t="shared" ca="1" si="452"/>
        <v>#NAME?</v>
      </c>
      <c r="CJ48" s="46" t="e">
        <f t="shared" ca="1" si="452"/>
        <v>#NAME?</v>
      </c>
      <c r="CK48" s="46" t="e">
        <f t="shared" ca="1" si="452"/>
        <v>#NAME?</v>
      </c>
      <c r="CL48" s="46" t="e">
        <f t="shared" ca="1" si="452"/>
        <v>#NAME?</v>
      </c>
      <c r="CM48" s="47" t="e">
        <f t="shared" ref="CM48" ca="1" si="453">+CL48</f>
        <v>#NAME?</v>
      </c>
      <c r="CN48" s="47" t="e">
        <f t="shared" ref="CN48" ca="1" si="454">+CM48</f>
        <v>#NAME?</v>
      </c>
      <c r="CO48" s="47" t="e">
        <f t="shared" ref="CO48" ca="1" si="455">+CN48</f>
        <v>#NAME?</v>
      </c>
      <c r="CP48" s="47" t="e">
        <f t="shared" ref="CP48" ca="1" si="456">+CO48</f>
        <v>#NAME?</v>
      </c>
      <c r="CQ48" s="47" t="e">
        <f t="shared" ref="CQ48" ca="1" si="457">+CP48</f>
        <v>#NAME?</v>
      </c>
      <c r="CR48" s="47" t="e">
        <f t="shared" ref="CR48" ca="1" si="458">+CQ48</f>
        <v>#NAME?</v>
      </c>
      <c r="CS48" s="47" t="e">
        <f t="shared" ref="CS48" ca="1" si="459">+CR48</f>
        <v>#NAME?</v>
      </c>
      <c r="CT48" s="47" t="e">
        <f t="shared" ref="CT48" ca="1" si="460">+CS48</f>
        <v>#NAME?</v>
      </c>
      <c r="CU48" s="47" t="e">
        <f t="shared" ref="CU48" ca="1" si="461">+CT48</f>
        <v>#NAME?</v>
      </c>
      <c r="CV48" s="47" t="e">
        <f t="shared" ref="CV48" ca="1" si="462">+CU48</f>
        <v>#NAME?</v>
      </c>
      <c r="CW48" s="47" t="e">
        <f t="shared" ref="CW48" ca="1" si="463">+CV48</f>
        <v>#NAME?</v>
      </c>
      <c r="CX48" s="47" t="e">
        <f t="shared" ref="CX48" ca="1" si="464">+CW48</f>
        <v>#NAME?</v>
      </c>
      <c r="CY48" s="47" t="e">
        <f t="shared" ref="CY48" ca="1" si="465">+CX48</f>
        <v>#NAME?</v>
      </c>
      <c r="CZ48" s="47" t="e">
        <f t="shared" ref="CZ48" ca="1" si="466">+CY48</f>
        <v>#NAME?</v>
      </c>
      <c r="DA48" s="47" t="e">
        <f t="shared" ref="DA48" ca="1" si="467">+CZ48</f>
        <v>#NAME?</v>
      </c>
      <c r="DB48" s="47" t="e">
        <f t="shared" ref="DB48" ca="1" si="468">+DA48</f>
        <v>#NAME?</v>
      </c>
      <c r="DE48" s="130"/>
      <c r="DF48" s="46">
        <v>0.1766996402877698</v>
      </c>
    </row>
    <row r="49" spans="1:110" s="26" customFormat="1" x14ac:dyDescent="0.2">
      <c r="A49" s="26" t="s">
        <v>20</v>
      </c>
      <c r="B49" s="26" t="e">
        <f ca="1">B45+B46-B47</f>
        <v>#NAME?</v>
      </c>
      <c r="C49" s="26" t="e">
        <f t="shared" ref="C49:T49" ca="1" si="469">C45+C46-C47</f>
        <v>#NAME?</v>
      </c>
      <c r="D49" s="26" t="e">
        <f ca="1">D45+D46-D47</f>
        <v>#NAME?</v>
      </c>
      <c r="E49" s="26" t="e">
        <f t="shared" ca="1" si="469"/>
        <v>#NAME?</v>
      </c>
      <c r="F49" s="26" t="e">
        <f t="shared" ca="1" si="469"/>
        <v>#NAME?</v>
      </c>
      <c r="G49" s="26" t="e">
        <f t="shared" ca="1" si="469"/>
        <v>#NAME?</v>
      </c>
      <c r="H49" s="26" t="e">
        <f t="shared" ca="1" si="469"/>
        <v>#NAME?</v>
      </c>
      <c r="I49" s="26" t="e">
        <f t="shared" ca="1" si="469"/>
        <v>#NAME?</v>
      </c>
      <c r="J49" s="26" t="e">
        <f t="shared" ca="1" si="469"/>
        <v>#NAME?</v>
      </c>
      <c r="K49" s="26" t="e">
        <f t="shared" ca="1" si="469"/>
        <v>#NAME?</v>
      </c>
      <c r="L49" s="26" t="e">
        <f t="shared" ca="1" si="469"/>
        <v>#NAME?</v>
      </c>
      <c r="M49" s="26" t="e">
        <f t="shared" ca="1" si="469"/>
        <v>#NAME?</v>
      </c>
      <c r="N49" s="26" t="e">
        <f t="shared" ca="1" si="469"/>
        <v>#NAME?</v>
      </c>
      <c r="O49" s="26" t="e">
        <f t="shared" ca="1" si="469"/>
        <v>#NAME?</v>
      </c>
      <c r="P49" s="26" t="e">
        <f t="shared" ca="1" si="469"/>
        <v>#NAME?</v>
      </c>
      <c r="Q49" s="26" t="e">
        <f t="shared" ca="1" si="469"/>
        <v>#NAME?</v>
      </c>
      <c r="R49" s="26" t="e">
        <f t="shared" ca="1" si="469"/>
        <v>#NAME?</v>
      </c>
      <c r="S49" s="26" t="e">
        <f t="shared" ca="1" si="469"/>
        <v>#NAME?</v>
      </c>
      <c r="T49" s="26" t="e">
        <f t="shared" ca="1" si="469"/>
        <v>#NAME?</v>
      </c>
      <c r="U49" s="26" t="e">
        <f t="shared" ref="U49:Z49" ca="1" si="470">U45+U46-U47</f>
        <v>#NAME?</v>
      </c>
      <c r="V49" s="26" t="e">
        <f t="shared" ca="1" si="470"/>
        <v>#NAME?</v>
      </c>
      <c r="W49" s="26" t="e">
        <f t="shared" ca="1" si="470"/>
        <v>#NAME?</v>
      </c>
      <c r="X49" s="26" t="e">
        <f t="shared" ca="1" si="470"/>
        <v>#NAME?</v>
      </c>
      <c r="Y49" s="26" t="e">
        <f t="shared" ca="1" si="470"/>
        <v>#NAME?</v>
      </c>
      <c r="Z49" s="26" t="e">
        <f t="shared" ca="1" si="470"/>
        <v>#NAME?</v>
      </c>
      <c r="AA49" s="26" t="e">
        <f t="shared" ref="AA49" ca="1" si="471">AA45+AA46-AA47</f>
        <v>#NAME?</v>
      </c>
      <c r="AB49" s="27" t="e">
        <f t="shared" ref="AB49:AD49" ca="1" si="472">AB45+AB46-AB47</f>
        <v>#NAME?</v>
      </c>
      <c r="AC49" s="27" t="e">
        <f t="shared" ca="1" si="472"/>
        <v>#NAME?</v>
      </c>
      <c r="AD49" s="27" t="e">
        <f t="shared" ca="1" si="472"/>
        <v>#NAME?</v>
      </c>
      <c r="AE49" s="27" t="e">
        <f t="shared" ref="AE49" ca="1" si="473">AE45+AE46-AE47</f>
        <v>#NAME?</v>
      </c>
      <c r="AI49" s="26" t="e">
        <f ca="1">AI45+AI46-AI47</f>
        <v>#NAME?</v>
      </c>
      <c r="AJ49" s="26" t="e">
        <f t="shared" ref="AJ49" ca="1" si="474">AJ45+AJ46-AJ47</f>
        <v>#NAME?</v>
      </c>
      <c r="AK49" s="26" t="e">
        <f t="shared" ref="AK49:AM49" ca="1" si="475">AK45+AK46-AK47</f>
        <v>#NAME?</v>
      </c>
      <c r="AL49" s="26" t="e">
        <f t="shared" ca="1" si="475"/>
        <v>#NAME?</v>
      </c>
      <c r="AM49" s="26" t="e">
        <f t="shared" ca="1" si="475"/>
        <v>#NAME?</v>
      </c>
      <c r="AN49" s="26" t="e">
        <f t="shared" ref="AN49:AO49" ca="1" si="476">AN45+AN46-AN47</f>
        <v>#NAME?</v>
      </c>
      <c r="AO49" s="26" t="e">
        <f t="shared" ca="1" si="476"/>
        <v>#NAME?</v>
      </c>
      <c r="AP49" s="26" t="e">
        <f t="shared" ref="AP49:CD49" ca="1" si="477">AP45+AP46-AP47</f>
        <v>#NAME?</v>
      </c>
      <c r="AQ49" s="26" t="e">
        <f t="shared" ca="1" si="477"/>
        <v>#NAME?</v>
      </c>
      <c r="AR49" s="26" t="e">
        <f t="shared" ca="1" si="477"/>
        <v>#NAME?</v>
      </c>
      <c r="AS49" s="26" t="e">
        <f t="shared" ca="1" si="477"/>
        <v>#NAME?</v>
      </c>
      <c r="AT49" s="26" t="e">
        <f t="shared" ca="1" si="477"/>
        <v>#NAME?</v>
      </c>
      <c r="AU49" s="26" t="e">
        <f t="shared" ca="1" si="477"/>
        <v>#NAME?</v>
      </c>
      <c r="AV49" s="26" t="e">
        <f t="shared" ca="1" si="477"/>
        <v>#NAME?</v>
      </c>
      <c r="AW49" s="26" t="e">
        <f t="shared" ca="1" si="477"/>
        <v>#NAME?</v>
      </c>
      <c r="AX49" s="26" t="e">
        <f t="shared" ca="1" si="477"/>
        <v>#NAME?</v>
      </c>
      <c r="AY49" s="26" t="e">
        <f t="shared" ca="1" si="477"/>
        <v>#NAME?</v>
      </c>
      <c r="AZ49" s="26" t="e">
        <f t="shared" ca="1" si="477"/>
        <v>#NAME?</v>
      </c>
      <c r="BA49" s="26" t="e">
        <f t="shared" ca="1" si="477"/>
        <v>#NAME?</v>
      </c>
      <c r="BB49" s="26" t="e">
        <f t="shared" ca="1" si="477"/>
        <v>#NAME?</v>
      </c>
      <c r="BC49" s="26" t="e">
        <f t="shared" ca="1" si="477"/>
        <v>#NAME?</v>
      </c>
      <c r="BD49" s="26" t="e">
        <f t="shared" ca="1" si="477"/>
        <v>#NAME?</v>
      </c>
      <c r="BE49" s="26" t="e">
        <f t="shared" ca="1" si="477"/>
        <v>#NAME?</v>
      </c>
      <c r="BF49" s="26" t="e">
        <f t="shared" ca="1" si="477"/>
        <v>#NAME?</v>
      </c>
      <c r="BG49" s="26" t="e">
        <f t="shared" ca="1" si="477"/>
        <v>#NAME?</v>
      </c>
      <c r="BH49" s="26" t="e">
        <f t="shared" ca="1" si="477"/>
        <v>#NAME?</v>
      </c>
      <c r="BI49" s="26" t="e">
        <f t="shared" ca="1" si="477"/>
        <v>#NAME?</v>
      </c>
      <c r="BJ49" s="26" t="e">
        <f t="shared" ca="1" si="477"/>
        <v>#NAME?</v>
      </c>
      <c r="BK49" s="26" t="e">
        <f t="shared" ca="1" si="477"/>
        <v>#NAME?</v>
      </c>
      <c r="BL49" s="26" t="e">
        <f t="shared" ca="1" si="477"/>
        <v>#NAME?</v>
      </c>
      <c r="BM49" s="26" t="e">
        <f t="shared" ca="1" si="477"/>
        <v>#NAME?</v>
      </c>
      <c r="BN49" s="26" t="e">
        <f t="shared" ca="1" si="477"/>
        <v>#NAME?</v>
      </c>
      <c r="BO49" s="26" t="e">
        <f t="shared" ca="1" si="477"/>
        <v>#NAME?</v>
      </c>
      <c r="BP49" s="26" t="e">
        <f t="shared" ca="1" si="477"/>
        <v>#NAME?</v>
      </c>
      <c r="BQ49" s="26" t="e">
        <f t="shared" ca="1" si="477"/>
        <v>#NAME?</v>
      </c>
      <c r="BR49" s="26" t="e">
        <f t="shared" ca="1" si="477"/>
        <v>#NAME?</v>
      </c>
      <c r="BS49" s="26" t="e">
        <f t="shared" ca="1" si="477"/>
        <v>#NAME?</v>
      </c>
      <c r="BT49" s="26" t="e">
        <f t="shared" ca="1" si="477"/>
        <v>#NAME?</v>
      </c>
      <c r="BU49" s="26" t="e">
        <f t="shared" ca="1" si="477"/>
        <v>#NAME?</v>
      </c>
      <c r="BV49" s="26" t="e">
        <f t="shared" ca="1" si="477"/>
        <v>#NAME?</v>
      </c>
      <c r="BW49" s="26" t="e">
        <f t="shared" ca="1" si="477"/>
        <v>#NAME?</v>
      </c>
      <c r="BX49" s="26" t="e">
        <f t="shared" ca="1" si="477"/>
        <v>#NAME?</v>
      </c>
      <c r="BY49" s="26" t="e">
        <f t="shared" ca="1" si="477"/>
        <v>#NAME?</v>
      </c>
      <c r="BZ49" s="26" t="e">
        <f t="shared" ca="1" si="477"/>
        <v>#NAME?</v>
      </c>
      <c r="CA49" s="26" t="e">
        <f t="shared" ca="1" si="477"/>
        <v>#NAME?</v>
      </c>
      <c r="CB49" s="26" t="e">
        <f t="shared" ca="1" si="477"/>
        <v>#NAME?</v>
      </c>
      <c r="CC49" s="26" t="e">
        <f t="shared" ca="1" si="477"/>
        <v>#NAME?</v>
      </c>
      <c r="CD49" s="26" t="e">
        <f t="shared" ca="1" si="477"/>
        <v>#NAME?</v>
      </c>
      <c r="CE49" s="26" t="e">
        <f t="shared" ref="CE49:CF49" ca="1" si="478">CE45+CE46-CE47</f>
        <v>#NAME?</v>
      </c>
      <c r="CF49" s="26" t="e">
        <f t="shared" ca="1" si="478"/>
        <v>#NAME?</v>
      </c>
      <c r="CG49" s="26">
        <v>7.1349999999999811</v>
      </c>
      <c r="CH49" s="26" t="e">
        <f t="shared" ref="CH49" ca="1" si="479">CH45+CH46-CH47</f>
        <v>#NAME?</v>
      </c>
      <c r="CI49" s="26" t="e">
        <f t="shared" ref="CI49:CJ49" ca="1" si="480">CI45+CI46-CI47</f>
        <v>#NAME?</v>
      </c>
      <c r="CJ49" s="26" t="e">
        <f t="shared" ca="1" si="480"/>
        <v>#NAME?</v>
      </c>
      <c r="CK49" s="26" t="e">
        <f t="shared" ref="CK49:CL49" ca="1" si="481">CK45+CK46-CK47</f>
        <v>#NAME?</v>
      </c>
      <c r="CL49" s="26" t="e">
        <f t="shared" ca="1" si="481"/>
        <v>#NAME?</v>
      </c>
      <c r="CM49" s="27" t="e">
        <f t="shared" ref="CM49:DB49" ca="1" si="482">CM45+CM46-CM47</f>
        <v>#NAME?</v>
      </c>
      <c r="CN49" s="27" t="e">
        <f t="shared" ca="1" si="482"/>
        <v>#NAME?</v>
      </c>
      <c r="CO49" s="27" t="e">
        <f t="shared" ca="1" si="482"/>
        <v>#NAME?</v>
      </c>
      <c r="CP49" s="27" t="e">
        <f t="shared" ca="1" si="482"/>
        <v>#NAME?</v>
      </c>
      <c r="CQ49" s="27" t="e">
        <f t="shared" ca="1" si="482"/>
        <v>#NAME?</v>
      </c>
      <c r="CR49" s="27" t="e">
        <f t="shared" ca="1" si="482"/>
        <v>#NAME?</v>
      </c>
      <c r="CS49" s="27" t="e">
        <f t="shared" ca="1" si="482"/>
        <v>#NAME?</v>
      </c>
      <c r="CT49" s="27" t="e">
        <f t="shared" ca="1" si="482"/>
        <v>#NAME?</v>
      </c>
      <c r="CU49" s="27" t="e">
        <f t="shared" ca="1" si="482"/>
        <v>#NAME?</v>
      </c>
      <c r="CV49" s="27" t="e">
        <f t="shared" ca="1" si="482"/>
        <v>#NAME?</v>
      </c>
      <c r="CW49" s="27" t="e">
        <f t="shared" ca="1" si="482"/>
        <v>#NAME?</v>
      </c>
      <c r="CX49" s="27" t="e">
        <f t="shared" ca="1" si="482"/>
        <v>#NAME?</v>
      </c>
      <c r="CY49" s="27" t="e">
        <f t="shared" ca="1" si="482"/>
        <v>#NAME?</v>
      </c>
      <c r="CZ49" s="27" t="e">
        <f t="shared" ca="1" si="482"/>
        <v>#NAME?</v>
      </c>
      <c r="DA49" s="27" t="e">
        <f t="shared" ca="1" si="482"/>
        <v>#NAME?</v>
      </c>
      <c r="DB49" s="27" t="e">
        <f t="shared" ca="1" si="482"/>
        <v>#NAME?</v>
      </c>
      <c r="DE49" s="121"/>
      <c r="DF49" s="26">
        <v>46.993000000000066</v>
      </c>
    </row>
    <row r="50" spans="1:110" s="23" customFormat="1" x14ac:dyDescent="0.2">
      <c r="A50" s="23" t="s">
        <v>21</v>
      </c>
      <c r="B50" s="23" t="e">
        <f ca="1">'Annual Raw'!C30</f>
        <v>#NAME?</v>
      </c>
      <c r="C50" s="23" t="e">
        <f ca="1">'Annual Raw'!D30</f>
        <v>#NAME?</v>
      </c>
      <c r="D50" s="23" t="e">
        <f ca="1">'Annual Raw'!E30</f>
        <v>#NAME?</v>
      </c>
      <c r="E50" s="23" t="e">
        <f ca="1">'Annual Raw'!F30</f>
        <v>#NAME?</v>
      </c>
      <c r="F50" s="23" t="e">
        <f ca="1">'Annual Raw'!G30</f>
        <v>#NAME?</v>
      </c>
      <c r="G50" s="23" t="e">
        <f ca="1">'Annual Raw'!H30</f>
        <v>#NAME?</v>
      </c>
      <c r="H50" s="23" t="e">
        <f ca="1">'Annual Raw'!I30</f>
        <v>#NAME?</v>
      </c>
      <c r="I50" s="23" t="e">
        <f ca="1">'Annual Raw'!J30</f>
        <v>#NAME?</v>
      </c>
      <c r="J50" s="23" t="e">
        <f ca="1">'Annual Raw'!K30</f>
        <v>#NAME?</v>
      </c>
      <c r="K50" s="23" t="e">
        <f ca="1">'Annual Raw'!L30</f>
        <v>#NAME?</v>
      </c>
      <c r="L50" s="23" t="e">
        <f ca="1">'Annual Raw'!M30</f>
        <v>#NAME?</v>
      </c>
      <c r="M50" s="23" t="e">
        <f ca="1">'Annual Raw'!N30</f>
        <v>#NAME?</v>
      </c>
      <c r="N50" s="23" t="e">
        <f ca="1">'Annual Raw'!O30</f>
        <v>#NAME?</v>
      </c>
      <c r="O50" s="23" t="e">
        <f ca="1">'Annual Raw'!P30</f>
        <v>#NAME?</v>
      </c>
      <c r="P50" s="23" t="e">
        <f ca="1">'Annual Raw'!Q30</f>
        <v>#NAME?</v>
      </c>
      <c r="Q50" s="23" t="e">
        <f ca="1">'Annual Raw'!R30</f>
        <v>#NAME?</v>
      </c>
      <c r="R50" s="23" t="e">
        <f ca="1">'Annual Raw'!S30</f>
        <v>#NAME?</v>
      </c>
      <c r="S50" s="23" t="e">
        <f ca="1">'Annual Raw'!T30</f>
        <v>#NAME?</v>
      </c>
      <c r="T50" s="23" t="e">
        <f ca="1">'Annual Raw'!U30</f>
        <v>#NAME?</v>
      </c>
      <c r="U50" s="23" t="e">
        <f ca="1">'Annual Raw'!V30</f>
        <v>#NAME?</v>
      </c>
      <c r="V50" s="23" t="e">
        <f ca="1">'Annual Raw'!W30</f>
        <v>#NAME?</v>
      </c>
      <c r="W50" s="23" t="e">
        <f ca="1">'Annual Raw'!X30</f>
        <v>#NAME?</v>
      </c>
      <c r="X50" s="23" t="e">
        <f ca="1">'Annual Raw'!Y30</f>
        <v>#NAME?</v>
      </c>
      <c r="Y50" s="23" t="e">
        <f ca="1">'Annual Raw'!Z30</f>
        <v>#NAME?</v>
      </c>
      <c r="Z50" s="23" t="e">
        <f ca="1">'Annual Raw'!AA30</f>
        <v>#NAME?</v>
      </c>
      <c r="AA50" s="23" t="e">
        <f ca="1">'Annual Raw'!AB30</f>
        <v>#NAME?</v>
      </c>
      <c r="AB50" s="24" t="e">
        <f ca="1">+SUM(CM50:CP50)</f>
        <v>#NAME?</v>
      </c>
      <c r="AC50" s="24" t="e">
        <f ca="1">+SUM(CQ50:CT50)</f>
        <v>#NAME?</v>
      </c>
      <c r="AD50" s="24" t="e">
        <f ca="1">+SUM(CU50:CX50)</f>
        <v>#NAME?</v>
      </c>
      <c r="AE50" s="24" t="e">
        <f ca="1">+SUM(CY50:DB50)</f>
        <v>#NAME?</v>
      </c>
      <c r="AI50" s="23" t="e">
        <f ca="1">'QTR Raw'!C29</f>
        <v>#NAME?</v>
      </c>
      <c r="AJ50" s="23" t="e">
        <f ca="1">'QTR Raw'!D29</f>
        <v>#NAME?</v>
      </c>
      <c r="AK50" s="23" t="e">
        <f ca="1">'QTR Raw'!E29</f>
        <v>#NAME?</v>
      </c>
      <c r="AL50" s="23" t="e">
        <f ca="1">'QTR Raw'!F29</f>
        <v>#NAME?</v>
      </c>
      <c r="AM50" s="23" t="e">
        <f ca="1">'QTR Raw'!G29</f>
        <v>#NAME?</v>
      </c>
      <c r="AN50" s="23" t="e">
        <f ca="1">'QTR Raw'!H29</f>
        <v>#NAME?</v>
      </c>
      <c r="AO50" s="23" t="e">
        <f ca="1">'QTR Raw'!I29</f>
        <v>#NAME?</v>
      </c>
      <c r="AP50" s="23" t="e">
        <f ca="1">'QTR Raw'!J29</f>
        <v>#NAME?</v>
      </c>
      <c r="AQ50" s="23" t="e">
        <f ca="1">'QTR Raw'!K29</f>
        <v>#NAME?</v>
      </c>
      <c r="AR50" s="23" t="e">
        <f ca="1">'QTR Raw'!L29</f>
        <v>#NAME?</v>
      </c>
      <c r="AS50" s="23" t="e">
        <f ca="1">'QTR Raw'!M29</f>
        <v>#NAME?</v>
      </c>
      <c r="AT50" s="23" t="e">
        <f ca="1">'QTR Raw'!N29</f>
        <v>#NAME?</v>
      </c>
      <c r="AU50" s="23" t="e">
        <f ca="1">'QTR Raw'!O29</f>
        <v>#NAME?</v>
      </c>
      <c r="AV50" s="23" t="e">
        <f ca="1">'QTR Raw'!P29</f>
        <v>#NAME?</v>
      </c>
      <c r="AW50" s="23" t="e">
        <f ca="1">'QTR Raw'!Q29</f>
        <v>#NAME?</v>
      </c>
      <c r="AX50" s="23" t="e">
        <f ca="1">'QTR Raw'!R29</f>
        <v>#NAME?</v>
      </c>
      <c r="AY50" s="23" t="e">
        <f ca="1">'QTR Raw'!S29</f>
        <v>#NAME?</v>
      </c>
      <c r="AZ50" s="23" t="e">
        <f ca="1">'QTR Raw'!T29</f>
        <v>#NAME?</v>
      </c>
      <c r="BA50" s="23" t="e">
        <f ca="1">'QTR Raw'!U29</f>
        <v>#NAME?</v>
      </c>
      <c r="BB50" s="23" t="e">
        <f ca="1">'QTR Raw'!V29</f>
        <v>#NAME?</v>
      </c>
      <c r="BC50" s="23" t="e">
        <f ca="1">'QTR Raw'!W29</f>
        <v>#NAME?</v>
      </c>
      <c r="BD50" s="23" t="e">
        <f ca="1">'QTR Raw'!X29</f>
        <v>#NAME?</v>
      </c>
      <c r="BE50" s="23" t="e">
        <f ca="1">'QTR Raw'!Y29</f>
        <v>#NAME?</v>
      </c>
      <c r="BF50" s="23" t="e">
        <f ca="1">'QTR Raw'!Z29</f>
        <v>#NAME?</v>
      </c>
      <c r="BG50" s="23" t="e">
        <f ca="1">'QTR Raw'!AA29</f>
        <v>#NAME?</v>
      </c>
      <c r="BH50" s="23" t="e">
        <f ca="1">'QTR Raw'!AB29</f>
        <v>#NAME?</v>
      </c>
      <c r="BI50" s="23" t="e">
        <f ca="1">'QTR Raw'!AC29</f>
        <v>#NAME?</v>
      </c>
      <c r="BJ50" s="23" t="e">
        <f ca="1">'QTR Raw'!AD29</f>
        <v>#NAME?</v>
      </c>
      <c r="BK50" s="23" t="e">
        <f ca="1">'QTR Raw'!AE29</f>
        <v>#NAME?</v>
      </c>
      <c r="BL50" s="23" t="e">
        <f ca="1">'QTR Raw'!AF29</f>
        <v>#NAME?</v>
      </c>
      <c r="BM50" s="23" t="e">
        <f ca="1">'QTR Raw'!AG29</f>
        <v>#NAME?</v>
      </c>
      <c r="BN50" s="23" t="e">
        <f ca="1">'QTR Raw'!AH29</f>
        <v>#NAME?</v>
      </c>
      <c r="BO50" s="23" t="e">
        <f ca="1">'QTR Raw'!AI29</f>
        <v>#NAME?</v>
      </c>
      <c r="BP50" s="23" t="e">
        <f ca="1">'QTR Raw'!AJ29</f>
        <v>#NAME?</v>
      </c>
      <c r="BQ50" s="23" t="e">
        <f ca="1">'QTR Raw'!AK29</f>
        <v>#NAME?</v>
      </c>
      <c r="BR50" s="23" t="e">
        <f ca="1">'QTR Raw'!AL29</f>
        <v>#NAME?</v>
      </c>
      <c r="BS50" s="23" t="e">
        <f ca="1">'QTR Raw'!AM29</f>
        <v>#NAME?</v>
      </c>
      <c r="BT50" s="23" t="e">
        <f ca="1">'QTR Raw'!AN29</f>
        <v>#NAME?</v>
      </c>
      <c r="BU50" s="23" t="e">
        <f ca="1">'QTR Raw'!AO29</f>
        <v>#NAME?</v>
      </c>
      <c r="BV50" s="23" t="e">
        <f ca="1">'QTR Raw'!AP29</f>
        <v>#NAME?</v>
      </c>
      <c r="BW50" s="23" t="e">
        <f ca="1">'QTR Raw'!AQ29</f>
        <v>#NAME?</v>
      </c>
      <c r="BX50" s="23" t="e">
        <f ca="1">'QTR Raw'!AR29</f>
        <v>#NAME?</v>
      </c>
      <c r="BY50" s="23" t="e">
        <f ca="1">'QTR Raw'!AS29</f>
        <v>#NAME?</v>
      </c>
      <c r="BZ50" s="23" t="e">
        <f ca="1">'QTR Raw'!AT29</f>
        <v>#NAME?</v>
      </c>
      <c r="CA50" s="23" t="e">
        <f ca="1">'QTR Raw'!AU29</f>
        <v>#NAME?</v>
      </c>
      <c r="CB50" s="23" t="e">
        <f ca="1">'QTR Raw'!AV29</f>
        <v>#NAME?</v>
      </c>
      <c r="CC50" s="23" t="e">
        <f ca="1">'QTR Raw'!AW29</f>
        <v>#NAME?</v>
      </c>
      <c r="CD50" s="23" t="e">
        <f ca="1">'QTR Raw'!AX29</f>
        <v>#NAME?</v>
      </c>
      <c r="CE50" s="23" t="e">
        <f ca="1">'QTR Raw'!AY29</f>
        <v>#NAME?</v>
      </c>
      <c r="CF50" s="23" t="e">
        <f ca="1">'QTR Raw'!AZ29</f>
        <v>#NAME?</v>
      </c>
      <c r="CG50" s="23">
        <v>1.802</v>
      </c>
      <c r="CH50" s="23" t="e">
        <f ca="1">'QTR Raw'!BB29</f>
        <v>#NAME?</v>
      </c>
      <c r="CI50" s="23" t="e">
        <f ca="1">'QTR Raw'!BC29</f>
        <v>#NAME?</v>
      </c>
      <c r="CJ50" s="23" t="e">
        <f ca="1">'QTR Raw'!BD29</f>
        <v>#NAME?</v>
      </c>
      <c r="CK50" s="23" t="e">
        <f ca="1">'QTR Raw'!BE29</f>
        <v>#NAME?</v>
      </c>
      <c r="CL50" s="23" t="e">
        <f ca="1">'QTR Raw'!BF29</f>
        <v>#NAME?</v>
      </c>
      <c r="CM50" s="24" t="e">
        <f t="shared" ref="CM50:DB50" ca="1" si="483">+CM49*CM51</f>
        <v>#NAME?</v>
      </c>
      <c r="CN50" s="24" t="e">
        <f t="shared" ca="1" si="483"/>
        <v>#NAME?</v>
      </c>
      <c r="CO50" s="24" t="e">
        <f t="shared" ca="1" si="483"/>
        <v>#NAME?</v>
      </c>
      <c r="CP50" s="24" t="e">
        <f t="shared" ca="1" si="483"/>
        <v>#NAME?</v>
      </c>
      <c r="CQ50" s="24" t="e">
        <f t="shared" ca="1" si="483"/>
        <v>#NAME?</v>
      </c>
      <c r="CR50" s="24" t="e">
        <f t="shared" ca="1" si="483"/>
        <v>#NAME?</v>
      </c>
      <c r="CS50" s="24" t="e">
        <f t="shared" ca="1" si="483"/>
        <v>#NAME?</v>
      </c>
      <c r="CT50" s="24" t="e">
        <f t="shared" ca="1" si="483"/>
        <v>#NAME?</v>
      </c>
      <c r="CU50" s="24" t="e">
        <f t="shared" ca="1" si="483"/>
        <v>#NAME?</v>
      </c>
      <c r="CV50" s="24" t="e">
        <f t="shared" ca="1" si="483"/>
        <v>#NAME?</v>
      </c>
      <c r="CW50" s="24" t="e">
        <f t="shared" ca="1" si="483"/>
        <v>#NAME?</v>
      </c>
      <c r="CX50" s="24" t="e">
        <f t="shared" ca="1" si="483"/>
        <v>#NAME?</v>
      </c>
      <c r="CY50" s="24" t="e">
        <f t="shared" ca="1" si="483"/>
        <v>#NAME?</v>
      </c>
      <c r="CZ50" s="24" t="e">
        <f t="shared" ca="1" si="483"/>
        <v>#NAME?</v>
      </c>
      <c r="DA50" s="24" t="e">
        <f t="shared" ca="1" si="483"/>
        <v>#NAME?</v>
      </c>
      <c r="DB50" s="24" t="e">
        <f t="shared" ca="1" si="483"/>
        <v>#NAME?</v>
      </c>
      <c r="DE50" s="123"/>
      <c r="DF50" s="23">
        <v>9.5410000000000004</v>
      </c>
    </row>
    <row r="51" spans="1:110" s="90" customFormat="1" x14ac:dyDescent="0.2">
      <c r="A51" s="90" t="s">
        <v>106</v>
      </c>
      <c r="B51" s="90" t="e">
        <f t="shared" ref="B51:E51" ca="1" si="484">B50/B49</f>
        <v>#NAME?</v>
      </c>
      <c r="C51" s="90" t="e">
        <f t="shared" ca="1" si="484"/>
        <v>#NAME?</v>
      </c>
      <c r="D51" s="90" t="e">
        <f t="shared" ca="1" si="484"/>
        <v>#NAME?</v>
      </c>
      <c r="E51" s="90" t="e">
        <f t="shared" ca="1" si="484"/>
        <v>#NAME?</v>
      </c>
      <c r="F51" s="90" t="e">
        <f t="shared" ref="F51:T51" ca="1" si="485">F50/F49</f>
        <v>#NAME?</v>
      </c>
      <c r="G51" s="90" t="e">
        <f t="shared" ca="1" si="485"/>
        <v>#NAME?</v>
      </c>
      <c r="H51" s="90" t="e">
        <f t="shared" ca="1" si="485"/>
        <v>#NAME?</v>
      </c>
      <c r="I51" s="90" t="e">
        <f t="shared" ca="1" si="485"/>
        <v>#NAME?</v>
      </c>
      <c r="J51" s="90" t="e">
        <f t="shared" ca="1" si="485"/>
        <v>#NAME?</v>
      </c>
      <c r="K51" s="90" t="e">
        <f t="shared" ca="1" si="485"/>
        <v>#NAME?</v>
      </c>
      <c r="L51" s="90" t="e">
        <f t="shared" ca="1" si="485"/>
        <v>#NAME?</v>
      </c>
      <c r="M51" s="90" t="e">
        <f t="shared" ca="1" si="485"/>
        <v>#NAME?</v>
      </c>
      <c r="N51" s="90" t="e">
        <f t="shared" ca="1" si="485"/>
        <v>#NAME?</v>
      </c>
      <c r="O51" s="90" t="e">
        <f t="shared" ca="1" si="485"/>
        <v>#NAME?</v>
      </c>
      <c r="P51" s="90" t="e">
        <f t="shared" ca="1" si="485"/>
        <v>#NAME?</v>
      </c>
      <c r="Q51" s="90" t="e">
        <f t="shared" ca="1" si="485"/>
        <v>#NAME?</v>
      </c>
      <c r="R51" s="90" t="e">
        <f t="shared" ca="1" si="485"/>
        <v>#NAME?</v>
      </c>
      <c r="S51" s="90" t="e">
        <f t="shared" ca="1" si="485"/>
        <v>#NAME?</v>
      </c>
      <c r="T51" s="90" t="e">
        <f t="shared" ca="1" si="485"/>
        <v>#NAME?</v>
      </c>
      <c r="U51" s="90" t="e">
        <f t="shared" ref="U51:Z51" ca="1" si="486">U50/U49</f>
        <v>#NAME?</v>
      </c>
      <c r="V51" s="90" t="e">
        <f t="shared" ca="1" si="486"/>
        <v>#NAME?</v>
      </c>
      <c r="W51" s="90" t="e">
        <f t="shared" ca="1" si="486"/>
        <v>#NAME?</v>
      </c>
      <c r="X51" s="90" t="e">
        <f t="shared" ca="1" si="486"/>
        <v>#NAME?</v>
      </c>
      <c r="Y51" s="90" t="e">
        <f t="shared" ca="1" si="486"/>
        <v>#NAME?</v>
      </c>
      <c r="Z51" s="90" t="e">
        <f t="shared" ca="1" si="486"/>
        <v>#NAME?</v>
      </c>
      <c r="AA51" s="90" t="e">
        <f t="shared" ref="AA51" ca="1" si="487">AA50/AA49</f>
        <v>#NAME?</v>
      </c>
      <c r="AB51" s="91" t="e">
        <f t="shared" ref="AA51:AD51" ca="1" si="488">AB50/AB49</f>
        <v>#NAME?</v>
      </c>
      <c r="AC51" s="91" t="e">
        <f t="shared" ca="1" si="488"/>
        <v>#NAME?</v>
      </c>
      <c r="AD51" s="91" t="e">
        <f t="shared" ca="1" si="488"/>
        <v>#NAME?</v>
      </c>
      <c r="AE51" s="91" t="e">
        <f t="shared" ref="AE51" ca="1" si="489">AE50/AE49</f>
        <v>#NAME?</v>
      </c>
      <c r="AI51" s="90" t="e">
        <f t="shared" ref="AI51" ca="1" si="490">AI50/AI49</f>
        <v>#NAME?</v>
      </c>
      <c r="AJ51" s="90" t="e">
        <f t="shared" ref="AJ51" ca="1" si="491">AJ50/AJ49</f>
        <v>#NAME?</v>
      </c>
      <c r="AK51" s="90" t="e">
        <f t="shared" ref="AK51:AM51" ca="1" si="492">AK50/AK49</f>
        <v>#NAME?</v>
      </c>
      <c r="AL51" s="90" t="e">
        <f t="shared" ca="1" si="492"/>
        <v>#NAME?</v>
      </c>
      <c r="AM51" s="90" t="e">
        <f t="shared" ca="1" si="492"/>
        <v>#NAME?</v>
      </c>
      <c r="AN51" s="90" t="e">
        <f t="shared" ref="AN51:AO51" ca="1" si="493">AN50/AN49</f>
        <v>#NAME?</v>
      </c>
      <c r="AO51" s="90" t="e">
        <f t="shared" ca="1" si="493"/>
        <v>#NAME?</v>
      </c>
      <c r="AP51" s="90" t="e">
        <f t="shared" ref="AP51:CD51" ca="1" si="494">AP50/AP49</f>
        <v>#NAME?</v>
      </c>
      <c r="AQ51" s="90" t="e">
        <f t="shared" ca="1" si="494"/>
        <v>#NAME?</v>
      </c>
      <c r="AR51" s="90" t="e">
        <f t="shared" ca="1" si="494"/>
        <v>#NAME?</v>
      </c>
      <c r="AS51" s="90" t="e">
        <f t="shared" ca="1" si="494"/>
        <v>#NAME?</v>
      </c>
      <c r="AT51" s="90" t="e">
        <f t="shared" ca="1" si="494"/>
        <v>#NAME?</v>
      </c>
      <c r="AU51" s="90" t="e">
        <f t="shared" ca="1" si="494"/>
        <v>#NAME?</v>
      </c>
      <c r="AV51" s="90" t="e">
        <f t="shared" ca="1" si="494"/>
        <v>#NAME?</v>
      </c>
      <c r="AW51" s="90" t="e">
        <f t="shared" ca="1" si="494"/>
        <v>#NAME?</v>
      </c>
      <c r="AX51" s="90" t="e">
        <f t="shared" ca="1" si="494"/>
        <v>#NAME?</v>
      </c>
      <c r="AY51" s="90" t="e">
        <f t="shared" ca="1" si="494"/>
        <v>#NAME?</v>
      </c>
      <c r="AZ51" s="90" t="e">
        <f t="shared" ca="1" si="494"/>
        <v>#NAME?</v>
      </c>
      <c r="BA51" s="90" t="e">
        <f t="shared" ca="1" si="494"/>
        <v>#NAME?</v>
      </c>
      <c r="BB51" s="90" t="e">
        <f t="shared" ca="1" si="494"/>
        <v>#NAME?</v>
      </c>
      <c r="BC51" s="90" t="e">
        <f t="shared" ca="1" si="494"/>
        <v>#NAME?</v>
      </c>
      <c r="BD51" s="90" t="e">
        <f t="shared" ca="1" si="494"/>
        <v>#NAME?</v>
      </c>
      <c r="BE51" s="90" t="e">
        <f t="shared" ca="1" si="494"/>
        <v>#NAME?</v>
      </c>
      <c r="BF51" s="90" t="e">
        <f t="shared" ca="1" si="494"/>
        <v>#NAME?</v>
      </c>
      <c r="BG51" s="90" t="e">
        <f t="shared" ca="1" si="494"/>
        <v>#NAME?</v>
      </c>
      <c r="BH51" s="90" t="e">
        <f t="shared" ca="1" si="494"/>
        <v>#NAME?</v>
      </c>
      <c r="BI51" s="90" t="e">
        <f t="shared" ca="1" si="494"/>
        <v>#NAME?</v>
      </c>
      <c r="BJ51" s="90" t="e">
        <f t="shared" ca="1" si="494"/>
        <v>#NAME?</v>
      </c>
      <c r="BK51" s="90" t="e">
        <f t="shared" ca="1" si="494"/>
        <v>#NAME?</v>
      </c>
      <c r="BL51" s="90" t="e">
        <f t="shared" ca="1" si="494"/>
        <v>#NAME?</v>
      </c>
      <c r="BM51" s="90" t="e">
        <f t="shared" ca="1" si="494"/>
        <v>#NAME?</v>
      </c>
      <c r="BN51" s="90" t="e">
        <f t="shared" ca="1" si="494"/>
        <v>#NAME?</v>
      </c>
      <c r="BO51" s="90" t="e">
        <f t="shared" ca="1" si="494"/>
        <v>#NAME?</v>
      </c>
      <c r="BP51" s="90" t="e">
        <f t="shared" ca="1" si="494"/>
        <v>#NAME?</v>
      </c>
      <c r="BQ51" s="90" t="e">
        <f t="shared" ca="1" si="494"/>
        <v>#NAME?</v>
      </c>
      <c r="BR51" s="90" t="e">
        <f t="shared" ca="1" si="494"/>
        <v>#NAME?</v>
      </c>
      <c r="BS51" s="90" t="e">
        <f t="shared" ca="1" si="494"/>
        <v>#NAME?</v>
      </c>
      <c r="BT51" s="90" t="e">
        <f t="shared" ca="1" si="494"/>
        <v>#NAME?</v>
      </c>
      <c r="BU51" s="90" t="e">
        <f t="shared" ca="1" si="494"/>
        <v>#NAME?</v>
      </c>
      <c r="BV51" s="90" t="e">
        <f t="shared" ca="1" si="494"/>
        <v>#NAME?</v>
      </c>
      <c r="BW51" s="90" t="e">
        <f t="shared" ca="1" si="494"/>
        <v>#NAME?</v>
      </c>
      <c r="BX51" s="90" t="e">
        <f t="shared" ca="1" si="494"/>
        <v>#NAME?</v>
      </c>
      <c r="BY51" s="90" t="e">
        <f t="shared" ca="1" si="494"/>
        <v>#NAME?</v>
      </c>
      <c r="BZ51" s="90" t="e">
        <f t="shared" ca="1" si="494"/>
        <v>#NAME?</v>
      </c>
      <c r="CA51" s="90" t="e">
        <f t="shared" ca="1" si="494"/>
        <v>#NAME?</v>
      </c>
      <c r="CB51" s="90" t="e">
        <f t="shared" ca="1" si="494"/>
        <v>#NAME?</v>
      </c>
      <c r="CC51" s="90" t="e">
        <f t="shared" ca="1" si="494"/>
        <v>#NAME?</v>
      </c>
      <c r="CD51" s="90" t="e">
        <f t="shared" ca="1" si="494"/>
        <v>#NAME?</v>
      </c>
      <c r="CE51" s="90" t="e">
        <f t="shared" ref="CE51:CF51" ca="1" si="495">CE50/CE49</f>
        <v>#NAME?</v>
      </c>
      <c r="CF51" s="90" t="e">
        <f t="shared" ca="1" si="495"/>
        <v>#NAME?</v>
      </c>
      <c r="CG51" s="90">
        <v>0.25255781359495511</v>
      </c>
      <c r="CH51" s="90" t="e">
        <f t="shared" ref="CH51" ca="1" si="496">CH50/CH49</f>
        <v>#NAME?</v>
      </c>
      <c r="CI51" s="90" t="e">
        <f t="shared" ref="CI51:CJ51" ca="1" si="497">CI50/CI49</f>
        <v>#NAME?</v>
      </c>
      <c r="CJ51" s="90" t="e">
        <f t="shared" ca="1" si="497"/>
        <v>#NAME?</v>
      </c>
      <c r="CK51" s="90" t="e">
        <f t="shared" ref="CK51:CL51" ca="1" si="498">CK50/CK49</f>
        <v>#NAME?</v>
      </c>
      <c r="CL51" s="90" t="e">
        <f t="shared" ca="1" si="498"/>
        <v>#NAME?</v>
      </c>
      <c r="CM51" s="91" t="e">
        <f t="shared" ref="CM51:DB51" ca="1" si="499">AVERAGE(CI51:CL51)</f>
        <v>#NAME?</v>
      </c>
      <c r="CN51" s="91" t="e">
        <f t="shared" ca="1" si="499"/>
        <v>#NAME?</v>
      </c>
      <c r="CO51" s="91" t="e">
        <f t="shared" ca="1" si="499"/>
        <v>#NAME?</v>
      </c>
      <c r="CP51" s="91" t="e">
        <f t="shared" ca="1" si="499"/>
        <v>#NAME?</v>
      </c>
      <c r="CQ51" s="91" t="e">
        <f t="shared" ca="1" si="499"/>
        <v>#NAME?</v>
      </c>
      <c r="CR51" s="91" t="e">
        <f t="shared" ca="1" si="499"/>
        <v>#NAME?</v>
      </c>
      <c r="CS51" s="91" t="e">
        <f t="shared" ca="1" si="499"/>
        <v>#NAME?</v>
      </c>
      <c r="CT51" s="91" t="e">
        <f t="shared" ca="1" si="499"/>
        <v>#NAME?</v>
      </c>
      <c r="CU51" s="91" t="e">
        <f t="shared" ca="1" si="499"/>
        <v>#NAME?</v>
      </c>
      <c r="CV51" s="91" t="e">
        <f t="shared" ca="1" si="499"/>
        <v>#NAME?</v>
      </c>
      <c r="CW51" s="91" t="e">
        <f t="shared" ca="1" si="499"/>
        <v>#NAME?</v>
      </c>
      <c r="CX51" s="91" t="e">
        <f t="shared" ca="1" si="499"/>
        <v>#NAME?</v>
      </c>
      <c r="CY51" s="91" t="e">
        <f t="shared" ca="1" si="499"/>
        <v>#NAME?</v>
      </c>
      <c r="CZ51" s="91" t="e">
        <f t="shared" ca="1" si="499"/>
        <v>#NAME?</v>
      </c>
      <c r="DA51" s="91" t="e">
        <f t="shared" ca="1" si="499"/>
        <v>#NAME?</v>
      </c>
      <c r="DB51" s="91" t="e">
        <f t="shared" ca="1" si="499"/>
        <v>#NAME?</v>
      </c>
      <c r="DE51" s="127"/>
      <c r="DF51" s="90">
        <v>0.20303023854616617</v>
      </c>
    </row>
    <row r="52" spans="1:110" s="26" customFormat="1" x14ac:dyDescent="0.2">
      <c r="A52" s="26" t="s">
        <v>22</v>
      </c>
      <c r="B52" s="26" t="e">
        <f t="shared" ref="B52:E52" ca="1" si="500">B49-B50</f>
        <v>#NAME?</v>
      </c>
      <c r="C52" s="26" t="e">
        <f t="shared" ca="1" si="500"/>
        <v>#NAME?</v>
      </c>
      <c r="D52" s="26" t="e">
        <f t="shared" ca="1" si="500"/>
        <v>#NAME?</v>
      </c>
      <c r="E52" s="26" t="e">
        <f t="shared" ca="1" si="500"/>
        <v>#NAME?</v>
      </c>
      <c r="F52" s="26" t="e">
        <f t="shared" ref="F52:T52" ca="1" si="501">F49-F50</f>
        <v>#NAME?</v>
      </c>
      <c r="G52" s="26" t="e">
        <f t="shared" ca="1" si="501"/>
        <v>#NAME?</v>
      </c>
      <c r="H52" s="26" t="e">
        <f t="shared" ca="1" si="501"/>
        <v>#NAME?</v>
      </c>
      <c r="I52" s="26" t="e">
        <f t="shared" ca="1" si="501"/>
        <v>#NAME?</v>
      </c>
      <c r="J52" s="26" t="e">
        <f t="shared" ca="1" si="501"/>
        <v>#NAME?</v>
      </c>
      <c r="K52" s="26" t="e">
        <f t="shared" ca="1" si="501"/>
        <v>#NAME?</v>
      </c>
      <c r="L52" s="26" t="e">
        <f t="shared" ca="1" si="501"/>
        <v>#NAME?</v>
      </c>
      <c r="M52" s="26" t="e">
        <f t="shared" ca="1" si="501"/>
        <v>#NAME?</v>
      </c>
      <c r="N52" s="26" t="e">
        <f t="shared" ca="1" si="501"/>
        <v>#NAME?</v>
      </c>
      <c r="O52" s="26" t="e">
        <f t="shared" ca="1" si="501"/>
        <v>#NAME?</v>
      </c>
      <c r="P52" s="26" t="e">
        <f t="shared" ca="1" si="501"/>
        <v>#NAME?</v>
      </c>
      <c r="Q52" s="26" t="e">
        <f t="shared" ca="1" si="501"/>
        <v>#NAME?</v>
      </c>
      <c r="R52" s="26" t="e">
        <f t="shared" ca="1" si="501"/>
        <v>#NAME?</v>
      </c>
      <c r="S52" s="26" t="e">
        <f t="shared" ca="1" si="501"/>
        <v>#NAME?</v>
      </c>
      <c r="T52" s="26" t="e">
        <f t="shared" ca="1" si="501"/>
        <v>#NAME?</v>
      </c>
      <c r="U52" s="26" t="e">
        <f t="shared" ref="U52:Z52" ca="1" si="502">U49-U50</f>
        <v>#NAME?</v>
      </c>
      <c r="V52" s="26" t="e">
        <f t="shared" ca="1" si="502"/>
        <v>#NAME?</v>
      </c>
      <c r="W52" s="26" t="e">
        <f t="shared" ca="1" si="502"/>
        <v>#NAME?</v>
      </c>
      <c r="X52" s="26" t="e">
        <f t="shared" ca="1" si="502"/>
        <v>#NAME?</v>
      </c>
      <c r="Y52" s="26" t="e">
        <f t="shared" ca="1" si="502"/>
        <v>#NAME?</v>
      </c>
      <c r="Z52" s="26" t="e">
        <f t="shared" ca="1" si="502"/>
        <v>#NAME?</v>
      </c>
      <c r="AA52" s="26" t="e">
        <f t="shared" ref="AA52" ca="1" si="503">AA49-AA50</f>
        <v>#NAME?</v>
      </c>
      <c r="AB52" s="27" t="e">
        <f t="shared" ref="AA52:AD52" ca="1" si="504">AB49-AB50</f>
        <v>#NAME?</v>
      </c>
      <c r="AC52" s="27" t="e">
        <f t="shared" ca="1" si="504"/>
        <v>#NAME?</v>
      </c>
      <c r="AD52" s="27" t="e">
        <f t="shared" ca="1" si="504"/>
        <v>#NAME?</v>
      </c>
      <c r="AE52" s="27" t="e">
        <f t="shared" ref="AE52" ca="1" si="505">AE49-AE50</f>
        <v>#NAME?</v>
      </c>
      <c r="AI52" s="26" t="e">
        <f ca="1">AI49-AI50</f>
        <v>#NAME?</v>
      </c>
      <c r="AJ52" s="26" t="e">
        <f t="shared" ref="AJ52" ca="1" si="506">AJ49-AJ50</f>
        <v>#NAME?</v>
      </c>
      <c r="AK52" s="26" t="e">
        <f t="shared" ref="AK52:AM52" ca="1" si="507">AK49-AK50</f>
        <v>#NAME?</v>
      </c>
      <c r="AL52" s="26" t="e">
        <f t="shared" ca="1" si="507"/>
        <v>#NAME?</v>
      </c>
      <c r="AM52" s="26" t="e">
        <f t="shared" ca="1" si="507"/>
        <v>#NAME?</v>
      </c>
      <c r="AN52" s="26" t="e">
        <f t="shared" ref="AN52:AO52" ca="1" si="508">AN49-AN50</f>
        <v>#NAME?</v>
      </c>
      <c r="AO52" s="26" t="e">
        <f t="shared" ca="1" si="508"/>
        <v>#NAME?</v>
      </c>
      <c r="AP52" s="26" t="e">
        <f t="shared" ref="AP52:CD52" ca="1" si="509">AP49-AP50</f>
        <v>#NAME?</v>
      </c>
      <c r="AQ52" s="26" t="e">
        <f t="shared" ca="1" si="509"/>
        <v>#NAME?</v>
      </c>
      <c r="AR52" s="26" t="e">
        <f t="shared" ca="1" si="509"/>
        <v>#NAME?</v>
      </c>
      <c r="AS52" s="26" t="e">
        <f t="shared" ca="1" si="509"/>
        <v>#NAME?</v>
      </c>
      <c r="AT52" s="26" t="e">
        <f t="shared" ca="1" si="509"/>
        <v>#NAME?</v>
      </c>
      <c r="AU52" s="26" t="e">
        <f t="shared" ca="1" si="509"/>
        <v>#NAME?</v>
      </c>
      <c r="AV52" s="26" t="e">
        <f t="shared" ca="1" si="509"/>
        <v>#NAME?</v>
      </c>
      <c r="AW52" s="26" t="e">
        <f t="shared" ca="1" si="509"/>
        <v>#NAME?</v>
      </c>
      <c r="AX52" s="26" t="e">
        <f t="shared" ca="1" si="509"/>
        <v>#NAME?</v>
      </c>
      <c r="AY52" s="26" t="e">
        <f t="shared" ca="1" si="509"/>
        <v>#NAME?</v>
      </c>
      <c r="AZ52" s="26" t="e">
        <f t="shared" ca="1" si="509"/>
        <v>#NAME?</v>
      </c>
      <c r="BA52" s="26" t="e">
        <f t="shared" ca="1" si="509"/>
        <v>#NAME?</v>
      </c>
      <c r="BB52" s="26" t="e">
        <f t="shared" ca="1" si="509"/>
        <v>#NAME?</v>
      </c>
      <c r="BC52" s="26" t="e">
        <f t="shared" ca="1" si="509"/>
        <v>#NAME?</v>
      </c>
      <c r="BD52" s="26" t="e">
        <f t="shared" ca="1" si="509"/>
        <v>#NAME?</v>
      </c>
      <c r="BE52" s="26" t="e">
        <f t="shared" ca="1" si="509"/>
        <v>#NAME?</v>
      </c>
      <c r="BF52" s="26" t="e">
        <f t="shared" ca="1" si="509"/>
        <v>#NAME?</v>
      </c>
      <c r="BG52" s="26" t="e">
        <f t="shared" ca="1" si="509"/>
        <v>#NAME?</v>
      </c>
      <c r="BH52" s="26" t="e">
        <f t="shared" ca="1" si="509"/>
        <v>#NAME?</v>
      </c>
      <c r="BI52" s="26" t="e">
        <f t="shared" ca="1" si="509"/>
        <v>#NAME?</v>
      </c>
      <c r="BJ52" s="26" t="e">
        <f t="shared" ca="1" si="509"/>
        <v>#NAME?</v>
      </c>
      <c r="BK52" s="26" t="e">
        <f t="shared" ca="1" si="509"/>
        <v>#NAME?</v>
      </c>
      <c r="BL52" s="26" t="e">
        <f t="shared" ca="1" si="509"/>
        <v>#NAME?</v>
      </c>
      <c r="BM52" s="26" t="e">
        <f t="shared" ca="1" si="509"/>
        <v>#NAME?</v>
      </c>
      <c r="BN52" s="26" t="e">
        <f t="shared" ca="1" si="509"/>
        <v>#NAME?</v>
      </c>
      <c r="BO52" s="26" t="e">
        <f t="shared" ca="1" si="509"/>
        <v>#NAME?</v>
      </c>
      <c r="BP52" s="26" t="e">
        <f t="shared" ca="1" si="509"/>
        <v>#NAME?</v>
      </c>
      <c r="BQ52" s="26" t="e">
        <f t="shared" ca="1" si="509"/>
        <v>#NAME?</v>
      </c>
      <c r="BR52" s="26" t="e">
        <f t="shared" ca="1" si="509"/>
        <v>#NAME?</v>
      </c>
      <c r="BS52" s="26" t="e">
        <f t="shared" ca="1" si="509"/>
        <v>#NAME?</v>
      </c>
      <c r="BT52" s="26" t="e">
        <f t="shared" ca="1" si="509"/>
        <v>#NAME?</v>
      </c>
      <c r="BU52" s="26" t="e">
        <f t="shared" ca="1" si="509"/>
        <v>#NAME?</v>
      </c>
      <c r="BV52" s="26" t="e">
        <f t="shared" ca="1" si="509"/>
        <v>#NAME?</v>
      </c>
      <c r="BW52" s="26" t="e">
        <f t="shared" ca="1" si="509"/>
        <v>#NAME?</v>
      </c>
      <c r="BX52" s="26" t="e">
        <f t="shared" ca="1" si="509"/>
        <v>#NAME?</v>
      </c>
      <c r="BY52" s="26" t="e">
        <f t="shared" ca="1" si="509"/>
        <v>#NAME?</v>
      </c>
      <c r="BZ52" s="26" t="e">
        <f t="shared" ca="1" si="509"/>
        <v>#NAME?</v>
      </c>
      <c r="CA52" s="26" t="e">
        <f t="shared" ca="1" si="509"/>
        <v>#NAME?</v>
      </c>
      <c r="CB52" s="26" t="e">
        <f t="shared" ca="1" si="509"/>
        <v>#NAME?</v>
      </c>
      <c r="CC52" s="26" t="e">
        <f t="shared" ca="1" si="509"/>
        <v>#NAME?</v>
      </c>
      <c r="CD52" s="26" t="e">
        <f t="shared" ca="1" si="509"/>
        <v>#NAME?</v>
      </c>
      <c r="CE52" s="26" t="e">
        <f t="shared" ref="CE52:CF52" ca="1" si="510">CE49-CE50</f>
        <v>#NAME?</v>
      </c>
      <c r="CF52" s="26" t="e">
        <f t="shared" ca="1" si="510"/>
        <v>#NAME?</v>
      </c>
      <c r="CG52" s="26">
        <v>5.3329999999999806</v>
      </c>
      <c r="CH52" s="26" t="e">
        <f t="shared" ref="CH52" ca="1" si="511">CH49-CH50</f>
        <v>#NAME?</v>
      </c>
      <c r="CI52" s="26" t="e">
        <f t="shared" ref="CI52:CJ52" ca="1" si="512">CI49-CI50</f>
        <v>#NAME?</v>
      </c>
      <c r="CJ52" s="26" t="e">
        <f t="shared" ca="1" si="512"/>
        <v>#NAME?</v>
      </c>
      <c r="CK52" s="26" t="e">
        <f t="shared" ref="CK52:CL52" ca="1" si="513">CK49-CK50</f>
        <v>#NAME?</v>
      </c>
      <c r="CL52" s="26" t="e">
        <f t="shared" ca="1" si="513"/>
        <v>#NAME?</v>
      </c>
      <c r="CM52" s="27" t="e">
        <f t="shared" ref="CM52:DB52" ca="1" si="514">CM49-CM50</f>
        <v>#NAME?</v>
      </c>
      <c r="CN52" s="27" t="e">
        <f t="shared" ca="1" si="514"/>
        <v>#NAME?</v>
      </c>
      <c r="CO52" s="27" t="e">
        <f t="shared" ca="1" si="514"/>
        <v>#NAME?</v>
      </c>
      <c r="CP52" s="27" t="e">
        <f t="shared" ca="1" si="514"/>
        <v>#NAME?</v>
      </c>
      <c r="CQ52" s="27" t="e">
        <f t="shared" ca="1" si="514"/>
        <v>#NAME?</v>
      </c>
      <c r="CR52" s="27" t="e">
        <f t="shared" ca="1" si="514"/>
        <v>#NAME?</v>
      </c>
      <c r="CS52" s="27" t="e">
        <f t="shared" ca="1" si="514"/>
        <v>#NAME?</v>
      </c>
      <c r="CT52" s="27" t="e">
        <f t="shared" ca="1" si="514"/>
        <v>#NAME?</v>
      </c>
      <c r="CU52" s="27" t="e">
        <f t="shared" ca="1" si="514"/>
        <v>#NAME?</v>
      </c>
      <c r="CV52" s="27" t="e">
        <f t="shared" ca="1" si="514"/>
        <v>#NAME?</v>
      </c>
      <c r="CW52" s="27" t="e">
        <f t="shared" ca="1" si="514"/>
        <v>#NAME?</v>
      </c>
      <c r="CX52" s="27" t="e">
        <f t="shared" ca="1" si="514"/>
        <v>#NAME?</v>
      </c>
      <c r="CY52" s="27" t="e">
        <f t="shared" ca="1" si="514"/>
        <v>#NAME?</v>
      </c>
      <c r="CZ52" s="27" t="e">
        <f t="shared" ca="1" si="514"/>
        <v>#NAME?</v>
      </c>
      <c r="DA52" s="27" t="e">
        <f t="shared" ca="1" si="514"/>
        <v>#NAME?</v>
      </c>
      <c r="DB52" s="27" t="e">
        <f t="shared" ca="1" si="514"/>
        <v>#NAME?</v>
      </c>
      <c r="DE52" s="121"/>
      <c r="DF52" s="26">
        <v>37.452000000000069</v>
      </c>
    </row>
    <row r="53" spans="1:110" s="45" customFormat="1" x14ac:dyDescent="0.2">
      <c r="A53" s="45" t="s">
        <v>107</v>
      </c>
      <c r="B53" s="45" t="e">
        <f t="shared" ref="B53:E53" ca="1" si="515">+B52/B21</f>
        <v>#NAME?</v>
      </c>
      <c r="C53" s="45" t="e">
        <f t="shared" ca="1" si="515"/>
        <v>#NAME?</v>
      </c>
      <c r="D53" s="45" t="e">
        <f t="shared" ca="1" si="515"/>
        <v>#NAME?</v>
      </c>
      <c r="E53" s="45" t="e">
        <f t="shared" ca="1" si="515"/>
        <v>#NAME?</v>
      </c>
      <c r="F53" s="45" t="e">
        <f t="shared" ref="F53:AE53" ca="1" si="516">+F52/F21</f>
        <v>#NAME?</v>
      </c>
      <c r="G53" s="45" t="e">
        <f t="shared" ca="1" si="516"/>
        <v>#NAME?</v>
      </c>
      <c r="H53" s="45" t="e">
        <f t="shared" ca="1" si="516"/>
        <v>#NAME?</v>
      </c>
      <c r="I53" s="45" t="e">
        <f t="shared" ca="1" si="516"/>
        <v>#NAME?</v>
      </c>
      <c r="J53" s="45" t="e">
        <f t="shared" ca="1" si="516"/>
        <v>#NAME?</v>
      </c>
      <c r="K53" s="45" t="e">
        <f t="shared" ca="1" si="516"/>
        <v>#NAME?</v>
      </c>
      <c r="L53" s="45" t="e">
        <f t="shared" ca="1" si="516"/>
        <v>#NAME?</v>
      </c>
      <c r="M53" s="45" t="e">
        <f t="shared" ca="1" si="516"/>
        <v>#NAME?</v>
      </c>
      <c r="N53" s="45" t="e">
        <f t="shared" ca="1" si="516"/>
        <v>#NAME?</v>
      </c>
      <c r="O53" s="45" t="e">
        <f t="shared" ca="1" si="516"/>
        <v>#NAME?</v>
      </c>
      <c r="P53" s="45" t="e">
        <f t="shared" ca="1" si="516"/>
        <v>#NAME?</v>
      </c>
      <c r="Q53" s="45" t="e">
        <f t="shared" ca="1" si="516"/>
        <v>#NAME?</v>
      </c>
      <c r="R53" s="45" t="e">
        <f t="shared" ca="1" si="516"/>
        <v>#NAME?</v>
      </c>
      <c r="S53" s="45" t="e">
        <f t="shared" ca="1" si="516"/>
        <v>#NAME?</v>
      </c>
      <c r="T53" s="45" t="e">
        <f t="shared" ca="1" si="516"/>
        <v>#NAME?</v>
      </c>
      <c r="U53" s="45" t="e">
        <f t="shared" ca="1" si="516"/>
        <v>#NAME?</v>
      </c>
      <c r="V53" s="45" t="e">
        <f t="shared" ca="1" si="516"/>
        <v>#NAME?</v>
      </c>
      <c r="W53" s="45" t="e">
        <f t="shared" ca="1" si="516"/>
        <v>#NAME?</v>
      </c>
      <c r="X53" s="45" t="e">
        <f t="shared" ca="1" si="516"/>
        <v>#NAME?</v>
      </c>
      <c r="Y53" s="45" t="e">
        <f t="shared" ca="1" si="516"/>
        <v>#NAME?</v>
      </c>
      <c r="Z53" s="45" t="e">
        <f t="shared" ref="Z53:AA53" ca="1" si="517">+Z52/Z21</f>
        <v>#NAME?</v>
      </c>
      <c r="AA53" s="45" t="e">
        <f t="shared" ca="1" si="517"/>
        <v>#NAME?</v>
      </c>
      <c r="AB53" s="48" t="e">
        <f t="shared" ca="1" si="516"/>
        <v>#NAME?</v>
      </c>
      <c r="AC53" s="48" t="e">
        <f t="shared" ca="1" si="516"/>
        <v>#NAME?</v>
      </c>
      <c r="AD53" s="48" t="e">
        <f t="shared" ca="1" si="516"/>
        <v>#NAME?</v>
      </c>
      <c r="AE53" s="48" t="e">
        <f t="shared" ca="1" si="516"/>
        <v>#NAME?</v>
      </c>
      <c r="AI53" s="45" t="e">
        <f t="shared" ref="AI53:BN53" ca="1" si="518">+AI52/AI21</f>
        <v>#NAME?</v>
      </c>
      <c r="AJ53" s="45" t="e">
        <f t="shared" ca="1" si="518"/>
        <v>#NAME?</v>
      </c>
      <c r="AK53" s="45" t="e">
        <f t="shared" ca="1" si="518"/>
        <v>#NAME?</v>
      </c>
      <c r="AL53" s="45" t="e">
        <f t="shared" ca="1" si="518"/>
        <v>#NAME?</v>
      </c>
      <c r="AM53" s="45" t="e">
        <f t="shared" ca="1" si="518"/>
        <v>#NAME?</v>
      </c>
      <c r="AN53" s="45" t="e">
        <f t="shared" ca="1" si="518"/>
        <v>#NAME?</v>
      </c>
      <c r="AO53" s="45" t="e">
        <f t="shared" ca="1" si="518"/>
        <v>#NAME?</v>
      </c>
      <c r="AP53" s="45" t="e">
        <f t="shared" ca="1" si="518"/>
        <v>#NAME?</v>
      </c>
      <c r="AQ53" s="45" t="e">
        <f t="shared" ca="1" si="518"/>
        <v>#NAME?</v>
      </c>
      <c r="AR53" s="45" t="e">
        <f t="shared" ca="1" si="518"/>
        <v>#NAME?</v>
      </c>
      <c r="AS53" s="45" t="e">
        <f t="shared" ca="1" si="518"/>
        <v>#NAME?</v>
      </c>
      <c r="AT53" s="45" t="e">
        <f t="shared" ca="1" si="518"/>
        <v>#NAME?</v>
      </c>
      <c r="AU53" s="45" t="e">
        <f t="shared" ca="1" si="518"/>
        <v>#NAME?</v>
      </c>
      <c r="AV53" s="45" t="e">
        <f t="shared" ca="1" si="518"/>
        <v>#NAME?</v>
      </c>
      <c r="AW53" s="45" t="e">
        <f t="shared" ca="1" si="518"/>
        <v>#NAME?</v>
      </c>
      <c r="AX53" s="45" t="e">
        <f t="shared" ca="1" si="518"/>
        <v>#NAME?</v>
      </c>
      <c r="AY53" s="45" t="e">
        <f t="shared" ca="1" si="518"/>
        <v>#NAME?</v>
      </c>
      <c r="AZ53" s="45" t="e">
        <f t="shared" ca="1" si="518"/>
        <v>#NAME?</v>
      </c>
      <c r="BA53" s="45" t="e">
        <f t="shared" ca="1" si="518"/>
        <v>#NAME?</v>
      </c>
      <c r="BB53" s="45" t="e">
        <f t="shared" ca="1" si="518"/>
        <v>#NAME?</v>
      </c>
      <c r="BC53" s="45" t="e">
        <f t="shared" ca="1" si="518"/>
        <v>#NAME?</v>
      </c>
      <c r="BD53" s="45" t="e">
        <f t="shared" ca="1" si="518"/>
        <v>#NAME?</v>
      </c>
      <c r="BE53" s="45" t="e">
        <f t="shared" ca="1" si="518"/>
        <v>#NAME?</v>
      </c>
      <c r="BF53" s="45" t="e">
        <f t="shared" ca="1" si="518"/>
        <v>#NAME?</v>
      </c>
      <c r="BG53" s="45" t="e">
        <f t="shared" ca="1" si="518"/>
        <v>#NAME?</v>
      </c>
      <c r="BH53" s="45" t="e">
        <f t="shared" ca="1" si="518"/>
        <v>#NAME?</v>
      </c>
      <c r="BI53" s="45" t="e">
        <f t="shared" ca="1" si="518"/>
        <v>#NAME?</v>
      </c>
      <c r="BJ53" s="45" t="e">
        <f t="shared" ca="1" si="518"/>
        <v>#NAME?</v>
      </c>
      <c r="BK53" s="45" t="e">
        <f t="shared" ca="1" si="518"/>
        <v>#NAME?</v>
      </c>
      <c r="BL53" s="45" t="e">
        <f t="shared" ca="1" si="518"/>
        <v>#NAME?</v>
      </c>
      <c r="BM53" s="45" t="e">
        <f t="shared" ca="1" si="518"/>
        <v>#NAME?</v>
      </c>
      <c r="BN53" s="45" t="e">
        <f t="shared" ca="1" si="518"/>
        <v>#NAME?</v>
      </c>
      <c r="BO53" s="45" t="e">
        <f t="shared" ref="BO53:CT53" ca="1" si="519">+BO52/BO21</f>
        <v>#NAME?</v>
      </c>
      <c r="BP53" s="45" t="e">
        <f t="shared" ca="1" si="519"/>
        <v>#NAME?</v>
      </c>
      <c r="BQ53" s="45" t="e">
        <f t="shared" ca="1" si="519"/>
        <v>#NAME?</v>
      </c>
      <c r="BR53" s="45" t="e">
        <f t="shared" ca="1" si="519"/>
        <v>#NAME?</v>
      </c>
      <c r="BS53" s="45" t="e">
        <f t="shared" ca="1" si="519"/>
        <v>#NAME?</v>
      </c>
      <c r="BT53" s="45" t="e">
        <f t="shared" ca="1" si="519"/>
        <v>#NAME?</v>
      </c>
      <c r="BU53" s="45" t="e">
        <f t="shared" ca="1" si="519"/>
        <v>#NAME?</v>
      </c>
      <c r="BV53" s="45" t="e">
        <f t="shared" ca="1" si="519"/>
        <v>#NAME?</v>
      </c>
      <c r="BW53" s="45" t="e">
        <f t="shared" ca="1" si="519"/>
        <v>#NAME?</v>
      </c>
      <c r="BX53" s="45" t="e">
        <f t="shared" ca="1" si="519"/>
        <v>#NAME?</v>
      </c>
      <c r="BY53" s="45" t="e">
        <f t="shared" ca="1" si="519"/>
        <v>#NAME?</v>
      </c>
      <c r="BZ53" s="45" t="e">
        <f t="shared" ca="1" si="519"/>
        <v>#NAME?</v>
      </c>
      <c r="CA53" s="45" t="e">
        <f t="shared" ca="1" si="519"/>
        <v>#NAME?</v>
      </c>
      <c r="CB53" s="45" t="e">
        <f t="shared" ca="1" si="519"/>
        <v>#NAME?</v>
      </c>
      <c r="CC53" s="45" t="e">
        <f t="shared" ca="1" si="519"/>
        <v>#NAME?</v>
      </c>
      <c r="CD53" s="45" t="e">
        <f t="shared" ca="1" si="519"/>
        <v>#NAME?</v>
      </c>
      <c r="CE53" s="45" t="e">
        <f t="shared" ca="1" si="519"/>
        <v>#NAME?</v>
      </c>
      <c r="CF53" s="45" t="e">
        <f t="shared" ca="1" si="519"/>
        <v>#NAME?</v>
      </c>
      <c r="CG53" s="45">
        <v>5.1929462399096189E-2</v>
      </c>
      <c r="CH53" s="45" t="e">
        <f t="shared" ca="1" si="519"/>
        <v>#NAME?</v>
      </c>
      <c r="CI53" s="45" t="e">
        <f t="shared" ref="CI53:CJ53" ca="1" si="520">+CI52/CI21</f>
        <v>#NAME?</v>
      </c>
      <c r="CJ53" s="45" t="e">
        <f t="shared" ca="1" si="520"/>
        <v>#NAME?</v>
      </c>
      <c r="CK53" s="45" t="e">
        <f t="shared" ref="CK53:CL53" ca="1" si="521">+CK52/CK21</f>
        <v>#NAME?</v>
      </c>
      <c r="CL53" s="45" t="e">
        <f t="shared" ca="1" si="521"/>
        <v>#NAME?</v>
      </c>
      <c r="CM53" s="48" t="e">
        <f t="shared" ca="1" si="519"/>
        <v>#NAME?</v>
      </c>
      <c r="CN53" s="48" t="e">
        <f t="shared" ca="1" si="519"/>
        <v>#NAME?</v>
      </c>
      <c r="CO53" s="48" t="e">
        <f t="shared" ca="1" si="519"/>
        <v>#NAME?</v>
      </c>
      <c r="CP53" s="48" t="e">
        <f t="shared" ca="1" si="519"/>
        <v>#NAME?</v>
      </c>
      <c r="CQ53" s="48" t="e">
        <f t="shared" ca="1" si="519"/>
        <v>#NAME?</v>
      </c>
      <c r="CR53" s="48" t="e">
        <f t="shared" ca="1" si="519"/>
        <v>#NAME?</v>
      </c>
      <c r="CS53" s="48" t="e">
        <f t="shared" ca="1" si="519"/>
        <v>#NAME?</v>
      </c>
      <c r="CT53" s="48" t="e">
        <f t="shared" ca="1" si="519"/>
        <v>#NAME?</v>
      </c>
      <c r="CU53" s="48" t="e">
        <f t="shared" ref="CU53:DB53" ca="1" si="522">+CU52/CU21</f>
        <v>#NAME?</v>
      </c>
      <c r="CV53" s="48" t="e">
        <f t="shared" ca="1" si="522"/>
        <v>#NAME?</v>
      </c>
      <c r="CW53" s="48" t="e">
        <f t="shared" ca="1" si="522"/>
        <v>#NAME?</v>
      </c>
      <c r="CX53" s="48" t="e">
        <f t="shared" ca="1" si="522"/>
        <v>#NAME?</v>
      </c>
      <c r="CY53" s="48" t="e">
        <f t="shared" ca="1" si="522"/>
        <v>#NAME?</v>
      </c>
      <c r="CZ53" s="48" t="e">
        <f t="shared" ca="1" si="522"/>
        <v>#NAME?</v>
      </c>
      <c r="DA53" s="48" t="e">
        <f t="shared" ca="1" si="522"/>
        <v>#NAME?</v>
      </c>
      <c r="DB53" s="48" t="e">
        <f t="shared" ca="1" si="522"/>
        <v>#NAME?</v>
      </c>
      <c r="DE53" s="129"/>
      <c r="DF53" s="45">
        <v>5.8598957322835737E-2</v>
      </c>
    </row>
    <row r="54" spans="1:110" s="39" customFormat="1" x14ac:dyDescent="0.2">
      <c r="A54" s="39" t="s">
        <v>451</v>
      </c>
      <c r="C54" s="39" t="e">
        <f t="shared" ref="C54:E54" ca="1" si="523">+IF(B52&lt;0,1-C52/B52,C52/B52-1)</f>
        <v>#NAME?</v>
      </c>
      <c r="D54" s="39" t="e">
        <f t="shared" ca="1" si="523"/>
        <v>#NAME?</v>
      </c>
      <c r="E54" s="39" t="e">
        <f t="shared" ca="1" si="523"/>
        <v>#NAME?</v>
      </c>
      <c r="F54" s="39" t="e">
        <f t="shared" ref="F54:AE54" ca="1" si="524">+IF(E52&lt;0,1-F52/E52,F52/E52-1)</f>
        <v>#NAME?</v>
      </c>
      <c r="G54" s="39" t="e">
        <f t="shared" ca="1" si="524"/>
        <v>#NAME?</v>
      </c>
      <c r="H54" s="39" t="e">
        <f t="shared" ca="1" si="524"/>
        <v>#NAME?</v>
      </c>
      <c r="I54" s="39" t="e">
        <f t="shared" ca="1" si="524"/>
        <v>#NAME?</v>
      </c>
      <c r="J54" s="39" t="e">
        <f t="shared" ca="1" si="524"/>
        <v>#NAME?</v>
      </c>
      <c r="K54" s="39" t="e">
        <f t="shared" ca="1" si="524"/>
        <v>#NAME?</v>
      </c>
      <c r="L54" s="39" t="e">
        <f t="shared" ca="1" si="524"/>
        <v>#NAME?</v>
      </c>
      <c r="M54" s="39" t="e">
        <f t="shared" ca="1" si="524"/>
        <v>#NAME?</v>
      </c>
      <c r="N54" s="39" t="e">
        <f t="shared" ca="1" si="524"/>
        <v>#NAME?</v>
      </c>
      <c r="O54" s="39" t="e">
        <f t="shared" ca="1" si="524"/>
        <v>#NAME?</v>
      </c>
      <c r="P54" s="39" t="e">
        <f t="shared" ca="1" si="524"/>
        <v>#NAME?</v>
      </c>
      <c r="Q54" s="39" t="e">
        <f t="shared" ca="1" si="524"/>
        <v>#NAME?</v>
      </c>
      <c r="R54" s="39" t="e">
        <f t="shared" ca="1" si="524"/>
        <v>#NAME?</v>
      </c>
      <c r="S54" s="39" t="e">
        <f t="shared" ca="1" si="524"/>
        <v>#NAME?</v>
      </c>
      <c r="T54" s="39" t="e">
        <f t="shared" ca="1" si="524"/>
        <v>#NAME?</v>
      </c>
      <c r="U54" s="39" t="e">
        <f t="shared" ca="1" si="524"/>
        <v>#NAME?</v>
      </c>
      <c r="V54" s="39" t="e">
        <f t="shared" ca="1" si="524"/>
        <v>#NAME?</v>
      </c>
      <c r="W54" s="39" t="e">
        <f t="shared" ca="1" si="524"/>
        <v>#NAME?</v>
      </c>
      <c r="X54" s="39" t="e">
        <f t="shared" ca="1" si="524"/>
        <v>#NAME?</v>
      </c>
      <c r="Y54" s="39" t="e">
        <f t="shared" ca="1" si="524"/>
        <v>#NAME?</v>
      </c>
      <c r="Z54" s="39" t="e">
        <f t="shared" ref="Z54:AA54" ca="1" si="525">+IF(Y52&lt;0,1-Z52/Y52,Z52/Y52-1)</f>
        <v>#NAME?</v>
      </c>
      <c r="AA54" s="39" t="e">
        <f t="shared" ca="1" si="525"/>
        <v>#NAME?</v>
      </c>
      <c r="AB54" s="40" t="e">
        <f t="shared" ca="1" si="524"/>
        <v>#NAME?</v>
      </c>
      <c r="AC54" s="40" t="e">
        <f t="shared" ca="1" si="524"/>
        <v>#NAME?</v>
      </c>
      <c r="AD54" s="40" t="e">
        <f t="shared" ca="1" si="524"/>
        <v>#NAME?</v>
      </c>
      <c r="AE54" s="40" t="e">
        <f t="shared" ca="1" si="524"/>
        <v>#NAME?</v>
      </c>
      <c r="AM54" s="39" t="e">
        <f ca="1">+IF(AI52&lt;0,1-AM52/AI52,AM52/AI52-1)</f>
        <v>#NAME?</v>
      </c>
      <c r="AN54" s="39" t="e">
        <f t="shared" ref="AN54" ca="1" si="526">+IF(AJ52&lt;0,1-AN52/AJ52,AN52/AJ52-1)</f>
        <v>#NAME?</v>
      </c>
      <c r="AO54" s="39" t="e">
        <f t="shared" ref="AO54" ca="1" si="527">+IF(AK52&lt;0,1-AO52/AK52,AO52/AK52-1)</f>
        <v>#NAME?</v>
      </c>
      <c r="AP54" s="39" t="e">
        <f t="shared" ref="AP54" ca="1" si="528">+IF(AL52&lt;0,1-AP52/AL52,AP52/AL52-1)</f>
        <v>#NAME?</v>
      </c>
      <c r="AQ54" s="39" t="e">
        <f t="shared" ref="AQ54" ca="1" si="529">+IF(AM52&lt;0,1-AQ52/AM52,AQ52/AM52-1)</f>
        <v>#NAME?</v>
      </c>
      <c r="AR54" s="39" t="e">
        <f t="shared" ref="AR54" ca="1" si="530">+IF(AN52&lt;0,1-AR52/AN52,AR52/AN52-1)</f>
        <v>#NAME?</v>
      </c>
      <c r="AS54" s="39" t="e">
        <f t="shared" ref="AS54" ca="1" si="531">+IF(AO52&lt;0,1-AS52/AO52,AS52/AO52-1)</f>
        <v>#NAME?</v>
      </c>
      <c r="AT54" s="39" t="e">
        <f t="shared" ref="AT54" ca="1" si="532">+IF(AP52&lt;0,1-AT52/AP52,AT52/AP52-1)</f>
        <v>#NAME?</v>
      </c>
      <c r="AU54" s="39" t="e">
        <f t="shared" ref="AU54" ca="1" si="533">+IF(AQ52&lt;0,1-AU52/AQ52,AU52/AQ52-1)</f>
        <v>#NAME?</v>
      </c>
      <c r="AV54" s="39" t="e">
        <f t="shared" ref="AV54" ca="1" si="534">+IF(AR52&lt;0,1-AV52/AR52,AV52/AR52-1)</f>
        <v>#NAME?</v>
      </c>
      <c r="AW54" s="39" t="e">
        <f t="shared" ref="AW54" ca="1" si="535">+IF(AS52&lt;0,1-AW52/AS52,AW52/AS52-1)</f>
        <v>#NAME?</v>
      </c>
      <c r="AX54" s="39" t="e">
        <f t="shared" ref="AX54" ca="1" si="536">+IF(AT52&lt;0,1-AX52/AT52,AX52/AT52-1)</f>
        <v>#NAME?</v>
      </c>
      <c r="AY54" s="39" t="e">
        <f t="shared" ref="AY54" ca="1" si="537">+IF(AU52&lt;0,1-AY52/AU52,AY52/AU52-1)</f>
        <v>#NAME?</v>
      </c>
      <c r="AZ54" s="39" t="e">
        <f t="shared" ref="AZ54" ca="1" si="538">+IF(AV52&lt;0,1-AZ52/AV52,AZ52/AV52-1)</f>
        <v>#NAME?</v>
      </c>
      <c r="BA54" s="39" t="e">
        <f t="shared" ref="BA54" ca="1" si="539">+IF(AW52&lt;0,1-BA52/AW52,BA52/AW52-1)</f>
        <v>#NAME?</v>
      </c>
      <c r="BB54" s="39" t="e">
        <f t="shared" ref="BB54" ca="1" si="540">+IF(AX52&lt;0,1-BB52/AX52,BB52/AX52-1)</f>
        <v>#NAME?</v>
      </c>
      <c r="BC54" s="39" t="e">
        <f t="shared" ref="BC54" ca="1" si="541">+IF(AY52&lt;0,1-BC52/AY52,BC52/AY52-1)</f>
        <v>#NAME?</v>
      </c>
      <c r="BD54" s="39" t="e">
        <f t="shared" ref="BD54" ca="1" si="542">+IF(AZ52&lt;0,1-BD52/AZ52,BD52/AZ52-1)</f>
        <v>#NAME?</v>
      </c>
      <c r="BE54" s="39" t="e">
        <f t="shared" ref="BE54" ca="1" si="543">+IF(BA52&lt;0,1-BE52/BA52,BE52/BA52-1)</f>
        <v>#NAME?</v>
      </c>
      <c r="BF54" s="39" t="e">
        <f t="shared" ref="BF54" ca="1" si="544">+IF(BB52&lt;0,1-BF52/BB52,BF52/BB52-1)</f>
        <v>#NAME?</v>
      </c>
      <c r="BG54" s="39" t="e">
        <f t="shared" ref="BG54" ca="1" si="545">+IF(BC52&lt;0,1-BG52/BC52,BG52/BC52-1)</f>
        <v>#NAME?</v>
      </c>
      <c r="BH54" s="39" t="e">
        <f t="shared" ref="BH54" ca="1" si="546">+IF(BD52&lt;0,1-BH52/BD52,BH52/BD52-1)</f>
        <v>#NAME?</v>
      </c>
      <c r="BI54" s="39" t="e">
        <f t="shared" ref="BI54" ca="1" si="547">+IF(BE52&lt;0,1-BI52/BE52,BI52/BE52-1)</f>
        <v>#NAME?</v>
      </c>
      <c r="BJ54" s="39" t="e">
        <f t="shared" ref="BJ54" ca="1" si="548">+IF(BF52&lt;0,1-BJ52/BF52,BJ52/BF52-1)</f>
        <v>#NAME?</v>
      </c>
      <c r="BK54" s="39" t="e">
        <f t="shared" ref="BK54" ca="1" si="549">+IF(BG52&lt;0,1-BK52/BG52,BK52/BG52-1)</f>
        <v>#NAME?</v>
      </c>
      <c r="BL54" s="39" t="e">
        <f t="shared" ref="BL54" ca="1" si="550">+IF(BH52&lt;0,1-BL52/BH52,BL52/BH52-1)</f>
        <v>#NAME?</v>
      </c>
      <c r="BM54" s="39" t="e">
        <f t="shared" ref="BM54" ca="1" si="551">+IF(BI52&lt;0,1-BM52/BI52,BM52/BI52-1)</f>
        <v>#NAME?</v>
      </c>
      <c r="BN54" s="39" t="e">
        <f t="shared" ref="BN54" ca="1" si="552">+IF(BJ52&lt;0,1-BN52/BJ52,BN52/BJ52-1)</f>
        <v>#NAME?</v>
      </c>
      <c r="BO54" s="39" t="e">
        <f t="shared" ref="BO54" ca="1" si="553">+IF(BK52&lt;0,1-BO52/BK52,BO52/BK52-1)</f>
        <v>#NAME?</v>
      </c>
      <c r="BP54" s="39" t="e">
        <f t="shared" ref="BP54" ca="1" si="554">+IF(BL52&lt;0,1-BP52/BL52,BP52/BL52-1)</f>
        <v>#NAME?</v>
      </c>
      <c r="BQ54" s="39" t="e">
        <f t="shared" ref="BQ54" ca="1" si="555">+IF(BM52&lt;0,1-BQ52/BM52,BQ52/BM52-1)</f>
        <v>#NAME?</v>
      </c>
      <c r="BR54" s="39" t="e">
        <f t="shared" ref="BR54" ca="1" si="556">+IF(BN52&lt;0,1-BR52/BN52,BR52/BN52-1)</f>
        <v>#NAME?</v>
      </c>
      <c r="BS54" s="39" t="e">
        <f t="shared" ref="BS54" ca="1" si="557">+IF(BO52&lt;0,1-BS52/BO52,BS52/BO52-1)</f>
        <v>#NAME?</v>
      </c>
      <c r="BT54" s="39" t="e">
        <f t="shared" ref="BT54" ca="1" si="558">+IF(BP52&lt;0,1-BT52/BP52,BT52/BP52-1)</f>
        <v>#NAME?</v>
      </c>
      <c r="BU54" s="39" t="e">
        <f t="shared" ref="BU54" ca="1" si="559">+IF(BQ52&lt;0,1-BU52/BQ52,BU52/BQ52-1)</f>
        <v>#NAME?</v>
      </c>
      <c r="BV54" s="39" t="e">
        <f t="shared" ref="BV54" ca="1" si="560">+IF(BR52&lt;0,1-BV52/BR52,BV52/BR52-1)</f>
        <v>#NAME?</v>
      </c>
      <c r="BW54" s="39" t="e">
        <f t="shared" ref="BW54" ca="1" si="561">+IF(BS52&lt;0,1-BW52/BS52,BW52/BS52-1)</f>
        <v>#NAME?</v>
      </c>
      <c r="BX54" s="39" t="e">
        <f t="shared" ref="BX54" ca="1" si="562">+IF(BT52&lt;0,1-BX52/BT52,BX52/BT52-1)</f>
        <v>#NAME?</v>
      </c>
      <c r="BY54" s="39" t="e">
        <f t="shared" ref="BY54" ca="1" si="563">+IF(BU52&lt;0,1-BY52/BU52,BY52/BU52-1)</f>
        <v>#NAME?</v>
      </c>
      <c r="BZ54" s="39" t="e">
        <f t="shared" ref="BZ54" ca="1" si="564">+IF(BV52&lt;0,1-BZ52/BV52,BZ52/BV52-1)</f>
        <v>#NAME?</v>
      </c>
      <c r="CA54" s="39" t="e">
        <f t="shared" ref="CA54" ca="1" si="565">+IF(BW52&lt;0,1-CA52/BW52,CA52/BW52-1)</f>
        <v>#NAME?</v>
      </c>
      <c r="CB54" s="39" t="e">
        <f t="shared" ref="CB54" ca="1" si="566">+IF(BX52&lt;0,1-CB52/BX52,CB52/BX52-1)</f>
        <v>#NAME?</v>
      </c>
      <c r="CC54" s="39" t="e">
        <f t="shared" ref="CC54" ca="1" si="567">+IF(BY52&lt;0,1-CC52/BY52,CC52/BY52-1)</f>
        <v>#NAME?</v>
      </c>
      <c r="CD54" s="39" t="e">
        <f t="shared" ref="CD54" ca="1" si="568">+IF(BZ52&lt;0,1-CD52/BZ52,CD52/BZ52-1)</f>
        <v>#NAME?</v>
      </c>
      <c r="CE54" s="39" t="e">
        <f t="shared" ref="CE54" ca="1" si="569">+IF(CA52&lt;0,1-CE52/CA52,CE52/CA52-1)</f>
        <v>#NAME?</v>
      </c>
      <c r="CF54" s="39" t="e">
        <f t="shared" ref="CF54" ca="1" si="570">+IF(CB52&lt;0,1-CF52/CB52,CF52/CB52-1)</f>
        <v>#NAME?</v>
      </c>
      <c r="CG54" s="39">
        <v>0.26344468135512766</v>
      </c>
      <c r="CH54" s="39" t="e">
        <f t="shared" ref="CH54:CL54" ca="1" si="571">+IF(CD52&lt;0,1-CH52/CD52,CH52/CD52-1)</f>
        <v>#NAME?</v>
      </c>
      <c r="CI54" s="39" t="e">
        <f t="shared" ca="1" si="571"/>
        <v>#NAME?</v>
      </c>
      <c r="CJ54" s="39" t="e">
        <f t="shared" ca="1" si="571"/>
        <v>#NAME?</v>
      </c>
      <c r="CK54" s="39" t="e">
        <f t="shared" ca="1" si="571"/>
        <v>#NAME?</v>
      </c>
      <c r="CL54" s="39" t="e">
        <f t="shared" ca="1" si="571"/>
        <v>#NAME?</v>
      </c>
      <c r="CM54" s="40" t="e">
        <f t="shared" ref="CM54" ca="1" si="572">+CM52/CI52-1</f>
        <v>#NAME?</v>
      </c>
      <c r="CN54" s="40" t="e">
        <f t="shared" ref="CN54" ca="1" si="573">+CN52/CJ52-1</f>
        <v>#NAME?</v>
      </c>
      <c r="CO54" s="40" t="e">
        <f t="shared" ref="CO54" ca="1" si="574">+CO52/CK52-1</f>
        <v>#NAME?</v>
      </c>
      <c r="CP54" s="40" t="e">
        <f t="shared" ref="CP54" ca="1" si="575">+CP52/CL52-1</f>
        <v>#NAME?</v>
      </c>
      <c r="CQ54" s="40" t="e">
        <f t="shared" ref="CQ54" ca="1" si="576">+CQ52/CM52-1</f>
        <v>#NAME?</v>
      </c>
      <c r="CR54" s="40" t="e">
        <f t="shared" ref="CR54" ca="1" si="577">+CR52/CN52-1</f>
        <v>#NAME?</v>
      </c>
      <c r="CS54" s="40" t="e">
        <f t="shared" ref="CS54" ca="1" si="578">+CS52/CO52-1</f>
        <v>#NAME?</v>
      </c>
      <c r="CT54" s="40" t="e">
        <f t="shared" ref="CT54" ca="1" si="579">+CT52/CP52-1</f>
        <v>#NAME?</v>
      </c>
      <c r="CU54" s="40" t="e">
        <f t="shared" ref="CU54" ca="1" si="580">+CU52/CQ52-1</f>
        <v>#NAME?</v>
      </c>
      <c r="CV54" s="40" t="e">
        <f t="shared" ref="CV54" ca="1" si="581">+CV52/CR52-1</f>
        <v>#NAME?</v>
      </c>
      <c r="CW54" s="40" t="e">
        <f t="shared" ref="CW54" ca="1" si="582">+CW52/CS52-1</f>
        <v>#NAME?</v>
      </c>
      <c r="CX54" s="40" t="e">
        <f t="shared" ref="CX54" ca="1" si="583">+CX52/CT52-1</f>
        <v>#NAME?</v>
      </c>
      <c r="CY54" s="40" t="e">
        <f t="shared" ref="CY54" ca="1" si="584">+CY52/CU52-1</f>
        <v>#NAME?</v>
      </c>
      <c r="CZ54" s="40" t="e">
        <f t="shared" ref="CZ54" ca="1" si="585">+CZ52/CV52-1</f>
        <v>#NAME?</v>
      </c>
      <c r="DA54" s="40" t="e">
        <f t="shared" ref="DA54" ca="1" si="586">+DA52/CW52-1</f>
        <v>#NAME?</v>
      </c>
      <c r="DB54" s="40" t="e">
        <f t="shared" ref="DB54" ca="1" si="587">+DB52/CX52-1</f>
        <v>#NAME?</v>
      </c>
      <c r="DE54" s="122"/>
      <c r="DF54" s="39">
        <v>0.8973317189566048</v>
      </c>
    </row>
    <row r="55" spans="1:110" s="39" customFormat="1" x14ac:dyDescent="0.2">
      <c r="A55" s="39" t="s">
        <v>452</v>
      </c>
      <c r="AB55" s="40"/>
      <c r="AC55" s="40"/>
      <c r="AD55" s="40"/>
      <c r="AE55" s="40"/>
      <c r="AJ55" s="39" t="e">
        <f ca="1">+IF(AI52&lt;0,1-AJ52/AI52,AJ52/AI52-1)</f>
        <v>#NAME?</v>
      </c>
      <c r="AK55" s="39" t="e">
        <f t="shared" ref="AK55:AM55" ca="1" si="588">+IF(AJ52&lt;0,1-AK52/AJ52,AK52/AJ52-1)</f>
        <v>#NAME?</v>
      </c>
      <c r="AL55" s="39" t="e">
        <f t="shared" ca="1" si="588"/>
        <v>#NAME?</v>
      </c>
      <c r="AM55" s="39" t="e">
        <f t="shared" ca="1" si="588"/>
        <v>#NAME?</v>
      </c>
      <c r="AN55" s="39" t="e">
        <f t="shared" ref="AN55" ca="1" si="589">+IF(AM52&lt;0,1-AN52/AM52,AN52/AM52-1)</f>
        <v>#NAME?</v>
      </c>
      <c r="AO55" s="39" t="e">
        <f t="shared" ref="AO55" ca="1" si="590">+IF(AN52&lt;0,1-AO52/AN52,AO52/AN52-1)</f>
        <v>#NAME?</v>
      </c>
      <c r="AP55" s="39" t="e">
        <f t="shared" ref="AP55" ca="1" si="591">+IF(AO52&lt;0,1-AP52/AO52,AP52/AO52-1)</f>
        <v>#NAME?</v>
      </c>
      <c r="AQ55" s="39" t="e">
        <f t="shared" ref="AQ55" ca="1" si="592">+IF(AP52&lt;0,1-AQ52/AP52,AQ52/AP52-1)</f>
        <v>#NAME?</v>
      </c>
      <c r="AR55" s="39" t="e">
        <f t="shared" ref="AR55" ca="1" si="593">+IF(AQ52&lt;0,1-AR52/AQ52,AR52/AQ52-1)</f>
        <v>#NAME?</v>
      </c>
      <c r="AS55" s="39" t="e">
        <f t="shared" ref="AS55" ca="1" si="594">+IF(AR52&lt;0,1-AS52/AR52,AS52/AR52-1)</f>
        <v>#NAME?</v>
      </c>
      <c r="AT55" s="39" t="e">
        <f t="shared" ref="AT55" ca="1" si="595">+IF(AS52&lt;0,1-AT52/AS52,AT52/AS52-1)</f>
        <v>#NAME?</v>
      </c>
      <c r="AU55" s="39" t="e">
        <f t="shared" ref="AU55" ca="1" si="596">+IF(AT52&lt;0,1-AU52/AT52,AU52/AT52-1)</f>
        <v>#NAME?</v>
      </c>
      <c r="AV55" s="39" t="e">
        <f t="shared" ref="AV55" ca="1" si="597">+IF(AU52&lt;0,1-AV52/AU52,AV52/AU52-1)</f>
        <v>#NAME?</v>
      </c>
      <c r="AW55" s="39" t="e">
        <f t="shared" ref="AW55" ca="1" si="598">+IF(AV52&lt;0,1-AW52/AV52,AW52/AV52-1)</f>
        <v>#NAME?</v>
      </c>
      <c r="AX55" s="39" t="e">
        <f t="shared" ref="AX55" ca="1" si="599">+IF(AW52&lt;0,1-AX52/AW52,AX52/AW52-1)</f>
        <v>#NAME?</v>
      </c>
      <c r="AY55" s="39" t="e">
        <f t="shared" ref="AY55" ca="1" si="600">+IF(AX52&lt;0,1-AY52/AX52,AY52/AX52-1)</f>
        <v>#NAME?</v>
      </c>
      <c r="AZ55" s="39" t="e">
        <f t="shared" ref="AZ55" ca="1" si="601">+IF(AY52&lt;0,1-AZ52/AY52,AZ52/AY52-1)</f>
        <v>#NAME?</v>
      </c>
      <c r="BA55" s="39" t="e">
        <f t="shared" ref="BA55" ca="1" si="602">+IF(AZ52&lt;0,1-BA52/AZ52,BA52/AZ52-1)</f>
        <v>#NAME?</v>
      </c>
      <c r="BB55" s="39" t="e">
        <f t="shared" ref="BB55" ca="1" si="603">+IF(BA52&lt;0,1-BB52/BA52,BB52/BA52-1)</f>
        <v>#NAME?</v>
      </c>
      <c r="BC55" s="39" t="e">
        <f t="shared" ref="BC55" ca="1" si="604">+IF(BB52&lt;0,1-BC52/BB52,BC52/BB52-1)</f>
        <v>#NAME?</v>
      </c>
      <c r="BD55" s="39" t="e">
        <f t="shared" ref="BD55" ca="1" si="605">+IF(BC52&lt;0,1-BD52/BC52,BD52/BC52-1)</f>
        <v>#NAME?</v>
      </c>
      <c r="BE55" s="39" t="e">
        <f t="shared" ref="BE55" ca="1" si="606">+IF(BD52&lt;0,1-BE52/BD52,BE52/BD52-1)</f>
        <v>#NAME?</v>
      </c>
      <c r="BF55" s="39" t="e">
        <f t="shared" ref="BF55" ca="1" si="607">+IF(BE52&lt;0,1-BF52/BE52,BF52/BE52-1)</f>
        <v>#NAME?</v>
      </c>
      <c r="BG55" s="39" t="e">
        <f t="shared" ref="BG55" ca="1" si="608">+IF(BF52&lt;0,1-BG52/BF52,BG52/BF52-1)</f>
        <v>#NAME?</v>
      </c>
      <c r="BH55" s="39" t="e">
        <f t="shared" ref="BH55" ca="1" si="609">+IF(BG52&lt;0,1-BH52/BG52,BH52/BG52-1)</f>
        <v>#NAME?</v>
      </c>
      <c r="BI55" s="39" t="e">
        <f t="shared" ref="BI55" ca="1" si="610">+IF(BH52&lt;0,1-BI52/BH52,BI52/BH52-1)</f>
        <v>#NAME?</v>
      </c>
      <c r="BJ55" s="39" t="e">
        <f t="shared" ref="BJ55" ca="1" si="611">+IF(BI52&lt;0,1-BJ52/BI52,BJ52/BI52-1)</f>
        <v>#NAME?</v>
      </c>
      <c r="BK55" s="39" t="e">
        <f t="shared" ref="BK55" ca="1" si="612">+IF(BJ52&lt;0,1-BK52/BJ52,BK52/BJ52-1)</f>
        <v>#NAME?</v>
      </c>
      <c r="BL55" s="39" t="e">
        <f t="shared" ref="BL55" ca="1" si="613">+IF(BK52&lt;0,1-BL52/BK52,BL52/BK52-1)</f>
        <v>#NAME?</v>
      </c>
      <c r="BM55" s="39" t="e">
        <f t="shared" ref="BM55" ca="1" si="614">+IF(BL52&lt;0,1-BM52/BL52,BM52/BL52-1)</f>
        <v>#NAME?</v>
      </c>
      <c r="BN55" s="39" t="e">
        <f t="shared" ref="BN55" ca="1" si="615">+IF(BM52&lt;0,1-BN52/BM52,BN52/BM52-1)</f>
        <v>#NAME?</v>
      </c>
      <c r="BO55" s="39" t="e">
        <f t="shared" ref="BO55" ca="1" si="616">+IF(BN52&lt;0,1-BO52/BN52,BO52/BN52-1)</f>
        <v>#NAME?</v>
      </c>
      <c r="BP55" s="39" t="e">
        <f t="shared" ref="BP55" ca="1" si="617">+IF(BO52&lt;0,1-BP52/BO52,BP52/BO52-1)</f>
        <v>#NAME?</v>
      </c>
      <c r="BQ55" s="39" t="e">
        <f t="shared" ref="BQ55" ca="1" si="618">+IF(BP52&lt;0,1-BQ52/BP52,BQ52/BP52-1)</f>
        <v>#NAME?</v>
      </c>
      <c r="BR55" s="39" t="e">
        <f t="shared" ref="BR55" ca="1" si="619">+IF(BQ52&lt;0,1-BR52/BQ52,BR52/BQ52-1)</f>
        <v>#NAME?</v>
      </c>
      <c r="BS55" s="39" t="e">
        <f t="shared" ref="BS55" ca="1" si="620">+IF(BR52&lt;0,1-BS52/BR52,BS52/BR52-1)</f>
        <v>#NAME?</v>
      </c>
      <c r="BT55" s="39" t="e">
        <f t="shared" ref="BT55" ca="1" si="621">+IF(BS52&lt;0,1-BT52/BS52,BT52/BS52-1)</f>
        <v>#NAME?</v>
      </c>
      <c r="BU55" s="39" t="e">
        <f t="shared" ref="BU55" ca="1" si="622">+IF(BT52&lt;0,1-BU52/BT52,BU52/BT52-1)</f>
        <v>#NAME?</v>
      </c>
      <c r="BV55" s="39" t="e">
        <f t="shared" ref="BV55" ca="1" si="623">+IF(BU52&lt;0,1-BV52/BU52,BV52/BU52-1)</f>
        <v>#NAME?</v>
      </c>
      <c r="BW55" s="39" t="e">
        <f t="shared" ref="BW55" ca="1" si="624">+IF(BV52&lt;0,1-BW52/BV52,BW52/BV52-1)</f>
        <v>#NAME?</v>
      </c>
      <c r="BX55" s="39" t="e">
        <f t="shared" ref="BX55" ca="1" si="625">+IF(BW52&lt;0,1-BX52/BW52,BX52/BW52-1)</f>
        <v>#NAME?</v>
      </c>
      <c r="BY55" s="39" t="e">
        <f t="shared" ref="BY55" ca="1" si="626">+IF(BX52&lt;0,1-BY52/BX52,BY52/BX52-1)</f>
        <v>#NAME?</v>
      </c>
      <c r="BZ55" s="39" t="e">
        <f t="shared" ref="BZ55" ca="1" si="627">+IF(BY52&lt;0,1-BZ52/BY52,BZ52/BY52-1)</f>
        <v>#NAME?</v>
      </c>
      <c r="CA55" s="39" t="e">
        <f t="shared" ref="CA55" ca="1" si="628">+IF(BZ52&lt;0,1-CA52/BZ52,CA52/BZ52-1)</f>
        <v>#NAME?</v>
      </c>
      <c r="CB55" s="39" t="e">
        <f t="shared" ref="CB55" ca="1" si="629">+IF(CA52&lt;0,1-CB52/CA52,CB52/CA52-1)</f>
        <v>#NAME?</v>
      </c>
      <c r="CC55" s="39" t="e">
        <f t="shared" ref="CC55" ca="1" si="630">+IF(CB52&lt;0,1-CC52/CB52,CC52/CB52-1)</f>
        <v>#NAME?</v>
      </c>
      <c r="CD55" s="39" t="e">
        <f t="shared" ref="CD55" ca="1" si="631">+IF(CC52&lt;0,1-CD52/CC52,CD52/CC52-1)</f>
        <v>#NAME?</v>
      </c>
      <c r="CE55" s="39" t="e">
        <f t="shared" ref="CE55" ca="1" si="632">+IF(CD52&lt;0,1-CE52/CD52,CE52/CD52-1)</f>
        <v>#NAME?</v>
      </c>
      <c r="CF55" s="39" t="e">
        <f t="shared" ref="CF55" ca="1" si="633">+IF(CE52&lt;0,1-CF52/CE52,CF52/CE52-1)</f>
        <v>#NAME?</v>
      </c>
      <c r="CG55" s="39">
        <v>0.24777725783808391</v>
      </c>
      <c r="CH55" s="39" t="e">
        <f t="shared" ref="CH55:CL55" ca="1" si="634">+IF(CG52&lt;0,1-CH52/CG52,CH52/CG52-1)</f>
        <v>#NAME?</v>
      </c>
      <c r="CI55" s="39" t="e">
        <f t="shared" ca="1" si="634"/>
        <v>#NAME?</v>
      </c>
      <c r="CJ55" s="39" t="e">
        <f t="shared" ca="1" si="634"/>
        <v>#NAME?</v>
      </c>
      <c r="CK55" s="39" t="e">
        <f t="shared" ca="1" si="634"/>
        <v>#NAME?</v>
      </c>
      <c r="CL55" s="39" t="e">
        <f t="shared" ca="1" si="634"/>
        <v>#NAME?</v>
      </c>
      <c r="CM55" s="40" t="e">
        <f t="shared" ref="CM55" ca="1" si="635">+CM52/CL52-1</f>
        <v>#NAME?</v>
      </c>
      <c r="CN55" s="40" t="e">
        <f t="shared" ref="CN55" ca="1" si="636">+CN52/CM52-1</f>
        <v>#NAME?</v>
      </c>
      <c r="CO55" s="40" t="e">
        <f t="shared" ref="CO55" ca="1" si="637">+CO52/CN52-1</f>
        <v>#NAME?</v>
      </c>
      <c r="CP55" s="40" t="e">
        <f t="shared" ref="CP55" ca="1" si="638">+CP52/CO52-1</f>
        <v>#NAME?</v>
      </c>
      <c r="CQ55" s="40" t="e">
        <f t="shared" ref="CQ55" ca="1" si="639">+CQ52/CP52-1</f>
        <v>#NAME?</v>
      </c>
      <c r="CR55" s="40" t="e">
        <f t="shared" ref="CR55" ca="1" si="640">+CR52/CQ52-1</f>
        <v>#NAME?</v>
      </c>
      <c r="CS55" s="40" t="e">
        <f t="shared" ref="CS55" ca="1" si="641">+CS52/CR52-1</f>
        <v>#NAME?</v>
      </c>
      <c r="CT55" s="40" t="e">
        <f t="shared" ref="CT55" ca="1" si="642">+CT52/CS52-1</f>
        <v>#NAME?</v>
      </c>
      <c r="CU55" s="40" t="e">
        <f t="shared" ref="CU55" ca="1" si="643">+CU52/CT52-1</f>
        <v>#NAME?</v>
      </c>
      <c r="CV55" s="40" t="e">
        <f t="shared" ref="CV55" ca="1" si="644">+CV52/CU52-1</f>
        <v>#NAME?</v>
      </c>
      <c r="CW55" s="40" t="e">
        <f t="shared" ref="CW55" ca="1" si="645">+CW52/CV52-1</f>
        <v>#NAME?</v>
      </c>
      <c r="CX55" s="40" t="e">
        <f t="shared" ref="CX55" ca="1" si="646">+CX52/CW52-1</f>
        <v>#NAME?</v>
      </c>
      <c r="CY55" s="40" t="e">
        <f t="shared" ref="CY55" ca="1" si="647">+CY52/CX52-1</f>
        <v>#NAME?</v>
      </c>
      <c r="CZ55" s="40" t="e">
        <f t="shared" ref="CZ55" ca="1" si="648">+CZ52/CY52-1</f>
        <v>#NAME?</v>
      </c>
      <c r="DA55" s="40" t="e">
        <f t="shared" ref="DA55" ca="1" si="649">+DA52/CZ52-1</f>
        <v>#NAME?</v>
      </c>
      <c r="DB55" s="40" t="e">
        <f t="shared" ref="DB55" ca="1" si="650">+DB52/DA52-1</f>
        <v>#NAME?</v>
      </c>
      <c r="DE55" s="122"/>
    </row>
    <row r="56" spans="1:110" s="75" customFormat="1" x14ac:dyDescent="0.2">
      <c r="A56" s="23" t="s">
        <v>23</v>
      </c>
      <c r="B56" s="75" t="e">
        <f ca="1">'Annual Raw'!C32</f>
        <v>#NAME?</v>
      </c>
      <c r="C56" s="75" t="e">
        <f ca="1">'Annual Raw'!D32</f>
        <v>#NAME?</v>
      </c>
      <c r="D56" s="75" t="e">
        <f ca="1">'Annual Raw'!E32</f>
        <v>#NAME?</v>
      </c>
      <c r="E56" s="75" t="e">
        <f ca="1">'Annual Raw'!F32</f>
        <v>#NAME?</v>
      </c>
      <c r="F56" s="75" t="e">
        <f ca="1">'Annual Raw'!G32</f>
        <v>#NAME?</v>
      </c>
      <c r="G56" s="75" t="e">
        <f ca="1">'Annual Raw'!H32</f>
        <v>#NAME?</v>
      </c>
      <c r="H56" s="75" t="e">
        <f ca="1">'Annual Raw'!I32</f>
        <v>#NAME?</v>
      </c>
      <c r="I56" s="75" t="e">
        <f ca="1">'Annual Raw'!J32</f>
        <v>#NAME?</v>
      </c>
      <c r="J56" s="75" t="e">
        <f ca="1">'Annual Raw'!K32</f>
        <v>#NAME?</v>
      </c>
      <c r="K56" s="75" t="e">
        <f ca="1">'Annual Raw'!L32</f>
        <v>#NAME?</v>
      </c>
      <c r="L56" s="75" t="e">
        <f ca="1">'Annual Raw'!M32</f>
        <v>#NAME?</v>
      </c>
      <c r="M56" s="75" t="e">
        <f ca="1">'Annual Raw'!N32</f>
        <v>#NAME?</v>
      </c>
      <c r="N56" s="75" t="e">
        <f ca="1">'Annual Raw'!O32</f>
        <v>#NAME?</v>
      </c>
      <c r="O56" s="75" t="e">
        <f ca="1">'Annual Raw'!P32</f>
        <v>#NAME?</v>
      </c>
      <c r="P56" s="75" t="e">
        <f ca="1">'Annual Raw'!Q32</f>
        <v>#NAME?</v>
      </c>
      <c r="Q56" s="75" t="e">
        <f ca="1">'Annual Raw'!R32</f>
        <v>#NAME?</v>
      </c>
      <c r="R56" s="75" t="e">
        <f ca="1">'Annual Raw'!S32</f>
        <v>#NAME?</v>
      </c>
      <c r="S56" s="75" t="e">
        <f ca="1">'Annual Raw'!T32</f>
        <v>#NAME?</v>
      </c>
      <c r="T56" s="75" t="e">
        <f ca="1">'Annual Raw'!U32</f>
        <v>#NAME?</v>
      </c>
      <c r="U56" s="75" t="e">
        <f ca="1">'Annual Raw'!V32</f>
        <v>#NAME?</v>
      </c>
      <c r="V56" s="75" t="e">
        <f ca="1">'Annual Raw'!W32</f>
        <v>#NAME?</v>
      </c>
      <c r="W56" s="75" t="e">
        <f ca="1">'Annual Raw'!X32</f>
        <v>#NAME?</v>
      </c>
      <c r="X56" s="75" t="e">
        <f ca="1">'Annual Raw'!Y32</f>
        <v>#NAME?</v>
      </c>
      <c r="Y56" s="75" t="e">
        <f ca="1">'Annual Raw'!Z32</f>
        <v>#NAME?</v>
      </c>
      <c r="Z56" s="75" t="e">
        <f ca="1">'Annual Raw'!AA32</f>
        <v>#NAME?</v>
      </c>
      <c r="AA56" s="75" t="e">
        <f ca="1">'Annual Raw'!AB32</f>
        <v>#NAME?</v>
      </c>
      <c r="AB56" s="76" t="e">
        <f t="shared" ref="AB56:AB57" ca="1" si="651">+SUM(CM56:CP56)</f>
        <v>#NAME?</v>
      </c>
      <c r="AC56" s="76" t="e">
        <f t="shared" ref="AC56:AC57" ca="1" si="652">+SUM(CQ56:CT56)</f>
        <v>#NAME?</v>
      </c>
      <c r="AD56" s="76" t="e">
        <f t="shared" ref="AD56:AD57" ca="1" si="653">+SUM(CU56:CX56)</f>
        <v>#NAME?</v>
      </c>
      <c r="AE56" s="76" t="e">
        <f t="shared" ref="AE56:AE57" ca="1" si="654">+SUM(CY56:DB56)</f>
        <v>#NAME?</v>
      </c>
      <c r="AI56" s="75" t="e">
        <f ca="1">'QTR Raw'!C34</f>
        <v>#NAME?</v>
      </c>
      <c r="AJ56" s="75" t="e">
        <f ca="1">'QTR Raw'!D34</f>
        <v>#NAME?</v>
      </c>
      <c r="AK56" s="75" t="e">
        <f ca="1">'QTR Raw'!E34</f>
        <v>#NAME?</v>
      </c>
      <c r="AL56" s="75" t="e">
        <f ca="1">'QTR Raw'!F34</f>
        <v>#NAME?</v>
      </c>
      <c r="AM56" s="75" t="e">
        <f ca="1">'QTR Raw'!G34</f>
        <v>#NAME?</v>
      </c>
      <c r="AN56" s="75" t="e">
        <f ca="1">'QTR Raw'!H34</f>
        <v>#NAME?</v>
      </c>
      <c r="AO56" s="75" t="e">
        <f ca="1">'QTR Raw'!I34</f>
        <v>#NAME?</v>
      </c>
      <c r="AP56" s="75" t="e">
        <f ca="1">'QTR Raw'!J34</f>
        <v>#NAME?</v>
      </c>
      <c r="AQ56" s="75" t="e">
        <f ca="1">'QTR Raw'!K34</f>
        <v>#NAME?</v>
      </c>
      <c r="AR56" s="75" t="e">
        <f ca="1">'QTR Raw'!L34</f>
        <v>#NAME?</v>
      </c>
      <c r="AS56" s="75" t="e">
        <f ca="1">'QTR Raw'!M34</f>
        <v>#NAME?</v>
      </c>
      <c r="AT56" s="75" t="e">
        <f ca="1">'QTR Raw'!N34</f>
        <v>#NAME?</v>
      </c>
      <c r="AU56" s="75" t="e">
        <f ca="1">'QTR Raw'!O34</f>
        <v>#NAME?</v>
      </c>
      <c r="AV56" s="75" t="e">
        <f ca="1">'QTR Raw'!P34</f>
        <v>#NAME?</v>
      </c>
      <c r="AW56" s="75" t="e">
        <f ca="1">'QTR Raw'!Q34</f>
        <v>#NAME?</v>
      </c>
      <c r="AX56" s="75" t="e">
        <f ca="1">'QTR Raw'!R34</f>
        <v>#NAME?</v>
      </c>
      <c r="AY56" s="75" t="e">
        <f ca="1">'QTR Raw'!S34</f>
        <v>#NAME?</v>
      </c>
      <c r="AZ56" s="75" t="e">
        <f ca="1">'QTR Raw'!T34</f>
        <v>#NAME?</v>
      </c>
      <c r="BA56" s="75" t="e">
        <f ca="1">'QTR Raw'!U34</f>
        <v>#NAME?</v>
      </c>
      <c r="BB56" s="75" t="e">
        <f ca="1">'QTR Raw'!V34</f>
        <v>#NAME?</v>
      </c>
      <c r="BC56" s="75" t="e">
        <f ca="1">'QTR Raw'!W34</f>
        <v>#NAME?</v>
      </c>
      <c r="BD56" s="75" t="e">
        <f ca="1">'QTR Raw'!X34</f>
        <v>#NAME?</v>
      </c>
      <c r="BE56" s="75" t="e">
        <f ca="1">'QTR Raw'!Y34</f>
        <v>#NAME?</v>
      </c>
      <c r="BF56" s="75" t="e">
        <f ca="1">'QTR Raw'!Z34</f>
        <v>#NAME?</v>
      </c>
      <c r="BG56" s="75" t="e">
        <f ca="1">'QTR Raw'!AA34</f>
        <v>#NAME?</v>
      </c>
      <c r="BH56" s="75" t="e">
        <f ca="1">'QTR Raw'!AB34</f>
        <v>#NAME?</v>
      </c>
      <c r="BI56" s="75" t="e">
        <f ca="1">'QTR Raw'!AC34</f>
        <v>#NAME?</v>
      </c>
      <c r="BJ56" s="75" t="e">
        <f ca="1">'QTR Raw'!AD34</f>
        <v>#NAME?</v>
      </c>
      <c r="BK56" s="75" t="e">
        <f ca="1">'QTR Raw'!AE34</f>
        <v>#NAME?</v>
      </c>
      <c r="BL56" s="75" t="e">
        <f ca="1">'QTR Raw'!AF34</f>
        <v>#NAME?</v>
      </c>
      <c r="BM56" s="75" t="e">
        <f ca="1">'QTR Raw'!AG34</f>
        <v>#NAME?</v>
      </c>
      <c r="BN56" s="75" t="e">
        <f ca="1">'QTR Raw'!AH34</f>
        <v>#NAME?</v>
      </c>
      <c r="BO56" s="75" t="e">
        <f ca="1">'QTR Raw'!AI34</f>
        <v>#NAME?</v>
      </c>
      <c r="BP56" s="75" t="e">
        <f ca="1">'QTR Raw'!AJ34</f>
        <v>#NAME?</v>
      </c>
      <c r="BQ56" s="75" t="e">
        <f ca="1">'QTR Raw'!AK34</f>
        <v>#NAME?</v>
      </c>
      <c r="BR56" s="75" t="e">
        <f ca="1">'QTR Raw'!AL34</f>
        <v>#NAME?</v>
      </c>
      <c r="BS56" s="75" t="e">
        <f ca="1">'QTR Raw'!AM34</f>
        <v>#NAME?</v>
      </c>
      <c r="BT56" s="75" t="e">
        <f ca="1">'QTR Raw'!AN34</f>
        <v>#NAME?</v>
      </c>
      <c r="BU56" s="75" t="e">
        <f ca="1">'QTR Raw'!AO34</f>
        <v>#NAME?</v>
      </c>
      <c r="BV56" s="75" t="e">
        <f ca="1">'QTR Raw'!AP34</f>
        <v>#NAME?</v>
      </c>
      <c r="BW56" s="75" t="e">
        <f ca="1">'QTR Raw'!AQ34</f>
        <v>#NAME?</v>
      </c>
      <c r="BX56" s="75" t="e">
        <f ca="1">'QTR Raw'!AR34</f>
        <v>#NAME?</v>
      </c>
      <c r="BY56" s="75" t="e">
        <f ca="1">'QTR Raw'!AS34</f>
        <v>#NAME?</v>
      </c>
      <c r="BZ56" s="75" t="e">
        <f ca="1">'QTR Raw'!AT34</f>
        <v>#NAME?</v>
      </c>
      <c r="CA56" s="75" t="e">
        <f ca="1">'QTR Raw'!AU34</f>
        <v>#NAME?</v>
      </c>
      <c r="CB56" s="75" t="e">
        <f ca="1">'QTR Raw'!AV34</f>
        <v>#NAME?</v>
      </c>
      <c r="CC56" s="75" t="e">
        <f ca="1">'QTR Raw'!AW34</f>
        <v>#NAME?</v>
      </c>
      <c r="CD56" s="75" t="e">
        <f ca="1">'QTR Raw'!AX34</f>
        <v>#NAME?</v>
      </c>
      <c r="CE56" s="75" t="e">
        <f ca="1">'QTR Raw'!AY34</f>
        <v>#NAME?</v>
      </c>
      <c r="CF56" s="75" t="e">
        <f ca="1">'QTR Raw'!AZ34</f>
        <v>#NAME?</v>
      </c>
      <c r="CG56" s="75">
        <v>0</v>
      </c>
      <c r="CH56" s="75" t="e">
        <f ca="1">'QTR Raw'!BB34</f>
        <v>#NAME?</v>
      </c>
      <c r="CI56" s="75" t="e">
        <f ca="1">'QTR Raw'!BC34</f>
        <v>#NAME?</v>
      </c>
      <c r="CJ56" s="75" t="e">
        <f ca="1">'QTR Raw'!BD34</f>
        <v>#NAME?</v>
      </c>
      <c r="CK56" s="75" t="e">
        <f ca="1">'QTR Raw'!BE34</f>
        <v>#NAME?</v>
      </c>
      <c r="CL56" s="75" t="e">
        <f ca="1">'QTR Raw'!BF34</f>
        <v>#NAME?</v>
      </c>
      <c r="CM56" s="76" t="e">
        <f t="shared" ref="CM56:CM57" ca="1" si="655">+CL56</f>
        <v>#NAME?</v>
      </c>
      <c r="CN56" s="76" t="e">
        <f t="shared" ref="CN56:CN57" ca="1" si="656">+CM56</f>
        <v>#NAME?</v>
      </c>
      <c r="CO56" s="76" t="e">
        <f t="shared" ref="CO56:CO57" ca="1" si="657">+CN56</f>
        <v>#NAME?</v>
      </c>
      <c r="CP56" s="76" t="e">
        <f t="shared" ref="CP56:CP57" ca="1" si="658">+CO56</f>
        <v>#NAME?</v>
      </c>
      <c r="CQ56" s="76" t="e">
        <f t="shared" ref="CQ56:CQ57" ca="1" si="659">+CP56</f>
        <v>#NAME?</v>
      </c>
      <c r="CR56" s="76" t="e">
        <f t="shared" ref="CR56:CR57" ca="1" si="660">+CQ56</f>
        <v>#NAME?</v>
      </c>
      <c r="CS56" s="76" t="e">
        <f t="shared" ref="CS56:CS57" ca="1" si="661">+CR56</f>
        <v>#NAME?</v>
      </c>
      <c r="CT56" s="76" t="e">
        <f t="shared" ref="CT56:CT57" ca="1" si="662">+CS56</f>
        <v>#NAME?</v>
      </c>
      <c r="CU56" s="76" t="e">
        <f t="shared" ref="CU56:CU57" ca="1" si="663">+CT56</f>
        <v>#NAME?</v>
      </c>
      <c r="CV56" s="76" t="e">
        <f t="shared" ref="CV56:CV57" ca="1" si="664">+CU56</f>
        <v>#NAME?</v>
      </c>
      <c r="CW56" s="76" t="e">
        <f t="shared" ref="CW56:CW57" ca="1" si="665">+CV56</f>
        <v>#NAME?</v>
      </c>
      <c r="CX56" s="76" t="e">
        <f t="shared" ref="CX56:CX57" ca="1" si="666">+CW56</f>
        <v>#NAME?</v>
      </c>
      <c r="CY56" s="76" t="e">
        <f t="shared" ref="CY56:CY57" ca="1" si="667">+CX56</f>
        <v>#NAME?</v>
      </c>
      <c r="CZ56" s="76" t="e">
        <f t="shared" ref="CZ56:CZ57" ca="1" si="668">+CY56</f>
        <v>#NAME?</v>
      </c>
      <c r="DA56" s="76" t="e">
        <f t="shared" ref="DA56:DA57" ca="1" si="669">+CZ56</f>
        <v>#NAME?</v>
      </c>
      <c r="DB56" s="76" t="e">
        <f t="shared" ref="DB56:DB57" ca="1" si="670">+DA56</f>
        <v>#NAME?</v>
      </c>
      <c r="DE56" s="131"/>
      <c r="DF56" s="75">
        <v>0</v>
      </c>
    </row>
    <row r="57" spans="1:110" s="75" customFormat="1" x14ac:dyDescent="0.2">
      <c r="A57" s="23" t="s">
        <v>24</v>
      </c>
      <c r="B57" s="75" t="e">
        <f ca="1">'Annual Raw'!C33+'Annual Raw'!C28</f>
        <v>#NAME?</v>
      </c>
      <c r="C57" s="75" t="e">
        <f ca="1">'Annual Raw'!D33+'Annual Raw'!D28</f>
        <v>#NAME?</v>
      </c>
      <c r="D57" s="75" t="e">
        <f ca="1">'Annual Raw'!E33+'Annual Raw'!E28</f>
        <v>#NAME?</v>
      </c>
      <c r="E57" s="75" t="e">
        <f ca="1">'Annual Raw'!F33+'Annual Raw'!F28</f>
        <v>#NAME?</v>
      </c>
      <c r="F57" s="75" t="e">
        <f ca="1">'Annual Raw'!G33+'Annual Raw'!G28</f>
        <v>#NAME?</v>
      </c>
      <c r="G57" s="75" t="e">
        <f ca="1">'Annual Raw'!H33+'Annual Raw'!H28</f>
        <v>#NAME?</v>
      </c>
      <c r="H57" s="75" t="e">
        <f ca="1">'Annual Raw'!I33+'Annual Raw'!I28</f>
        <v>#NAME?</v>
      </c>
      <c r="I57" s="75" t="e">
        <f ca="1">'Annual Raw'!J33+'Annual Raw'!J28</f>
        <v>#NAME?</v>
      </c>
      <c r="J57" s="75" t="e">
        <f ca="1">'Annual Raw'!K33+'Annual Raw'!K28</f>
        <v>#NAME?</v>
      </c>
      <c r="K57" s="75" t="e">
        <f ca="1">'Annual Raw'!L33+'Annual Raw'!L28</f>
        <v>#NAME?</v>
      </c>
      <c r="L57" s="75" t="e">
        <f ca="1">'Annual Raw'!M33+'Annual Raw'!M28</f>
        <v>#NAME?</v>
      </c>
      <c r="M57" s="75" t="e">
        <f ca="1">'Annual Raw'!N33+'Annual Raw'!N28</f>
        <v>#NAME?</v>
      </c>
      <c r="N57" s="75" t="e">
        <f ca="1">'Annual Raw'!O33+'Annual Raw'!O28</f>
        <v>#NAME?</v>
      </c>
      <c r="O57" s="75" t="e">
        <f ca="1">'Annual Raw'!P33+'Annual Raw'!P28</f>
        <v>#NAME?</v>
      </c>
      <c r="P57" s="75" t="e">
        <f ca="1">'Annual Raw'!Q33+'Annual Raw'!Q28</f>
        <v>#NAME?</v>
      </c>
      <c r="Q57" s="75" t="e">
        <f ca="1">'Annual Raw'!R33+'Annual Raw'!R28</f>
        <v>#NAME?</v>
      </c>
      <c r="R57" s="75" t="e">
        <f ca="1">'Annual Raw'!S33+'Annual Raw'!S28</f>
        <v>#NAME?</v>
      </c>
      <c r="S57" s="75" t="e">
        <f ca="1">'Annual Raw'!T33+'Annual Raw'!T28</f>
        <v>#NAME?</v>
      </c>
      <c r="T57" s="75" t="e">
        <f ca="1">'Annual Raw'!U33+'Annual Raw'!U28</f>
        <v>#NAME?</v>
      </c>
      <c r="U57" s="75" t="e">
        <f ca="1">'Annual Raw'!V33+'Annual Raw'!V28</f>
        <v>#NAME?</v>
      </c>
      <c r="V57" s="75" t="e">
        <f ca="1">'Annual Raw'!W33+'Annual Raw'!W28</f>
        <v>#NAME?</v>
      </c>
      <c r="W57" s="75" t="e">
        <f ca="1">'Annual Raw'!X33+'Annual Raw'!X28</f>
        <v>#NAME?</v>
      </c>
      <c r="X57" s="75" t="e">
        <f ca="1">'Annual Raw'!Y33+'Annual Raw'!Y28</f>
        <v>#NAME?</v>
      </c>
      <c r="Y57" s="75" t="e">
        <f ca="1">'Annual Raw'!Z33+'Annual Raw'!Z28</f>
        <v>#NAME?</v>
      </c>
      <c r="Z57" s="75" t="e">
        <f ca="1">'Annual Raw'!AA33+'Annual Raw'!AA28</f>
        <v>#NAME?</v>
      </c>
      <c r="AA57" s="75" t="e">
        <f ca="1">'Annual Raw'!AB33+'Annual Raw'!AB28</f>
        <v>#NAME?</v>
      </c>
      <c r="AB57" s="76" t="e">
        <f t="shared" ca="1" si="651"/>
        <v>#NAME?</v>
      </c>
      <c r="AC57" s="76" t="e">
        <f t="shared" ca="1" si="652"/>
        <v>#NAME?</v>
      </c>
      <c r="AD57" s="76" t="e">
        <f t="shared" ca="1" si="653"/>
        <v>#NAME?</v>
      </c>
      <c r="AE57" s="76" t="e">
        <f t="shared" ca="1" si="654"/>
        <v>#NAME?</v>
      </c>
      <c r="AI57" s="75" t="e">
        <f ca="1">'QTR Raw'!C35</f>
        <v>#NAME?</v>
      </c>
      <c r="AJ57" s="75" t="e">
        <f ca="1">'QTR Raw'!D35</f>
        <v>#NAME?</v>
      </c>
      <c r="AK57" s="75" t="e">
        <f ca="1">'QTR Raw'!E35</f>
        <v>#NAME?</v>
      </c>
      <c r="AL57" s="75" t="e">
        <f ca="1">'QTR Raw'!F35</f>
        <v>#NAME?</v>
      </c>
      <c r="AM57" s="75" t="e">
        <f ca="1">'QTR Raw'!G35</f>
        <v>#NAME?</v>
      </c>
      <c r="AN57" s="75" t="e">
        <f ca="1">'QTR Raw'!H35</f>
        <v>#NAME?</v>
      </c>
      <c r="AO57" s="75" t="e">
        <f ca="1">'QTR Raw'!I35</f>
        <v>#NAME?</v>
      </c>
      <c r="AP57" s="75" t="e">
        <f ca="1">'QTR Raw'!J35</f>
        <v>#NAME?</v>
      </c>
      <c r="AQ57" s="75" t="e">
        <f ca="1">'QTR Raw'!K35</f>
        <v>#NAME?</v>
      </c>
      <c r="AR57" s="75" t="e">
        <f ca="1">'QTR Raw'!L35</f>
        <v>#NAME?</v>
      </c>
      <c r="AS57" s="75" t="e">
        <f ca="1">'QTR Raw'!M35</f>
        <v>#NAME?</v>
      </c>
      <c r="AT57" s="75" t="e">
        <f ca="1">'QTR Raw'!N35</f>
        <v>#NAME?</v>
      </c>
      <c r="AU57" s="75" t="e">
        <f ca="1">'QTR Raw'!O35</f>
        <v>#NAME?</v>
      </c>
      <c r="AV57" s="75" t="e">
        <f ca="1">'QTR Raw'!P35</f>
        <v>#NAME?</v>
      </c>
      <c r="AW57" s="75" t="e">
        <f ca="1">'QTR Raw'!Q35</f>
        <v>#NAME?</v>
      </c>
      <c r="AX57" s="75" t="e">
        <f ca="1">'QTR Raw'!R35</f>
        <v>#NAME?</v>
      </c>
      <c r="AY57" s="75" t="e">
        <f ca="1">'QTR Raw'!S35</f>
        <v>#NAME?</v>
      </c>
      <c r="AZ57" s="75" t="e">
        <f ca="1">'QTR Raw'!T35</f>
        <v>#NAME?</v>
      </c>
      <c r="BA57" s="75" t="e">
        <f ca="1">'QTR Raw'!U35</f>
        <v>#NAME?</v>
      </c>
      <c r="BB57" s="75" t="e">
        <f ca="1">'QTR Raw'!V35</f>
        <v>#NAME?</v>
      </c>
      <c r="BC57" s="75" t="e">
        <f ca="1">'QTR Raw'!W35</f>
        <v>#NAME?</v>
      </c>
      <c r="BD57" s="75" t="e">
        <f ca="1">'QTR Raw'!X35</f>
        <v>#NAME?</v>
      </c>
      <c r="BE57" s="75" t="e">
        <f ca="1">'QTR Raw'!Y35</f>
        <v>#NAME?</v>
      </c>
      <c r="BF57" s="75" t="e">
        <f ca="1">'QTR Raw'!Z35</f>
        <v>#NAME?</v>
      </c>
      <c r="BG57" s="75" t="e">
        <f ca="1">'QTR Raw'!AA35</f>
        <v>#NAME?</v>
      </c>
      <c r="BH57" s="75" t="e">
        <f ca="1">'QTR Raw'!AB35</f>
        <v>#NAME?</v>
      </c>
      <c r="BI57" s="75" t="e">
        <f ca="1">'QTR Raw'!AC35</f>
        <v>#NAME?</v>
      </c>
      <c r="BJ57" s="75" t="e">
        <f ca="1">'QTR Raw'!AD35</f>
        <v>#NAME?</v>
      </c>
      <c r="BK57" s="75" t="e">
        <f ca="1">'QTR Raw'!AE35</f>
        <v>#NAME?</v>
      </c>
      <c r="BL57" s="75" t="e">
        <f ca="1">'QTR Raw'!AF35</f>
        <v>#NAME?</v>
      </c>
      <c r="BM57" s="75" t="e">
        <f ca="1">'QTR Raw'!AG35</f>
        <v>#NAME?</v>
      </c>
      <c r="BN57" s="75" t="e">
        <f ca="1">'QTR Raw'!AH35</f>
        <v>#NAME?</v>
      </c>
      <c r="BO57" s="75" t="e">
        <f ca="1">'QTR Raw'!AI35</f>
        <v>#NAME?</v>
      </c>
      <c r="BP57" s="75" t="e">
        <f ca="1">'QTR Raw'!AJ35</f>
        <v>#NAME?</v>
      </c>
      <c r="BQ57" s="75" t="e">
        <f ca="1">'QTR Raw'!AK35</f>
        <v>#NAME?</v>
      </c>
      <c r="BR57" s="75" t="e">
        <f ca="1">'QTR Raw'!AL35</f>
        <v>#NAME?</v>
      </c>
      <c r="BS57" s="75" t="e">
        <f ca="1">'QTR Raw'!AM35</f>
        <v>#NAME?</v>
      </c>
      <c r="BT57" s="75" t="e">
        <f ca="1">'QTR Raw'!AN35</f>
        <v>#NAME?</v>
      </c>
      <c r="BU57" s="75" t="e">
        <f ca="1">'QTR Raw'!AO35</f>
        <v>#NAME?</v>
      </c>
      <c r="BV57" s="75" t="e">
        <f ca="1">'QTR Raw'!AP35</f>
        <v>#NAME?</v>
      </c>
      <c r="BW57" s="75" t="e">
        <f ca="1">'QTR Raw'!AQ35</f>
        <v>#NAME?</v>
      </c>
      <c r="BX57" s="75" t="e">
        <f ca="1">'QTR Raw'!AR35</f>
        <v>#NAME?</v>
      </c>
      <c r="BY57" s="75" t="e">
        <f ca="1">'QTR Raw'!AS35</f>
        <v>#NAME?</v>
      </c>
      <c r="BZ57" s="75" t="e">
        <f ca="1">'QTR Raw'!AT35</f>
        <v>#NAME?</v>
      </c>
      <c r="CA57" s="75" t="e">
        <f ca="1">'QTR Raw'!AU35</f>
        <v>#NAME?</v>
      </c>
      <c r="CB57" s="75" t="e">
        <f ca="1">'QTR Raw'!AV35</f>
        <v>#NAME?</v>
      </c>
      <c r="CC57" s="75" t="e">
        <f ca="1">'QTR Raw'!AW35</f>
        <v>#NAME?</v>
      </c>
      <c r="CD57" s="75" t="e">
        <f ca="1">'QTR Raw'!AX35</f>
        <v>#NAME?</v>
      </c>
      <c r="CE57" s="75" t="e">
        <f ca="1">'QTR Raw'!AY35</f>
        <v>#NAME?</v>
      </c>
      <c r="CF57" s="75" t="e">
        <f ca="1">'QTR Raw'!AZ35</f>
        <v>#NAME?</v>
      </c>
      <c r="CG57" s="75">
        <v>0</v>
      </c>
      <c r="CH57" s="75" t="e">
        <f ca="1">'QTR Raw'!BB35</f>
        <v>#NAME?</v>
      </c>
      <c r="CI57" s="75" t="e">
        <f ca="1">'QTR Raw'!BC35</f>
        <v>#NAME?</v>
      </c>
      <c r="CJ57" s="75" t="e">
        <f ca="1">'QTR Raw'!BD35</f>
        <v>#NAME?</v>
      </c>
      <c r="CK57" s="75" t="e">
        <f ca="1">'QTR Raw'!BE35</f>
        <v>#NAME?</v>
      </c>
      <c r="CL57" s="75" t="e">
        <f ca="1">'QTR Raw'!BF35</f>
        <v>#NAME?</v>
      </c>
      <c r="CM57" s="76" t="e">
        <f t="shared" ca="1" si="655"/>
        <v>#NAME?</v>
      </c>
      <c r="CN57" s="76" t="e">
        <f t="shared" ca="1" si="656"/>
        <v>#NAME?</v>
      </c>
      <c r="CO57" s="76" t="e">
        <f t="shared" ca="1" si="657"/>
        <v>#NAME?</v>
      </c>
      <c r="CP57" s="76" t="e">
        <f t="shared" ca="1" si="658"/>
        <v>#NAME?</v>
      </c>
      <c r="CQ57" s="76" t="e">
        <f t="shared" ca="1" si="659"/>
        <v>#NAME?</v>
      </c>
      <c r="CR57" s="76" t="e">
        <f t="shared" ca="1" si="660"/>
        <v>#NAME?</v>
      </c>
      <c r="CS57" s="76" t="e">
        <f t="shared" ca="1" si="661"/>
        <v>#NAME?</v>
      </c>
      <c r="CT57" s="76" t="e">
        <f t="shared" ca="1" si="662"/>
        <v>#NAME?</v>
      </c>
      <c r="CU57" s="76" t="e">
        <f t="shared" ca="1" si="663"/>
        <v>#NAME?</v>
      </c>
      <c r="CV57" s="76" t="e">
        <f t="shared" ca="1" si="664"/>
        <v>#NAME?</v>
      </c>
      <c r="CW57" s="76" t="e">
        <f t="shared" ca="1" si="665"/>
        <v>#NAME?</v>
      </c>
      <c r="CX57" s="76" t="e">
        <f t="shared" ca="1" si="666"/>
        <v>#NAME?</v>
      </c>
      <c r="CY57" s="76" t="e">
        <f t="shared" ca="1" si="667"/>
        <v>#NAME?</v>
      </c>
      <c r="CZ57" s="76" t="e">
        <f t="shared" ca="1" si="668"/>
        <v>#NAME?</v>
      </c>
      <c r="DA57" s="76" t="e">
        <f t="shared" ca="1" si="669"/>
        <v>#NAME?</v>
      </c>
      <c r="DB57" s="76" t="e">
        <f t="shared" ca="1" si="670"/>
        <v>#NAME?</v>
      </c>
      <c r="DE57" s="131"/>
      <c r="DF57" s="75">
        <v>0</v>
      </c>
    </row>
    <row r="58" spans="1:110" s="23" customFormat="1" x14ac:dyDescent="0.2">
      <c r="A58" s="23" t="s">
        <v>19</v>
      </c>
      <c r="B58" s="75" t="e">
        <f ca="1">'Annual Raw'!C29+'Annual Raw'!C31+'Annual Raw'!C34+'Annual Raw'!C36</f>
        <v>#NAME?</v>
      </c>
      <c r="C58" s="75" t="e">
        <f ca="1">'Annual Raw'!D29+'Annual Raw'!D31+'Annual Raw'!D34+'Annual Raw'!D36</f>
        <v>#NAME?</v>
      </c>
      <c r="D58" s="75" t="e">
        <f ca="1">'Annual Raw'!E29+'Annual Raw'!E31+'Annual Raw'!E34+'Annual Raw'!E36</f>
        <v>#NAME?</v>
      </c>
      <c r="E58" s="75" t="e">
        <f ca="1">'Annual Raw'!F29+'Annual Raw'!F31+'Annual Raw'!F34+'Annual Raw'!F36</f>
        <v>#NAME?</v>
      </c>
      <c r="F58" s="75" t="e">
        <f ca="1">'Annual Raw'!G29+'Annual Raw'!G31+'Annual Raw'!G34+'Annual Raw'!G36</f>
        <v>#NAME?</v>
      </c>
      <c r="G58" s="75" t="e">
        <f ca="1">'Annual Raw'!H29+'Annual Raw'!H31+'Annual Raw'!H34+'Annual Raw'!H36</f>
        <v>#NAME?</v>
      </c>
      <c r="H58" s="75" t="e">
        <f ca="1">'Annual Raw'!I29+'Annual Raw'!I31+'Annual Raw'!I34+'Annual Raw'!I36</f>
        <v>#NAME?</v>
      </c>
      <c r="I58" s="75" t="e">
        <f ca="1">'Annual Raw'!J29+'Annual Raw'!J31+'Annual Raw'!J34+'Annual Raw'!J36</f>
        <v>#NAME?</v>
      </c>
      <c r="J58" s="75" t="e">
        <f ca="1">'Annual Raw'!K29+'Annual Raw'!K31+'Annual Raw'!K34+'Annual Raw'!K36</f>
        <v>#NAME?</v>
      </c>
      <c r="K58" s="75" t="e">
        <f ca="1">'Annual Raw'!L29+'Annual Raw'!L31+'Annual Raw'!L34+'Annual Raw'!L36</f>
        <v>#NAME?</v>
      </c>
      <c r="L58" s="75" t="e">
        <f ca="1">'Annual Raw'!M29+'Annual Raw'!M31+'Annual Raw'!M34+'Annual Raw'!M36</f>
        <v>#NAME?</v>
      </c>
      <c r="M58" s="75" t="e">
        <f ca="1">'Annual Raw'!N29+'Annual Raw'!N31+'Annual Raw'!N34+'Annual Raw'!N36</f>
        <v>#NAME?</v>
      </c>
      <c r="N58" s="75" t="e">
        <f ca="1">'Annual Raw'!O29+'Annual Raw'!O31+'Annual Raw'!O34+'Annual Raw'!O36</f>
        <v>#NAME?</v>
      </c>
      <c r="O58" s="75" t="e">
        <f ca="1">'Annual Raw'!P29+'Annual Raw'!P31+'Annual Raw'!P34+'Annual Raw'!P36</f>
        <v>#NAME?</v>
      </c>
      <c r="P58" s="75" t="e">
        <f ca="1">'Annual Raw'!Q29+'Annual Raw'!Q31+'Annual Raw'!Q34+'Annual Raw'!Q36</f>
        <v>#NAME?</v>
      </c>
      <c r="Q58" s="75" t="e">
        <f ca="1">'Annual Raw'!R29+'Annual Raw'!R31+'Annual Raw'!R34+'Annual Raw'!R36</f>
        <v>#NAME?</v>
      </c>
      <c r="R58" s="75" t="e">
        <f ca="1">'Annual Raw'!S29+'Annual Raw'!S31+'Annual Raw'!S34+'Annual Raw'!S36</f>
        <v>#NAME?</v>
      </c>
      <c r="S58" s="75" t="e">
        <f ca="1">'Annual Raw'!T29+'Annual Raw'!T31+'Annual Raw'!T34+'Annual Raw'!T36</f>
        <v>#NAME?</v>
      </c>
      <c r="T58" s="75" t="e">
        <f ca="1">'Annual Raw'!U29+'Annual Raw'!U31+'Annual Raw'!U34+'Annual Raw'!U36</f>
        <v>#NAME?</v>
      </c>
      <c r="U58" s="75" t="e">
        <f ca="1">'Annual Raw'!V29+'Annual Raw'!V31+'Annual Raw'!V34+'Annual Raw'!V36</f>
        <v>#NAME?</v>
      </c>
      <c r="V58" s="75" t="e">
        <f ca="1">'Annual Raw'!W29+'Annual Raw'!W31+'Annual Raw'!W34+'Annual Raw'!W36</f>
        <v>#NAME?</v>
      </c>
      <c r="W58" s="75" t="e">
        <f ca="1">'Annual Raw'!X29+'Annual Raw'!X31+'Annual Raw'!X34+'Annual Raw'!X36</f>
        <v>#NAME?</v>
      </c>
      <c r="X58" s="75" t="e">
        <f ca="1">'Annual Raw'!Y29+'Annual Raw'!Y31+'Annual Raw'!Y34+'Annual Raw'!Y36</f>
        <v>#NAME?</v>
      </c>
      <c r="Y58" s="75" t="e">
        <f ca="1">'Annual Raw'!Z29+'Annual Raw'!Z31+'Annual Raw'!Z34+'Annual Raw'!Z36</f>
        <v>#NAME?</v>
      </c>
      <c r="Z58" s="75" t="e">
        <f ca="1">'Annual Raw'!AA29+'Annual Raw'!AA31+'Annual Raw'!AA34+'Annual Raw'!AA36</f>
        <v>#NAME?</v>
      </c>
      <c r="AA58" s="75" t="e">
        <f ca="1">'Annual Raw'!AB29+'Annual Raw'!AB31+'Annual Raw'!AB34+'Annual Raw'!AB36</f>
        <v>#NAME?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75" t="e">
        <f ca="1">'QTR Raw'!C26+'QTR Raw'!C31+'QTR Raw'!C32+'QTR Raw'!C33+'QTR Raw'!C36+'QTR Raw'!C37+'QTR Raw'!C39</f>
        <v>#NAME?</v>
      </c>
      <c r="AJ58" s="75" t="e">
        <f ca="1">'QTR Raw'!D26+'QTR Raw'!D31+'QTR Raw'!D32+'QTR Raw'!D33+'QTR Raw'!D36+'QTR Raw'!D37+'QTR Raw'!D39</f>
        <v>#NAME?</v>
      </c>
      <c r="AK58" s="75" t="e">
        <f ca="1">'QTR Raw'!E26+'QTR Raw'!E31+'QTR Raw'!E32+'QTR Raw'!E33+'QTR Raw'!E36+'QTR Raw'!E37+'QTR Raw'!E39</f>
        <v>#NAME?</v>
      </c>
      <c r="AL58" s="75" t="e">
        <f ca="1">'QTR Raw'!F26+'QTR Raw'!F31+'QTR Raw'!F32+'QTR Raw'!F33+'QTR Raw'!F36+'QTR Raw'!F37+'QTR Raw'!F39</f>
        <v>#NAME?</v>
      </c>
      <c r="AM58" s="75" t="e">
        <f ca="1">'QTR Raw'!G26+'QTR Raw'!G31+'QTR Raw'!G32+'QTR Raw'!G33+'QTR Raw'!G36+'QTR Raw'!G37+'QTR Raw'!G39</f>
        <v>#NAME?</v>
      </c>
      <c r="AN58" s="75" t="e">
        <f ca="1">'QTR Raw'!H26+'QTR Raw'!H31+'QTR Raw'!H32+'QTR Raw'!H33+'QTR Raw'!H36+'QTR Raw'!H37+'QTR Raw'!H39</f>
        <v>#NAME?</v>
      </c>
      <c r="AO58" s="75" t="e">
        <f ca="1">'QTR Raw'!I26+'QTR Raw'!I31+'QTR Raw'!I32+'QTR Raw'!I33+'QTR Raw'!I36+'QTR Raw'!I37+'QTR Raw'!I39</f>
        <v>#NAME?</v>
      </c>
      <c r="AP58" s="75" t="e">
        <f ca="1">'QTR Raw'!J26+'QTR Raw'!J31+'QTR Raw'!J32+'QTR Raw'!J33+'QTR Raw'!J36+'QTR Raw'!J37+'QTR Raw'!J39</f>
        <v>#NAME?</v>
      </c>
      <c r="AQ58" s="75" t="e">
        <f ca="1">'QTR Raw'!K26+'QTR Raw'!K31+'QTR Raw'!K32+'QTR Raw'!K33+'QTR Raw'!K36+'QTR Raw'!K37+'QTR Raw'!K39</f>
        <v>#NAME?</v>
      </c>
      <c r="AR58" s="75" t="e">
        <f ca="1">'QTR Raw'!L26+'QTR Raw'!L31+'QTR Raw'!L32+'QTR Raw'!L33+'QTR Raw'!L36+'QTR Raw'!L37+'QTR Raw'!L39</f>
        <v>#NAME?</v>
      </c>
      <c r="AS58" s="75" t="e">
        <f ca="1">'QTR Raw'!M26+'QTR Raw'!M31+'QTR Raw'!M32+'QTR Raw'!M33+'QTR Raw'!M36+'QTR Raw'!M37+'QTR Raw'!M39</f>
        <v>#NAME?</v>
      </c>
      <c r="AT58" s="75" t="e">
        <f ca="1">'QTR Raw'!N26+'QTR Raw'!N31+'QTR Raw'!N32+'QTR Raw'!N33+'QTR Raw'!N36+'QTR Raw'!N37+'QTR Raw'!N39</f>
        <v>#NAME?</v>
      </c>
      <c r="AU58" s="75" t="e">
        <f ca="1">'QTR Raw'!O26+'QTR Raw'!O31+'QTR Raw'!O32+'QTR Raw'!O33+'QTR Raw'!O36+'QTR Raw'!O37+'QTR Raw'!O39</f>
        <v>#NAME?</v>
      </c>
      <c r="AV58" s="75" t="e">
        <f ca="1">'QTR Raw'!P26+'QTR Raw'!P31+'QTR Raw'!P32+'QTR Raw'!P33+'QTR Raw'!P36+'QTR Raw'!P37+'QTR Raw'!P39</f>
        <v>#NAME?</v>
      </c>
      <c r="AW58" s="75" t="e">
        <f ca="1">'QTR Raw'!Q26+'QTR Raw'!Q31+'QTR Raw'!Q32+'QTR Raw'!Q33+'QTR Raw'!Q36+'QTR Raw'!Q37+'QTR Raw'!Q39</f>
        <v>#NAME?</v>
      </c>
      <c r="AX58" s="75" t="e">
        <f ca="1">'QTR Raw'!R26+'QTR Raw'!R31+'QTR Raw'!R32+'QTR Raw'!R33+'QTR Raw'!R36+'QTR Raw'!R37+'QTR Raw'!R39</f>
        <v>#NAME?</v>
      </c>
      <c r="AY58" s="75" t="e">
        <f ca="1">'QTR Raw'!S26+'QTR Raw'!S31+'QTR Raw'!S32+'QTR Raw'!S33+'QTR Raw'!S36+'QTR Raw'!S37+'QTR Raw'!S39</f>
        <v>#NAME?</v>
      </c>
      <c r="AZ58" s="75" t="e">
        <f ca="1">'QTR Raw'!T26+'QTR Raw'!T31+'QTR Raw'!T32+'QTR Raw'!T33+'QTR Raw'!T36+'QTR Raw'!T37+'QTR Raw'!T39</f>
        <v>#NAME?</v>
      </c>
      <c r="BA58" s="75" t="e">
        <f ca="1">'QTR Raw'!U26+'QTR Raw'!U31+'QTR Raw'!U32+'QTR Raw'!U33+'QTR Raw'!U36+'QTR Raw'!U37+'QTR Raw'!U39</f>
        <v>#NAME?</v>
      </c>
      <c r="BB58" s="75" t="e">
        <f ca="1">'QTR Raw'!V26+'QTR Raw'!V31+'QTR Raw'!V32+'QTR Raw'!V33+'QTR Raw'!V36+'QTR Raw'!V37+'QTR Raw'!V39</f>
        <v>#NAME?</v>
      </c>
      <c r="BC58" s="75" t="e">
        <f ca="1">'QTR Raw'!W26+'QTR Raw'!W31+'QTR Raw'!W32+'QTR Raw'!W33+'QTR Raw'!W36+'QTR Raw'!W37+'QTR Raw'!W39</f>
        <v>#NAME?</v>
      </c>
      <c r="BD58" s="75" t="e">
        <f ca="1">'QTR Raw'!X26+'QTR Raw'!X31+'QTR Raw'!X32+'QTR Raw'!X33+'QTR Raw'!X36+'QTR Raw'!X37+'QTR Raw'!X39</f>
        <v>#NAME?</v>
      </c>
      <c r="BE58" s="75" t="e">
        <f ca="1">'QTR Raw'!Y26+'QTR Raw'!Y31+'QTR Raw'!Y32+'QTR Raw'!Y33+'QTR Raw'!Y36+'QTR Raw'!Y37+'QTR Raw'!Y39</f>
        <v>#NAME?</v>
      </c>
      <c r="BF58" s="75" t="e">
        <f ca="1">'QTR Raw'!Z26+'QTR Raw'!Z31+'QTR Raw'!Z32+'QTR Raw'!Z33+'QTR Raw'!Z36+'QTR Raw'!Z37+'QTR Raw'!Z39</f>
        <v>#NAME?</v>
      </c>
      <c r="BG58" s="75" t="e">
        <f ca="1">'QTR Raw'!AA26+'QTR Raw'!AA31+'QTR Raw'!AA32+'QTR Raw'!AA33+'QTR Raw'!AA36+'QTR Raw'!AA37+'QTR Raw'!AA39</f>
        <v>#NAME?</v>
      </c>
      <c r="BH58" s="75" t="e">
        <f ca="1">'QTR Raw'!AB26+'QTR Raw'!AB31+'QTR Raw'!AB32+'QTR Raw'!AB33+'QTR Raw'!AB36+'QTR Raw'!AB37+'QTR Raw'!AB39</f>
        <v>#NAME?</v>
      </c>
      <c r="BI58" s="75" t="e">
        <f ca="1">'QTR Raw'!AC26+'QTR Raw'!AC31+'QTR Raw'!AC32+'QTR Raw'!AC33+'QTR Raw'!AC36+'QTR Raw'!AC37+'QTR Raw'!AC39</f>
        <v>#NAME?</v>
      </c>
      <c r="BJ58" s="75" t="e">
        <f ca="1">'QTR Raw'!AD26+'QTR Raw'!AD31+'QTR Raw'!AD32+'QTR Raw'!AD33+'QTR Raw'!AD36+'QTR Raw'!AD37+'QTR Raw'!AD39</f>
        <v>#NAME?</v>
      </c>
      <c r="BK58" s="75" t="e">
        <f ca="1">'QTR Raw'!AE26+'QTR Raw'!AE31+'QTR Raw'!AE32+'QTR Raw'!AE33+'QTR Raw'!AE36+'QTR Raw'!AE37+'QTR Raw'!AE39</f>
        <v>#NAME?</v>
      </c>
      <c r="BL58" s="75" t="e">
        <f ca="1">'QTR Raw'!AF26+'QTR Raw'!AF31+'QTR Raw'!AF32+'QTR Raw'!AF33+'QTR Raw'!AF36+'QTR Raw'!AF37+'QTR Raw'!AF39</f>
        <v>#NAME?</v>
      </c>
      <c r="BM58" s="75" t="e">
        <f ca="1">'QTR Raw'!AG26+'QTR Raw'!AG31+'QTR Raw'!AG32+'QTR Raw'!AG33+'QTR Raw'!AG36+'QTR Raw'!AG37+'QTR Raw'!AG39</f>
        <v>#NAME?</v>
      </c>
      <c r="BN58" s="75" t="e">
        <f ca="1">'QTR Raw'!AH26+'QTR Raw'!AH31+'QTR Raw'!AH32+'QTR Raw'!AH33+'QTR Raw'!AH36+'QTR Raw'!AH37+'QTR Raw'!AH39</f>
        <v>#NAME?</v>
      </c>
      <c r="BO58" s="75" t="e">
        <f ca="1">'QTR Raw'!AI26+'QTR Raw'!AI31+'QTR Raw'!AI32+'QTR Raw'!AI33+'QTR Raw'!AI36+'QTR Raw'!AI37+'QTR Raw'!AI39</f>
        <v>#NAME?</v>
      </c>
      <c r="BP58" s="75" t="e">
        <f ca="1">'QTR Raw'!AJ26+'QTR Raw'!AJ31+'QTR Raw'!AJ32+'QTR Raw'!AJ33+'QTR Raw'!AJ36+'QTR Raw'!AJ37+'QTR Raw'!AJ39</f>
        <v>#NAME?</v>
      </c>
      <c r="BQ58" s="75" t="e">
        <f ca="1">'QTR Raw'!AK26+'QTR Raw'!AK31+'QTR Raw'!AK32+'QTR Raw'!AK33+'QTR Raw'!AK36+'QTR Raw'!AK37+'QTR Raw'!AK39</f>
        <v>#NAME?</v>
      </c>
      <c r="BR58" s="75" t="e">
        <f ca="1">'QTR Raw'!AL26+'QTR Raw'!AL31+'QTR Raw'!AL32+'QTR Raw'!AL33+'QTR Raw'!AL36+'QTR Raw'!AL37+'QTR Raw'!AL39</f>
        <v>#NAME?</v>
      </c>
      <c r="BS58" s="75" t="e">
        <f ca="1">'QTR Raw'!AM26+'QTR Raw'!AM31+'QTR Raw'!AM32+'QTR Raw'!AM33+'QTR Raw'!AM36+'QTR Raw'!AM37+'QTR Raw'!AM39</f>
        <v>#NAME?</v>
      </c>
      <c r="BT58" s="75" t="e">
        <f ca="1">'QTR Raw'!AN26+'QTR Raw'!AN31+'QTR Raw'!AN32+'QTR Raw'!AN33+'QTR Raw'!AN36+'QTR Raw'!AN37+'QTR Raw'!AN39</f>
        <v>#NAME?</v>
      </c>
      <c r="BU58" s="75" t="e">
        <f ca="1">'QTR Raw'!AO26+'QTR Raw'!AO31+'QTR Raw'!AO32+'QTR Raw'!AO33+'QTR Raw'!AO36+'QTR Raw'!AO37+'QTR Raw'!AO39</f>
        <v>#NAME?</v>
      </c>
      <c r="BV58" s="75" t="e">
        <f ca="1">'QTR Raw'!AP26+'QTR Raw'!AP31+'QTR Raw'!AP32+'QTR Raw'!AP33+'QTR Raw'!AP36+'QTR Raw'!AP37+'QTR Raw'!AP39</f>
        <v>#NAME?</v>
      </c>
      <c r="BW58" s="75" t="e">
        <f ca="1">'QTR Raw'!AQ26+'QTR Raw'!AQ31+'QTR Raw'!AQ32+'QTR Raw'!AQ33+'QTR Raw'!AQ36+'QTR Raw'!AQ37+'QTR Raw'!AQ39</f>
        <v>#NAME?</v>
      </c>
      <c r="BX58" s="75" t="e">
        <f ca="1">'QTR Raw'!AR26+'QTR Raw'!AR31+'QTR Raw'!AR32+'QTR Raw'!AR33+'QTR Raw'!AR36+'QTR Raw'!AR37+'QTR Raw'!AR39</f>
        <v>#NAME?</v>
      </c>
      <c r="BY58" s="75" t="e">
        <f ca="1">'QTR Raw'!AS26+'QTR Raw'!AS31+'QTR Raw'!AS32+'QTR Raw'!AS33+'QTR Raw'!AS36+'QTR Raw'!AS37+'QTR Raw'!AS39</f>
        <v>#NAME?</v>
      </c>
      <c r="BZ58" s="75" t="e">
        <f ca="1">'QTR Raw'!AT26+'QTR Raw'!AT31+'QTR Raw'!AT32+'QTR Raw'!AT33+'QTR Raw'!AT36+'QTR Raw'!AT37+'QTR Raw'!AT39</f>
        <v>#NAME?</v>
      </c>
      <c r="CA58" s="75" t="e">
        <f ca="1">'QTR Raw'!AU26+'QTR Raw'!AU31+'QTR Raw'!AU32+'QTR Raw'!AU33+'QTR Raw'!AU36+'QTR Raw'!AU37+'QTR Raw'!AU39</f>
        <v>#NAME?</v>
      </c>
      <c r="CB58" s="75" t="e">
        <f ca="1">'QTR Raw'!AV26+'QTR Raw'!AV31+'QTR Raw'!AV32+'QTR Raw'!AV33+'QTR Raw'!AV36+'QTR Raw'!AV37+'QTR Raw'!AV39</f>
        <v>#NAME?</v>
      </c>
      <c r="CC58" s="75" t="e">
        <f ca="1">'QTR Raw'!AW26+'QTR Raw'!AW31+'QTR Raw'!AW32+'QTR Raw'!AW33+'QTR Raw'!AW36+'QTR Raw'!AW37+'QTR Raw'!AW39</f>
        <v>#NAME?</v>
      </c>
      <c r="CD58" s="75" t="e">
        <f ca="1">'QTR Raw'!AX26+'QTR Raw'!AX31+'QTR Raw'!AX32+'QTR Raw'!AX33+'QTR Raw'!AX36+'QTR Raw'!AX37+'QTR Raw'!AX39</f>
        <v>#NAME?</v>
      </c>
      <c r="CE58" s="75" t="e">
        <f ca="1">'QTR Raw'!AY26+'QTR Raw'!AY31+'QTR Raw'!AY32+'QTR Raw'!AY33+'QTR Raw'!AY36+'QTR Raw'!AY37+'QTR Raw'!AY39</f>
        <v>#NAME?</v>
      </c>
      <c r="CF58" s="75" t="e">
        <f ca="1">'QTR Raw'!AZ26+'QTR Raw'!AZ31+'QTR Raw'!AZ32+'QTR Raw'!AZ33+'QTR Raw'!AZ36+'QTR Raw'!AZ37+'QTR Raw'!AZ39</f>
        <v>#NAME?</v>
      </c>
      <c r="CG58" s="75">
        <v>0</v>
      </c>
      <c r="CH58" s="75" t="e">
        <f ca="1">'QTR Raw'!BB26+'QTR Raw'!BB31+'QTR Raw'!BB32+'QTR Raw'!BB33+'QTR Raw'!BB36+'QTR Raw'!BB37+'QTR Raw'!BB39</f>
        <v>#NAME?</v>
      </c>
      <c r="CI58" s="75" t="e">
        <f ca="1">'QTR Raw'!BC26+'QTR Raw'!BC31+'QTR Raw'!BC32+'QTR Raw'!BC33+'QTR Raw'!BC36+'QTR Raw'!BC37+'QTR Raw'!BC39</f>
        <v>#NAME?</v>
      </c>
      <c r="CJ58" s="75" t="e">
        <f ca="1">'QTR Raw'!BD26+'QTR Raw'!BD31+'QTR Raw'!BD32+'QTR Raw'!BD33+'QTR Raw'!BD36+'QTR Raw'!BD37+'QTR Raw'!BD39</f>
        <v>#NAME?</v>
      </c>
      <c r="CK58" s="75" t="e">
        <f ca="1">'QTR Raw'!BE26+'QTR Raw'!BE31+'QTR Raw'!BE32+'QTR Raw'!BE33+'QTR Raw'!BE36+'QTR Raw'!BE37+'QTR Raw'!BE39</f>
        <v>#NAME?</v>
      </c>
      <c r="CL58" s="75" t="e">
        <f ca="1">'QTR Raw'!BF26+'QTR Raw'!BF31+'QTR Raw'!BF32+'QTR Raw'!BF33+'QTR Raw'!BF36+'QTR Raw'!BF37+'QTR Raw'!BF39</f>
        <v>#NAME?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0</v>
      </c>
    </row>
    <row r="59" spans="1:110" s="26" customFormat="1" x14ac:dyDescent="0.2">
      <c r="A59" s="35" t="s">
        <v>25</v>
      </c>
      <c r="B59" s="26" t="e">
        <f ca="1">B52+B56+B57+B58</f>
        <v>#NAME?</v>
      </c>
      <c r="C59" s="26" t="e">
        <f ca="1">C52+C56+C57+C58</f>
        <v>#NAME?</v>
      </c>
      <c r="D59" s="26" t="e">
        <f ca="1">D52+D56+D57+D58</f>
        <v>#NAME?</v>
      </c>
      <c r="E59" s="26" t="e">
        <f t="shared" ref="E59:U59" ca="1" si="671">E52+E56+E57+E58</f>
        <v>#NAME?</v>
      </c>
      <c r="F59" s="26" t="e">
        <f t="shared" ca="1" si="671"/>
        <v>#NAME?</v>
      </c>
      <c r="G59" s="26" t="e">
        <f t="shared" ca="1" si="671"/>
        <v>#NAME?</v>
      </c>
      <c r="H59" s="26" t="e">
        <f t="shared" ca="1" si="671"/>
        <v>#NAME?</v>
      </c>
      <c r="I59" s="26" t="e">
        <f t="shared" ca="1" si="671"/>
        <v>#NAME?</v>
      </c>
      <c r="J59" s="26" t="e">
        <f t="shared" ca="1" si="671"/>
        <v>#NAME?</v>
      </c>
      <c r="K59" s="26" t="e">
        <f t="shared" ca="1" si="671"/>
        <v>#NAME?</v>
      </c>
      <c r="L59" s="26" t="e">
        <f t="shared" ca="1" si="671"/>
        <v>#NAME?</v>
      </c>
      <c r="M59" s="26" t="e">
        <f t="shared" ca="1" si="671"/>
        <v>#NAME?</v>
      </c>
      <c r="N59" s="26" t="e">
        <f t="shared" ca="1" si="671"/>
        <v>#NAME?</v>
      </c>
      <c r="O59" s="26" t="e">
        <f t="shared" ca="1" si="671"/>
        <v>#NAME?</v>
      </c>
      <c r="P59" s="26" t="e">
        <f t="shared" ca="1" si="671"/>
        <v>#NAME?</v>
      </c>
      <c r="Q59" s="26" t="e">
        <f t="shared" ca="1" si="671"/>
        <v>#NAME?</v>
      </c>
      <c r="R59" s="26" t="e">
        <f t="shared" ca="1" si="671"/>
        <v>#NAME?</v>
      </c>
      <c r="S59" s="26" t="e">
        <f t="shared" ca="1" si="671"/>
        <v>#NAME?</v>
      </c>
      <c r="T59" s="26" t="e">
        <f t="shared" ca="1" si="671"/>
        <v>#NAME?</v>
      </c>
      <c r="U59" s="26" t="e">
        <f t="shared" ca="1" si="671"/>
        <v>#NAME?</v>
      </c>
      <c r="V59" s="26" t="e">
        <f ca="1">V52+V56+V57+V58</f>
        <v>#NAME?</v>
      </c>
      <c r="W59" s="26" t="e">
        <f ca="1">W52+W56+W57+W58</f>
        <v>#NAME?</v>
      </c>
      <c r="X59" s="26" t="e">
        <f ca="1">X52+X56+X57+X58</f>
        <v>#NAME?</v>
      </c>
      <c r="Y59" s="26" t="e">
        <f ca="1">Y52+Y56+Y57+Y58</f>
        <v>#NAME?</v>
      </c>
      <c r="Z59" s="26" t="e">
        <f ca="1">Z52+Z56+Z57+Z58</f>
        <v>#NAME?</v>
      </c>
      <c r="AA59" s="26" t="e">
        <f ca="1">AA52+AA56+AA57+AA58</f>
        <v>#NAME?</v>
      </c>
      <c r="AB59" s="27" t="e">
        <f t="shared" ref="AA59:AD59" ca="1" si="672">AB52+AB56+AB57+AB58</f>
        <v>#NAME?</v>
      </c>
      <c r="AC59" s="27" t="e">
        <f t="shared" ca="1" si="672"/>
        <v>#NAME?</v>
      </c>
      <c r="AD59" s="27" t="e">
        <f t="shared" ca="1" si="672"/>
        <v>#NAME?</v>
      </c>
      <c r="AE59" s="27" t="e">
        <f t="shared" ref="AE59" ca="1" si="673">AE52+AE56+AE57+AE58</f>
        <v>#NAME?</v>
      </c>
      <c r="AI59" s="26" t="e">
        <f t="shared" ref="AI59" ca="1" si="674">AI52+AI56+AI57+AI58</f>
        <v>#NAME?</v>
      </c>
      <c r="AJ59" s="26" t="e">
        <f t="shared" ref="AJ59" ca="1" si="675">AJ52+AJ56+AJ57+AJ58</f>
        <v>#NAME?</v>
      </c>
      <c r="AK59" s="26" t="e">
        <f t="shared" ref="AK59:AM59" ca="1" si="676">AK52+AK56+AK57+AK58</f>
        <v>#NAME?</v>
      </c>
      <c r="AL59" s="26" t="e">
        <f t="shared" ca="1" si="676"/>
        <v>#NAME?</v>
      </c>
      <c r="AM59" s="26" t="e">
        <f t="shared" ca="1" si="676"/>
        <v>#NAME?</v>
      </c>
      <c r="AN59" s="26" t="e">
        <f t="shared" ref="AN59:AO59" ca="1" si="677">AN52+AN56+AN57+AN58</f>
        <v>#NAME?</v>
      </c>
      <c r="AO59" s="26" t="e">
        <f t="shared" ca="1" si="677"/>
        <v>#NAME?</v>
      </c>
      <c r="AP59" s="26" t="e">
        <f t="shared" ref="AP59:CD59" ca="1" si="678">AP52+AP56+AP57+AP58</f>
        <v>#NAME?</v>
      </c>
      <c r="AQ59" s="26" t="e">
        <f t="shared" ca="1" si="678"/>
        <v>#NAME?</v>
      </c>
      <c r="AR59" s="26" t="e">
        <f t="shared" ca="1" si="678"/>
        <v>#NAME?</v>
      </c>
      <c r="AS59" s="26" t="e">
        <f t="shared" ca="1" si="678"/>
        <v>#NAME?</v>
      </c>
      <c r="AT59" s="26" t="e">
        <f t="shared" ca="1" si="678"/>
        <v>#NAME?</v>
      </c>
      <c r="AU59" s="26" t="e">
        <f t="shared" ca="1" si="678"/>
        <v>#NAME?</v>
      </c>
      <c r="AV59" s="26" t="e">
        <f t="shared" ca="1" si="678"/>
        <v>#NAME?</v>
      </c>
      <c r="AW59" s="26" t="e">
        <f t="shared" ca="1" si="678"/>
        <v>#NAME?</v>
      </c>
      <c r="AX59" s="26" t="e">
        <f t="shared" ca="1" si="678"/>
        <v>#NAME?</v>
      </c>
      <c r="AY59" s="26" t="e">
        <f t="shared" ca="1" si="678"/>
        <v>#NAME?</v>
      </c>
      <c r="AZ59" s="26" t="e">
        <f t="shared" ca="1" si="678"/>
        <v>#NAME?</v>
      </c>
      <c r="BA59" s="26" t="e">
        <f t="shared" ca="1" si="678"/>
        <v>#NAME?</v>
      </c>
      <c r="BB59" s="26" t="e">
        <f t="shared" ca="1" si="678"/>
        <v>#NAME?</v>
      </c>
      <c r="BC59" s="26" t="e">
        <f t="shared" ca="1" si="678"/>
        <v>#NAME?</v>
      </c>
      <c r="BD59" s="26" t="e">
        <f t="shared" ca="1" si="678"/>
        <v>#NAME?</v>
      </c>
      <c r="BE59" s="26" t="e">
        <f t="shared" ca="1" si="678"/>
        <v>#NAME?</v>
      </c>
      <c r="BF59" s="26" t="e">
        <f t="shared" ca="1" si="678"/>
        <v>#NAME?</v>
      </c>
      <c r="BG59" s="26" t="e">
        <f t="shared" ca="1" si="678"/>
        <v>#NAME?</v>
      </c>
      <c r="BH59" s="26" t="e">
        <f t="shared" ca="1" si="678"/>
        <v>#NAME?</v>
      </c>
      <c r="BI59" s="26" t="e">
        <f t="shared" ca="1" si="678"/>
        <v>#NAME?</v>
      </c>
      <c r="BJ59" s="26" t="e">
        <f t="shared" ca="1" si="678"/>
        <v>#NAME?</v>
      </c>
      <c r="BK59" s="26" t="e">
        <f t="shared" ca="1" si="678"/>
        <v>#NAME?</v>
      </c>
      <c r="BL59" s="26" t="e">
        <f t="shared" ca="1" si="678"/>
        <v>#NAME?</v>
      </c>
      <c r="BM59" s="26" t="e">
        <f t="shared" ca="1" si="678"/>
        <v>#NAME?</v>
      </c>
      <c r="BN59" s="26" t="e">
        <f t="shared" ca="1" si="678"/>
        <v>#NAME?</v>
      </c>
      <c r="BO59" s="26" t="e">
        <f t="shared" ca="1" si="678"/>
        <v>#NAME?</v>
      </c>
      <c r="BP59" s="26" t="e">
        <f t="shared" ca="1" si="678"/>
        <v>#NAME?</v>
      </c>
      <c r="BQ59" s="26" t="e">
        <f t="shared" ca="1" si="678"/>
        <v>#NAME?</v>
      </c>
      <c r="BR59" s="26" t="e">
        <f t="shared" ca="1" si="678"/>
        <v>#NAME?</v>
      </c>
      <c r="BS59" s="26" t="e">
        <f t="shared" ca="1" si="678"/>
        <v>#NAME?</v>
      </c>
      <c r="BT59" s="26" t="e">
        <f t="shared" ca="1" si="678"/>
        <v>#NAME?</v>
      </c>
      <c r="BU59" s="26" t="e">
        <f t="shared" ca="1" si="678"/>
        <v>#NAME?</v>
      </c>
      <c r="BV59" s="26" t="e">
        <f t="shared" ca="1" si="678"/>
        <v>#NAME?</v>
      </c>
      <c r="BW59" s="26" t="e">
        <f t="shared" ca="1" si="678"/>
        <v>#NAME?</v>
      </c>
      <c r="BX59" s="26" t="e">
        <f t="shared" ca="1" si="678"/>
        <v>#NAME?</v>
      </c>
      <c r="BY59" s="26" t="e">
        <f t="shared" ca="1" si="678"/>
        <v>#NAME?</v>
      </c>
      <c r="BZ59" s="26" t="e">
        <f t="shared" ca="1" si="678"/>
        <v>#NAME?</v>
      </c>
      <c r="CA59" s="26" t="e">
        <f t="shared" ca="1" si="678"/>
        <v>#NAME?</v>
      </c>
      <c r="CB59" s="26" t="e">
        <f t="shared" ca="1" si="678"/>
        <v>#NAME?</v>
      </c>
      <c r="CC59" s="26" t="e">
        <f t="shared" ca="1" si="678"/>
        <v>#NAME?</v>
      </c>
      <c r="CD59" s="26" t="e">
        <f t="shared" ca="1" si="678"/>
        <v>#NAME?</v>
      </c>
      <c r="CE59" s="26" t="e">
        <f t="shared" ref="CE59:CF59" ca="1" si="679">CE52+CE56+CE57+CE58</f>
        <v>#NAME?</v>
      </c>
      <c r="CF59" s="26" t="e">
        <f t="shared" ca="1" si="679"/>
        <v>#NAME?</v>
      </c>
      <c r="CG59" s="26">
        <v>5.3329999999999806</v>
      </c>
      <c r="CH59" s="26" t="e">
        <f t="shared" ref="CH59" ca="1" si="680">CH52+CH56+CH57+CH58</f>
        <v>#NAME?</v>
      </c>
      <c r="CI59" s="26" t="e">
        <f t="shared" ref="CI59:CJ59" ca="1" si="681">CI52+CI56+CI57+CI58</f>
        <v>#NAME?</v>
      </c>
      <c r="CJ59" s="26" t="e">
        <f t="shared" ca="1" si="681"/>
        <v>#NAME?</v>
      </c>
      <c r="CK59" s="26" t="e">
        <f t="shared" ref="CK59:CL59" ca="1" si="682">CK52+CK56+CK57+CK58</f>
        <v>#NAME?</v>
      </c>
      <c r="CL59" s="26" t="e">
        <f t="shared" ca="1" si="682"/>
        <v>#NAME?</v>
      </c>
      <c r="CM59" s="27" t="e">
        <f t="shared" ref="CM59:DB59" ca="1" si="683">CM52+CM56+CM57+CM58</f>
        <v>#NAME?</v>
      </c>
      <c r="CN59" s="27" t="e">
        <f t="shared" ca="1" si="683"/>
        <v>#NAME?</v>
      </c>
      <c r="CO59" s="27" t="e">
        <f t="shared" ca="1" si="683"/>
        <v>#NAME?</v>
      </c>
      <c r="CP59" s="27" t="e">
        <f t="shared" ca="1" si="683"/>
        <v>#NAME?</v>
      </c>
      <c r="CQ59" s="27" t="e">
        <f t="shared" ca="1" si="683"/>
        <v>#NAME?</v>
      </c>
      <c r="CR59" s="27" t="e">
        <f t="shared" ca="1" si="683"/>
        <v>#NAME?</v>
      </c>
      <c r="CS59" s="27" t="e">
        <f t="shared" ca="1" si="683"/>
        <v>#NAME?</v>
      </c>
      <c r="CT59" s="27" t="e">
        <f t="shared" ca="1" si="683"/>
        <v>#NAME?</v>
      </c>
      <c r="CU59" s="27" t="e">
        <f t="shared" ca="1" si="683"/>
        <v>#NAME?</v>
      </c>
      <c r="CV59" s="27" t="e">
        <f t="shared" ca="1" si="683"/>
        <v>#NAME?</v>
      </c>
      <c r="CW59" s="27" t="e">
        <f t="shared" ca="1" si="683"/>
        <v>#NAME?</v>
      </c>
      <c r="CX59" s="27" t="e">
        <f t="shared" ca="1" si="683"/>
        <v>#NAME?</v>
      </c>
      <c r="CY59" s="27" t="e">
        <f t="shared" ca="1" si="683"/>
        <v>#NAME?</v>
      </c>
      <c r="CZ59" s="27" t="e">
        <f t="shared" ca="1" si="683"/>
        <v>#NAME?</v>
      </c>
      <c r="DA59" s="27" t="e">
        <f t="shared" ca="1" si="683"/>
        <v>#NAME?</v>
      </c>
      <c r="DB59" s="27" t="e">
        <f t="shared" ca="1" si="683"/>
        <v>#NAME?</v>
      </c>
      <c r="DE59" s="121"/>
      <c r="DF59" s="26">
        <v>37.452000000000069</v>
      </c>
    </row>
    <row r="60" spans="1:110" s="25" customFormat="1" x14ac:dyDescent="0.2">
      <c r="A60" s="151" t="s">
        <v>486</v>
      </c>
      <c r="AB60" s="17"/>
      <c r="AC60" s="17"/>
      <c r="AD60" s="17"/>
      <c r="AE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E60" s="119"/>
    </row>
    <row r="61" spans="1:110" s="1" customFormat="1" x14ac:dyDescent="0.2">
      <c r="AB61" s="20"/>
      <c r="AC61" s="20"/>
      <c r="AD61" s="20"/>
      <c r="AE61" s="20"/>
      <c r="BV61" s="183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E61" s="119"/>
      <c r="DF61" s="183"/>
    </row>
    <row r="62" spans="1:110" s="22" customFormat="1" x14ac:dyDescent="0.2">
      <c r="A62" s="22" t="s">
        <v>434</v>
      </c>
      <c r="B62" s="22" t="e">
        <f ca="1">'Annual Raw'!C35</f>
        <v>#NAME?</v>
      </c>
      <c r="C62" s="22" t="e">
        <f ca="1">'Annual Raw'!D35</f>
        <v>#NAME?</v>
      </c>
      <c r="D62" s="22" t="e">
        <f ca="1">'Annual Raw'!E35</f>
        <v>#NAME?</v>
      </c>
      <c r="E62" s="22" t="e">
        <f ca="1">'Annual Raw'!F35</f>
        <v>#NAME?</v>
      </c>
      <c r="F62" s="22" t="e">
        <f ca="1">'Annual Raw'!G35</f>
        <v>#NAME?</v>
      </c>
      <c r="G62" s="22" t="e">
        <f ca="1">'Annual Raw'!H35</f>
        <v>#NAME?</v>
      </c>
      <c r="H62" s="22" t="e">
        <f ca="1">'Annual Raw'!I35</f>
        <v>#NAME?</v>
      </c>
      <c r="I62" s="22" t="e">
        <f ca="1">'Annual Raw'!J35</f>
        <v>#NAME?</v>
      </c>
      <c r="J62" s="22" t="e">
        <f ca="1">'Annual Raw'!K35</f>
        <v>#NAME?</v>
      </c>
      <c r="K62" s="22" t="e">
        <f ca="1">'Annual Raw'!L35</f>
        <v>#NAME?</v>
      </c>
      <c r="L62" s="22" t="e">
        <f ca="1">'Annual Raw'!M35</f>
        <v>#NAME?</v>
      </c>
      <c r="M62" s="22" t="e">
        <f ca="1">'Annual Raw'!N35</f>
        <v>#NAME?</v>
      </c>
      <c r="N62" s="22" t="e">
        <f ca="1">'Annual Raw'!O35</f>
        <v>#NAME?</v>
      </c>
      <c r="O62" s="22" t="e">
        <f ca="1">'Annual Raw'!P35</f>
        <v>#NAME?</v>
      </c>
      <c r="P62" s="22" t="e">
        <f ca="1">'Annual Raw'!Q35</f>
        <v>#NAME?</v>
      </c>
      <c r="Q62" s="22" t="e">
        <f ca="1">'Annual Raw'!R35</f>
        <v>#NAME?</v>
      </c>
      <c r="R62" s="22" t="e">
        <f ca="1">'Annual Raw'!S35</f>
        <v>#NAME?</v>
      </c>
      <c r="S62" s="22" t="e">
        <f ca="1">'Annual Raw'!T35</f>
        <v>#NAME?</v>
      </c>
      <c r="T62" s="22" t="e">
        <f ca="1">'Annual Raw'!U35</f>
        <v>#NAME?</v>
      </c>
      <c r="U62" s="22" t="e">
        <f ca="1">'Annual Raw'!V35</f>
        <v>#NAME?</v>
      </c>
      <c r="V62" s="22" t="e">
        <f ca="1">'Annual Raw'!W35</f>
        <v>#NAME?</v>
      </c>
      <c r="W62" s="22" t="e">
        <f ca="1">'Annual Raw'!X35</f>
        <v>#NAME?</v>
      </c>
      <c r="X62" s="22" t="e">
        <f ca="1">'Annual Raw'!Y35</f>
        <v>#NAME?</v>
      </c>
      <c r="Y62" s="22" t="e">
        <f ca="1">'Annual Raw'!Z35</f>
        <v>#NAME?</v>
      </c>
      <c r="Z62" s="22" t="e">
        <f ca="1">'Annual Raw'!AA35</f>
        <v>#NAME?</v>
      </c>
      <c r="AA62" s="22" t="e">
        <f ca="1">'Annual Raw'!AB35</f>
        <v>#NAME?</v>
      </c>
      <c r="AB62" s="21" t="e">
        <f t="shared" ref="AA62:AD62" ca="1" si="684">+AB59</f>
        <v>#NAME?</v>
      </c>
      <c r="AC62" s="21" t="e">
        <f t="shared" ca="1" si="684"/>
        <v>#NAME?</v>
      </c>
      <c r="AD62" s="21" t="e">
        <f t="shared" ca="1" si="684"/>
        <v>#NAME?</v>
      </c>
      <c r="AE62" s="21" t="e">
        <f t="shared" ref="AE62" ca="1" si="685">+AE59</f>
        <v>#NAME?</v>
      </c>
      <c r="AI62" s="22" t="e">
        <f ca="1">'QTR Raw'!C42</f>
        <v>#NAME?</v>
      </c>
      <c r="AJ62" s="22" t="e">
        <f ca="1">'QTR Raw'!D42</f>
        <v>#NAME?</v>
      </c>
      <c r="AK62" s="22" t="e">
        <f ca="1">'QTR Raw'!E42</f>
        <v>#NAME?</v>
      </c>
      <c r="AL62" s="22" t="e">
        <f ca="1">'QTR Raw'!F42</f>
        <v>#NAME?</v>
      </c>
      <c r="AM62" s="22" t="e">
        <f ca="1">'QTR Raw'!G42</f>
        <v>#NAME?</v>
      </c>
      <c r="AN62" s="22" t="e">
        <f ca="1">'QTR Raw'!H42</f>
        <v>#NAME?</v>
      </c>
      <c r="AO62" s="22" t="e">
        <f ca="1">'QTR Raw'!I42</f>
        <v>#NAME?</v>
      </c>
      <c r="AP62" s="22" t="e">
        <f ca="1">'QTR Raw'!J42</f>
        <v>#NAME?</v>
      </c>
      <c r="AQ62" s="22" t="e">
        <f ca="1">'QTR Raw'!K42</f>
        <v>#NAME?</v>
      </c>
      <c r="AR62" s="22" t="e">
        <f ca="1">'QTR Raw'!L42</f>
        <v>#NAME?</v>
      </c>
      <c r="AS62" s="22" t="e">
        <f ca="1">'QTR Raw'!M42</f>
        <v>#NAME?</v>
      </c>
      <c r="AT62" s="22" t="e">
        <f ca="1">'QTR Raw'!N42</f>
        <v>#NAME?</v>
      </c>
      <c r="AU62" s="22" t="e">
        <f ca="1">'QTR Raw'!O42</f>
        <v>#NAME?</v>
      </c>
      <c r="AV62" s="22" t="e">
        <f ca="1">'QTR Raw'!P42</f>
        <v>#NAME?</v>
      </c>
      <c r="AW62" s="22" t="e">
        <f ca="1">'QTR Raw'!Q42</f>
        <v>#NAME?</v>
      </c>
      <c r="AX62" s="22" t="e">
        <f ca="1">'QTR Raw'!R42</f>
        <v>#NAME?</v>
      </c>
      <c r="AY62" s="22" t="e">
        <f ca="1">'QTR Raw'!S42</f>
        <v>#NAME?</v>
      </c>
      <c r="AZ62" s="22" t="e">
        <f ca="1">'QTR Raw'!T42</f>
        <v>#NAME?</v>
      </c>
      <c r="BA62" s="22" t="e">
        <f ca="1">'QTR Raw'!U42</f>
        <v>#NAME?</v>
      </c>
      <c r="BB62" s="22" t="e">
        <f ca="1">'QTR Raw'!V42</f>
        <v>#NAME?</v>
      </c>
      <c r="BC62" s="22" t="e">
        <f ca="1">'QTR Raw'!W42</f>
        <v>#NAME?</v>
      </c>
      <c r="BD62" s="22" t="e">
        <f ca="1">'QTR Raw'!X42</f>
        <v>#NAME?</v>
      </c>
      <c r="BE62" s="22" t="e">
        <f ca="1">'QTR Raw'!Y42</f>
        <v>#NAME?</v>
      </c>
      <c r="BF62" s="22" t="e">
        <f ca="1">'QTR Raw'!Z42</f>
        <v>#NAME?</v>
      </c>
      <c r="BG62" s="22" t="e">
        <f ca="1">'QTR Raw'!AA42</f>
        <v>#NAME?</v>
      </c>
      <c r="BH62" s="22" t="e">
        <f ca="1">'QTR Raw'!AB42</f>
        <v>#NAME?</v>
      </c>
      <c r="BI62" s="22" t="e">
        <f ca="1">'QTR Raw'!AC42</f>
        <v>#NAME?</v>
      </c>
      <c r="BJ62" s="22" t="e">
        <f ca="1">'QTR Raw'!AD42</f>
        <v>#NAME?</v>
      </c>
      <c r="BK62" s="22" t="e">
        <f ca="1">'QTR Raw'!AE42</f>
        <v>#NAME?</v>
      </c>
      <c r="BL62" s="22" t="e">
        <f ca="1">'QTR Raw'!AF42</f>
        <v>#NAME?</v>
      </c>
      <c r="BM62" s="22" t="e">
        <f ca="1">'QTR Raw'!AG42</f>
        <v>#NAME?</v>
      </c>
      <c r="BN62" s="22" t="e">
        <f ca="1">'QTR Raw'!AH42</f>
        <v>#NAME?</v>
      </c>
      <c r="BO62" s="22" t="e">
        <f ca="1">'QTR Raw'!AI42</f>
        <v>#NAME?</v>
      </c>
      <c r="BP62" s="22" t="e">
        <f ca="1">'QTR Raw'!AJ42</f>
        <v>#NAME?</v>
      </c>
      <c r="BQ62" s="22" t="e">
        <f ca="1">'QTR Raw'!AK42</f>
        <v>#NAME?</v>
      </c>
      <c r="BR62" s="22" t="e">
        <f ca="1">'QTR Raw'!AL42</f>
        <v>#NAME?</v>
      </c>
      <c r="BS62" s="22" t="e">
        <f ca="1">'QTR Raw'!AM42</f>
        <v>#NAME?</v>
      </c>
      <c r="BT62" s="22" t="e">
        <f ca="1">'QTR Raw'!AN42</f>
        <v>#NAME?</v>
      </c>
      <c r="BU62" s="22" t="e">
        <f ca="1">'QTR Raw'!AO42</f>
        <v>#NAME?</v>
      </c>
      <c r="BV62" s="22" t="e">
        <f ca="1">'QTR Raw'!AP42</f>
        <v>#NAME?</v>
      </c>
      <c r="BW62" s="22" t="e">
        <f ca="1">'QTR Raw'!AQ42</f>
        <v>#NAME?</v>
      </c>
      <c r="BX62" s="22" t="e">
        <f ca="1">'QTR Raw'!AR42</f>
        <v>#NAME?</v>
      </c>
      <c r="BY62" s="22" t="e">
        <f ca="1">'QTR Raw'!AS42</f>
        <v>#NAME?</v>
      </c>
      <c r="BZ62" s="22" t="e">
        <f ca="1">'QTR Raw'!AT42</f>
        <v>#NAME?</v>
      </c>
      <c r="CA62" s="22" t="e">
        <f ca="1">'QTR Raw'!AU42</f>
        <v>#NAME?</v>
      </c>
      <c r="CB62" s="22" t="e">
        <f ca="1">'QTR Raw'!AV42</f>
        <v>#NAME?</v>
      </c>
      <c r="CC62" s="22" t="e">
        <f ca="1">'QTR Raw'!AW42</f>
        <v>#NAME?</v>
      </c>
      <c r="CD62" s="22" t="e">
        <f ca="1">'QTR Raw'!AX42</f>
        <v>#NAME?</v>
      </c>
      <c r="CE62" s="22" t="e">
        <f ca="1">'QTR Raw'!AY42</f>
        <v>#NAME?</v>
      </c>
      <c r="CF62" s="22" t="e">
        <f ca="1">'QTR Raw'!AZ42</f>
        <v>#NAME?</v>
      </c>
      <c r="CG62" s="22">
        <v>5.33</v>
      </c>
      <c r="CH62" s="22" t="e">
        <f ca="1">'QTR Raw'!BB42</f>
        <v>#NAME?</v>
      </c>
      <c r="CI62" s="22" t="e">
        <f ca="1">'QTR Raw'!BC42</f>
        <v>#NAME?</v>
      </c>
      <c r="CJ62" s="22" t="e">
        <f ca="1">'QTR Raw'!BD42</f>
        <v>#NAME?</v>
      </c>
      <c r="CK62" s="22" t="e">
        <f ca="1">'QTR Raw'!BE42</f>
        <v>#NAME?</v>
      </c>
      <c r="CL62" s="22" t="e">
        <f ca="1">'QTR Raw'!BF42</f>
        <v>#NAME?</v>
      </c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E62" s="119"/>
      <c r="DF62" s="22">
        <v>37.452000000000069</v>
      </c>
    </row>
    <row r="63" spans="1:110" s="25" customFormat="1" x14ac:dyDescent="0.2">
      <c r="A63" s="36" t="s">
        <v>435</v>
      </c>
      <c r="B63" s="25" t="e">
        <f t="shared" ref="B63:V63" ca="1" si="686">B62-B59</f>
        <v>#NAME?</v>
      </c>
      <c r="C63" s="25" t="e">
        <f ca="1">C62-C59</f>
        <v>#NAME?</v>
      </c>
      <c r="D63" s="25" t="e">
        <f t="shared" ca="1" si="686"/>
        <v>#NAME?</v>
      </c>
      <c r="E63" s="25" t="e">
        <f t="shared" ca="1" si="686"/>
        <v>#NAME?</v>
      </c>
      <c r="F63" s="25" t="e">
        <f t="shared" ca="1" si="686"/>
        <v>#NAME?</v>
      </c>
      <c r="G63" s="25" t="e">
        <f t="shared" ca="1" si="686"/>
        <v>#NAME?</v>
      </c>
      <c r="H63" s="25" t="e">
        <f t="shared" ca="1" si="686"/>
        <v>#NAME?</v>
      </c>
      <c r="I63" s="25" t="e">
        <f t="shared" ca="1" si="686"/>
        <v>#NAME?</v>
      </c>
      <c r="J63" s="25" t="e">
        <f t="shared" ca="1" si="686"/>
        <v>#NAME?</v>
      </c>
      <c r="K63" s="25" t="e">
        <f t="shared" ca="1" si="686"/>
        <v>#NAME?</v>
      </c>
      <c r="L63" s="25" t="e">
        <f t="shared" ca="1" si="686"/>
        <v>#NAME?</v>
      </c>
      <c r="M63" s="25" t="e">
        <f t="shared" ca="1" si="686"/>
        <v>#NAME?</v>
      </c>
      <c r="N63" s="25" t="e">
        <f t="shared" ca="1" si="686"/>
        <v>#NAME?</v>
      </c>
      <c r="O63" s="25" t="e">
        <f t="shared" ca="1" si="686"/>
        <v>#NAME?</v>
      </c>
      <c r="P63" s="25" t="e">
        <f t="shared" ca="1" si="686"/>
        <v>#NAME?</v>
      </c>
      <c r="Q63" s="25" t="e">
        <f t="shared" ca="1" si="686"/>
        <v>#NAME?</v>
      </c>
      <c r="R63" s="25" t="e">
        <f t="shared" ca="1" si="686"/>
        <v>#NAME?</v>
      </c>
      <c r="S63" s="25" t="e">
        <f t="shared" ca="1" si="686"/>
        <v>#NAME?</v>
      </c>
      <c r="T63" s="25" t="e">
        <f t="shared" ca="1" si="686"/>
        <v>#NAME?</v>
      </c>
      <c r="U63" s="25" t="e">
        <f t="shared" ca="1" si="686"/>
        <v>#NAME?</v>
      </c>
      <c r="V63" s="25" t="e">
        <f t="shared" ca="1" si="686"/>
        <v>#NAME?</v>
      </c>
      <c r="W63" s="25" t="e">
        <f t="shared" ref="W63" ca="1" si="687">W62-W59</f>
        <v>#NAME?</v>
      </c>
      <c r="X63" s="25" t="e">
        <f t="shared" ref="X63:Y63" ca="1" si="688">X62-X59</f>
        <v>#NAME?</v>
      </c>
      <c r="Y63" s="25" t="e">
        <f t="shared" ca="1" si="688"/>
        <v>#NAME?</v>
      </c>
      <c r="Z63" s="25" t="e">
        <f t="shared" ref="Z63:AA63" ca="1" si="689">Z62-Z59</f>
        <v>#NAME?</v>
      </c>
      <c r="AA63" s="25" t="e">
        <f t="shared" ca="1" si="689"/>
        <v>#NAME?</v>
      </c>
      <c r="AB63" s="17" t="e">
        <f t="shared" ref="AA63:AD63" ca="1" si="690">AB62-AB59</f>
        <v>#NAME?</v>
      </c>
      <c r="AC63" s="17" t="e">
        <f t="shared" ca="1" si="690"/>
        <v>#NAME?</v>
      </c>
      <c r="AD63" s="17" t="e">
        <f t="shared" ca="1" si="690"/>
        <v>#NAME?</v>
      </c>
      <c r="AE63" s="17" t="e">
        <f t="shared" ref="AE63" ca="1" si="691">AE62-AE59</f>
        <v>#NAME?</v>
      </c>
      <c r="AI63" s="25" t="e">
        <f t="shared" ref="AI63" ca="1" si="692">AI62-AI59</f>
        <v>#NAME?</v>
      </c>
      <c r="AJ63" s="25" t="e">
        <f t="shared" ref="AJ63" ca="1" si="693">AJ62-AJ59</f>
        <v>#NAME?</v>
      </c>
      <c r="AK63" s="25" t="e">
        <f t="shared" ref="AK63:AM63" ca="1" si="694">AK62-AK59</f>
        <v>#NAME?</v>
      </c>
      <c r="AL63" s="25" t="e">
        <f t="shared" ca="1" si="694"/>
        <v>#NAME?</v>
      </c>
      <c r="AM63" s="25" t="e">
        <f t="shared" ca="1" si="694"/>
        <v>#NAME?</v>
      </c>
      <c r="AN63" s="25" t="e">
        <f t="shared" ref="AN63:AO63" ca="1" si="695">AN62-AN59</f>
        <v>#NAME?</v>
      </c>
      <c r="AO63" s="25" t="e">
        <f t="shared" ca="1" si="695"/>
        <v>#NAME?</v>
      </c>
      <c r="AP63" s="25" t="e">
        <f t="shared" ref="AP63:CD63" ca="1" si="696">AP62-AP59</f>
        <v>#NAME?</v>
      </c>
      <c r="AQ63" s="25" t="e">
        <f t="shared" ca="1" si="696"/>
        <v>#NAME?</v>
      </c>
      <c r="AR63" s="25" t="e">
        <f t="shared" ca="1" si="696"/>
        <v>#NAME?</v>
      </c>
      <c r="AS63" s="25" t="e">
        <f t="shared" ca="1" si="696"/>
        <v>#NAME?</v>
      </c>
      <c r="AT63" s="25" t="e">
        <f t="shared" ca="1" si="696"/>
        <v>#NAME?</v>
      </c>
      <c r="AU63" s="25" t="e">
        <f t="shared" ca="1" si="696"/>
        <v>#NAME?</v>
      </c>
      <c r="AV63" s="25" t="e">
        <f t="shared" ca="1" si="696"/>
        <v>#NAME?</v>
      </c>
      <c r="AW63" s="25" t="e">
        <f t="shared" ca="1" si="696"/>
        <v>#NAME?</v>
      </c>
      <c r="AX63" s="25" t="e">
        <f t="shared" ca="1" si="696"/>
        <v>#NAME?</v>
      </c>
      <c r="AY63" s="25" t="e">
        <f t="shared" ca="1" si="696"/>
        <v>#NAME?</v>
      </c>
      <c r="AZ63" s="25" t="e">
        <f t="shared" ca="1" si="696"/>
        <v>#NAME?</v>
      </c>
      <c r="BA63" s="25" t="e">
        <f t="shared" ca="1" si="696"/>
        <v>#NAME?</v>
      </c>
      <c r="BB63" s="25" t="e">
        <f t="shared" ca="1" si="696"/>
        <v>#NAME?</v>
      </c>
      <c r="BC63" s="25" t="e">
        <f t="shared" ca="1" si="696"/>
        <v>#NAME?</v>
      </c>
      <c r="BD63" s="25" t="e">
        <f t="shared" ca="1" si="696"/>
        <v>#NAME?</v>
      </c>
      <c r="BE63" s="25" t="e">
        <f t="shared" ca="1" si="696"/>
        <v>#NAME?</v>
      </c>
      <c r="BF63" s="25" t="e">
        <f t="shared" ca="1" si="696"/>
        <v>#NAME?</v>
      </c>
      <c r="BG63" s="25" t="e">
        <f t="shared" ca="1" si="696"/>
        <v>#NAME?</v>
      </c>
      <c r="BH63" s="25" t="e">
        <f t="shared" ca="1" si="696"/>
        <v>#NAME?</v>
      </c>
      <c r="BI63" s="25" t="e">
        <f t="shared" ca="1" si="696"/>
        <v>#NAME?</v>
      </c>
      <c r="BJ63" s="25" t="e">
        <f t="shared" ca="1" si="696"/>
        <v>#NAME?</v>
      </c>
      <c r="BK63" s="25" t="e">
        <f t="shared" ca="1" si="696"/>
        <v>#NAME?</v>
      </c>
      <c r="BL63" s="25" t="e">
        <f t="shared" ca="1" si="696"/>
        <v>#NAME?</v>
      </c>
      <c r="BM63" s="25" t="e">
        <f t="shared" ca="1" si="696"/>
        <v>#NAME?</v>
      </c>
      <c r="BN63" s="25" t="e">
        <f t="shared" ca="1" si="696"/>
        <v>#NAME?</v>
      </c>
      <c r="BO63" s="25" t="e">
        <f t="shared" ca="1" si="696"/>
        <v>#NAME?</v>
      </c>
      <c r="BP63" s="25" t="e">
        <f t="shared" ca="1" si="696"/>
        <v>#NAME?</v>
      </c>
      <c r="BQ63" s="25" t="e">
        <f t="shared" ca="1" si="696"/>
        <v>#NAME?</v>
      </c>
      <c r="BR63" s="25" t="e">
        <f t="shared" ca="1" si="696"/>
        <v>#NAME?</v>
      </c>
      <c r="BS63" s="25" t="e">
        <f t="shared" ca="1" si="696"/>
        <v>#NAME?</v>
      </c>
      <c r="BT63" s="25" t="e">
        <f t="shared" ca="1" si="696"/>
        <v>#NAME?</v>
      </c>
      <c r="BU63" s="25" t="e">
        <f t="shared" ca="1" si="696"/>
        <v>#NAME?</v>
      </c>
      <c r="BV63" s="25" t="e">
        <f t="shared" ca="1" si="696"/>
        <v>#NAME?</v>
      </c>
      <c r="BW63" s="25" t="e">
        <f t="shared" ca="1" si="696"/>
        <v>#NAME?</v>
      </c>
      <c r="BX63" s="25" t="e">
        <f t="shared" ca="1" si="696"/>
        <v>#NAME?</v>
      </c>
      <c r="BY63" s="25" t="e">
        <f t="shared" ca="1" si="696"/>
        <v>#NAME?</v>
      </c>
      <c r="BZ63" s="25" t="e">
        <f t="shared" ca="1" si="696"/>
        <v>#NAME?</v>
      </c>
      <c r="CA63" s="25" t="e">
        <f t="shared" ca="1" si="696"/>
        <v>#NAME?</v>
      </c>
      <c r="CB63" s="25" t="e">
        <f t="shared" ca="1" si="696"/>
        <v>#NAME?</v>
      </c>
      <c r="CC63" s="25" t="e">
        <f t="shared" ca="1" si="696"/>
        <v>#NAME?</v>
      </c>
      <c r="CD63" s="25" t="e">
        <f t="shared" ca="1" si="696"/>
        <v>#NAME?</v>
      </c>
      <c r="CE63" s="25" t="e">
        <f t="shared" ref="CE63:CF63" ca="1" si="697">CE62-CE59</f>
        <v>#NAME?</v>
      </c>
      <c r="CF63" s="25" t="e">
        <f t="shared" ca="1" si="697"/>
        <v>#NAME?</v>
      </c>
      <c r="CG63" s="25">
        <f t="shared" ref="CG63:CH63" si="698">CG62-CG59</f>
        <v>-2.9999999999805738E-3</v>
      </c>
      <c r="CH63" s="25" t="e">
        <f t="shared" ca="1" si="698"/>
        <v>#NAME?</v>
      </c>
      <c r="CI63" s="25" t="e">
        <f t="shared" ref="CI63:CJ63" ca="1" si="699">CI62-CI59</f>
        <v>#NAME?</v>
      </c>
      <c r="CJ63" s="25" t="e">
        <f t="shared" ca="1" si="699"/>
        <v>#NAME?</v>
      </c>
      <c r="CK63" s="25" t="e">
        <f t="shared" ref="CK63:CL63" ca="1" si="700">CK62-CK59</f>
        <v>#NAME?</v>
      </c>
      <c r="CL63" s="25" t="e">
        <f t="shared" ca="1" si="700"/>
        <v>#NAME?</v>
      </c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E63" s="119"/>
      <c r="DF63" s="25">
        <v>0</v>
      </c>
    </row>
    <row r="64" spans="1:110" s="1" customFormat="1" x14ac:dyDescent="0.2">
      <c r="A64" s="150" t="s">
        <v>487</v>
      </c>
      <c r="AB64" s="20"/>
      <c r="AC64" s="20"/>
      <c r="AD64" s="20"/>
      <c r="AE64" s="20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E64" s="119"/>
      <c r="DF64" s="183"/>
    </row>
    <row r="65" spans="1:110" s="38" customFormat="1" x14ac:dyDescent="0.2">
      <c r="A65" s="38" t="s">
        <v>350</v>
      </c>
      <c r="B65" s="39" t="e">
        <f t="shared" ref="B65:AE65" ca="1" si="701">(B59-B58)/B131</f>
        <v>#NAME?</v>
      </c>
      <c r="C65" s="39" t="e">
        <f t="shared" ca="1" si="701"/>
        <v>#NAME?</v>
      </c>
      <c r="D65" s="39" t="e">
        <f t="shared" ca="1" si="701"/>
        <v>#NAME?</v>
      </c>
      <c r="E65" s="39" t="e">
        <f t="shared" ca="1" si="701"/>
        <v>#NAME?</v>
      </c>
      <c r="F65" s="39" t="e">
        <f t="shared" ca="1" si="701"/>
        <v>#NAME?</v>
      </c>
      <c r="G65" s="39" t="e">
        <f t="shared" ca="1" si="701"/>
        <v>#NAME?</v>
      </c>
      <c r="H65" s="39" t="e">
        <f t="shared" ca="1" si="701"/>
        <v>#NAME?</v>
      </c>
      <c r="I65" s="39" t="e">
        <f t="shared" ca="1" si="701"/>
        <v>#NAME?</v>
      </c>
      <c r="J65" s="39" t="e">
        <f t="shared" ca="1" si="701"/>
        <v>#NAME?</v>
      </c>
      <c r="K65" s="39" t="e">
        <f t="shared" ca="1" si="701"/>
        <v>#NAME?</v>
      </c>
      <c r="L65" s="39" t="e">
        <f t="shared" ca="1" si="701"/>
        <v>#NAME?</v>
      </c>
      <c r="M65" s="39" t="e">
        <f t="shared" ca="1" si="701"/>
        <v>#NAME?</v>
      </c>
      <c r="N65" s="39" t="e">
        <f t="shared" ca="1" si="701"/>
        <v>#NAME?</v>
      </c>
      <c r="O65" s="39" t="e">
        <f t="shared" ca="1" si="701"/>
        <v>#NAME?</v>
      </c>
      <c r="P65" s="39" t="e">
        <f t="shared" ca="1" si="701"/>
        <v>#NAME?</v>
      </c>
      <c r="Q65" s="39" t="e">
        <f t="shared" ca="1" si="701"/>
        <v>#NAME?</v>
      </c>
      <c r="R65" s="39" t="e">
        <f t="shared" ca="1" si="701"/>
        <v>#NAME?</v>
      </c>
      <c r="S65" s="39" t="e">
        <f t="shared" ca="1" si="701"/>
        <v>#NAME?</v>
      </c>
      <c r="T65" s="39" t="e">
        <f t="shared" ca="1" si="701"/>
        <v>#NAME?</v>
      </c>
      <c r="U65" s="39" t="e">
        <f t="shared" ca="1" si="701"/>
        <v>#NAME?</v>
      </c>
      <c r="V65" s="39" t="e">
        <f t="shared" ca="1" si="701"/>
        <v>#NAME?</v>
      </c>
      <c r="W65" s="39" t="e">
        <f t="shared" ca="1" si="701"/>
        <v>#NAME?</v>
      </c>
      <c r="X65" s="39" t="e">
        <f t="shared" ca="1" si="701"/>
        <v>#NAME?</v>
      </c>
      <c r="Y65" s="39" t="e">
        <f t="shared" ca="1" si="701"/>
        <v>#NAME?</v>
      </c>
      <c r="Z65" s="39" t="e">
        <f t="shared" ca="1" si="701"/>
        <v>#NAME?</v>
      </c>
      <c r="AA65" s="39" t="e">
        <f t="shared" ref="AA65" ca="1" si="702">(AA59-AA58)/AA131</f>
        <v>#NAME?</v>
      </c>
      <c r="AB65" s="40" t="e">
        <f t="shared" ca="1" si="701"/>
        <v>#NAME?</v>
      </c>
      <c r="AC65" s="40" t="e">
        <f t="shared" ca="1" si="701"/>
        <v>#NAME?</v>
      </c>
      <c r="AD65" s="40" t="e">
        <f t="shared" ca="1" si="701"/>
        <v>#NAME?</v>
      </c>
      <c r="AE65" s="40" t="e">
        <f t="shared" ca="1" si="701"/>
        <v>#NAME?</v>
      </c>
      <c r="AF65" s="39"/>
      <c r="AG65" s="39"/>
      <c r="AH65" s="39"/>
      <c r="AI65" s="39"/>
      <c r="AJ65" s="39"/>
      <c r="AK65" s="39"/>
      <c r="AL65" s="39" t="e">
        <f t="shared" ref="AL65:BQ65" ca="1" si="703">(SUM(AI59:AL59)-SUM(AI58:AL58))/AL131</f>
        <v>#NAME?</v>
      </c>
      <c r="AM65" s="39" t="e">
        <f t="shared" ca="1" si="703"/>
        <v>#NAME?</v>
      </c>
      <c r="AN65" s="39" t="e">
        <f t="shared" ca="1" si="703"/>
        <v>#NAME?</v>
      </c>
      <c r="AO65" s="39" t="e">
        <f t="shared" ca="1" si="703"/>
        <v>#NAME?</v>
      </c>
      <c r="AP65" s="39" t="e">
        <f t="shared" ca="1" si="703"/>
        <v>#NAME?</v>
      </c>
      <c r="AQ65" s="39" t="e">
        <f t="shared" ca="1" si="703"/>
        <v>#NAME?</v>
      </c>
      <c r="AR65" s="39" t="e">
        <f t="shared" ca="1" si="703"/>
        <v>#NAME?</v>
      </c>
      <c r="AS65" s="39" t="e">
        <f t="shared" ca="1" si="703"/>
        <v>#NAME?</v>
      </c>
      <c r="AT65" s="39" t="e">
        <f t="shared" ca="1" si="703"/>
        <v>#NAME?</v>
      </c>
      <c r="AU65" s="39" t="e">
        <f t="shared" ca="1" si="703"/>
        <v>#NAME?</v>
      </c>
      <c r="AV65" s="39" t="e">
        <f t="shared" ca="1" si="703"/>
        <v>#NAME?</v>
      </c>
      <c r="AW65" s="39" t="e">
        <f t="shared" ca="1" si="703"/>
        <v>#NAME?</v>
      </c>
      <c r="AX65" s="39" t="e">
        <f t="shared" ca="1" si="703"/>
        <v>#NAME?</v>
      </c>
      <c r="AY65" s="39" t="e">
        <f t="shared" ca="1" si="703"/>
        <v>#NAME?</v>
      </c>
      <c r="AZ65" s="39" t="e">
        <f t="shared" ca="1" si="703"/>
        <v>#NAME?</v>
      </c>
      <c r="BA65" s="39" t="e">
        <f t="shared" ca="1" si="703"/>
        <v>#NAME?</v>
      </c>
      <c r="BB65" s="39" t="e">
        <f t="shared" ca="1" si="703"/>
        <v>#NAME?</v>
      </c>
      <c r="BC65" s="39" t="e">
        <f t="shared" ca="1" si="703"/>
        <v>#NAME?</v>
      </c>
      <c r="BD65" s="39" t="e">
        <f t="shared" ca="1" si="703"/>
        <v>#NAME?</v>
      </c>
      <c r="BE65" s="39" t="e">
        <f t="shared" ca="1" si="703"/>
        <v>#NAME?</v>
      </c>
      <c r="BF65" s="39" t="e">
        <f t="shared" ca="1" si="703"/>
        <v>#NAME?</v>
      </c>
      <c r="BG65" s="39" t="e">
        <f t="shared" ca="1" si="703"/>
        <v>#NAME?</v>
      </c>
      <c r="BH65" s="39" t="e">
        <f t="shared" ca="1" si="703"/>
        <v>#NAME?</v>
      </c>
      <c r="BI65" s="39" t="e">
        <f t="shared" ca="1" si="703"/>
        <v>#NAME?</v>
      </c>
      <c r="BJ65" s="39" t="e">
        <f t="shared" ca="1" si="703"/>
        <v>#NAME?</v>
      </c>
      <c r="BK65" s="39" t="e">
        <f t="shared" ca="1" si="703"/>
        <v>#NAME?</v>
      </c>
      <c r="BL65" s="39" t="e">
        <f t="shared" ca="1" si="703"/>
        <v>#NAME?</v>
      </c>
      <c r="BM65" s="39" t="e">
        <f t="shared" ca="1" si="703"/>
        <v>#NAME?</v>
      </c>
      <c r="BN65" s="39" t="e">
        <f t="shared" ca="1" si="703"/>
        <v>#NAME?</v>
      </c>
      <c r="BO65" s="39" t="e">
        <f t="shared" ca="1" si="703"/>
        <v>#NAME?</v>
      </c>
      <c r="BP65" s="39" t="e">
        <f t="shared" ca="1" si="703"/>
        <v>#NAME?</v>
      </c>
      <c r="BQ65" s="39" t="e">
        <f t="shared" ca="1" si="703"/>
        <v>#NAME?</v>
      </c>
      <c r="BR65" s="39" t="e">
        <f t="shared" ref="BR65:CW65" ca="1" si="704">(SUM(BO59:BR59)-SUM(BO58:BR58))/BR131</f>
        <v>#NAME?</v>
      </c>
      <c r="BS65" s="39" t="e">
        <f t="shared" ca="1" si="704"/>
        <v>#NAME?</v>
      </c>
      <c r="BT65" s="39" t="e">
        <f t="shared" ca="1" si="704"/>
        <v>#NAME?</v>
      </c>
      <c r="BU65" s="39" t="e">
        <f t="shared" ca="1" si="704"/>
        <v>#NAME?</v>
      </c>
      <c r="BV65" s="39" t="e">
        <f t="shared" ca="1" si="704"/>
        <v>#NAME?</v>
      </c>
      <c r="BW65" s="39" t="e">
        <f t="shared" ca="1" si="704"/>
        <v>#NAME?</v>
      </c>
      <c r="BX65" s="39" t="e">
        <f t="shared" ca="1" si="704"/>
        <v>#NAME?</v>
      </c>
      <c r="BY65" s="39" t="e">
        <f t="shared" ca="1" si="704"/>
        <v>#NAME?</v>
      </c>
      <c r="BZ65" s="39" t="e">
        <f t="shared" ca="1" si="704"/>
        <v>#NAME?</v>
      </c>
      <c r="CA65" s="39" t="e">
        <f t="shared" ca="1" si="704"/>
        <v>#NAME?</v>
      </c>
      <c r="CB65" s="39" t="e">
        <f t="shared" ca="1" si="704"/>
        <v>#NAME?</v>
      </c>
      <c r="CC65" s="39" t="e">
        <f t="shared" ca="1" si="704"/>
        <v>#NAME?</v>
      </c>
      <c r="CD65" s="39" t="e">
        <f t="shared" ca="1" si="704"/>
        <v>#NAME?</v>
      </c>
      <c r="CE65" s="39" t="e">
        <f t="shared" ca="1" si="704"/>
        <v>#NAME?</v>
      </c>
      <c r="CF65" s="39" t="e">
        <f t="shared" ca="1" si="704"/>
        <v>#NAME?</v>
      </c>
      <c r="CG65" s="39" t="e">
        <f t="shared" ca="1" si="704"/>
        <v>#NAME?</v>
      </c>
      <c r="CH65" s="39" t="e">
        <f t="shared" ca="1" si="704"/>
        <v>#NAME?</v>
      </c>
      <c r="CI65" s="39" t="e">
        <f t="shared" ca="1" si="704"/>
        <v>#NAME?</v>
      </c>
      <c r="CJ65" s="39" t="e">
        <f t="shared" ca="1" si="704"/>
        <v>#NAME?</v>
      </c>
      <c r="CK65" s="39" t="e">
        <f t="shared" ca="1" si="704"/>
        <v>#NAME?</v>
      </c>
      <c r="CL65" s="39" t="e">
        <f t="shared" ca="1" si="704"/>
        <v>#NAME?</v>
      </c>
      <c r="CM65" s="40" t="e">
        <f t="shared" ca="1" si="704"/>
        <v>#NAME?</v>
      </c>
      <c r="CN65" s="40" t="e">
        <f t="shared" ca="1" si="704"/>
        <v>#NAME?</v>
      </c>
      <c r="CO65" s="40" t="e">
        <f t="shared" ca="1" si="704"/>
        <v>#NAME?</v>
      </c>
      <c r="CP65" s="40" t="e">
        <f t="shared" ca="1" si="704"/>
        <v>#NAME?</v>
      </c>
      <c r="CQ65" s="40" t="e">
        <f t="shared" ca="1" si="704"/>
        <v>#NAME?</v>
      </c>
      <c r="CR65" s="40" t="e">
        <f t="shared" ca="1" si="704"/>
        <v>#NAME?</v>
      </c>
      <c r="CS65" s="40" t="e">
        <f t="shared" ca="1" si="704"/>
        <v>#NAME?</v>
      </c>
      <c r="CT65" s="40" t="e">
        <f t="shared" ca="1" si="704"/>
        <v>#NAME?</v>
      </c>
      <c r="CU65" s="40" t="e">
        <f t="shared" ca="1" si="704"/>
        <v>#NAME?</v>
      </c>
      <c r="CV65" s="40" t="e">
        <f t="shared" ca="1" si="704"/>
        <v>#NAME?</v>
      </c>
      <c r="CW65" s="40" t="e">
        <f t="shared" ca="1" si="704"/>
        <v>#NAME?</v>
      </c>
      <c r="CX65" s="40" t="e">
        <f t="shared" ref="CX65:DB65" ca="1" si="705">(SUM(CU59:CX59)-SUM(CU58:CX58))/CX131</f>
        <v>#NAME?</v>
      </c>
      <c r="CY65" s="40" t="e">
        <f t="shared" ca="1" si="705"/>
        <v>#NAME?</v>
      </c>
      <c r="CZ65" s="40" t="e">
        <f t="shared" ca="1" si="705"/>
        <v>#NAME?</v>
      </c>
      <c r="DA65" s="40" t="e">
        <f t="shared" ca="1" si="705"/>
        <v>#NAME?</v>
      </c>
      <c r="DB65" s="40" t="e">
        <f t="shared" ca="1" si="705"/>
        <v>#NAME?</v>
      </c>
      <c r="DE65" s="122"/>
      <c r="DF65" s="38">
        <v>0.13466710774231619</v>
      </c>
    </row>
    <row r="66" spans="1:110" s="38" customFormat="1" x14ac:dyDescent="0.2">
      <c r="A66" s="38" t="s">
        <v>351</v>
      </c>
      <c r="B66" s="39" t="e">
        <f t="shared" ref="B66:AE66" ca="1" si="706">+B45/B140</f>
        <v>#NAME?</v>
      </c>
      <c r="C66" s="39" t="e">
        <f t="shared" ca="1" si="706"/>
        <v>#NAME?</v>
      </c>
      <c r="D66" s="39" t="e">
        <f t="shared" ca="1" si="706"/>
        <v>#NAME?</v>
      </c>
      <c r="E66" s="39" t="e">
        <f t="shared" ca="1" si="706"/>
        <v>#NAME?</v>
      </c>
      <c r="F66" s="39" t="e">
        <f t="shared" ca="1" si="706"/>
        <v>#NAME?</v>
      </c>
      <c r="G66" s="39" t="e">
        <f t="shared" ca="1" si="706"/>
        <v>#NAME?</v>
      </c>
      <c r="H66" s="39" t="e">
        <f t="shared" ca="1" si="706"/>
        <v>#NAME?</v>
      </c>
      <c r="I66" s="39" t="e">
        <f t="shared" ca="1" si="706"/>
        <v>#NAME?</v>
      </c>
      <c r="J66" s="39" t="e">
        <f t="shared" ca="1" si="706"/>
        <v>#NAME?</v>
      </c>
      <c r="K66" s="39" t="e">
        <f t="shared" ca="1" si="706"/>
        <v>#NAME?</v>
      </c>
      <c r="L66" s="39" t="e">
        <f t="shared" ca="1" si="706"/>
        <v>#NAME?</v>
      </c>
      <c r="M66" s="39" t="e">
        <f t="shared" ca="1" si="706"/>
        <v>#NAME?</v>
      </c>
      <c r="N66" s="39" t="e">
        <f t="shared" ca="1" si="706"/>
        <v>#NAME?</v>
      </c>
      <c r="O66" s="39" t="e">
        <f t="shared" ca="1" si="706"/>
        <v>#NAME?</v>
      </c>
      <c r="P66" s="39" t="e">
        <f t="shared" ca="1" si="706"/>
        <v>#NAME?</v>
      </c>
      <c r="Q66" s="39" t="e">
        <f t="shared" ca="1" si="706"/>
        <v>#NAME?</v>
      </c>
      <c r="R66" s="39" t="e">
        <f t="shared" ca="1" si="706"/>
        <v>#NAME?</v>
      </c>
      <c r="S66" s="39" t="e">
        <f t="shared" ca="1" si="706"/>
        <v>#NAME?</v>
      </c>
      <c r="T66" s="39" t="e">
        <f t="shared" ca="1" si="706"/>
        <v>#NAME?</v>
      </c>
      <c r="U66" s="39" t="e">
        <f t="shared" ca="1" si="706"/>
        <v>#NAME?</v>
      </c>
      <c r="V66" s="39" t="e">
        <f t="shared" ca="1" si="706"/>
        <v>#NAME?</v>
      </c>
      <c r="W66" s="39" t="e">
        <f t="shared" ca="1" si="706"/>
        <v>#NAME?</v>
      </c>
      <c r="X66" s="39" t="e">
        <f t="shared" ca="1" si="706"/>
        <v>#NAME?</v>
      </c>
      <c r="Y66" s="39" t="e">
        <f t="shared" ca="1" si="706"/>
        <v>#NAME?</v>
      </c>
      <c r="Z66" s="39" t="e">
        <f t="shared" ca="1" si="706"/>
        <v>#NAME?</v>
      </c>
      <c r="AA66" s="39" t="e">
        <f t="shared" ref="AA66" ca="1" si="707">+AA45/AA140</f>
        <v>#NAME?</v>
      </c>
      <c r="AB66" s="40" t="e">
        <f t="shared" ca="1" si="706"/>
        <v>#NAME?</v>
      </c>
      <c r="AC66" s="40" t="e">
        <f t="shared" ca="1" si="706"/>
        <v>#NAME?</v>
      </c>
      <c r="AD66" s="40" t="e">
        <f t="shared" ca="1" si="706"/>
        <v>#NAME?</v>
      </c>
      <c r="AE66" s="40" t="e">
        <f t="shared" ca="1" si="706"/>
        <v>#NAME?</v>
      </c>
      <c r="AF66" s="39"/>
      <c r="AG66" s="39"/>
      <c r="AH66" s="39"/>
      <c r="AI66" s="39"/>
      <c r="AJ66" s="39"/>
      <c r="AK66" s="39"/>
      <c r="AL66" s="39" t="e">
        <f t="shared" ref="AL66:BQ66" ca="1" si="708">+SUM(AI45:AL45)/AL140</f>
        <v>#NAME?</v>
      </c>
      <c r="AM66" s="39" t="e">
        <f t="shared" ca="1" si="708"/>
        <v>#NAME?</v>
      </c>
      <c r="AN66" s="39" t="e">
        <f t="shared" ca="1" si="708"/>
        <v>#NAME?</v>
      </c>
      <c r="AO66" s="39" t="e">
        <f t="shared" ca="1" si="708"/>
        <v>#NAME?</v>
      </c>
      <c r="AP66" s="39" t="e">
        <f t="shared" ca="1" si="708"/>
        <v>#NAME?</v>
      </c>
      <c r="AQ66" s="39" t="e">
        <f t="shared" ca="1" si="708"/>
        <v>#NAME?</v>
      </c>
      <c r="AR66" s="39" t="e">
        <f t="shared" ca="1" si="708"/>
        <v>#NAME?</v>
      </c>
      <c r="AS66" s="39" t="e">
        <f t="shared" ca="1" si="708"/>
        <v>#NAME?</v>
      </c>
      <c r="AT66" s="39" t="e">
        <f t="shared" ca="1" si="708"/>
        <v>#NAME?</v>
      </c>
      <c r="AU66" s="39" t="e">
        <f t="shared" ca="1" si="708"/>
        <v>#NAME?</v>
      </c>
      <c r="AV66" s="39" t="e">
        <f t="shared" ca="1" si="708"/>
        <v>#NAME?</v>
      </c>
      <c r="AW66" s="39" t="e">
        <f t="shared" ca="1" si="708"/>
        <v>#NAME?</v>
      </c>
      <c r="AX66" s="39" t="e">
        <f t="shared" ca="1" si="708"/>
        <v>#NAME?</v>
      </c>
      <c r="AY66" s="39" t="e">
        <f t="shared" ca="1" si="708"/>
        <v>#NAME?</v>
      </c>
      <c r="AZ66" s="39" t="e">
        <f t="shared" ca="1" si="708"/>
        <v>#NAME?</v>
      </c>
      <c r="BA66" s="39" t="e">
        <f t="shared" ca="1" si="708"/>
        <v>#NAME?</v>
      </c>
      <c r="BB66" s="39" t="e">
        <f t="shared" ca="1" si="708"/>
        <v>#NAME?</v>
      </c>
      <c r="BC66" s="39" t="e">
        <f t="shared" ca="1" si="708"/>
        <v>#NAME?</v>
      </c>
      <c r="BD66" s="39" t="e">
        <f t="shared" ca="1" si="708"/>
        <v>#NAME?</v>
      </c>
      <c r="BE66" s="39" t="e">
        <f t="shared" ca="1" si="708"/>
        <v>#NAME?</v>
      </c>
      <c r="BF66" s="39" t="e">
        <f t="shared" ca="1" si="708"/>
        <v>#NAME?</v>
      </c>
      <c r="BG66" s="39" t="e">
        <f t="shared" ca="1" si="708"/>
        <v>#NAME?</v>
      </c>
      <c r="BH66" s="39" t="e">
        <f t="shared" ca="1" si="708"/>
        <v>#NAME?</v>
      </c>
      <c r="BI66" s="39" t="e">
        <f t="shared" ca="1" si="708"/>
        <v>#NAME?</v>
      </c>
      <c r="BJ66" s="39" t="e">
        <f t="shared" ca="1" si="708"/>
        <v>#NAME?</v>
      </c>
      <c r="BK66" s="39" t="e">
        <f t="shared" ca="1" si="708"/>
        <v>#NAME?</v>
      </c>
      <c r="BL66" s="39" t="e">
        <f t="shared" ca="1" si="708"/>
        <v>#NAME?</v>
      </c>
      <c r="BM66" s="39" t="e">
        <f t="shared" ca="1" si="708"/>
        <v>#NAME?</v>
      </c>
      <c r="BN66" s="39" t="e">
        <f t="shared" ca="1" si="708"/>
        <v>#NAME?</v>
      </c>
      <c r="BO66" s="39" t="e">
        <f t="shared" ca="1" si="708"/>
        <v>#NAME?</v>
      </c>
      <c r="BP66" s="39" t="e">
        <f t="shared" ca="1" si="708"/>
        <v>#NAME?</v>
      </c>
      <c r="BQ66" s="39" t="e">
        <f t="shared" ca="1" si="708"/>
        <v>#NAME?</v>
      </c>
      <c r="BR66" s="39" t="e">
        <f t="shared" ref="BR66:CW66" ca="1" si="709">+SUM(BO45:BR45)/BR140</f>
        <v>#NAME?</v>
      </c>
      <c r="BS66" s="39" t="e">
        <f t="shared" ca="1" si="709"/>
        <v>#NAME?</v>
      </c>
      <c r="BT66" s="39" t="e">
        <f t="shared" ca="1" si="709"/>
        <v>#NAME?</v>
      </c>
      <c r="BU66" s="39" t="e">
        <f t="shared" ca="1" si="709"/>
        <v>#NAME?</v>
      </c>
      <c r="BV66" s="39" t="e">
        <f t="shared" ca="1" si="709"/>
        <v>#NAME?</v>
      </c>
      <c r="BW66" s="39" t="e">
        <f t="shared" ca="1" si="709"/>
        <v>#NAME?</v>
      </c>
      <c r="BX66" s="39" t="e">
        <f t="shared" ca="1" si="709"/>
        <v>#NAME?</v>
      </c>
      <c r="BY66" s="39" t="e">
        <f t="shared" ca="1" si="709"/>
        <v>#NAME?</v>
      </c>
      <c r="BZ66" s="39" t="e">
        <f t="shared" ca="1" si="709"/>
        <v>#NAME?</v>
      </c>
      <c r="CA66" s="39" t="e">
        <f t="shared" ca="1" si="709"/>
        <v>#NAME?</v>
      </c>
      <c r="CB66" s="39" t="e">
        <f t="shared" ca="1" si="709"/>
        <v>#NAME?</v>
      </c>
      <c r="CC66" s="39" t="e">
        <f t="shared" ca="1" si="709"/>
        <v>#NAME?</v>
      </c>
      <c r="CD66" s="39" t="e">
        <f t="shared" ca="1" si="709"/>
        <v>#NAME?</v>
      </c>
      <c r="CE66" s="39" t="e">
        <f t="shared" ca="1" si="709"/>
        <v>#NAME?</v>
      </c>
      <c r="CF66" s="39" t="e">
        <f t="shared" ca="1" si="709"/>
        <v>#NAME?</v>
      </c>
      <c r="CG66" s="39" t="e">
        <f t="shared" ca="1" si="709"/>
        <v>#NAME?</v>
      </c>
      <c r="CH66" s="39" t="e">
        <f t="shared" ca="1" si="709"/>
        <v>#NAME?</v>
      </c>
      <c r="CI66" s="39" t="e">
        <f t="shared" ca="1" si="709"/>
        <v>#NAME?</v>
      </c>
      <c r="CJ66" s="39" t="e">
        <f t="shared" ca="1" si="709"/>
        <v>#NAME?</v>
      </c>
      <c r="CK66" s="39" t="e">
        <f t="shared" ca="1" si="709"/>
        <v>#NAME?</v>
      </c>
      <c r="CL66" s="39" t="e">
        <f t="shared" ca="1" si="709"/>
        <v>#NAME?</v>
      </c>
      <c r="CM66" s="40" t="e">
        <f t="shared" ca="1" si="709"/>
        <v>#NAME?</v>
      </c>
      <c r="CN66" s="40" t="e">
        <f t="shared" ca="1" si="709"/>
        <v>#NAME?</v>
      </c>
      <c r="CO66" s="40" t="e">
        <f t="shared" ca="1" si="709"/>
        <v>#NAME?</v>
      </c>
      <c r="CP66" s="40" t="e">
        <f t="shared" ca="1" si="709"/>
        <v>#NAME?</v>
      </c>
      <c r="CQ66" s="40" t="e">
        <f t="shared" ca="1" si="709"/>
        <v>#NAME?</v>
      </c>
      <c r="CR66" s="40" t="e">
        <f t="shared" ca="1" si="709"/>
        <v>#NAME?</v>
      </c>
      <c r="CS66" s="40" t="e">
        <f t="shared" ca="1" si="709"/>
        <v>#NAME?</v>
      </c>
      <c r="CT66" s="40" t="e">
        <f t="shared" ca="1" si="709"/>
        <v>#NAME?</v>
      </c>
      <c r="CU66" s="40" t="e">
        <f t="shared" ca="1" si="709"/>
        <v>#NAME?</v>
      </c>
      <c r="CV66" s="40" t="e">
        <f t="shared" ca="1" si="709"/>
        <v>#NAME?</v>
      </c>
      <c r="CW66" s="40" t="e">
        <f t="shared" ca="1" si="709"/>
        <v>#NAME?</v>
      </c>
      <c r="CX66" s="40" t="e">
        <f t="shared" ref="CX66:DB66" ca="1" si="710">+SUM(CU45:CX45)/CX140</f>
        <v>#NAME?</v>
      </c>
      <c r="CY66" s="40" t="e">
        <f t="shared" ca="1" si="710"/>
        <v>#NAME?</v>
      </c>
      <c r="CZ66" s="40" t="e">
        <f t="shared" ca="1" si="710"/>
        <v>#NAME?</v>
      </c>
      <c r="DA66" s="40" t="e">
        <f t="shared" ca="1" si="710"/>
        <v>#NAME?</v>
      </c>
      <c r="DB66" s="40" t="e">
        <f t="shared" ca="1" si="710"/>
        <v>#NAME?</v>
      </c>
      <c r="DE66" s="122"/>
      <c r="DF66" s="38">
        <v>0.17240683465598963</v>
      </c>
    </row>
    <row r="67" spans="1:110" s="1" customFormat="1" x14ac:dyDescent="0.2">
      <c r="A67" s="150" t="s">
        <v>488</v>
      </c>
      <c r="AB67" s="20"/>
      <c r="AC67" s="20"/>
      <c r="AD67" s="20"/>
      <c r="AE67" s="20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183"/>
    </row>
    <row r="68" spans="1:110" s="8" customFormat="1" x14ac:dyDescent="0.2">
      <c r="A68" s="12" t="s">
        <v>26</v>
      </c>
      <c r="AB68" s="58"/>
      <c r="AC68" s="58"/>
      <c r="AD68" s="58"/>
      <c r="AE68" s="58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E68" s="132"/>
      <c r="DF68" s="196"/>
    </row>
    <row r="69" spans="1:110" s="9" customFormat="1" x14ac:dyDescent="0.2">
      <c r="A69" s="9" t="s">
        <v>453</v>
      </c>
      <c r="N69" s="9" t="e">
        <f ca="1">N21-SUM(AI21:AL21)</f>
        <v>#NAME?</v>
      </c>
      <c r="O69" s="9" t="e">
        <f ca="1">O21-SUM(AM21:AP21)</f>
        <v>#NAME?</v>
      </c>
      <c r="P69" s="9" t="e">
        <f ca="1">P21-SUM(AQ21:AT21)</f>
        <v>#NAME?</v>
      </c>
      <c r="Q69" s="9" t="e">
        <f ca="1">Q21-SUM(AU21:AX21)</f>
        <v>#NAME?</v>
      </c>
      <c r="R69" s="9" t="e">
        <f ca="1">R21-SUM(AY21:BB21)</f>
        <v>#NAME?</v>
      </c>
      <c r="S69" s="9" t="e">
        <f ca="1">S21-SUM(BC21:BF21)</f>
        <v>#NAME?</v>
      </c>
      <c r="T69" s="9" t="e">
        <f ca="1">T21-SUM(BG21:BJ21)</f>
        <v>#NAME?</v>
      </c>
      <c r="U69" s="9" t="e">
        <f ca="1">U21-SUM(BK21:BN21)</f>
        <v>#NAME?</v>
      </c>
      <c r="V69" s="9" t="e">
        <f ca="1">V21-SUM(BO21:BR21)</f>
        <v>#NAME?</v>
      </c>
      <c r="W69" s="9" t="e">
        <f ca="1">W21-SUM(BS21:BV21)</f>
        <v>#NAME?</v>
      </c>
      <c r="X69" s="9" t="e">
        <f ca="1">X21-SUM(BW21:BZ21)</f>
        <v>#NAME?</v>
      </c>
      <c r="Y69" s="9" t="e">
        <f ca="1">Y21-SUM(CA21:CD21)</f>
        <v>#NAME?</v>
      </c>
      <c r="Z69" s="9" t="e">
        <f ca="1">Z21-SUM(CE21:CH21)</f>
        <v>#NAME?</v>
      </c>
      <c r="AA69" s="9" t="e">
        <f ca="1">AA21-SUM(CF21:CI21)</f>
        <v>#NAME?</v>
      </c>
      <c r="AB69" s="15">
        <f>AB21-SUM(CM21:CP21)</f>
        <v>0</v>
      </c>
      <c r="AC69" s="15">
        <f>AC21-SUM(CQ21:CT21)</f>
        <v>0</v>
      </c>
      <c r="AD69" s="15">
        <f>AD21-SUM(CU21:CX21)</f>
        <v>0</v>
      </c>
      <c r="AE69" s="15">
        <f>AE21-SUM(CY21:DB21)</f>
        <v>0</v>
      </c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E69" s="133"/>
      <c r="DF69" s="9">
        <v>0</v>
      </c>
    </row>
    <row r="70" spans="1:110" s="9" customFormat="1" x14ac:dyDescent="0.2">
      <c r="A70" s="9" t="s">
        <v>454</v>
      </c>
      <c r="N70" s="9" t="e">
        <f ca="1">N27-SUM(AI27:AL27)</f>
        <v>#NAME?</v>
      </c>
      <c r="O70" s="9" t="e">
        <f ca="1">O27-SUM(AM27:AP27)</f>
        <v>#NAME?</v>
      </c>
      <c r="P70" s="9" t="e">
        <f ca="1">P27-SUM(AQ27:AT27)</f>
        <v>#NAME?</v>
      </c>
      <c r="Q70" s="9" t="e">
        <f ca="1">Q27-SUM(AU27:AX27)</f>
        <v>#NAME?</v>
      </c>
      <c r="R70" s="9" t="e">
        <f ca="1">R27-SUM(AY27:BB27)</f>
        <v>#NAME?</v>
      </c>
      <c r="S70" s="9" t="e">
        <f ca="1">S27-SUM(BC27:BF27)</f>
        <v>#NAME?</v>
      </c>
      <c r="T70" s="9" t="e">
        <f ca="1">T27-SUM(BG27:BJ27)</f>
        <v>#NAME?</v>
      </c>
      <c r="U70" s="9" t="e">
        <f ca="1">U27-SUM(BK27:BN27)</f>
        <v>#NAME?</v>
      </c>
      <c r="V70" s="9" t="e">
        <f ca="1">V27-SUM(BO27:BR27)</f>
        <v>#NAME?</v>
      </c>
      <c r="W70" s="9" t="e">
        <f ca="1">W27-SUM(BS27:BV27)</f>
        <v>#NAME?</v>
      </c>
      <c r="X70" s="9" t="e">
        <f ca="1">X27-SUM(BW27:BZ27)</f>
        <v>#NAME?</v>
      </c>
      <c r="Y70" s="9" t="e">
        <f ca="1">Y27-SUM(CA27:CD27)</f>
        <v>#NAME?</v>
      </c>
      <c r="Z70" s="9" t="e">
        <f ca="1">Z27-SUM(CE27:CH27)</f>
        <v>#NAME?</v>
      </c>
      <c r="AA70" s="9" t="e">
        <f ca="1">AA27-SUM(CF27:CI27)</f>
        <v>#NAME?</v>
      </c>
      <c r="AB70" s="15" t="e">
        <f ca="1">AB27-SUM(CM27:CP27)</f>
        <v>#NAME?</v>
      </c>
      <c r="AC70" s="15" t="e">
        <f ca="1">AC27-SUM(CQ27:CT27)</f>
        <v>#NAME?</v>
      </c>
      <c r="AD70" s="15" t="e">
        <f ca="1">AD27-SUM(CU27:CX27)</f>
        <v>#NAME?</v>
      </c>
      <c r="AE70" s="15" t="e">
        <f ca="1">AE27-SUM(CY27:DB27)</f>
        <v>#NAME?</v>
      </c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E70" s="133"/>
      <c r="DF70" s="9">
        <v>0</v>
      </c>
    </row>
    <row r="71" spans="1:110" s="9" customFormat="1" x14ac:dyDescent="0.2">
      <c r="A71" s="9" t="s">
        <v>455</v>
      </c>
      <c r="N71" s="9" t="e">
        <f ca="1">N39-SUM(AI39:AL39)</f>
        <v>#NAME?</v>
      </c>
      <c r="O71" s="9" t="e">
        <f ca="1">O39-SUM(AM39:AP39)</f>
        <v>#NAME?</v>
      </c>
      <c r="P71" s="9" t="e">
        <f ca="1">P39-SUM(AQ39:AT39)</f>
        <v>#NAME?</v>
      </c>
      <c r="Q71" s="9" t="e">
        <f ca="1">Q39-SUM(AU39:AX39)</f>
        <v>#NAME?</v>
      </c>
      <c r="R71" s="9" t="e">
        <f ca="1">R39-SUM(AY39:BB39)</f>
        <v>#NAME?</v>
      </c>
      <c r="S71" s="9" t="e">
        <f ca="1">S39-SUM(BC39:BF39)</f>
        <v>#NAME?</v>
      </c>
      <c r="T71" s="9" t="e">
        <f ca="1">T39-SUM(BG39:BJ39)</f>
        <v>#NAME?</v>
      </c>
      <c r="U71" s="9" t="e">
        <f ca="1">U39-SUM(BK39:BN39)</f>
        <v>#NAME?</v>
      </c>
      <c r="V71" s="9" t="e">
        <f ca="1">V39-SUM(BO39:BR39)</f>
        <v>#NAME?</v>
      </c>
      <c r="W71" s="9" t="e">
        <f ca="1">W39-SUM(BS39:BV39)</f>
        <v>#NAME?</v>
      </c>
      <c r="X71" s="9" t="e">
        <f ca="1">X39-SUM(BW39:BZ39)</f>
        <v>#NAME?</v>
      </c>
      <c r="Y71" s="9" t="e">
        <f ca="1">Y39-SUM(CA39:CD39)</f>
        <v>#NAME?</v>
      </c>
      <c r="Z71" s="9" t="e">
        <f ca="1">Z39-SUM(CE39:CH39)</f>
        <v>#NAME?</v>
      </c>
      <c r="AA71" s="9" t="e">
        <f ca="1">AA39-SUM(CF39:CI39)</f>
        <v>#NAME?</v>
      </c>
      <c r="AB71" s="15" t="e">
        <f ca="1">AB39-SUM(CM39:CP39)</f>
        <v>#NAME?</v>
      </c>
      <c r="AC71" s="15" t="e">
        <f ca="1">AC39-SUM(CQ39:CT39)</f>
        <v>#NAME?</v>
      </c>
      <c r="AD71" s="15" t="e">
        <f ca="1">AD39-SUM(CU39:CX39)</f>
        <v>#NAME?</v>
      </c>
      <c r="AE71" s="15" t="e">
        <f ca="1">AE39-SUM(CY39:DB39)</f>
        <v>#NAME?</v>
      </c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E71" s="133"/>
      <c r="DF71" s="9">
        <v>0</v>
      </c>
    </row>
    <row r="72" spans="1:110" s="9" customFormat="1" x14ac:dyDescent="0.2">
      <c r="A72" s="9" t="s">
        <v>456</v>
      </c>
      <c r="N72" s="9" t="e">
        <f ca="1">N59-SUM(AI59:AL59)</f>
        <v>#NAME?</v>
      </c>
      <c r="O72" s="9" t="e">
        <f ca="1">O59-SUM(AM59:AP59)</f>
        <v>#NAME?</v>
      </c>
      <c r="P72" s="9" t="e">
        <f ca="1">P59-SUM(AQ59:AT59)</f>
        <v>#NAME?</v>
      </c>
      <c r="Q72" s="9" t="e">
        <f ca="1">Q59-SUM(AU59:AX59)</f>
        <v>#NAME?</v>
      </c>
      <c r="R72" s="9" t="e">
        <f ca="1">R59-SUM(AY59:BB59)</f>
        <v>#NAME?</v>
      </c>
      <c r="S72" s="9" t="e">
        <f ca="1">S59-SUM(BC59:BF59)</f>
        <v>#NAME?</v>
      </c>
      <c r="T72" s="9" t="e">
        <f ca="1">T59-SUM(BG59:BJ59)</f>
        <v>#NAME?</v>
      </c>
      <c r="U72" s="9" t="e">
        <f ca="1">U59-SUM(BK59:BN59)</f>
        <v>#NAME?</v>
      </c>
      <c r="V72" s="9" t="e">
        <f ca="1">V59-SUM(BO59:BR59)</f>
        <v>#NAME?</v>
      </c>
      <c r="W72" s="9" t="e">
        <f ca="1">W52-SUM(BS52:BV52)</f>
        <v>#NAME?</v>
      </c>
      <c r="X72" s="9" t="e">
        <f ca="1">X52-SUM(BW52:BZ52)</f>
        <v>#NAME?</v>
      </c>
      <c r="Y72" s="9" t="e">
        <f ca="1">Y52-SUM(CA52:CD52)</f>
        <v>#NAME?</v>
      </c>
      <c r="Z72" s="9" t="e">
        <f ca="1">Z52-SUM(CE52:CH52)</f>
        <v>#NAME?</v>
      </c>
      <c r="AA72" s="9" t="e">
        <f ca="1">AA52-SUM(CF52:CI52)</f>
        <v>#NAME?</v>
      </c>
      <c r="AB72" s="15" t="e">
        <f ca="1">AB52-SUM(CM52:CP52)</f>
        <v>#NAME?</v>
      </c>
      <c r="AC72" s="15" t="e">
        <f ca="1">AC52-SUM(CQ52:CT52)</f>
        <v>#NAME?</v>
      </c>
      <c r="AD72" s="15" t="e">
        <f ca="1">AD52-SUM(CU52:CX52)</f>
        <v>#NAME?</v>
      </c>
      <c r="AE72" s="15" t="e">
        <f ca="1">AE52-SUM(CY52:DB52)</f>
        <v>#NAME?</v>
      </c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E72" s="133"/>
      <c r="DF72" s="9">
        <v>5.6843418860808015E-14</v>
      </c>
    </row>
    <row r="73" spans="1:110" s="8" customFormat="1" x14ac:dyDescent="0.2">
      <c r="A73" s="149" t="s">
        <v>489</v>
      </c>
      <c r="AB73" s="58"/>
      <c r="AC73" s="58"/>
      <c r="AD73" s="58"/>
      <c r="AE73" s="58"/>
      <c r="CM73" s="54">
        <v>16.41</v>
      </c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  <c r="DF73" s="196"/>
    </row>
    <row r="74" spans="1:110" s="3" customFormat="1" x14ac:dyDescent="0.2">
      <c r="A74" s="3" t="s">
        <v>27</v>
      </c>
      <c r="B74" s="3" t="e">
        <f ca="1">'Annual Raw'!C104</f>
        <v>#NAME?</v>
      </c>
      <c r="C74" s="3" t="e">
        <f ca="1">'Annual Raw'!D104</f>
        <v>#NAME?</v>
      </c>
      <c r="D74" s="3" t="e">
        <f ca="1">'Annual Raw'!E104</f>
        <v>#NAME?</v>
      </c>
      <c r="E74" s="3">
        <f t="shared" ref="E74:Y74" ca="1" si="711">+F74</f>
        <v>5.4729999999999999</v>
      </c>
      <c r="F74" s="3">
        <f t="shared" ca="1" si="711"/>
        <v>5.4729999999999999</v>
      </c>
      <c r="G74" s="3">
        <f t="shared" ca="1" si="711"/>
        <v>5.4729999999999999</v>
      </c>
      <c r="H74" s="3">
        <f t="shared" ca="1" si="711"/>
        <v>5.4729999999999999</v>
      </c>
      <c r="I74" s="3">
        <f t="shared" ca="1" si="711"/>
        <v>5.4729999999999999</v>
      </c>
      <c r="J74" s="3">
        <f t="shared" ca="1" si="711"/>
        <v>5.4729999999999999</v>
      </c>
      <c r="K74" s="3">
        <f t="shared" ca="1" si="711"/>
        <v>5.4729999999999999</v>
      </c>
      <c r="L74" s="3">
        <f t="shared" ca="1" si="711"/>
        <v>5.4729999999999999</v>
      </c>
      <c r="M74" s="3">
        <f t="shared" ca="1" si="711"/>
        <v>5.4729999999999999</v>
      </c>
      <c r="N74" s="3">
        <f t="shared" ca="1" si="711"/>
        <v>5.4729999999999999</v>
      </c>
      <c r="O74" s="3">
        <f t="shared" ca="1" si="711"/>
        <v>5.4729999999999999</v>
      </c>
      <c r="P74" s="3">
        <f t="shared" ca="1" si="711"/>
        <v>5.4729999999999999</v>
      </c>
      <c r="Q74" s="3">
        <f t="shared" ca="1" si="711"/>
        <v>5.4729999999999999</v>
      </c>
      <c r="R74" s="3">
        <f t="shared" ca="1" si="711"/>
        <v>5.4729999999999999</v>
      </c>
      <c r="S74" s="3">
        <f t="shared" ca="1" si="711"/>
        <v>5.4729999999999999</v>
      </c>
      <c r="T74" s="3">
        <f t="shared" ca="1" si="711"/>
        <v>5.4729999999999999</v>
      </c>
      <c r="U74" s="3">
        <f t="shared" ca="1" si="711"/>
        <v>5.4729999999999999</v>
      </c>
      <c r="V74" s="3">
        <f t="shared" ca="1" si="711"/>
        <v>5.4729999999999999</v>
      </c>
      <c r="W74" s="3">
        <f t="shared" ca="1" si="711"/>
        <v>5.4729999999999999</v>
      </c>
      <c r="X74" s="3">
        <f t="shared" ca="1" si="711"/>
        <v>5.4729999999999999</v>
      </c>
      <c r="Y74" s="3">
        <f t="shared" ca="1" si="711"/>
        <v>5.4729999999999999</v>
      </c>
      <c r="Z74" s="3">
        <f ca="1">+AA74</f>
        <v>5.4729999999999999</v>
      </c>
      <c r="AA74" s="3">
        <f ca="1">+AB74</f>
        <v>5.4729999999999999</v>
      </c>
      <c r="AB74" s="37">
        <f t="shared" ref="AB74:AB75" ca="1" si="712">AA74</f>
        <v>5.4729999999999999</v>
      </c>
      <c r="AC74" s="37">
        <f t="shared" ref="AC74:AC75" ca="1" si="713">AB74</f>
        <v>5.4729999999999999</v>
      </c>
      <c r="AD74" s="37">
        <f t="shared" ref="AD74:AD75" ca="1" si="714">AC74</f>
        <v>5.4729999999999999</v>
      </c>
      <c r="AE74" s="37">
        <f t="shared" ref="AE74:AE75" ca="1" si="715">AD74</f>
        <v>5.4729999999999999</v>
      </c>
      <c r="AI74" s="3" t="e">
        <f t="shared" ref="AI74:CH74" ca="1" si="716">+AJ74</f>
        <v>#NAME?</v>
      </c>
      <c r="AJ74" s="3" t="e">
        <f t="shared" ca="1" si="716"/>
        <v>#NAME?</v>
      </c>
      <c r="AK74" s="3" t="e">
        <f t="shared" ca="1" si="716"/>
        <v>#NAME?</v>
      </c>
      <c r="AL74" s="3" t="e">
        <f t="shared" ca="1" si="716"/>
        <v>#NAME?</v>
      </c>
      <c r="AM74" s="3" t="e">
        <f t="shared" ca="1" si="716"/>
        <v>#NAME?</v>
      </c>
      <c r="AN74" s="3" t="e">
        <f t="shared" ca="1" si="716"/>
        <v>#NAME?</v>
      </c>
      <c r="AO74" s="3" t="e">
        <f t="shared" ca="1" si="716"/>
        <v>#NAME?</v>
      </c>
      <c r="AP74" s="3" t="e">
        <f t="shared" ca="1" si="716"/>
        <v>#NAME?</v>
      </c>
      <c r="AQ74" s="3" t="e">
        <f t="shared" ca="1" si="716"/>
        <v>#NAME?</v>
      </c>
      <c r="AR74" s="3" t="e">
        <f t="shared" ca="1" si="716"/>
        <v>#NAME?</v>
      </c>
      <c r="AS74" s="3" t="e">
        <f t="shared" ca="1" si="716"/>
        <v>#NAME?</v>
      </c>
      <c r="AT74" s="3" t="e">
        <f t="shared" ca="1" si="716"/>
        <v>#NAME?</v>
      </c>
      <c r="AU74" s="3" t="e">
        <f t="shared" ca="1" si="716"/>
        <v>#NAME?</v>
      </c>
      <c r="AV74" s="3" t="e">
        <f t="shared" ca="1" si="716"/>
        <v>#NAME?</v>
      </c>
      <c r="AW74" s="3" t="e">
        <f t="shared" ca="1" si="716"/>
        <v>#NAME?</v>
      </c>
      <c r="AX74" s="3" t="e">
        <f t="shared" ca="1" si="716"/>
        <v>#NAME?</v>
      </c>
      <c r="AY74" s="3" t="e">
        <f t="shared" ca="1" si="716"/>
        <v>#NAME?</v>
      </c>
      <c r="AZ74" s="3" t="e">
        <f t="shared" ca="1" si="716"/>
        <v>#NAME?</v>
      </c>
      <c r="BA74" s="3" t="e">
        <f t="shared" ca="1" si="716"/>
        <v>#NAME?</v>
      </c>
      <c r="BB74" s="3" t="e">
        <f t="shared" ca="1" si="716"/>
        <v>#NAME?</v>
      </c>
      <c r="BC74" s="3" t="e">
        <f t="shared" ca="1" si="716"/>
        <v>#NAME?</v>
      </c>
      <c r="BD74" s="3" t="e">
        <f t="shared" ca="1" si="716"/>
        <v>#NAME?</v>
      </c>
      <c r="BE74" s="3" t="e">
        <f t="shared" ca="1" si="716"/>
        <v>#NAME?</v>
      </c>
      <c r="BF74" s="3" t="e">
        <f t="shared" ca="1" si="716"/>
        <v>#NAME?</v>
      </c>
      <c r="BG74" s="3" t="e">
        <f t="shared" ca="1" si="716"/>
        <v>#NAME?</v>
      </c>
      <c r="BH74" s="3" t="e">
        <f t="shared" ca="1" si="716"/>
        <v>#NAME?</v>
      </c>
      <c r="BI74" s="3" t="e">
        <f t="shared" ca="1" si="716"/>
        <v>#NAME?</v>
      </c>
      <c r="BJ74" s="3" t="e">
        <f t="shared" ca="1" si="716"/>
        <v>#NAME?</v>
      </c>
      <c r="BK74" s="3" t="e">
        <f t="shared" ca="1" si="716"/>
        <v>#NAME?</v>
      </c>
      <c r="BL74" s="3" t="e">
        <f t="shared" ca="1" si="716"/>
        <v>#NAME?</v>
      </c>
      <c r="BM74" s="3" t="e">
        <f t="shared" ca="1" si="716"/>
        <v>#NAME?</v>
      </c>
      <c r="BN74" s="3" t="e">
        <f t="shared" ca="1" si="716"/>
        <v>#NAME?</v>
      </c>
      <c r="BO74" s="3" t="e">
        <f t="shared" ca="1" si="716"/>
        <v>#NAME?</v>
      </c>
      <c r="BP74" s="3" t="e">
        <f t="shared" ca="1" si="716"/>
        <v>#NAME?</v>
      </c>
      <c r="BQ74" s="3" t="e">
        <f t="shared" ca="1" si="716"/>
        <v>#NAME?</v>
      </c>
      <c r="BR74" s="3" t="e">
        <f t="shared" ca="1" si="716"/>
        <v>#NAME?</v>
      </c>
      <c r="BS74" s="3" t="e">
        <f t="shared" ca="1" si="716"/>
        <v>#NAME?</v>
      </c>
      <c r="BT74" s="3" t="e">
        <f t="shared" ca="1" si="716"/>
        <v>#NAME?</v>
      </c>
      <c r="BU74" s="3" t="e">
        <f t="shared" ca="1" si="716"/>
        <v>#NAME?</v>
      </c>
      <c r="BV74" s="3" t="e">
        <f t="shared" ca="1" si="716"/>
        <v>#NAME?</v>
      </c>
      <c r="BW74" s="3" t="e">
        <f t="shared" ca="1" si="716"/>
        <v>#NAME?</v>
      </c>
      <c r="BX74" s="3" t="e">
        <f t="shared" ca="1" si="716"/>
        <v>#NAME?</v>
      </c>
      <c r="BY74" s="3" t="e">
        <f t="shared" ca="1" si="716"/>
        <v>#NAME?</v>
      </c>
      <c r="BZ74" s="3" t="e">
        <f t="shared" ca="1" si="716"/>
        <v>#NAME?</v>
      </c>
      <c r="CA74" s="3" t="e">
        <f t="shared" ca="1" si="716"/>
        <v>#NAME?</v>
      </c>
      <c r="CB74" s="3" t="e">
        <f t="shared" ca="1" si="716"/>
        <v>#NAME?</v>
      </c>
      <c r="CC74" s="3" t="e">
        <f t="shared" ca="1" si="716"/>
        <v>#NAME?</v>
      </c>
      <c r="CD74" s="3" t="e">
        <f t="shared" ca="1" si="716"/>
        <v>#NAME?</v>
      </c>
      <c r="CE74" s="3" t="e">
        <f t="shared" ca="1" si="716"/>
        <v>#NAME?</v>
      </c>
      <c r="CF74" s="3" t="e">
        <f t="shared" ca="1" si="716"/>
        <v>#NAME?</v>
      </c>
      <c r="CG74" s="3" t="e">
        <f t="shared" ca="1" si="716"/>
        <v>#NAME?</v>
      </c>
      <c r="CH74" s="3" t="e">
        <f t="shared" ca="1" si="716"/>
        <v>#NAME?</v>
      </c>
      <c r="CI74" s="3" t="e">
        <f ca="1">+CJ74</f>
        <v>#NAME?</v>
      </c>
      <c r="CJ74" s="3" t="e">
        <f t="shared" ref="CJ74:CK74" ca="1" si="717">+CK74</f>
        <v>#NAME?</v>
      </c>
      <c r="CK74" s="3" t="e">
        <f t="shared" ca="1" si="717"/>
        <v>#NAME?</v>
      </c>
      <c r="CL74" s="3" t="e">
        <f ca="1">'QTR Raw'!BF45</f>
        <v>#NAME?</v>
      </c>
      <c r="CM74" s="37" t="e">
        <f ca="1">+CL74</f>
        <v>#NAME?</v>
      </c>
      <c r="CN74" s="37" t="e">
        <f t="shared" ref="CN74:CN75" ca="1" si="718">+CM74</f>
        <v>#NAME?</v>
      </c>
      <c r="CO74" s="37" t="e">
        <f t="shared" ref="CO74:CO75" ca="1" si="719">+CN74</f>
        <v>#NAME?</v>
      </c>
      <c r="CP74" s="37" t="e">
        <f t="shared" ref="CP74:CP75" ca="1" si="720">+CO74</f>
        <v>#NAME?</v>
      </c>
      <c r="CQ74" s="37" t="e">
        <f t="shared" ref="CQ74:CQ75" ca="1" si="721">+CP74</f>
        <v>#NAME?</v>
      </c>
      <c r="CR74" s="37" t="e">
        <f t="shared" ref="CR74:CR75" ca="1" si="722">+CQ74</f>
        <v>#NAME?</v>
      </c>
      <c r="CS74" s="37" t="e">
        <f t="shared" ref="CS74:CS75" ca="1" si="723">+CR74</f>
        <v>#NAME?</v>
      </c>
      <c r="CT74" s="37" t="e">
        <f t="shared" ref="CT74:CT75" ca="1" si="724">+CS74</f>
        <v>#NAME?</v>
      </c>
      <c r="CU74" s="37" t="e">
        <f t="shared" ref="CU74:CU75" ca="1" si="725">+CT74</f>
        <v>#NAME?</v>
      </c>
      <c r="CV74" s="37" t="e">
        <f t="shared" ref="CV74:CV75" ca="1" si="726">+CU74</f>
        <v>#NAME?</v>
      </c>
      <c r="CW74" s="37" t="e">
        <f t="shared" ref="CW74:CW75" ca="1" si="727">+CV74</f>
        <v>#NAME?</v>
      </c>
      <c r="CX74" s="37" t="e">
        <f t="shared" ref="CX74:CX75" ca="1" si="728">+CW74</f>
        <v>#NAME?</v>
      </c>
      <c r="CY74" s="37" t="e">
        <f t="shared" ref="CY74:CY75" ca="1" si="729">+CX74</f>
        <v>#NAME?</v>
      </c>
      <c r="CZ74" s="37" t="e">
        <f t="shared" ref="CZ74:CZ75" ca="1" si="730">+CY74</f>
        <v>#NAME?</v>
      </c>
      <c r="DA74" s="37" t="e">
        <f t="shared" ref="DA74:DA75" ca="1" si="731">+CZ74</f>
        <v>#NAME?</v>
      </c>
      <c r="DB74" s="37" t="e">
        <f t="shared" ref="DB74:DB75" ca="1" si="732">+DA74</f>
        <v>#NAME?</v>
      </c>
      <c r="DE74" s="134"/>
      <c r="DF74" s="3">
        <v>5.4729999999999999</v>
      </c>
    </row>
    <row r="75" spans="1:110" s="3" customFormat="1" x14ac:dyDescent="0.2">
      <c r="A75" s="3" t="s">
        <v>28</v>
      </c>
      <c r="B75" s="3" t="e">
        <f ca="1">'Annual Raw'!C105</f>
        <v>#NAME?</v>
      </c>
      <c r="C75" s="3" t="e">
        <f ca="1">'Annual Raw'!D105</f>
        <v>#NAME?</v>
      </c>
      <c r="D75" s="3" t="e">
        <f ca="1">'Annual Raw'!E105</f>
        <v>#NAME?</v>
      </c>
      <c r="E75" s="3">
        <f t="shared" ref="E75:Y75" ca="1" si="733">+F75</f>
        <v>10</v>
      </c>
      <c r="F75" s="3">
        <f t="shared" ca="1" si="733"/>
        <v>10</v>
      </c>
      <c r="G75" s="3">
        <f t="shared" ca="1" si="733"/>
        <v>10</v>
      </c>
      <c r="H75" s="3">
        <f t="shared" ca="1" si="733"/>
        <v>10</v>
      </c>
      <c r="I75" s="3">
        <f t="shared" ca="1" si="733"/>
        <v>10</v>
      </c>
      <c r="J75" s="3">
        <f t="shared" ca="1" si="733"/>
        <v>10</v>
      </c>
      <c r="K75" s="3">
        <f t="shared" ca="1" si="733"/>
        <v>10</v>
      </c>
      <c r="L75" s="3">
        <f t="shared" ca="1" si="733"/>
        <v>10</v>
      </c>
      <c r="M75" s="3">
        <f t="shared" ca="1" si="733"/>
        <v>10</v>
      </c>
      <c r="N75" s="3">
        <f t="shared" ca="1" si="733"/>
        <v>10</v>
      </c>
      <c r="O75" s="3">
        <f t="shared" ca="1" si="733"/>
        <v>10</v>
      </c>
      <c r="P75" s="3">
        <f t="shared" ca="1" si="733"/>
        <v>10</v>
      </c>
      <c r="Q75" s="3">
        <f t="shared" ca="1" si="733"/>
        <v>10</v>
      </c>
      <c r="R75" s="3">
        <f t="shared" ca="1" si="733"/>
        <v>10</v>
      </c>
      <c r="S75" s="3">
        <f t="shared" ca="1" si="733"/>
        <v>10</v>
      </c>
      <c r="T75" s="3">
        <f t="shared" ca="1" si="733"/>
        <v>10</v>
      </c>
      <c r="U75" s="3">
        <f t="shared" ca="1" si="733"/>
        <v>10</v>
      </c>
      <c r="V75" s="3">
        <f t="shared" ca="1" si="733"/>
        <v>10</v>
      </c>
      <c r="W75" s="3">
        <f t="shared" ca="1" si="733"/>
        <v>10</v>
      </c>
      <c r="X75" s="3">
        <f t="shared" ca="1" si="733"/>
        <v>10</v>
      </c>
      <c r="Y75" s="3">
        <f t="shared" ca="1" si="733"/>
        <v>10</v>
      </c>
      <c r="Z75" s="3">
        <f ca="1">+AA75</f>
        <v>10</v>
      </c>
      <c r="AA75" s="3">
        <f ca="1">+AB75</f>
        <v>10</v>
      </c>
      <c r="AB75" s="37">
        <f t="shared" ca="1" si="712"/>
        <v>10</v>
      </c>
      <c r="AC75" s="37">
        <f t="shared" ca="1" si="713"/>
        <v>10</v>
      </c>
      <c r="AD75" s="37">
        <f t="shared" ca="1" si="714"/>
        <v>10</v>
      </c>
      <c r="AE75" s="37">
        <f t="shared" ca="1" si="715"/>
        <v>10</v>
      </c>
      <c r="AI75" s="3" t="e">
        <f t="shared" ref="AI75:CH75" ca="1" si="734">AJ75</f>
        <v>#NAME?</v>
      </c>
      <c r="AJ75" s="3" t="e">
        <f t="shared" ca="1" si="734"/>
        <v>#NAME?</v>
      </c>
      <c r="AK75" s="3" t="e">
        <f t="shared" ca="1" si="734"/>
        <v>#NAME?</v>
      </c>
      <c r="AL75" s="3" t="e">
        <f t="shared" ca="1" si="734"/>
        <v>#NAME?</v>
      </c>
      <c r="AM75" s="3" t="e">
        <f t="shared" ca="1" si="734"/>
        <v>#NAME?</v>
      </c>
      <c r="AN75" s="3" t="e">
        <f t="shared" ca="1" si="734"/>
        <v>#NAME?</v>
      </c>
      <c r="AO75" s="3" t="e">
        <f t="shared" ca="1" si="734"/>
        <v>#NAME?</v>
      </c>
      <c r="AP75" s="3" t="e">
        <f t="shared" ca="1" si="734"/>
        <v>#NAME?</v>
      </c>
      <c r="AQ75" s="3" t="e">
        <f t="shared" ca="1" si="734"/>
        <v>#NAME?</v>
      </c>
      <c r="AR75" s="3" t="e">
        <f t="shared" ca="1" si="734"/>
        <v>#NAME?</v>
      </c>
      <c r="AS75" s="3" t="e">
        <f t="shared" ca="1" si="734"/>
        <v>#NAME?</v>
      </c>
      <c r="AT75" s="3" t="e">
        <f t="shared" ca="1" si="734"/>
        <v>#NAME?</v>
      </c>
      <c r="AU75" s="3" t="e">
        <f t="shared" ca="1" si="734"/>
        <v>#NAME?</v>
      </c>
      <c r="AV75" s="3" t="e">
        <f t="shared" ca="1" si="734"/>
        <v>#NAME?</v>
      </c>
      <c r="AW75" s="3" t="e">
        <f t="shared" ca="1" si="734"/>
        <v>#NAME?</v>
      </c>
      <c r="AX75" s="3" t="e">
        <f t="shared" ca="1" si="734"/>
        <v>#NAME?</v>
      </c>
      <c r="AY75" s="3" t="e">
        <f t="shared" ca="1" si="734"/>
        <v>#NAME?</v>
      </c>
      <c r="AZ75" s="3" t="e">
        <f t="shared" ca="1" si="734"/>
        <v>#NAME?</v>
      </c>
      <c r="BA75" s="3" t="e">
        <f t="shared" ca="1" si="734"/>
        <v>#NAME?</v>
      </c>
      <c r="BB75" s="3" t="e">
        <f t="shared" ca="1" si="734"/>
        <v>#NAME?</v>
      </c>
      <c r="BC75" s="3" t="e">
        <f t="shared" ca="1" si="734"/>
        <v>#NAME?</v>
      </c>
      <c r="BD75" s="3" t="e">
        <f t="shared" ca="1" si="734"/>
        <v>#NAME?</v>
      </c>
      <c r="BE75" s="3" t="e">
        <f t="shared" ca="1" si="734"/>
        <v>#NAME?</v>
      </c>
      <c r="BF75" s="3" t="e">
        <f t="shared" ca="1" si="734"/>
        <v>#NAME?</v>
      </c>
      <c r="BG75" s="3" t="e">
        <f t="shared" ca="1" si="734"/>
        <v>#NAME?</v>
      </c>
      <c r="BH75" s="3" t="e">
        <f t="shared" ca="1" si="734"/>
        <v>#NAME?</v>
      </c>
      <c r="BI75" s="3" t="e">
        <f t="shared" ca="1" si="734"/>
        <v>#NAME?</v>
      </c>
      <c r="BJ75" s="3" t="e">
        <f t="shared" ca="1" si="734"/>
        <v>#NAME?</v>
      </c>
      <c r="BK75" s="3" t="e">
        <f t="shared" ca="1" si="734"/>
        <v>#NAME?</v>
      </c>
      <c r="BL75" s="3" t="e">
        <f t="shared" ca="1" si="734"/>
        <v>#NAME?</v>
      </c>
      <c r="BM75" s="3" t="e">
        <f t="shared" ca="1" si="734"/>
        <v>#NAME?</v>
      </c>
      <c r="BN75" s="3" t="e">
        <f t="shared" ca="1" si="734"/>
        <v>#NAME?</v>
      </c>
      <c r="BO75" s="3" t="e">
        <f t="shared" ca="1" si="734"/>
        <v>#NAME?</v>
      </c>
      <c r="BP75" s="3" t="e">
        <f t="shared" ca="1" si="734"/>
        <v>#NAME?</v>
      </c>
      <c r="BQ75" s="3" t="e">
        <f t="shared" ca="1" si="734"/>
        <v>#NAME?</v>
      </c>
      <c r="BR75" s="3" t="e">
        <f t="shared" ca="1" si="734"/>
        <v>#NAME?</v>
      </c>
      <c r="BS75" s="3" t="e">
        <f t="shared" ca="1" si="734"/>
        <v>#NAME?</v>
      </c>
      <c r="BT75" s="3" t="e">
        <f t="shared" ca="1" si="734"/>
        <v>#NAME?</v>
      </c>
      <c r="BU75" s="3" t="e">
        <f t="shared" ca="1" si="734"/>
        <v>#NAME?</v>
      </c>
      <c r="BV75" s="3" t="e">
        <f t="shared" ca="1" si="734"/>
        <v>#NAME?</v>
      </c>
      <c r="BW75" s="3" t="e">
        <f t="shared" ca="1" si="734"/>
        <v>#NAME?</v>
      </c>
      <c r="BX75" s="3" t="e">
        <f t="shared" ca="1" si="734"/>
        <v>#NAME?</v>
      </c>
      <c r="BY75" s="3" t="e">
        <f t="shared" ca="1" si="734"/>
        <v>#NAME?</v>
      </c>
      <c r="BZ75" s="3" t="e">
        <f t="shared" ca="1" si="734"/>
        <v>#NAME?</v>
      </c>
      <c r="CA75" s="3" t="e">
        <f t="shared" ca="1" si="734"/>
        <v>#NAME?</v>
      </c>
      <c r="CB75" s="3" t="e">
        <f t="shared" ca="1" si="734"/>
        <v>#NAME?</v>
      </c>
      <c r="CC75" s="3" t="e">
        <f t="shared" ca="1" si="734"/>
        <v>#NAME?</v>
      </c>
      <c r="CD75" s="3" t="e">
        <f t="shared" ca="1" si="734"/>
        <v>#NAME?</v>
      </c>
      <c r="CE75" s="3" t="e">
        <f t="shared" ca="1" si="734"/>
        <v>#NAME?</v>
      </c>
      <c r="CF75" s="3" t="e">
        <f t="shared" ca="1" si="734"/>
        <v>#NAME?</v>
      </c>
      <c r="CG75" s="3" t="e">
        <f t="shared" ca="1" si="734"/>
        <v>#NAME?</v>
      </c>
      <c r="CH75" s="3" t="e">
        <f t="shared" ca="1" si="734"/>
        <v>#NAME?</v>
      </c>
      <c r="CI75" s="3" t="e">
        <f ca="1">CJ75</f>
        <v>#NAME?</v>
      </c>
      <c r="CJ75" s="3" t="e">
        <f t="shared" ref="CJ75:CK75" ca="1" si="735">CK75</f>
        <v>#NAME?</v>
      </c>
      <c r="CK75" s="3" t="e">
        <f t="shared" ca="1" si="735"/>
        <v>#NAME?</v>
      </c>
      <c r="CL75" s="3" t="e">
        <f ca="1">'QTR Raw'!BF46</f>
        <v>#NAME?</v>
      </c>
      <c r="CM75" s="37" t="e">
        <f t="shared" ref="CM75" ca="1" si="736">+CL75</f>
        <v>#NAME?</v>
      </c>
      <c r="CN75" s="37" t="e">
        <f t="shared" ca="1" si="718"/>
        <v>#NAME?</v>
      </c>
      <c r="CO75" s="37" t="e">
        <f t="shared" ca="1" si="719"/>
        <v>#NAME?</v>
      </c>
      <c r="CP75" s="37" t="e">
        <f t="shared" ca="1" si="720"/>
        <v>#NAME?</v>
      </c>
      <c r="CQ75" s="37" t="e">
        <f t="shared" ca="1" si="721"/>
        <v>#NAME?</v>
      </c>
      <c r="CR75" s="37" t="e">
        <f t="shared" ca="1" si="722"/>
        <v>#NAME?</v>
      </c>
      <c r="CS75" s="37" t="e">
        <f t="shared" ca="1" si="723"/>
        <v>#NAME?</v>
      </c>
      <c r="CT75" s="37" t="e">
        <f t="shared" ca="1" si="724"/>
        <v>#NAME?</v>
      </c>
      <c r="CU75" s="37" t="e">
        <f t="shared" ca="1" si="725"/>
        <v>#NAME?</v>
      </c>
      <c r="CV75" s="37" t="e">
        <f t="shared" ca="1" si="726"/>
        <v>#NAME?</v>
      </c>
      <c r="CW75" s="37" t="e">
        <f t="shared" ca="1" si="727"/>
        <v>#NAME?</v>
      </c>
      <c r="CX75" s="37" t="e">
        <f t="shared" ca="1" si="728"/>
        <v>#NAME?</v>
      </c>
      <c r="CY75" s="37" t="e">
        <f t="shared" ca="1" si="729"/>
        <v>#NAME?</v>
      </c>
      <c r="CZ75" s="37" t="e">
        <f t="shared" ca="1" si="730"/>
        <v>#NAME?</v>
      </c>
      <c r="DA75" s="37" t="e">
        <f t="shared" ca="1" si="731"/>
        <v>#NAME?</v>
      </c>
      <c r="DB75" s="37" t="e">
        <f t="shared" ca="1" si="732"/>
        <v>#NAME?</v>
      </c>
      <c r="DE75" s="134"/>
      <c r="DF75" s="3">
        <v>10</v>
      </c>
    </row>
    <row r="76" spans="1:110" s="3" customFormat="1" x14ac:dyDescent="0.2">
      <c r="A76" s="3" t="s">
        <v>29</v>
      </c>
      <c r="B76" s="3" t="e">
        <f ca="1">B74/B75</f>
        <v>#NAME?</v>
      </c>
      <c r="C76" s="3" t="e">
        <f t="shared" ref="C76:W76" ca="1" si="737">C74/C75</f>
        <v>#NAME?</v>
      </c>
      <c r="D76" s="3" t="e">
        <f t="shared" ca="1" si="737"/>
        <v>#NAME?</v>
      </c>
      <c r="E76" s="3">
        <f t="shared" ca="1" si="737"/>
        <v>0.54730000000000001</v>
      </c>
      <c r="F76" s="3">
        <f t="shared" ca="1" si="737"/>
        <v>0.54730000000000001</v>
      </c>
      <c r="G76" s="3">
        <f t="shared" ca="1" si="737"/>
        <v>0.54730000000000001</v>
      </c>
      <c r="H76" s="3">
        <f t="shared" ca="1" si="737"/>
        <v>0.54730000000000001</v>
      </c>
      <c r="I76" s="3">
        <f t="shared" ca="1" si="737"/>
        <v>0.54730000000000001</v>
      </c>
      <c r="J76" s="3">
        <f t="shared" ca="1" si="737"/>
        <v>0.54730000000000001</v>
      </c>
      <c r="K76" s="3">
        <f t="shared" ca="1" si="737"/>
        <v>0.54730000000000001</v>
      </c>
      <c r="L76" s="3">
        <f t="shared" ca="1" si="737"/>
        <v>0.54730000000000001</v>
      </c>
      <c r="M76" s="3">
        <f t="shared" ca="1" si="737"/>
        <v>0.54730000000000001</v>
      </c>
      <c r="N76" s="3">
        <f t="shared" ca="1" si="737"/>
        <v>0.54730000000000001</v>
      </c>
      <c r="O76" s="3">
        <f t="shared" ca="1" si="737"/>
        <v>0.54730000000000001</v>
      </c>
      <c r="P76" s="3">
        <f t="shared" ca="1" si="737"/>
        <v>0.54730000000000001</v>
      </c>
      <c r="Q76" s="3">
        <f t="shared" ca="1" si="737"/>
        <v>0.54730000000000001</v>
      </c>
      <c r="R76" s="3">
        <f t="shared" ca="1" si="737"/>
        <v>0.54730000000000001</v>
      </c>
      <c r="S76" s="3">
        <f t="shared" ca="1" si="737"/>
        <v>0.54730000000000001</v>
      </c>
      <c r="T76" s="3">
        <f t="shared" ca="1" si="737"/>
        <v>0.54730000000000001</v>
      </c>
      <c r="U76" s="3">
        <f t="shared" ca="1" si="737"/>
        <v>0.54730000000000001</v>
      </c>
      <c r="V76" s="3">
        <f ca="1">V74/V75</f>
        <v>0.54730000000000001</v>
      </c>
      <c r="W76" s="3">
        <f t="shared" ca="1" si="737"/>
        <v>0.54730000000000001</v>
      </c>
      <c r="X76" s="3">
        <f t="shared" ref="X76:Y76" ca="1" si="738">X74/X75</f>
        <v>0.54730000000000001</v>
      </c>
      <c r="Y76" s="3">
        <f t="shared" ca="1" si="738"/>
        <v>0.54730000000000001</v>
      </c>
      <c r="Z76" s="3">
        <f t="shared" ref="Z76:AA76" ca="1" si="739">Z74/Z75</f>
        <v>0.54730000000000001</v>
      </c>
      <c r="AA76" s="3">
        <f t="shared" ca="1" si="739"/>
        <v>0.54730000000000001</v>
      </c>
      <c r="AB76" s="37">
        <f t="shared" ref="AA76:AD76" ca="1" si="740">AB74/AB75</f>
        <v>0.54730000000000001</v>
      </c>
      <c r="AC76" s="37">
        <f t="shared" ca="1" si="740"/>
        <v>0.54730000000000001</v>
      </c>
      <c r="AD76" s="37">
        <f t="shared" ca="1" si="740"/>
        <v>0.54730000000000001</v>
      </c>
      <c r="AE76" s="37">
        <f t="shared" ref="AE76" ca="1" si="741">AE74/AE75</f>
        <v>0.54730000000000001</v>
      </c>
      <c r="AI76" s="3" t="e">
        <f t="shared" ref="AI76" ca="1" si="742">AI74/AI75</f>
        <v>#NAME?</v>
      </c>
      <c r="AJ76" s="3" t="e">
        <f t="shared" ref="AJ76" ca="1" si="743">AJ74/AJ75</f>
        <v>#NAME?</v>
      </c>
      <c r="AK76" s="3" t="e">
        <f t="shared" ref="AK76:AM76" ca="1" si="744">AK74/AK75</f>
        <v>#NAME?</v>
      </c>
      <c r="AL76" s="3" t="e">
        <f t="shared" ca="1" si="744"/>
        <v>#NAME?</v>
      </c>
      <c r="AM76" s="3" t="e">
        <f t="shared" ca="1" si="744"/>
        <v>#NAME?</v>
      </c>
      <c r="AN76" s="3" t="e">
        <f t="shared" ref="AN76:AO76" ca="1" si="745">AN74/AN75</f>
        <v>#NAME?</v>
      </c>
      <c r="AO76" s="3" t="e">
        <f t="shared" ca="1" si="745"/>
        <v>#NAME?</v>
      </c>
      <c r="AP76" s="3" t="e">
        <f t="shared" ref="AP76:CD76" ca="1" si="746">AP74/AP75</f>
        <v>#NAME?</v>
      </c>
      <c r="AQ76" s="3" t="e">
        <f t="shared" ca="1" si="746"/>
        <v>#NAME?</v>
      </c>
      <c r="AR76" s="3" t="e">
        <f t="shared" ca="1" si="746"/>
        <v>#NAME?</v>
      </c>
      <c r="AS76" s="3" t="e">
        <f t="shared" ca="1" si="746"/>
        <v>#NAME?</v>
      </c>
      <c r="AT76" s="3" t="e">
        <f t="shared" ca="1" si="746"/>
        <v>#NAME?</v>
      </c>
      <c r="AU76" s="3" t="e">
        <f t="shared" ca="1" si="746"/>
        <v>#NAME?</v>
      </c>
      <c r="AV76" s="3" t="e">
        <f t="shared" ca="1" si="746"/>
        <v>#NAME?</v>
      </c>
      <c r="AW76" s="3" t="e">
        <f t="shared" ca="1" si="746"/>
        <v>#NAME?</v>
      </c>
      <c r="AX76" s="3" t="e">
        <f t="shared" ca="1" si="746"/>
        <v>#NAME?</v>
      </c>
      <c r="AY76" s="3" t="e">
        <f t="shared" ca="1" si="746"/>
        <v>#NAME?</v>
      </c>
      <c r="AZ76" s="3" t="e">
        <f t="shared" ca="1" si="746"/>
        <v>#NAME?</v>
      </c>
      <c r="BA76" s="3" t="e">
        <f t="shared" ca="1" si="746"/>
        <v>#NAME?</v>
      </c>
      <c r="BB76" s="3" t="e">
        <f t="shared" ca="1" si="746"/>
        <v>#NAME?</v>
      </c>
      <c r="BC76" s="3" t="e">
        <f t="shared" ca="1" si="746"/>
        <v>#NAME?</v>
      </c>
      <c r="BD76" s="3" t="e">
        <f t="shared" ca="1" si="746"/>
        <v>#NAME?</v>
      </c>
      <c r="BE76" s="3" t="e">
        <f t="shared" ca="1" si="746"/>
        <v>#NAME?</v>
      </c>
      <c r="BF76" s="3" t="e">
        <f t="shared" ca="1" si="746"/>
        <v>#NAME?</v>
      </c>
      <c r="BG76" s="3" t="e">
        <f t="shared" ca="1" si="746"/>
        <v>#NAME?</v>
      </c>
      <c r="BH76" s="3" t="e">
        <f t="shared" ca="1" si="746"/>
        <v>#NAME?</v>
      </c>
      <c r="BI76" s="3" t="e">
        <f t="shared" ca="1" si="746"/>
        <v>#NAME?</v>
      </c>
      <c r="BJ76" s="3" t="e">
        <f t="shared" ca="1" si="746"/>
        <v>#NAME?</v>
      </c>
      <c r="BK76" s="3" t="e">
        <f t="shared" ca="1" si="746"/>
        <v>#NAME?</v>
      </c>
      <c r="BL76" s="3" t="e">
        <f t="shared" ca="1" si="746"/>
        <v>#NAME?</v>
      </c>
      <c r="BM76" s="3" t="e">
        <f t="shared" ca="1" si="746"/>
        <v>#NAME?</v>
      </c>
      <c r="BN76" s="3" t="e">
        <f t="shared" ca="1" si="746"/>
        <v>#NAME?</v>
      </c>
      <c r="BO76" s="3" t="e">
        <f t="shared" ca="1" si="746"/>
        <v>#NAME?</v>
      </c>
      <c r="BP76" s="3" t="e">
        <f t="shared" ca="1" si="746"/>
        <v>#NAME?</v>
      </c>
      <c r="BQ76" s="3" t="e">
        <f t="shared" ca="1" si="746"/>
        <v>#NAME?</v>
      </c>
      <c r="BR76" s="3" t="e">
        <f t="shared" ca="1" si="746"/>
        <v>#NAME?</v>
      </c>
      <c r="BS76" s="3" t="e">
        <f t="shared" ca="1" si="746"/>
        <v>#NAME?</v>
      </c>
      <c r="BT76" s="3" t="e">
        <f t="shared" ca="1" si="746"/>
        <v>#NAME?</v>
      </c>
      <c r="BU76" s="3" t="e">
        <f t="shared" ca="1" si="746"/>
        <v>#NAME?</v>
      </c>
      <c r="BV76" s="3" t="e">
        <f t="shared" ca="1" si="746"/>
        <v>#NAME?</v>
      </c>
      <c r="BW76" s="3" t="e">
        <f t="shared" ca="1" si="746"/>
        <v>#NAME?</v>
      </c>
      <c r="BX76" s="3" t="e">
        <f t="shared" ca="1" si="746"/>
        <v>#NAME?</v>
      </c>
      <c r="BY76" s="3" t="e">
        <f t="shared" ca="1" si="746"/>
        <v>#NAME?</v>
      </c>
      <c r="BZ76" s="3" t="e">
        <f t="shared" ca="1" si="746"/>
        <v>#NAME?</v>
      </c>
      <c r="CA76" s="3" t="e">
        <f t="shared" ca="1" si="746"/>
        <v>#NAME?</v>
      </c>
      <c r="CB76" s="3" t="e">
        <f t="shared" ca="1" si="746"/>
        <v>#NAME?</v>
      </c>
      <c r="CC76" s="3" t="e">
        <f t="shared" ca="1" si="746"/>
        <v>#NAME?</v>
      </c>
      <c r="CD76" s="3" t="e">
        <f t="shared" ca="1" si="746"/>
        <v>#NAME?</v>
      </c>
      <c r="CE76" s="3" t="e">
        <f t="shared" ref="CE76:CF76" ca="1" si="747">CE74/CE75</f>
        <v>#NAME?</v>
      </c>
      <c r="CF76" s="3" t="e">
        <f t="shared" ca="1" si="747"/>
        <v>#NAME?</v>
      </c>
      <c r="CG76" s="3" t="e">
        <f t="shared" ref="CG76:CH76" ca="1" si="748">CG74/CG75</f>
        <v>#NAME?</v>
      </c>
      <c r="CH76" s="3" t="e">
        <f t="shared" ca="1" si="748"/>
        <v>#NAME?</v>
      </c>
      <c r="CI76" s="3" t="e">
        <f t="shared" ref="CI76:CJ76" ca="1" si="749">CI74/CI75</f>
        <v>#NAME?</v>
      </c>
      <c r="CJ76" s="3" t="e">
        <f t="shared" ca="1" si="749"/>
        <v>#NAME?</v>
      </c>
      <c r="CK76" s="3" t="e">
        <f t="shared" ref="CK76:CL76" ca="1" si="750">CK74/CK75</f>
        <v>#NAME?</v>
      </c>
      <c r="CL76" s="3" t="e">
        <f t="shared" ca="1" si="750"/>
        <v>#NAME?</v>
      </c>
      <c r="CM76" s="37" t="e">
        <f t="shared" ref="CM76:DB76" ca="1" si="751">CM74/CM75</f>
        <v>#NAME?</v>
      </c>
      <c r="CN76" s="37" t="e">
        <f t="shared" ca="1" si="751"/>
        <v>#NAME?</v>
      </c>
      <c r="CO76" s="37" t="e">
        <f t="shared" ca="1" si="751"/>
        <v>#NAME?</v>
      </c>
      <c r="CP76" s="37" t="e">
        <f t="shared" ca="1" si="751"/>
        <v>#NAME?</v>
      </c>
      <c r="CQ76" s="37" t="e">
        <f t="shared" ca="1" si="751"/>
        <v>#NAME?</v>
      </c>
      <c r="CR76" s="37" t="e">
        <f t="shared" ca="1" si="751"/>
        <v>#NAME?</v>
      </c>
      <c r="CS76" s="37" t="e">
        <f t="shared" ca="1" si="751"/>
        <v>#NAME?</v>
      </c>
      <c r="CT76" s="37" t="e">
        <f t="shared" ca="1" si="751"/>
        <v>#NAME?</v>
      </c>
      <c r="CU76" s="37" t="e">
        <f t="shared" ca="1" si="751"/>
        <v>#NAME?</v>
      </c>
      <c r="CV76" s="37" t="e">
        <f t="shared" ca="1" si="751"/>
        <v>#NAME?</v>
      </c>
      <c r="CW76" s="37" t="e">
        <f t="shared" ca="1" si="751"/>
        <v>#NAME?</v>
      </c>
      <c r="CX76" s="37" t="e">
        <f t="shared" ca="1" si="751"/>
        <v>#NAME?</v>
      </c>
      <c r="CY76" s="37" t="e">
        <f t="shared" ca="1" si="751"/>
        <v>#NAME?</v>
      </c>
      <c r="CZ76" s="37" t="e">
        <f t="shared" ca="1" si="751"/>
        <v>#NAME?</v>
      </c>
      <c r="DA76" s="37" t="e">
        <f t="shared" ca="1" si="751"/>
        <v>#NAME?</v>
      </c>
      <c r="DB76" s="37" t="e">
        <f t="shared" ca="1" si="751"/>
        <v>#NAME?</v>
      </c>
      <c r="DE76" s="134"/>
      <c r="DF76" s="3">
        <v>0.54730000000000001</v>
      </c>
    </row>
    <row r="77" spans="1:110" s="53" customFormat="1" x14ac:dyDescent="0.2">
      <c r="A77" s="53" t="s">
        <v>30</v>
      </c>
      <c r="B77" s="53" t="e">
        <f t="shared" ref="B77:AE77" ca="1" si="752">(B59-B58)/B76</f>
        <v>#NAME?</v>
      </c>
      <c r="C77" s="53" t="e">
        <f t="shared" ca="1" si="752"/>
        <v>#NAME?</v>
      </c>
      <c r="D77" s="53" t="e">
        <f t="shared" ca="1" si="752"/>
        <v>#NAME?</v>
      </c>
      <c r="E77" s="53">
        <f t="shared" ca="1" si="752"/>
        <v>0</v>
      </c>
      <c r="F77" s="53">
        <f t="shared" ca="1" si="752"/>
        <v>0</v>
      </c>
      <c r="G77" s="53">
        <f t="shared" ca="1" si="752"/>
        <v>0</v>
      </c>
      <c r="H77" s="53">
        <f t="shared" ca="1" si="752"/>
        <v>0</v>
      </c>
      <c r="I77" s="53">
        <f t="shared" ca="1" si="752"/>
        <v>0.15579992691394065</v>
      </c>
      <c r="J77" s="53">
        <f t="shared" ca="1" si="752"/>
        <v>0.11322309519459046</v>
      </c>
      <c r="K77" s="53">
        <f t="shared" ca="1" si="752"/>
        <v>0.13562799196053377</v>
      </c>
      <c r="L77" s="53">
        <f t="shared" ca="1" si="752"/>
        <v>4.0324867531517462E-2</v>
      </c>
      <c r="M77" s="53">
        <f t="shared" ca="1" si="752"/>
        <v>-0.4370091357573534</v>
      </c>
      <c r="N77" s="53">
        <f t="shared" ca="1" si="752"/>
        <v>1.326256166636613E-2</v>
      </c>
      <c r="O77" s="53">
        <f t="shared" ca="1" si="752"/>
        <v>0.44256093550155429</v>
      </c>
      <c r="P77" s="53">
        <f t="shared" ca="1" si="752"/>
        <v>0.52013721907546628</v>
      </c>
      <c r="Q77" s="53">
        <f t="shared" ca="1" si="752"/>
        <v>2.0696722090261321</v>
      </c>
      <c r="R77" s="53">
        <f t="shared" ca="1" si="752"/>
        <v>2.6080946336561301</v>
      </c>
      <c r="S77" s="53">
        <f t="shared" ca="1" si="752"/>
        <v>3.199228744746939</v>
      </c>
      <c r="T77" s="53">
        <f t="shared" ca="1" si="752"/>
        <v>8.149179358669846</v>
      </c>
      <c r="U77" s="53">
        <f t="shared" ca="1" si="752"/>
        <v>3.4750929928741172</v>
      </c>
      <c r="V77" s="53">
        <f t="shared" ca="1" si="752"/>
        <v>5.8074182349716814</v>
      </c>
      <c r="W77" s="53">
        <f t="shared" ca="1" si="752"/>
        <v>11.575552713319924</v>
      </c>
      <c r="X77" s="53">
        <f t="shared" ca="1" si="752"/>
        <v>19.745295084962564</v>
      </c>
      <c r="Y77" s="53">
        <f t="shared" ca="1" si="752"/>
        <v>28.546318289786303</v>
      </c>
      <c r="Z77" s="53">
        <f t="shared" ca="1" si="752"/>
        <v>36.063219440891615</v>
      </c>
      <c r="AA77" s="53">
        <f t="shared" ref="AA77" ca="1" si="753">(AA59-AA58)/AA76</f>
        <v>36.063219440891615</v>
      </c>
      <c r="AB77" s="54">
        <f t="shared" ca="1" si="752"/>
        <v>107.22886287868948</v>
      </c>
      <c r="AC77" s="54">
        <f t="shared" ca="1" si="752"/>
        <v>152.22594526270902</v>
      </c>
      <c r="AD77" s="54">
        <f t="shared" ca="1" si="752"/>
        <v>216.78529232597015</v>
      </c>
      <c r="AE77" s="54">
        <f t="shared" ca="1" si="752"/>
        <v>308.37771650433677</v>
      </c>
      <c r="AI77" s="53" t="e">
        <f t="shared" ref="AI77:BN77" ca="1" si="754">(AI59-AI58)/AI76</f>
        <v>#NAME?</v>
      </c>
      <c r="AJ77" s="53" t="e">
        <f t="shared" ca="1" si="754"/>
        <v>#NAME?</v>
      </c>
      <c r="AK77" s="53" t="e">
        <f t="shared" ca="1" si="754"/>
        <v>#NAME?</v>
      </c>
      <c r="AL77" s="53" t="e">
        <f t="shared" ca="1" si="754"/>
        <v>#NAME?</v>
      </c>
      <c r="AM77" s="53" t="e">
        <f t="shared" ca="1" si="754"/>
        <v>#NAME?</v>
      </c>
      <c r="AN77" s="53" t="e">
        <f t="shared" ca="1" si="754"/>
        <v>#NAME?</v>
      </c>
      <c r="AO77" s="53" t="e">
        <f t="shared" ca="1" si="754"/>
        <v>#NAME?</v>
      </c>
      <c r="AP77" s="53" t="e">
        <f t="shared" ca="1" si="754"/>
        <v>#NAME?</v>
      </c>
      <c r="AQ77" s="53" t="e">
        <f t="shared" ca="1" si="754"/>
        <v>#NAME?</v>
      </c>
      <c r="AR77" s="53" t="e">
        <f t="shared" ca="1" si="754"/>
        <v>#NAME?</v>
      </c>
      <c r="AS77" s="53" t="e">
        <f t="shared" ca="1" si="754"/>
        <v>#NAME?</v>
      </c>
      <c r="AT77" s="53" t="e">
        <f t="shared" ca="1" si="754"/>
        <v>#NAME?</v>
      </c>
      <c r="AU77" s="53" t="e">
        <f t="shared" ca="1" si="754"/>
        <v>#NAME?</v>
      </c>
      <c r="AV77" s="53" t="e">
        <f t="shared" ca="1" si="754"/>
        <v>#NAME?</v>
      </c>
      <c r="AW77" s="53" t="e">
        <f t="shared" ca="1" si="754"/>
        <v>#NAME?</v>
      </c>
      <c r="AX77" s="53" t="e">
        <f t="shared" ca="1" si="754"/>
        <v>#NAME?</v>
      </c>
      <c r="AY77" s="53" t="e">
        <f t="shared" ca="1" si="754"/>
        <v>#NAME?</v>
      </c>
      <c r="AZ77" s="53" t="e">
        <f t="shared" ca="1" si="754"/>
        <v>#NAME?</v>
      </c>
      <c r="BA77" s="53" t="e">
        <f t="shared" ca="1" si="754"/>
        <v>#NAME?</v>
      </c>
      <c r="BB77" s="53" t="e">
        <f t="shared" ca="1" si="754"/>
        <v>#NAME?</v>
      </c>
      <c r="BC77" s="53" t="e">
        <f t="shared" ca="1" si="754"/>
        <v>#NAME?</v>
      </c>
      <c r="BD77" s="53" t="e">
        <f t="shared" ca="1" si="754"/>
        <v>#NAME?</v>
      </c>
      <c r="BE77" s="53" t="e">
        <f t="shared" ca="1" si="754"/>
        <v>#NAME?</v>
      </c>
      <c r="BF77" s="53" t="e">
        <f t="shared" ca="1" si="754"/>
        <v>#NAME?</v>
      </c>
      <c r="BG77" s="53" t="e">
        <f t="shared" ca="1" si="754"/>
        <v>#NAME?</v>
      </c>
      <c r="BH77" s="53" t="e">
        <f t="shared" ca="1" si="754"/>
        <v>#NAME?</v>
      </c>
      <c r="BI77" s="53" t="e">
        <f t="shared" ca="1" si="754"/>
        <v>#NAME?</v>
      </c>
      <c r="BJ77" s="53" t="e">
        <f t="shared" ca="1" si="754"/>
        <v>#NAME?</v>
      </c>
      <c r="BK77" s="53" t="e">
        <f t="shared" ca="1" si="754"/>
        <v>#NAME?</v>
      </c>
      <c r="BL77" s="53" t="e">
        <f t="shared" ca="1" si="754"/>
        <v>#NAME?</v>
      </c>
      <c r="BM77" s="53" t="e">
        <f t="shared" ca="1" si="754"/>
        <v>#NAME?</v>
      </c>
      <c r="BN77" s="53" t="e">
        <f t="shared" ca="1" si="754"/>
        <v>#NAME?</v>
      </c>
      <c r="BO77" s="53" t="e">
        <f t="shared" ref="BO77:CT77" ca="1" si="755">(BO59-BO58)/BO76</f>
        <v>#NAME?</v>
      </c>
      <c r="BP77" s="53" t="e">
        <f t="shared" ca="1" si="755"/>
        <v>#NAME?</v>
      </c>
      <c r="BQ77" s="53" t="e">
        <f t="shared" ca="1" si="755"/>
        <v>#NAME?</v>
      </c>
      <c r="BR77" s="53" t="e">
        <f t="shared" ca="1" si="755"/>
        <v>#NAME?</v>
      </c>
      <c r="BS77" s="53" t="e">
        <f t="shared" ca="1" si="755"/>
        <v>#NAME?</v>
      </c>
      <c r="BT77" s="53" t="e">
        <f t="shared" ca="1" si="755"/>
        <v>#NAME?</v>
      </c>
      <c r="BU77" s="53" t="e">
        <f t="shared" ca="1" si="755"/>
        <v>#NAME?</v>
      </c>
      <c r="BV77" s="53" t="e">
        <f t="shared" ca="1" si="755"/>
        <v>#NAME?</v>
      </c>
      <c r="BW77" s="53" t="e">
        <f t="shared" ca="1" si="755"/>
        <v>#NAME?</v>
      </c>
      <c r="BX77" s="53" t="e">
        <f t="shared" ca="1" si="755"/>
        <v>#NAME?</v>
      </c>
      <c r="BY77" s="53" t="e">
        <f t="shared" ca="1" si="755"/>
        <v>#NAME?</v>
      </c>
      <c r="BZ77" s="53" t="e">
        <f t="shared" ca="1" si="755"/>
        <v>#NAME?</v>
      </c>
      <c r="CA77" s="53" t="e">
        <f t="shared" ca="1" si="755"/>
        <v>#NAME?</v>
      </c>
      <c r="CB77" s="53" t="e">
        <f t="shared" ca="1" si="755"/>
        <v>#NAME?</v>
      </c>
      <c r="CC77" s="53" t="e">
        <f t="shared" ca="1" si="755"/>
        <v>#NAME?</v>
      </c>
      <c r="CD77" s="53" t="e">
        <f t="shared" ca="1" si="755"/>
        <v>#NAME?</v>
      </c>
      <c r="CE77" s="53" t="e">
        <f t="shared" ca="1" si="755"/>
        <v>#NAME?</v>
      </c>
      <c r="CF77" s="53" t="e">
        <f t="shared" ca="1" si="755"/>
        <v>#NAME?</v>
      </c>
      <c r="CG77" s="53" t="e">
        <f t="shared" ca="1" si="755"/>
        <v>#NAME?</v>
      </c>
      <c r="CH77" s="53" t="e">
        <f t="shared" ca="1" si="755"/>
        <v>#NAME?</v>
      </c>
      <c r="CI77" s="53" t="e">
        <f t="shared" ca="1" si="755"/>
        <v>#NAME?</v>
      </c>
      <c r="CJ77" s="53" t="e">
        <f t="shared" ca="1" si="755"/>
        <v>#NAME?</v>
      </c>
      <c r="CK77" s="53" t="e">
        <f t="shared" ref="CK77:CL77" ca="1" si="756">(CK59-CK58)/CK76</f>
        <v>#NAME?</v>
      </c>
      <c r="CL77" s="53" t="e">
        <f t="shared" ca="1" si="756"/>
        <v>#NAME?</v>
      </c>
      <c r="CM77" s="54" t="e">
        <f t="shared" ca="1" si="755"/>
        <v>#NAME?</v>
      </c>
      <c r="CN77" s="54" t="e">
        <f t="shared" ca="1" si="755"/>
        <v>#NAME?</v>
      </c>
      <c r="CO77" s="54" t="e">
        <f t="shared" ca="1" si="755"/>
        <v>#NAME?</v>
      </c>
      <c r="CP77" s="54" t="e">
        <f t="shared" ca="1" si="755"/>
        <v>#NAME?</v>
      </c>
      <c r="CQ77" s="54" t="e">
        <f t="shared" ca="1" si="755"/>
        <v>#NAME?</v>
      </c>
      <c r="CR77" s="54" t="e">
        <f t="shared" ca="1" si="755"/>
        <v>#NAME?</v>
      </c>
      <c r="CS77" s="54" t="e">
        <f t="shared" ca="1" si="755"/>
        <v>#NAME?</v>
      </c>
      <c r="CT77" s="54" t="e">
        <f t="shared" ca="1" si="755"/>
        <v>#NAME?</v>
      </c>
      <c r="CU77" s="54" t="e">
        <f t="shared" ref="CU77:DB77" ca="1" si="757">(CU59-CU58)/CU76</f>
        <v>#NAME?</v>
      </c>
      <c r="CV77" s="54" t="e">
        <f t="shared" ca="1" si="757"/>
        <v>#NAME?</v>
      </c>
      <c r="CW77" s="54" t="e">
        <f t="shared" ca="1" si="757"/>
        <v>#NAME?</v>
      </c>
      <c r="CX77" s="54" t="e">
        <f t="shared" ca="1" si="757"/>
        <v>#NAME?</v>
      </c>
      <c r="CY77" s="54" t="e">
        <f t="shared" ca="1" si="757"/>
        <v>#NAME?</v>
      </c>
      <c r="CZ77" s="54" t="e">
        <f t="shared" ca="1" si="757"/>
        <v>#NAME?</v>
      </c>
      <c r="DA77" s="54" t="e">
        <f t="shared" ca="1" si="757"/>
        <v>#NAME?</v>
      </c>
      <c r="DB77" s="54" t="e">
        <f t="shared" ca="1" si="757"/>
        <v>#NAME?</v>
      </c>
      <c r="DE77" s="132"/>
      <c r="DF77" s="53">
        <v>68.430476886534024</v>
      </c>
    </row>
    <row r="78" spans="1:110" s="3" customFormat="1" x14ac:dyDescent="0.2">
      <c r="A78" s="3" t="s">
        <v>31</v>
      </c>
      <c r="B78" s="3" t="e">
        <f ca="1">'Annual Raw'!C110</f>
        <v>#NAME?</v>
      </c>
      <c r="C78" s="3" t="e">
        <f ca="1">'Annual Raw'!D110</f>
        <v>#NAME?</v>
      </c>
      <c r="D78" s="3" t="e">
        <f ca="1">'Annual Raw'!E110</f>
        <v>#NAME?</v>
      </c>
      <c r="E78" s="3" t="e">
        <f ca="1">'Annual Raw'!F110</f>
        <v>#NAME?</v>
      </c>
      <c r="F78" s="3" t="e">
        <f ca="1">'Annual Raw'!G110</f>
        <v>#NAME?</v>
      </c>
      <c r="G78" s="3" t="e">
        <f ca="1">'Annual Raw'!H110</f>
        <v>#NAME?</v>
      </c>
      <c r="H78" s="3" t="e">
        <f ca="1">'Annual Raw'!I110</f>
        <v>#NAME?</v>
      </c>
      <c r="I78" s="3" t="e">
        <f ca="1">'Annual Raw'!J110</f>
        <v>#NAME?</v>
      </c>
      <c r="J78" s="3" t="e">
        <f ca="1">'Annual Raw'!K110</f>
        <v>#NAME?</v>
      </c>
      <c r="K78" s="3" t="e">
        <f ca="1">'Annual Raw'!L110</f>
        <v>#NAME?</v>
      </c>
      <c r="L78" s="3" t="e">
        <f ca="1">'Annual Raw'!M110</f>
        <v>#NAME?</v>
      </c>
      <c r="M78" s="3" t="e">
        <f ca="1">'Annual Raw'!N110</f>
        <v>#NAME?</v>
      </c>
      <c r="N78" s="3" t="e">
        <f ca="1">'Annual Raw'!O110</f>
        <v>#NAME?</v>
      </c>
      <c r="O78" s="3" t="e">
        <f ca="1">'Annual Raw'!P110</f>
        <v>#NAME?</v>
      </c>
      <c r="P78" s="3" t="e">
        <f ca="1">'Annual Raw'!Q110</f>
        <v>#NAME?</v>
      </c>
      <c r="Q78" s="3" t="e">
        <f ca="1">'Annual Raw'!R110</f>
        <v>#NAME?</v>
      </c>
      <c r="R78" s="3" t="e">
        <f ca="1">'Annual Raw'!S110</f>
        <v>#NAME?</v>
      </c>
      <c r="S78" s="3" t="e">
        <f ca="1">'Annual Raw'!T110</f>
        <v>#NAME?</v>
      </c>
      <c r="T78" s="3" t="e">
        <f ca="1">'Annual Raw'!U110</f>
        <v>#NAME?</v>
      </c>
      <c r="U78" s="3" t="e">
        <f ca="1">'Annual Raw'!V110</f>
        <v>#NAME?</v>
      </c>
      <c r="V78" s="3" t="e">
        <f ca="1">'Annual Raw'!W110</f>
        <v>#NAME?</v>
      </c>
      <c r="W78" s="3" t="e">
        <f ca="1">'Annual Raw'!X110</f>
        <v>#NAME?</v>
      </c>
      <c r="X78" s="3" t="e">
        <f ca="1">'Annual Raw'!Y110</f>
        <v>#NAME?</v>
      </c>
      <c r="Y78" s="3" t="e">
        <f ca="1">'Annual Raw'!Z110</f>
        <v>#NAME?</v>
      </c>
      <c r="Z78" s="3" t="e">
        <f ca="1">'Annual Raw'!AA110</f>
        <v>#NAME?</v>
      </c>
      <c r="AA78" s="3" t="e">
        <f ca="1">'Annual Raw'!AB110</f>
        <v>#NAME?</v>
      </c>
      <c r="AB78" s="37"/>
      <c r="AC78" s="37"/>
      <c r="AD78" s="37"/>
      <c r="AE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E78" s="134"/>
    </row>
    <row r="79" spans="1:110" s="3" customFormat="1" x14ac:dyDescent="0.2">
      <c r="A79" s="3" t="s">
        <v>32</v>
      </c>
      <c r="B79" s="3" t="e">
        <f ca="1">B78/B77</f>
        <v>#NAME?</v>
      </c>
      <c r="C79" s="3" t="e">
        <f t="shared" ref="C79:U79" ca="1" si="758">C78/C77</f>
        <v>#NAME?</v>
      </c>
      <c r="D79" s="3" t="e">
        <f t="shared" ca="1" si="758"/>
        <v>#NAME?</v>
      </c>
      <c r="E79" s="3" t="e">
        <f t="shared" ca="1" si="758"/>
        <v>#DIV/0!</v>
      </c>
      <c r="F79" s="3" t="e">
        <f t="shared" ca="1" si="758"/>
        <v>#DIV/0!</v>
      </c>
      <c r="G79" s="3" t="e">
        <f t="shared" ca="1" si="758"/>
        <v>#DIV/0!</v>
      </c>
      <c r="H79" s="3" t="e">
        <f t="shared" ca="1" si="758"/>
        <v>#DIV/0!</v>
      </c>
      <c r="I79" s="3">
        <f t="shared" ca="1" si="758"/>
        <v>0</v>
      </c>
      <c r="J79" s="3">
        <f t="shared" ca="1" si="758"/>
        <v>0</v>
      </c>
      <c r="K79" s="3">
        <f t="shared" ca="1" si="758"/>
        <v>0</v>
      </c>
      <c r="L79" s="3">
        <f t="shared" ca="1" si="758"/>
        <v>0</v>
      </c>
      <c r="M79" s="3">
        <f t="shared" ca="1" si="758"/>
        <v>0</v>
      </c>
      <c r="N79" s="3">
        <f t="shared" ca="1" si="758"/>
        <v>0</v>
      </c>
      <c r="O79" s="3">
        <f t="shared" ca="1" si="758"/>
        <v>0</v>
      </c>
      <c r="P79" s="3">
        <f t="shared" ca="1" si="758"/>
        <v>0</v>
      </c>
      <c r="Q79" s="3">
        <f t="shared" ca="1" si="758"/>
        <v>0.28990097919048025</v>
      </c>
      <c r="R79" s="3">
        <f t="shared" ca="1" si="758"/>
        <v>0.23005300201047393</v>
      </c>
      <c r="S79" s="3">
        <f t="shared" ca="1" si="758"/>
        <v>0.18754520163185778</v>
      </c>
      <c r="T79" s="3">
        <f t="shared" ca="1" si="758"/>
        <v>7.9762632700981148E-2</v>
      </c>
      <c r="U79" s="3">
        <f t="shared" ca="1" si="758"/>
        <v>0.18992297511271464</v>
      </c>
      <c r="V79" s="3">
        <f ca="1">V78/V77</f>
        <v>0.12053548955449277</v>
      </c>
      <c r="W79" s="3">
        <f t="shared" ref="W79" ca="1" si="759">W78/W77</f>
        <v>6.0472274399002462E-2</v>
      </c>
      <c r="X79" s="3">
        <f t="shared" ref="X79:Y79" ca="1" si="760">X78/X77</f>
        <v>3.5451483352765864E-2</v>
      </c>
      <c r="Y79" s="3">
        <f t="shared" ca="1" si="760"/>
        <v>2.4521551006823027E-2</v>
      </c>
      <c r="Z79" s="3">
        <f t="shared" ref="Z79:AA79" ca="1" si="761">Z78/Z77</f>
        <v>1.9410358000547204E-2</v>
      </c>
      <c r="AA79" s="3">
        <f t="shared" ca="1" si="761"/>
        <v>1.9410358000547204E-2</v>
      </c>
      <c r="AB79" s="37">
        <f t="shared" ref="AA79:AD79" ca="1" si="762">AB78/AB77</f>
        <v>0</v>
      </c>
      <c r="AC79" s="37">
        <f t="shared" ca="1" si="762"/>
        <v>0</v>
      </c>
      <c r="AD79" s="37">
        <f t="shared" ca="1" si="762"/>
        <v>0</v>
      </c>
      <c r="AE79" s="37">
        <f t="shared" ref="AE79" ca="1" si="763">AE78/AE77</f>
        <v>0</v>
      </c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E79" s="134"/>
      <c r="DF79" s="3">
        <v>0</v>
      </c>
    </row>
    <row r="80" spans="1:110" s="3" customFormat="1" x14ac:dyDescent="0.2">
      <c r="A80" s="3" t="s">
        <v>33</v>
      </c>
      <c r="B80" s="3" t="e">
        <f ca="1">+B77</f>
        <v>#NAME?</v>
      </c>
      <c r="C80" s="3" t="e">
        <f t="shared" ref="C80:U80" ca="1" si="764">+C77</f>
        <v>#NAME?</v>
      </c>
      <c r="D80" s="3" t="e">
        <f t="shared" ca="1" si="764"/>
        <v>#NAME?</v>
      </c>
      <c r="E80" s="3">
        <f t="shared" ca="1" si="764"/>
        <v>0</v>
      </c>
      <c r="F80" s="3">
        <f t="shared" ca="1" si="764"/>
        <v>0</v>
      </c>
      <c r="G80" s="3">
        <f t="shared" ca="1" si="764"/>
        <v>0</v>
      </c>
      <c r="H80" s="3">
        <f t="shared" ca="1" si="764"/>
        <v>0</v>
      </c>
      <c r="I80" s="3">
        <f t="shared" ca="1" si="764"/>
        <v>0.15579992691394065</v>
      </c>
      <c r="J80" s="3">
        <f t="shared" ca="1" si="764"/>
        <v>0.11322309519459046</v>
      </c>
      <c r="K80" s="3">
        <f t="shared" ca="1" si="764"/>
        <v>0.13562799196053377</v>
      </c>
      <c r="L80" s="3">
        <f t="shared" ca="1" si="764"/>
        <v>4.0324867531517462E-2</v>
      </c>
      <c r="M80" s="3">
        <f t="shared" ca="1" si="764"/>
        <v>-0.4370091357573534</v>
      </c>
      <c r="N80" s="3">
        <f t="shared" ca="1" si="764"/>
        <v>1.326256166636613E-2</v>
      </c>
      <c r="O80" s="3">
        <f t="shared" ca="1" si="764"/>
        <v>0.44256093550155429</v>
      </c>
      <c r="P80" s="3">
        <f t="shared" ca="1" si="764"/>
        <v>0.52013721907546628</v>
      </c>
      <c r="Q80" s="3">
        <f t="shared" ca="1" si="764"/>
        <v>2.0696722090261321</v>
      </c>
      <c r="R80" s="3">
        <f t="shared" ca="1" si="764"/>
        <v>2.6080946336561301</v>
      </c>
      <c r="S80" s="3">
        <f t="shared" ca="1" si="764"/>
        <v>3.199228744746939</v>
      </c>
      <c r="T80" s="3">
        <f ca="1">+T77</f>
        <v>8.149179358669846</v>
      </c>
      <c r="U80" s="3">
        <f t="shared" ca="1" si="764"/>
        <v>3.4750929928741172</v>
      </c>
      <c r="V80" s="3">
        <f ca="1">+V77</f>
        <v>5.8074182349716814</v>
      </c>
      <c r="W80" s="3">
        <f t="shared" ref="W80" ca="1" si="765">+W77</f>
        <v>11.575552713319924</v>
      </c>
      <c r="X80" s="3">
        <f t="shared" ref="X80:Y80" ca="1" si="766">+X77</f>
        <v>19.745295084962564</v>
      </c>
      <c r="Y80" s="3">
        <f t="shared" ca="1" si="766"/>
        <v>28.546318289786303</v>
      </c>
      <c r="Z80" s="3">
        <f t="shared" ref="Z80:AA80" ca="1" si="767">+Z77</f>
        <v>36.063219440891615</v>
      </c>
      <c r="AA80" s="3">
        <f t="shared" ca="1" si="767"/>
        <v>36.063219440891615</v>
      </c>
      <c r="AB80" s="37">
        <f t="shared" ref="AA80:AD80" ca="1" si="768">+AB77</f>
        <v>107.22886287868948</v>
      </c>
      <c r="AC80" s="37">
        <f t="shared" ca="1" si="768"/>
        <v>152.22594526270902</v>
      </c>
      <c r="AD80" s="37">
        <f t="shared" ca="1" si="768"/>
        <v>216.78529232597015</v>
      </c>
      <c r="AE80" s="37">
        <f t="shared" ref="AE80" ca="1" si="769">+AE77</f>
        <v>308.37771650433677</v>
      </c>
      <c r="AL80" s="3" t="e">
        <f ca="1">SUM(AI77:AL77)</f>
        <v>#NAME?</v>
      </c>
      <c r="AM80" s="3" t="e">
        <f t="shared" ref="AM80" ca="1" si="770">SUM(AJ77:AM77)</f>
        <v>#NAME?</v>
      </c>
      <c r="AN80" s="3" t="e">
        <f t="shared" ref="AN80" ca="1" si="771">SUM(AK77:AN77)</f>
        <v>#NAME?</v>
      </c>
      <c r="AO80" s="3" t="e">
        <f t="shared" ref="AO80" ca="1" si="772">SUM(AL77:AO77)</f>
        <v>#NAME?</v>
      </c>
      <c r="AP80" s="3" t="e">
        <f t="shared" ref="AP80" ca="1" si="773">SUM(AM77:AP77)</f>
        <v>#NAME?</v>
      </c>
      <c r="AQ80" s="3" t="e">
        <f t="shared" ref="AQ80" ca="1" si="774">SUM(AN77:AQ77)</f>
        <v>#NAME?</v>
      </c>
      <c r="AR80" s="3" t="e">
        <f t="shared" ref="AR80" ca="1" si="775">SUM(AO77:AR77)</f>
        <v>#NAME?</v>
      </c>
      <c r="AS80" s="3" t="e">
        <f t="shared" ref="AS80" ca="1" si="776">SUM(AP77:AS77)</f>
        <v>#NAME?</v>
      </c>
      <c r="AT80" s="3" t="e">
        <f t="shared" ref="AT80" ca="1" si="777">SUM(AQ77:AT77)</f>
        <v>#NAME?</v>
      </c>
      <c r="AU80" s="3" t="e">
        <f t="shared" ref="AU80" ca="1" si="778">SUM(AR77:AU77)</f>
        <v>#NAME?</v>
      </c>
      <c r="AV80" s="3" t="e">
        <f t="shared" ref="AV80" ca="1" si="779">SUM(AS77:AV77)</f>
        <v>#NAME?</v>
      </c>
      <c r="AW80" s="3" t="e">
        <f t="shared" ref="AW80" ca="1" si="780">SUM(AT77:AW77)</f>
        <v>#NAME?</v>
      </c>
      <c r="AX80" s="3" t="e">
        <f t="shared" ref="AX80" ca="1" si="781">SUM(AU77:AX77)</f>
        <v>#NAME?</v>
      </c>
      <c r="AY80" s="3" t="e">
        <f t="shared" ref="AY80" ca="1" si="782">SUM(AV77:AY77)</f>
        <v>#NAME?</v>
      </c>
      <c r="AZ80" s="3" t="e">
        <f t="shared" ref="AZ80" ca="1" si="783">SUM(AW77:AZ77)</f>
        <v>#NAME?</v>
      </c>
      <c r="BA80" s="3" t="e">
        <f t="shared" ref="BA80" ca="1" si="784">SUM(AX77:BA77)</f>
        <v>#NAME?</v>
      </c>
      <c r="BB80" s="3" t="e">
        <f t="shared" ref="BB80" ca="1" si="785">SUM(AY77:BB77)</f>
        <v>#NAME?</v>
      </c>
      <c r="BC80" s="3" t="e">
        <f t="shared" ref="BC80" ca="1" si="786">SUM(AZ77:BC77)</f>
        <v>#NAME?</v>
      </c>
      <c r="BD80" s="3" t="e">
        <f t="shared" ref="BD80" ca="1" si="787">SUM(BA77:BD77)</f>
        <v>#NAME?</v>
      </c>
      <c r="BE80" s="3" t="e">
        <f t="shared" ref="BE80" ca="1" si="788">SUM(BB77:BE77)</f>
        <v>#NAME?</v>
      </c>
      <c r="BF80" s="3" t="e">
        <f t="shared" ref="BF80" ca="1" si="789">SUM(BC77:BF77)</f>
        <v>#NAME?</v>
      </c>
      <c r="BG80" s="3" t="e">
        <f t="shared" ref="BG80" ca="1" si="790">SUM(BD77:BG77)</f>
        <v>#NAME?</v>
      </c>
      <c r="BH80" s="3" t="e">
        <f t="shared" ref="BH80" ca="1" si="791">SUM(BE77:BH77)</f>
        <v>#NAME?</v>
      </c>
      <c r="BI80" s="3" t="e">
        <f t="shared" ref="BI80" ca="1" si="792">SUM(BF77:BI77)</f>
        <v>#NAME?</v>
      </c>
      <c r="BJ80" s="3" t="e">
        <f t="shared" ref="BJ80" ca="1" si="793">SUM(BG77:BJ77)</f>
        <v>#NAME?</v>
      </c>
      <c r="BK80" s="3" t="e">
        <f t="shared" ref="BK80" ca="1" si="794">SUM(BH77:BK77)</f>
        <v>#NAME?</v>
      </c>
      <c r="BL80" s="3" t="e">
        <f t="shared" ref="BL80" ca="1" si="795">SUM(BI77:BL77)</f>
        <v>#NAME?</v>
      </c>
      <c r="BM80" s="3" t="e">
        <f t="shared" ref="BM80" ca="1" si="796">SUM(BJ77:BM77)</f>
        <v>#NAME?</v>
      </c>
      <c r="BN80" s="3" t="e">
        <f t="shared" ref="BN80" ca="1" si="797">SUM(BK77:BN77)</f>
        <v>#NAME?</v>
      </c>
      <c r="BO80" s="3" t="e">
        <f t="shared" ref="BO80" ca="1" si="798">SUM(BL77:BO77)</f>
        <v>#NAME?</v>
      </c>
      <c r="BP80" s="3" t="e">
        <f t="shared" ref="BP80" ca="1" si="799">SUM(BM77:BP77)</f>
        <v>#NAME?</v>
      </c>
      <c r="BQ80" s="3" t="e">
        <f t="shared" ref="BQ80" ca="1" si="800">SUM(BN77:BQ77)</f>
        <v>#NAME?</v>
      </c>
      <c r="BR80" s="3" t="e">
        <f t="shared" ref="BR80" ca="1" si="801">SUM(BO77:BR77)</f>
        <v>#NAME?</v>
      </c>
      <c r="BS80" s="3" t="e">
        <f t="shared" ref="BS80" ca="1" si="802">SUM(BP77:BS77)</f>
        <v>#NAME?</v>
      </c>
      <c r="BT80" s="3" t="e">
        <f t="shared" ref="BT80" ca="1" si="803">SUM(BQ77:BT77)</f>
        <v>#NAME?</v>
      </c>
      <c r="BU80" s="3" t="e">
        <f t="shared" ref="BU80" ca="1" si="804">SUM(BR77:BU77)</f>
        <v>#NAME?</v>
      </c>
      <c r="BV80" s="3" t="e">
        <f t="shared" ref="BV80" ca="1" si="805">SUM(BS77:BV77)</f>
        <v>#NAME?</v>
      </c>
      <c r="BW80" s="3" t="e">
        <f t="shared" ref="BW80" ca="1" si="806">SUM(BT77:BW77)</f>
        <v>#NAME?</v>
      </c>
      <c r="BX80" s="3" t="e">
        <f t="shared" ref="BX80" ca="1" si="807">SUM(BU77:BX77)</f>
        <v>#NAME?</v>
      </c>
      <c r="BY80" s="3" t="e">
        <f t="shared" ref="BY80" ca="1" si="808">SUM(BV77:BY77)</f>
        <v>#NAME?</v>
      </c>
      <c r="BZ80" s="3" t="e">
        <f t="shared" ref="BZ80" ca="1" si="809">SUM(BW77:BZ77)</f>
        <v>#NAME?</v>
      </c>
      <c r="CA80" s="3" t="e">
        <f t="shared" ref="CA80" ca="1" si="810">SUM(BX77:CA77)</f>
        <v>#NAME?</v>
      </c>
      <c r="CB80" s="3" t="e">
        <f t="shared" ref="CB80" ca="1" si="811">SUM(BY77:CB77)</f>
        <v>#NAME?</v>
      </c>
      <c r="CC80" s="3" t="e">
        <f t="shared" ref="CC80" ca="1" si="812">SUM(BZ77:CC77)</f>
        <v>#NAME?</v>
      </c>
      <c r="CD80" s="3" t="e">
        <f t="shared" ref="CD80" ca="1" si="813">SUM(CA77:CD77)</f>
        <v>#NAME?</v>
      </c>
      <c r="CE80" s="3" t="e">
        <f t="shared" ref="CE80" ca="1" si="814">SUM(CB77:CE77)</f>
        <v>#NAME?</v>
      </c>
      <c r="CF80" s="3" t="e">
        <f t="shared" ref="CF80" ca="1" si="815">SUM(CC77:CF77)</f>
        <v>#NAME?</v>
      </c>
      <c r="CG80" s="3" t="e">
        <f t="shared" ref="CG80" ca="1" si="816">SUM(CD77:CG77)</f>
        <v>#NAME?</v>
      </c>
      <c r="CH80" s="3" t="e">
        <f t="shared" ref="CH80:CL80" ca="1" si="817">SUM(CE77:CH77)</f>
        <v>#NAME?</v>
      </c>
      <c r="CI80" s="3" t="e">
        <f t="shared" ca="1" si="817"/>
        <v>#NAME?</v>
      </c>
      <c r="CJ80" s="3" t="e">
        <f t="shared" ca="1" si="817"/>
        <v>#NAME?</v>
      </c>
      <c r="CK80" s="3" t="e">
        <f t="shared" ca="1" si="817"/>
        <v>#NAME?</v>
      </c>
      <c r="CL80" s="3" t="e">
        <f t="shared" ca="1" si="817"/>
        <v>#NAME?</v>
      </c>
      <c r="CM80" s="37" t="e">
        <f t="shared" ref="CM80" ca="1" si="818">SUM(CJ77:CM77)</f>
        <v>#NAME?</v>
      </c>
      <c r="CN80" s="37" t="e">
        <f t="shared" ref="CN80" ca="1" si="819">SUM(CK77:CN77)</f>
        <v>#NAME?</v>
      </c>
      <c r="CO80" s="37" t="e">
        <f t="shared" ref="CO80" ca="1" si="820">SUM(CL77:CO77)</f>
        <v>#NAME?</v>
      </c>
      <c r="CP80" s="37" t="e">
        <f t="shared" ref="CP80" ca="1" si="821">SUM(CM77:CP77)</f>
        <v>#NAME?</v>
      </c>
      <c r="CQ80" s="37" t="e">
        <f t="shared" ref="CQ80" ca="1" si="822">SUM(CN77:CQ77)</f>
        <v>#NAME?</v>
      </c>
      <c r="CR80" s="37" t="e">
        <f t="shared" ref="CR80" ca="1" si="823">SUM(CO77:CR77)</f>
        <v>#NAME?</v>
      </c>
      <c r="CS80" s="37" t="e">
        <f t="shared" ref="CS80" ca="1" si="824">SUM(CP77:CS77)</f>
        <v>#NAME?</v>
      </c>
      <c r="CT80" s="37" t="e">
        <f t="shared" ref="CT80" ca="1" si="825">SUM(CQ77:CT77)</f>
        <v>#NAME?</v>
      </c>
      <c r="CU80" s="37" t="e">
        <f t="shared" ref="CU80" ca="1" si="826">SUM(CR77:CU77)</f>
        <v>#NAME?</v>
      </c>
      <c r="CV80" s="37" t="e">
        <f t="shared" ref="CV80" ca="1" si="827">SUM(CS77:CV77)</f>
        <v>#NAME?</v>
      </c>
      <c r="CW80" s="37" t="e">
        <f t="shared" ref="CW80" ca="1" si="828">SUM(CT77:CW77)</f>
        <v>#NAME?</v>
      </c>
      <c r="CX80" s="37" t="e">
        <f t="shared" ref="CX80" ca="1" si="829">SUM(CU77:CX77)</f>
        <v>#NAME?</v>
      </c>
      <c r="CY80" s="37" t="e">
        <f t="shared" ref="CY80" ca="1" si="830">SUM(CV77:CY77)</f>
        <v>#NAME?</v>
      </c>
      <c r="CZ80" s="37" t="e">
        <f t="shared" ref="CZ80" ca="1" si="831">SUM(CW77:CZ77)</f>
        <v>#NAME?</v>
      </c>
      <c r="DA80" s="37" t="e">
        <f t="shared" ref="DA80" ca="1" si="832">SUM(CX77:DA77)</f>
        <v>#NAME?</v>
      </c>
      <c r="DB80" s="37" t="e">
        <f t="shared" ref="DB80" ca="1" si="833">SUM(CY77:DB77)</f>
        <v>#NAME?</v>
      </c>
      <c r="DE80" s="134"/>
      <c r="DF80" s="3">
        <v>68.430476886534024</v>
      </c>
    </row>
    <row r="81" spans="1:110" s="97" customFormat="1" x14ac:dyDescent="0.2">
      <c r="A81" s="97" t="s">
        <v>425</v>
      </c>
      <c r="C81" s="101" t="e">
        <f t="shared" ref="C81:AA81" ca="1" si="834">+C80/B80-1</f>
        <v>#NAME?</v>
      </c>
      <c r="D81" s="101" t="e">
        <f t="shared" ca="1" si="834"/>
        <v>#NAME?</v>
      </c>
      <c r="E81" s="101" t="e">
        <f t="shared" ca="1" si="834"/>
        <v>#DIV/0!</v>
      </c>
      <c r="F81" s="101" t="e">
        <f t="shared" ca="1" si="834"/>
        <v>#DIV/0!</v>
      </c>
      <c r="G81" s="101" t="e">
        <f t="shared" ca="1" si="834"/>
        <v>#DIV/0!</v>
      </c>
      <c r="H81" s="101" t="e">
        <f t="shared" ca="1" si="834"/>
        <v>#DIV/0!</v>
      </c>
      <c r="I81" s="101" t="e">
        <f t="shared" ca="1" si="834"/>
        <v>#DIV/0!</v>
      </c>
      <c r="J81" s="101">
        <f t="shared" ca="1" si="834"/>
        <v>-0.27327889404510686</v>
      </c>
      <c r="K81" s="101">
        <f t="shared" ca="1" si="834"/>
        <v>0.19788274404119766</v>
      </c>
      <c r="L81" s="101">
        <f t="shared" ca="1" si="834"/>
        <v>-0.70268034681770153</v>
      </c>
      <c r="M81" s="101">
        <f t="shared" ca="1" si="834"/>
        <v>-11.837211936673864</v>
      </c>
      <c r="N81" s="101">
        <f t="shared" ca="1" si="834"/>
        <v>-1.0303484769108582</v>
      </c>
      <c r="O81" s="101">
        <f t="shared" ca="1" si="834"/>
        <v>32.369189650886923</v>
      </c>
      <c r="P81" s="101">
        <f t="shared" ca="1" si="834"/>
        <v>0.17528949654355452</v>
      </c>
      <c r="Q81" s="101">
        <f t="shared" ca="1" si="834"/>
        <v>2.9790888502555806</v>
      </c>
      <c r="R81" s="101">
        <f t="shared" ca="1" si="834"/>
        <v>0.26014864686391492</v>
      </c>
      <c r="S81" s="101">
        <f t="shared" ca="1" si="834"/>
        <v>0.22665362807872258</v>
      </c>
      <c r="T81" s="101">
        <f t="shared" ca="1" si="834"/>
        <v>1.5472324765931833</v>
      </c>
      <c r="U81" s="101">
        <f t="shared" ca="1" si="834"/>
        <v>-0.57356528308865928</v>
      </c>
      <c r="V81" s="101">
        <f t="shared" ca="1" si="834"/>
        <v>0.67115477107523014</v>
      </c>
      <c r="W81" s="101">
        <f t="shared" ca="1" si="834"/>
        <v>0.99323559023407748</v>
      </c>
      <c r="X81" s="101">
        <f t="shared" ca="1" si="834"/>
        <v>0.7057755749530441</v>
      </c>
      <c r="Y81" s="101">
        <f t="shared" ca="1" si="834"/>
        <v>0.4457276109044499</v>
      </c>
      <c r="Z81" s="101">
        <f t="shared" ca="1" si="834"/>
        <v>0.26332296427153667</v>
      </c>
      <c r="AA81" s="101">
        <f t="shared" ca="1" si="834"/>
        <v>0.26332296427153667</v>
      </c>
      <c r="AB81" s="174">
        <f t="shared" ref="AB81" ca="1" si="835">+AB80/AA80-1</f>
        <v>0.56697523906618175</v>
      </c>
      <c r="AC81" s="174">
        <f t="shared" ref="AC81" ca="1" si="836">+AC80/AB80-1</f>
        <v>0.41963591868847638</v>
      </c>
      <c r="AD81" s="174">
        <f t="shared" ref="AD81" ca="1" si="837">+AD80/AC80-1</f>
        <v>0.42410212629552513</v>
      </c>
      <c r="AE81" s="174">
        <f t="shared" ref="AE81" ca="1" si="838">+AE80/AD80-1</f>
        <v>0.42250294379123865</v>
      </c>
      <c r="AL81" s="176"/>
      <c r="AM81" s="176"/>
      <c r="AN81" s="176"/>
      <c r="AO81" s="176"/>
      <c r="AP81" s="176" t="e">
        <f t="shared" ref="AP81:CL81" ca="1" si="839">+IF(AL80&lt;0,1-AP80/AL80,AP80/AL80-1)</f>
        <v>#NAME?</v>
      </c>
      <c r="AQ81" s="176" t="e">
        <f t="shared" ca="1" si="839"/>
        <v>#NAME?</v>
      </c>
      <c r="AR81" s="176" t="e">
        <f t="shared" ca="1" si="839"/>
        <v>#NAME?</v>
      </c>
      <c r="AS81" s="176" t="e">
        <f t="shared" ca="1" si="839"/>
        <v>#NAME?</v>
      </c>
      <c r="AT81" s="176" t="e">
        <f t="shared" ca="1" si="839"/>
        <v>#NAME?</v>
      </c>
      <c r="AU81" s="176" t="e">
        <f t="shared" ca="1" si="839"/>
        <v>#NAME?</v>
      </c>
      <c r="AV81" s="176" t="e">
        <f t="shared" ca="1" si="839"/>
        <v>#NAME?</v>
      </c>
      <c r="AW81" s="176" t="e">
        <f t="shared" ca="1" si="839"/>
        <v>#NAME?</v>
      </c>
      <c r="AX81" s="176" t="e">
        <f t="shared" ca="1" si="839"/>
        <v>#NAME?</v>
      </c>
      <c r="AY81" s="176" t="e">
        <f t="shared" ca="1" si="839"/>
        <v>#NAME?</v>
      </c>
      <c r="AZ81" s="176" t="e">
        <f t="shared" ca="1" si="839"/>
        <v>#NAME?</v>
      </c>
      <c r="BA81" s="176" t="e">
        <f t="shared" ca="1" si="839"/>
        <v>#NAME?</v>
      </c>
      <c r="BB81" s="176" t="e">
        <f t="shared" ca="1" si="839"/>
        <v>#NAME?</v>
      </c>
      <c r="BC81" s="176" t="e">
        <f t="shared" ca="1" si="839"/>
        <v>#NAME?</v>
      </c>
      <c r="BD81" s="176" t="e">
        <f t="shared" ca="1" si="839"/>
        <v>#NAME?</v>
      </c>
      <c r="BE81" s="176" t="e">
        <f t="shared" ca="1" si="839"/>
        <v>#NAME?</v>
      </c>
      <c r="BF81" s="176" t="e">
        <f t="shared" ca="1" si="839"/>
        <v>#NAME?</v>
      </c>
      <c r="BG81" s="176" t="e">
        <f t="shared" ca="1" si="839"/>
        <v>#NAME?</v>
      </c>
      <c r="BH81" s="176" t="e">
        <f t="shared" ca="1" si="839"/>
        <v>#NAME?</v>
      </c>
      <c r="BI81" s="176" t="e">
        <f t="shared" ca="1" si="839"/>
        <v>#NAME?</v>
      </c>
      <c r="BJ81" s="176" t="e">
        <f t="shared" ca="1" si="839"/>
        <v>#NAME?</v>
      </c>
      <c r="BK81" s="176" t="e">
        <f t="shared" ca="1" si="839"/>
        <v>#NAME?</v>
      </c>
      <c r="BL81" s="176" t="e">
        <f t="shared" ca="1" si="839"/>
        <v>#NAME?</v>
      </c>
      <c r="BM81" s="176" t="e">
        <f t="shared" ca="1" si="839"/>
        <v>#NAME?</v>
      </c>
      <c r="BN81" s="176" t="e">
        <f t="shared" ca="1" si="839"/>
        <v>#NAME?</v>
      </c>
      <c r="BO81" s="176" t="e">
        <f t="shared" ca="1" si="839"/>
        <v>#NAME?</v>
      </c>
      <c r="BP81" s="176" t="e">
        <f t="shared" ca="1" si="839"/>
        <v>#NAME?</v>
      </c>
      <c r="BQ81" s="176" t="e">
        <f t="shared" ca="1" si="839"/>
        <v>#NAME?</v>
      </c>
      <c r="BR81" s="176" t="e">
        <f t="shared" ca="1" si="839"/>
        <v>#NAME?</v>
      </c>
      <c r="BS81" s="176" t="e">
        <f t="shared" ca="1" si="839"/>
        <v>#NAME?</v>
      </c>
      <c r="BT81" s="176" t="e">
        <f t="shared" ca="1" si="839"/>
        <v>#NAME?</v>
      </c>
      <c r="BU81" s="176" t="e">
        <f t="shared" ca="1" si="839"/>
        <v>#NAME?</v>
      </c>
      <c r="BV81" s="176" t="e">
        <f t="shared" ca="1" si="839"/>
        <v>#NAME?</v>
      </c>
      <c r="BW81" s="176" t="e">
        <f t="shared" ca="1" si="839"/>
        <v>#NAME?</v>
      </c>
      <c r="BX81" s="176" t="e">
        <f t="shared" ca="1" si="839"/>
        <v>#NAME?</v>
      </c>
      <c r="BY81" s="176" t="e">
        <f t="shared" ca="1" si="839"/>
        <v>#NAME?</v>
      </c>
      <c r="BZ81" s="176" t="e">
        <f t="shared" ca="1" si="839"/>
        <v>#NAME?</v>
      </c>
      <c r="CA81" s="176" t="e">
        <f t="shared" ca="1" si="839"/>
        <v>#NAME?</v>
      </c>
      <c r="CB81" s="176" t="e">
        <f t="shared" ca="1" si="839"/>
        <v>#NAME?</v>
      </c>
      <c r="CC81" s="176" t="e">
        <f t="shared" ca="1" si="839"/>
        <v>#NAME?</v>
      </c>
      <c r="CD81" s="176" t="e">
        <f t="shared" ca="1" si="839"/>
        <v>#NAME?</v>
      </c>
      <c r="CE81" s="176" t="e">
        <f t="shared" ca="1" si="839"/>
        <v>#NAME?</v>
      </c>
      <c r="CF81" s="176" t="e">
        <f t="shared" ca="1" si="839"/>
        <v>#NAME?</v>
      </c>
      <c r="CG81" s="176" t="e">
        <f t="shared" ca="1" si="839"/>
        <v>#NAME?</v>
      </c>
      <c r="CH81" s="176" t="e">
        <f t="shared" ca="1" si="839"/>
        <v>#NAME?</v>
      </c>
      <c r="CI81" s="176" t="e">
        <f t="shared" ca="1" si="839"/>
        <v>#NAME?</v>
      </c>
      <c r="CJ81" s="176" t="e">
        <f t="shared" ca="1" si="839"/>
        <v>#NAME?</v>
      </c>
      <c r="CK81" s="176" t="e">
        <f t="shared" ca="1" si="839"/>
        <v>#NAME?</v>
      </c>
      <c r="CL81" s="176" t="e">
        <f t="shared" ca="1" si="839"/>
        <v>#NAME?</v>
      </c>
      <c r="CM81" s="102" t="e">
        <f t="shared" ref="CM81:DB81" ca="1" si="840">+IF(CI80&lt;0,1-CM80/CI80,CM80/CI80-1)</f>
        <v>#NAME?</v>
      </c>
      <c r="CN81" s="102" t="e">
        <f t="shared" ca="1" si="840"/>
        <v>#NAME?</v>
      </c>
      <c r="CO81" s="102" t="e">
        <f t="shared" ca="1" si="840"/>
        <v>#NAME?</v>
      </c>
      <c r="CP81" s="102" t="e">
        <f t="shared" ca="1" si="840"/>
        <v>#NAME?</v>
      </c>
      <c r="CQ81" s="102" t="e">
        <f t="shared" ca="1" si="840"/>
        <v>#NAME?</v>
      </c>
      <c r="CR81" s="102" t="e">
        <f t="shared" ca="1" si="840"/>
        <v>#NAME?</v>
      </c>
      <c r="CS81" s="102" t="e">
        <f t="shared" ca="1" si="840"/>
        <v>#NAME?</v>
      </c>
      <c r="CT81" s="102" t="e">
        <f t="shared" ca="1" si="840"/>
        <v>#NAME?</v>
      </c>
      <c r="CU81" s="102" t="e">
        <f t="shared" ca="1" si="840"/>
        <v>#NAME?</v>
      </c>
      <c r="CV81" s="102" t="e">
        <f t="shared" ca="1" si="840"/>
        <v>#NAME?</v>
      </c>
      <c r="CW81" s="102" t="e">
        <f t="shared" ca="1" si="840"/>
        <v>#NAME?</v>
      </c>
      <c r="CX81" s="102" t="e">
        <f t="shared" ca="1" si="840"/>
        <v>#NAME?</v>
      </c>
      <c r="CY81" s="102" t="e">
        <f t="shared" ca="1" si="840"/>
        <v>#NAME?</v>
      </c>
      <c r="CZ81" s="102" t="e">
        <f t="shared" ca="1" si="840"/>
        <v>#NAME?</v>
      </c>
      <c r="DA81" s="102" t="e">
        <f t="shared" ca="1" si="840"/>
        <v>#NAME?</v>
      </c>
      <c r="DB81" s="102" t="e">
        <f t="shared" ca="1" si="840"/>
        <v>#NAME?</v>
      </c>
      <c r="DE81" s="135"/>
      <c r="DF81" s="176">
        <v>0.89751436359399461</v>
      </c>
    </row>
    <row r="82" spans="1:110" s="144" customFormat="1" x14ac:dyDescent="0.2">
      <c r="A82" s="144" t="s">
        <v>424</v>
      </c>
      <c r="AB82" s="145"/>
      <c r="AC82" s="145"/>
      <c r="AD82" s="145"/>
      <c r="AE82" s="145"/>
      <c r="CM82" s="145"/>
      <c r="CN82" s="145"/>
      <c r="CO82" s="145"/>
      <c r="CP82" s="145"/>
      <c r="CQ82" s="145"/>
      <c r="CR82" s="145"/>
      <c r="CS82" s="145"/>
      <c r="CT82" s="145"/>
      <c r="CU82" s="145"/>
      <c r="CV82" s="145"/>
      <c r="CW82" s="145"/>
      <c r="CX82" s="145"/>
      <c r="CY82" s="145"/>
      <c r="CZ82" s="145"/>
      <c r="DA82" s="145"/>
      <c r="DB82" s="145"/>
      <c r="DE82" s="146"/>
    </row>
    <row r="83" spans="1:110" s="144" customFormat="1" x14ac:dyDescent="0.2">
      <c r="A83" s="144" t="s">
        <v>436</v>
      </c>
      <c r="AB83" s="145"/>
      <c r="AC83" s="145"/>
      <c r="AD83" s="145"/>
      <c r="AE83" s="145"/>
      <c r="CM83" s="145"/>
      <c r="CN83" s="145"/>
      <c r="CO83" s="145"/>
      <c r="CP83" s="185"/>
      <c r="CQ83" s="145"/>
      <c r="CR83" s="145"/>
      <c r="CS83" s="145"/>
      <c r="CT83" s="185"/>
      <c r="CU83" s="145"/>
      <c r="CV83" s="145"/>
      <c r="CW83" s="145"/>
      <c r="CX83" s="185"/>
      <c r="CY83" s="145"/>
      <c r="CZ83" s="145"/>
      <c r="DA83" s="145"/>
      <c r="DB83" s="185" t="e">
        <f ca="1">+DB80/DB82-1</f>
        <v>#NAME?</v>
      </c>
      <c r="DE83" s="146"/>
      <c r="DF83" s="197"/>
    </row>
    <row r="84" spans="1:110" s="3" customFormat="1" x14ac:dyDescent="0.2">
      <c r="A84" s="3" t="s">
        <v>34</v>
      </c>
      <c r="B84" s="3" t="e">
        <f ca="1">'Annual Raw'!C112</f>
        <v>#NAME?</v>
      </c>
      <c r="C84" s="3" t="e">
        <f ca="1">'Annual Raw'!D112</f>
        <v>#NAME?</v>
      </c>
      <c r="D84" s="3" t="e">
        <f ca="1">'Annual Raw'!E112</f>
        <v>#NAME?</v>
      </c>
      <c r="E84" s="3" t="e">
        <f ca="1">'Annual Raw'!F112</f>
        <v>#NAME?</v>
      </c>
      <c r="F84" s="3" t="e">
        <f ca="1">'Annual Raw'!G112</f>
        <v>#NAME?</v>
      </c>
      <c r="G84" s="3" t="e">
        <f ca="1">'Annual Raw'!H112</f>
        <v>#NAME?</v>
      </c>
      <c r="H84" s="3" t="e">
        <f ca="1">'Annual Raw'!I112</f>
        <v>#NAME?</v>
      </c>
      <c r="I84" s="3" t="e">
        <f ca="1">'Annual Raw'!J112</f>
        <v>#NAME?</v>
      </c>
      <c r="J84" s="3" t="e">
        <f ca="1">'Annual Raw'!K112</f>
        <v>#NAME?</v>
      </c>
      <c r="K84" s="3" t="e">
        <f ca="1">'Annual Raw'!L112</f>
        <v>#NAME?</v>
      </c>
      <c r="L84" s="3" t="e">
        <f ca="1">'Annual Raw'!M112</f>
        <v>#NAME?</v>
      </c>
      <c r="M84" s="3" t="e">
        <f ca="1">'Annual Raw'!N112</f>
        <v>#NAME?</v>
      </c>
      <c r="N84" s="3" t="e">
        <f ca="1">'Annual Raw'!O112</f>
        <v>#NAME?</v>
      </c>
      <c r="O84" s="3" t="e">
        <f ca="1">'Annual Raw'!P112</f>
        <v>#NAME?</v>
      </c>
      <c r="P84" s="3" t="e">
        <f ca="1">'Annual Raw'!Q112</f>
        <v>#NAME?</v>
      </c>
      <c r="Q84" s="3" t="e">
        <f ca="1">'Annual Raw'!R112</f>
        <v>#NAME?</v>
      </c>
      <c r="R84" s="3" t="e">
        <f ca="1">'Annual Raw'!S112</f>
        <v>#NAME?</v>
      </c>
      <c r="S84" s="3" t="e">
        <f ca="1">'Annual Raw'!T112</f>
        <v>#NAME?</v>
      </c>
      <c r="T84" s="3" t="e">
        <f ca="1">'Annual Raw'!U112</f>
        <v>#NAME?</v>
      </c>
      <c r="U84" s="3" t="e">
        <f ca="1">'Annual Raw'!V112</f>
        <v>#NAME?</v>
      </c>
      <c r="V84" s="3" t="e">
        <f ca="1">'Annual Raw'!W112</f>
        <v>#NAME?</v>
      </c>
      <c r="W84" s="3" t="e">
        <f ca="1">'Annual Raw'!X112</f>
        <v>#NAME?</v>
      </c>
      <c r="X84" s="3" t="e">
        <f ca="1">'Annual Raw'!Y112</f>
        <v>#NAME?</v>
      </c>
      <c r="Y84" s="3" t="e">
        <f ca="1">'Annual Raw'!Z112</f>
        <v>#NAME?</v>
      </c>
      <c r="Z84" s="3" t="e">
        <f ca="1">'Annual Raw'!AA112</f>
        <v>#NAME?</v>
      </c>
      <c r="AA84" s="3" t="e">
        <f ca="1">'Annual Raw'!AB112</f>
        <v>#NAME?</v>
      </c>
      <c r="AB84" s="37"/>
      <c r="AC84" s="37"/>
      <c r="AD84" s="37"/>
      <c r="AE84" s="37"/>
      <c r="AI84" s="3" t="e">
        <f ca="1">'QTR Raw'!C49</f>
        <v>#NAME?</v>
      </c>
      <c r="AJ84" s="3" t="e">
        <f ca="1">'QTR Raw'!D49</f>
        <v>#NAME?</v>
      </c>
      <c r="AK84" s="3" t="e">
        <f ca="1">'QTR Raw'!E49</f>
        <v>#NAME?</v>
      </c>
      <c r="AL84" s="3" t="e">
        <f ca="1">'QTR Raw'!F49</f>
        <v>#NAME?</v>
      </c>
      <c r="AM84" s="3" t="e">
        <f ca="1">'QTR Raw'!G49</f>
        <v>#NAME?</v>
      </c>
      <c r="AN84" s="3" t="e">
        <f ca="1">'QTR Raw'!H49</f>
        <v>#NAME?</v>
      </c>
      <c r="AO84" s="3" t="e">
        <f ca="1">'QTR Raw'!I49</f>
        <v>#NAME?</v>
      </c>
      <c r="AP84" s="3" t="e">
        <f ca="1">'QTR Raw'!J49</f>
        <v>#NAME?</v>
      </c>
      <c r="AQ84" s="3" t="e">
        <f ca="1">'QTR Raw'!K49</f>
        <v>#NAME?</v>
      </c>
      <c r="AR84" s="3" t="e">
        <f ca="1">'QTR Raw'!L49</f>
        <v>#NAME?</v>
      </c>
      <c r="AS84" s="3" t="e">
        <f ca="1">'QTR Raw'!M49</f>
        <v>#NAME?</v>
      </c>
      <c r="AT84" s="3" t="e">
        <f ca="1">'QTR Raw'!N49</f>
        <v>#NAME?</v>
      </c>
      <c r="AU84" s="3" t="e">
        <f ca="1">'QTR Raw'!O49</f>
        <v>#NAME?</v>
      </c>
      <c r="AV84" s="3" t="e">
        <f ca="1">'QTR Raw'!P49</f>
        <v>#NAME?</v>
      </c>
      <c r="AW84" s="3" t="e">
        <f ca="1">'QTR Raw'!Q49</f>
        <v>#NAME?</v>
      </c>
      <c r="AX84" s="3" t="e">
        <f ca="1">'QTR Raw'!R49</f>
        <v>#NAME?</v>
      </c>
      <c r="AY84" s="3" t="e">
        <f ca="1">'QTR Raw'!S49</f>
        <v>#NAME?</v>
      </c>
      <c r="AZ84" s="3" t="e">
        <f ca="1">'QTR Raw'!T49</f>
        <v>#NAME?</v>
      </c>
      <c r="BA84" s="3" t="e">
        <f ca="1">'QTR Raw'!U49</f>
        <v>#NAME?</v>
      </c>
      <c r="BB84" s="3" t="e">
        <f ca="1">'QTR Raw'!V49</f>
        <v>#NAME?</v>
      </c>
      <c r="BC84" s="3" t="e">
        <f ca="1">'QTR Raw'!W49</f>
        <v>#NAME?</v>
      </c>
      <c r="BD84" s="3" t="e">
        <f ca="1">'QTR Raw'!X49</f>
        <v>#NAME?</v>
      </c>
      <c r="BE84" s="3" t="e">
        <f ca="1">'QTR Raw'!Y49</f>
        <v>#NAME?</v>
      </c>
      <c r="BF84" s="3" t="e">
        <f ca="1">'QTR Raw'!Z49</f>
        <v>#NAME?</v>
      </c>
      <c r="BG84" s="3" t="e">
        <f ca="1">'QTR Raw'!AA49</f>
        <v>#NAME?</v>
      </c>
      <c r="BH84" s="3" t="e">
        <f ca="1">'QTR Raw'!AB49</f>
        <v>#NAME?</v>
      </c>
      <c r="BI84" s="3" t="e">
        <f ca="1">'QTR Raw'!AC49</f>
        <v>#NAME?</v>
      </c>
      <c r="BJ84" s="3" t="e">
        <f ca="1">'QTR Raw'!AD49</f>
        <v>#NAME?</v>
      </c>
      <c r="BK84" s="3" t="e">
        <f ca="1">'QTR Raw'!AE49</f>
        <v>#NAME?</v>
      </c>
      <c r="BL84" s="3" t="e">
        <f ca="1">'QTR Raw'!AF49</f>
        <v>#NAME?</v>
      </c>
      <c r="BM84" s="3" t="e">
        <f ca="1">'QTR Raw'!AG49</f>
        <v>#NAME?</v>
      </c>
      <c r="BN84" s="3" t="e">
        <f ca="1">'QTR Raw'!AH49</f>
        <v>#NAME?</v>
      </c>
      <c r="BO84" s="3" t="e">
        <f ca="1">'QTR Raw'!AI49</f>
        <v>#NAME?</v>
      </c>
      <c r="BP84" s="3" t="e">
        <f ca="1">'QTR Raw'!AJ49</f>
        <v>#NAME?</v>
      </c>
      <c r="BQ84" s="3" t="e">
        <f ca="1">'QTR Raw'!AK49</f>
        <v>#NAME?</v>
      </c>
      <c r="BR84" s="3" t="e">
        <f ca="1">'QTR Raw'!AL49</f>
        <v>#NAME?</v>
      </c>
      <c r="BS84" s="3" t="e">
        <f ca="1">'QTR Raw'!AM49</f>
        <v>#NAME?</v>
      </c>
      <c r="BT84" s="3" t="e">
        <f ca="1">'QTR Raw'!AN49</f>
        <v>#NAME?</v>
      </c>
      <c r="BU84" s="3" t="e">
        <f ca="1">'QTR Raw'!AO49</f>
        <v>#NAME?</v>
      </c>
      <c r="BV84" s="3" t="e">
        <f ca="1">'QTR Raw'!AP49</f>
        <v>#NAME?</v>
      </c>
      <c r="BW84" s="3" t="e">
        <f ca="1">'QTR Raw'!AQ49</f>
        <v>#NAME?</v>
      </c>
      <c r="BX84" s="3" t="e">
        <f ca="1">'QTR Raw'!AR49</f>
        <v>#NAME?</v>
      </c>
      <c r="BY84" s="3" t="e">
        <f ca="1">'QTR Raw'!AS49</f>
        <v>#NAME?</v>
      </c>
      <c r="BZ84" s="3" t="e">
        <f ca="1">'QTR Raw'!AT49</f>
        <v>#NAME?</v>
      </c>
      <c r="CA84" s="3" t="e">
        <f ca="1">'QTR Raw'!AU49</f>
        <v>#NAME?</v>
      </c>
      <c r="CB84" s="3" t="e">
        <f ca="1">'QTR Raw'!AV49</f>
        <v>#NAME?</v>
      </c>
      <c r="CC84" s="3" t="e">
        <f ca="1">'QTR Raw'!AW49</f>
        <v>#NAME?</v>
      </c>
      <c r="CD84" s="3" t="e">
        <f ca="1">'QTR Raw'!AX49</f>
        <v>#NAME?</v>
      </c>
      <c r="CE84" s="3" t="e">
        <f ca="1">'QTR Raw'!AY49</f>
        <v>#NAME?</v>
      </c>
      <c r="CF84" s="3" t="e">
        <f ca="1">'QTR Raw'!AZ49</f>
        <v>#NAME?</v>
      </c>
      <c r="CG84" s="3" t="e">
        <f ca="1">'QTR Raw'!BA49</f>
        <v>#NAME?</v>
      </c>
      <c r="CH84" s="3" t="e">
        <f ca="1">'QTR Raw'!BB49</f>
        <v>#NAME?</v>
      </c>
      <c r="CI84" s="3" t="e">
        <f ca="1">'QTR Raw'!BC49</f>
        <v>#NAME?</v>
      </c>
      <c r="CJ84" s="3" t="e">
        <f ca="1">'QTR Raw'!BD49</f>
        <v>#NAME?</v>
      </c>
      <c r="CK84" s="3" t="e">
        <f ca="1">'QTR Raw'!BE49</f>
        <v>#NAME?</v>
      </c>
      <c r="CL84" s="3" t="e">
        <f ca="1">'QTR Raw'!BF49</f>
        <v>#NAME?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3" customFormat="1" x14ac:dyDescent="0.2">
      <c r="A85" s="3" t="s">
        <v>35</v>
      </c>
      <c r="B85" s="3" t="e">
        <f ca="1">'Annual Raw'!C113</f>
        <v>#NAME?</v>
      </c>
      <c r="C85" s="3" t="e">
        <f ca="1">'Annual Raw'!D113</f>
        <v>#NAME?</v>
      </c>
      <c r="D85" s="3" t="e">
        <f ca="1">'Annual Raw'!E113</f>
        <v>#NAME?</v>
      </c>
      <c r="E85" s="3" t="e">
        <f ca="1">'Annual Raw'!F113</f>
        <v>#NAME?</v>
      </c>
      <c r="F85" s="3" t="e">
        <f ca="1">'Annual Raw'!G113</f>
        <v>#NAME?</v>
      </c>
      <c r="G85" s="3" t="e">
        <f ca="1">'Annual Raw'!H113</f>
        <v>#NAME?</v>
      </c>
      <c r="H85" s="3" t="e">
        <f ca="1">'Annual Raw'!I113</f>
        <v>#NAME?</v>
      </c>
      <c r="I85" s="3" t="e">
        <f ca="1">'Annual Raw'!J113</f>
        <v>#NAME?</v>
      </c>
      <c r="J85" s="3" t="e">
        <f ca="1">'Annual Raw'!K113</f>
        <v>#NAME?</v>
      </c>
      <c r="K85" s="3" t="e">
        <f ca="1">'Annual Raw'!L113</f>
        <v>#NAME?</v>
      </c>
      <c r="L85" s="3" t="e">
        <f ca="1">'Annual Raw'!M113</f>
        <v>#NAME?</v>
      </c>
      <c r="M85" s="3" t="e">
        <f ca="1">'Annual Raw'!N113</f>
        <v>#NAME?</v>
      </c>
      <c r="N85" s="3" t="e">
        <f ca="1">'Annual Raw'!O113</f>
        <v>#NAME?</v>
      </c>
      <c r="O85" s="3" t="e">
        <f ca="1">'Annual Raw'!P113</f>
        <v>#NAME?</v>
      </c>
      <c r="P85" s="3" t="e">
        <f ca="1">'Annual Raw'!Q113</f>
        <v>#NAME?</v>
      </c>
      <c r="Q85" s="3" t="e">
        <f ca="1">'Annual Raw'!R113</f>
        <v>#NAME?</v>
      </c>
      <c r="R85" s="3" t="e">
        <f ca="1">'Annual Raw'!S113</f>
        <v>#NAME?</v>
      </c>
      <c r="S85" s="3" t="e">
        <f ca="1">'Annual Raw'!T113</f>
        <v>#NAME?</v>
      </c>
      <c r="T85" s="3" t="e">
        <f ca="1">'Annual Raw'!U113</f>
        <v>#NAME?</v>
      </c>
      <c r="U85" s="3" t="e">
        <f ca="1">'Annual Raw'!V113</f>
        <v>#NAME?</v>
      </c>
      <c r="V85" s="3" t="e">
        <f ca="1">'Annual Raw'!W113</f>
        <v>#NAME?</v>
      </c>
      <c r="W85" s="3" t="e">
        <f ca="1">'Annual Raw'!X113</f>
        <v>#NAME?</v>
      </c>
      <c r="X85" s="3" t="e">
        <f ca="1">'Annual Raw'!Y113</f>
        <v>#NAME?</v>
      </c>
      <c r="Y85" s="3" t="e">
        <f ca="1">'Annual Raw'!Z113</f>
        <v>#NAME?</v>
      </c>
      <c r="Z85" s="3" t="e">
        <f ca="1">'Annual Raw'!AA113</f>
        <v>#NAME?</v>
      </c>
      <c r="AA85" s="3" t="e">
        <f ca="1">'Annual Raw'!AB113</f>
        <v>#NAME?</v>
      </c>
      <c r="AB85" s="37"/>
      <c r="AC85" s="37"/>
      <c r="AD85" s="37"/>
      <c r="AE85" s="37"/>
      <c r="AI85" s="3" t="e">
        <f ca="1">'QTR Raw'!C50</f>
        <v>#NAME?</v>
      </c>
      <c r="AJ85" s="3" t="e">
        <f ca="1">'QTR Raw'!D50</f>
        <v>#NAME?</v>
      </c>
      <c r="AK85" s="3" t="e">
        <f ca="1">'QTR Raw'!E50</f>
        <v>#NAME?</v>
      </c>
      <c r="AL85" s="3" t="e">
        <f ca="1">'QTR Raw'!F50</f>
        <v>#NAME?</v>
      </c>
      <c r="AM85" s="3" t="e">
        <f ca="1">'QTR Raw'!G50</f>
        <v>#NAME?</v>
      </c>
      <c r="AN85" s="3" t="e">
        <f ca="1">'QTR Raw'!H50</f>
        <v>#NAME?</v>
      </c>
      <c r="AO85" s="3" t="e">
        <f ca="1">'QTR Raw'!I50</f>
        <v>#NAME?</v>
      </c>
      <c r="AP85" s="3" t="e">
        <f ca="1">'QTR Raw'!J50</f>
        <v>#NAME?</v>
      </c>
      <c r="AQ85" s="3" t="e">
        <f ca="1">'QTR Raw'!K50</f>
        <v>#NAME?</v>
      </c>
      <c r="AR85" s="3" t="e">
        <f ca="1">'QTR Raw'!L50</f>
        <v>#NAME?</v>
      </c>
      <c r="AS85" s="3" t="e">
        <f ca="1">'QTR Raw'!M50</f>
        <v>#NAME?</v>
      </c>
      <c r="AT85" s="3" t="e">
        <f ca="1">'QTR Raw'!N50</f>
        <v>#NAME?</v>
      </c>
      <c r="AU85" s="3" t="e">
        <f ca="1">'QTR Raw'!O50</f>
        <v>#NAME?</v>
      </c>
      <c r="AV85" s="3" t="e">
        <f ca="1">'QTR Raw'!P50</f>
        <v>#NAME?</v>
      </c>
      <c r="AW85" s="3" t="e">
        <f ca="1">'QTR Raw'!Q50</f>
        <v>#NAME?</v>
      </c>
      <c r="AX85" s="3" t="e">
        <f ca="1">'QTR Raw'!R50</f>
        <v>#NAME?</v>
      </c>
      <c r="AY85" s="3" t="e">
        <f ca="1">'QTR Raw'!S50</f>
        <v>#NAME?</v>
      </c>
      <c r="AZ85" s="3" t="e">
        <f ca="1">'QTR Raw'!T50</f>
        <v>#NAME?</v>
      </c>
      <c r="BA85" s="3" t="e">
        <f ca="1">'QTR Raw'!U50</f>
        <v>#NAME?</v>
      </c>
      <c r="BB85" s="3" t="e">
        <f ca="1">'QTR Raw'!V50</f>
        <v>#NAME?</v>
      </c>
      <c r="BC85" s="3" t="e">
        <f ca="1">'QTR Raw'!W50</f>
        <v>#NAME?</v>
      </c>
      <c r="BD85" s="3" t="e">
        <f ca="1">'QTR Raw'!X50</f>
        <v>#NAME?</v>
      </c>
      <c r="BE85" s="3" t="e">
        <f ca="1">'QTR Raw'!Y50</f>
        <v>#NAME?</v>
      </c>
      <c r="BF85" s="3" t="e">
        <f ca="1">'QTR Raw'!Z50</f>
        <v>#NAME?</v>
      </c>
      <c r="BG85" s="3" t="e">
        <f ca="1">'QTR Raw'!AA50</f>
        <v>#NAME?</v>
      </c>
      <c r="BH85" s="3" t="e">
        <f ca="1">'QTR Raw'!AB50</f>
        <v>#NAME?</v>
      </c>
      <c r="BI85" s="3" t="e">
        <f ca="1">'QTR Raw'!AC50</f>
        <v>#NAME?</v>
      </c>
      <c r="BJ85" s="3" t="e">
        <f ca="1">'QTR Raw'!AD50</f>
        <v>#NAME?</v>
      </c>
      <c r="BK85" s="3" t="e">
        <f ca="1">'QTR Raw'!AE50</f>
        <v>#NAME?</v>
      </c>
      <c r="BL85" s="3" t="e">
        <f ca="1">'QTR Raw'!AF50</f>
        <v>#NAME?</v>
      </c>
      <c r="BM85" s="3" t="e">
        <f ca="1">'QTR Raw'!AG50</f>
        <v>#NAME?</v>
      </c>
      <c r="BN85" s="3" t="e">
        <f ca="1">'QTR Raw'!AH50</f>
        <v>#NAME?</v>
      </c>
      <c r="BO85" s="3" t="e">
        <f ca="1">'QTR Raw'!AI50</f>
        <v>#NAME?</v>
      </c>
      <c r="BP85" s="3" t="e">
        <f ca="1">'QTR Raw'!AJ50</f>
        <v>#NAME?</v>
      </c>
      <c r="BQ85" s="3" t="e">
        <f ca="1">'QTR Raw'!AK50</f>
        <v>#NAME?</v>
      </c>
      <c r="BR85" s="3" t="e">
        <f ca="1">'QTR Raw'!AL50</f>
        <v>#NAME?</v>
      </c>
      <c r="BS85" s="3" t="e">
        <f ca="1">'QTR Raw'!AM50</f>
        <v>#NAME?</v>
      </c>
      <c r="BT85" s="3" t="e">
        <f ca="1">'QTR Raw'!AN50</f>
        <v>#NAME?</v>
      </c>
      <c r="BU85" s="3" t="e">
        <f ca="1">'QTR Raw'!AO50</f>
        <v>#NAME?</v>
      </c>
      <c r="BV85" s="3" t="e">
        <f ca="1">'QTR Raw'!AP50</f>
        <v>#NAME?</v>
      </c>
      <c r="BW85" s="3" t="e">
        <f ca="1">'QTR Raw'!AQ50</f>
        <v>#NAME?</v>
      </c>
      <c r="BX85" s="3" t="e">
        <f ca="1">'QTR Raw'!AR50</f>
        <v>#NAME?</v>
      </c>
      <c r="BY85" s="3" t="e">
        <f ca="1">'QTR Raw'!AS50</f>
        <v>#NAME?</v>
      </c>
      <c r="BZ85" s="3" t="e">
        <f ca="1">'QTR Raw'!AT50</f>
        <v>#NAME?</v>
      </c>
      <c r="CA85" s="3" t="e">
        <f ca="1">'QTR Raw'!AU50</f>
        <v>#NAME?</v>
      </c>
      <c r="CB85" s="3" t="e">
        <f ca="1">'QTR Raw'!AV50</f>
        <v>#NAME?</v>
      </c>
      <c r="CC85" s="3" t="e">
        <f ca="1">'QTR Raw'!AW50</f>
        <v>#NAME?</v>
      </c>
      <c r="CD85" s="3" t="e">
        <f ca="1">'QTR Raw'!AX50</f>
        <v>#NAME?</v>
      </c>
      <c r="CE85" s="3" t="e">
        <f ca="1">'QTR Raw'!AY50</f>
        <v>#NAME?</v>
      </c>
      <c r="CF85" s="3" t="e">
        <f ca="1">'QTR Raw'!AZ50</f>
        <v>#NAME?</v>
      </c>
      <c r="CG85" s="3" t="e">
        <f ca="1">'QTR Raw'!BA50</f>
        <v>#NAME?</v>
      </c>
      <c r="CH85" s="3" t="e">
        <f ca="1">'QTR Raw'!BB50</f>
        <v>#NAME?</v>
      </c>
      <c r="CI85" s="3" t="e">
        <f ca="1">'QTR Raw'!BC50</f>
        <v>#NAME?</v>
      </c>
      <c r="CJ85" s="3" t="e">
        <f ca="1">'QTR Raw'!BD50</f>
        <v>#NAME?</v>
      </c>
      <c r="CK85" s="3" t="e">
        <f ca="1">'QTR Raw'!BE50</f>
        <v>#NAME?</v>
      </c>
      <c r="CL85" s="3" t="e">
        <f ca="1">'QTR Raw'!BF50</f>
        <v>#NAME?</v>
      </c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</row>
    <row r="86" spans="1:110" s="3" customFormat="1" x14ac:dyDescent="0.2"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13" customFormat="1" x14ac:dyDescent="0.2">
      <c r="A87" s="13" t="s">
        <v>36</v>
      </c>
      <c r="AB87" s="37"/>
      <c r="AC87" s="37"/>
      <c r="AD87" s="37"/>
      <c r="AE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</row>
    <row r="88" spans="1:110" s="13" customFormat="1" x14ac:dyDescent="0.2">
      <c r="A88" s="13" t="s">
        <v>457</v>
      </c>
      <c r="B88" s="13" t="e">
        <f ca="1">'Annual Raw'!C106</f>
        <v>#NAME?</v>
      </c>
      <c r="C88" s="13" t="e">
        <f ca="1">'Annual Raw'!D106</f>
        <v>#NAME?</v>
      </c>
      <c r="D88" s="13" t="e">
        <f ca="1">'Annual Raw'!E106</f>
        <v>#NAME?</v>
      </c>
      <c r="E88" s="13" t="e">
        <f ca="1">'Annual Raw'!F106</f>
        <v>#NAME?</v>
      </c>
      <c r="F88" s="13" t="e">
        <f ca="1">'Annual Raw'!G106</f>
        <v>#NAME?</v>
      </c>
      <c r="G88" s="13" t="e">
        <f ca="1">'Annual Raw'!H106</f>
        <v>#NAME?</v>
      </c>
      <c r="H88" s="13" t="e">
        <f ca="1">'Annual Raw'!I106</f>
        <v>#NAME?</v>
      </c>
      <c r="I88" s="13" t="e">
        <f ca="1">'Annual Raw'!J106</f>
        <v>#NAME?</v>
      </c>
      <c r="J88" s="13" t="e">
        <f ca="1">'Annual Raw'!K106</f>
        <v>#NAME?</v>
      </c>
      <c r="K88" s="13" t="e">
        <f ca="1">'Annual Raw'!L106</f>
        <v>#NAME?</v>
      </c>
      <c r="L88" s="13" t="e">
        <f ca="1">'Annual Raw'!M106</f>
        <v>#NAME?</v>
      </c>
      <c r="M88" s="13" t="e">
        <f ca="1">'Annual Raw'!N106</f>
        <v>#NAME?</v>
      </c>
      <c r="N88" s="13" t="e">
        <f ca="1">'Annual Raw'!O106</f>
        <v>#NAME?</v>
      </c>
      <c r="O88" s="13" t="e">
        <f ca="1">'Annual Raw'!P106</f>
        <v>#NAME?</v>
      </c>
      <c r="P88" s="13" t="e">
        <f ca="1">'Annual Raw'!Q106</f>
        <v>#NAME?</v>
      </c>
      <c r="Q88" s="13" t="e">
        <f ca="1">'Annual Raw'!R106</f>
        <v>#NAME?</v>
      </c>
      <c r="R88" s="13" t="e">
        <f ca="1">'Annual Raw'!S106</f>
        <v>#NAME?</v>
      </c>
      <c r="S88" s="13" t="e">
        <f ca="1">'Annual Raw'!T106</f>
        <v>#NAME?</v>
      </c>
      <c r="T88" s="13" t="e">
        <f ca="1">'Annual Raw'!U106</f>
        <v>#NAME?</v>
      </c>
      <c r="U88" s="13" t="e">
        <f ca="1">'Annual Raw'!V106</f>
        <v>#NAME?</v>
      </c>
      <c r="V88" s="13" t="e">
        <f ca="1">'Annual Raw'!W106</f>
        <v>#NAME?</v>
      </c>
      <c r="W88" s="13" t="e">
        <f ca="1">'Annual Raw'!X106</f>
        <v>#NAME?</v>
      </c>
      <c r="X88" s="13" t="e">
        <f ca="1">'Annual Raw'!Y106</f>
        <v>#NAME?</v>
      </c>
      <c r="Y88" s="13" t="e">
        <f ca="1">'Annual Raw'!Z106</f>
        <v>#NAME?</v>
      </c>
      <c r="Z88" s="13" t="e">
        <f ca="1">'Annual Raw'!AA106</f>
        <v>#NAME?</v>
      </c>
      <c r="AA88" s="13" t="e">
        <f ca="1">'Annual Raw'!AB106</f>
        <v>#NAME?</v>
      </c>
      <c r="AB88" s="37">
        <f>+CP88</f>
        <v>2384</v>
      </c>
      <c r="AC88" s="37">
        <f>+CT88</f>
        <v>2384</v>
      </c>
      <c r="AD88" s="37">
        <f>+CX88</f>
        <v>2384</v>
      </c>
      <c r="AE88" s="37">
        <f>+DB88</f>
        <v>2384</v>
      </c>
      <c r="AJ88" s="13" t="e">
        <f ca="1">'QTR Share Price'!HP21</f>
        <v>#NAME?</v>
      </c>
      <c r="AK88" s="13" t="e">
        <f ca="1">'QTR Share Price'!HQ21</f>
        <v>#NAME?</v>
      </c>
      <c r="AL88" s="13" t="e">
        <f ca="1">'QTR Share Price'!HR21</f>
        <v>#NAME?</v>
      </c>
      <c r="AM88" s="13" t="e">
        <f ca="1">'QTR Share Price'!HS21</f>
        <v>#NAME?</v>
      </c>
      <c r="AN88" s="13" t="e">
        <f ca="1">'QTR Share Price'!HT21</f>
        <v>#NAME?</v>
      </c>
      <c r="AO88" s="13" t="e">
        <f ca="1">'QTR Share Price'!HU21</f>
        <v>#NAME?</v>
      </c>
      <c r="AP88" s="13" t="e">
        <f ca="1">'QTR Share Price'!HV21</f>
        <v>#NAME?</v>
      </c>
      <c r="AQ88" s="13" t="e">
        <f ca="1">'QTR Share Price'!HW21</f>
        <v>#NAME?</v>
      </c>
      <c r="AR88" s="13" t="e">
        <f ca="1">'QTR Share Price'!HX21</f>
        <v>#NAME?</v>
      </c>
      <c r="AS88" s="13" t="e">
        <f ca="1">'QTR Share Price'!HY21</f>
        <v>#NAME?</v>
      </c>
      <c r="AT88" s="13" t="e">
        <f ca="1">'QTR Share Price'!HZ21</f>
        <v>#NAME?</v>
      </c>
      <c r="AU88" s="13" t="e">
        <f ca="1">'QTR Share Price'!IA21</f>
        <v>#NAME?</v>
      </c>
      <c r="AV88" s="13" t="e">
        <f ca="1">'QTR Share Price'!IB21</f>
        <v>#NAME?</v>
      </c>
      <c r="AW88" s="13" t="e">
        <f ca="1">'QTR Share Price'!IC21</f>
        <v>#NAME?</v>
      </c>
      <c r="AX88" s="13" t="e">
        <f ca="1">'QTR Share Price'!ID21</f>
        <v>#NAME?</v>
      </c>
      <c r="AY88" s="13" t="e">
        <f ca="1">'QTR Share Price'!IE21</f>
        <v>#NAME?</v>
      </c>
      <c r="AZ88" s="13" t="e">
        <f ca="1">'QTR Share Price'!IF21</f>
        <v>#NAME?</v>
      </c>
      <c r="BA88" s="13" t="e">
        <f ca="1">'QTR Share Price'!IG21</f>
        <v>#NAME?</v>
      </c>
      <c r="BB88" s="13" t="e">
        <f ca="1">'QTR Share Price'!IH21</f>
        <v>#NAME?</v>
      </c>
      <c r="BC88" s="13" t="e">
        <f ca="1">'QTR Share Price'!II21</f>
        <v>#NAME?</v>
      </c>
      <c r="BD88" s="13" t="e">
        <f ca="1">'QTR Share Price'!IJ21</f>
        <v>#NAME?</v>
      </c>
      <c r="BE88" s="13" t="e">
        <f ca="1">'QTR Share Price'!IK21</f>
        <v>#NAME?</v>
      </c>
      <c r="BF88" s="13" t="e">
        <f ca="1">'QTR Share Price'!IL21</f>
        <v>#NAME?</v>
      </c>
      <c r="BG88" s="13" t="e">
        <f ca="1">'QTR Share Price'!IM21</f>
        <v>#NAME?</v>
      </c>
      <c r="BH88" s="13" t="e">
        <f ca="1">'QTR Share Price'!IN21</f>
        <v>#NAME?</v>
      </c>
      <c r="BI88" s="13" t="e">
        <f ca="1">'QTR Share Price'!IO21</f>
        <v>#NAME?</v>
      </c>
      <c r="BJ88" s="13" t="e">
        <f ca="1">'QTR Share Price'!IP21</f>
        <v>#NAME?</v>
      </c>
      <c r="BK88" s="13" t="e">
        <f ca="1">'QTR Share Price'!IQ21</f>
        <v>#NAME?</v>
      </c>
      <c r="BL88" s="13" t="e">
        <f ca="1">'QTR Share Price'!IR21</f>
        <v>#NAME?</v>
      </c>
      <c r="BM88" s="13" t="e">
        <f ca="1">'QTR Share Price'!IS21</f>
        <v>#NAME?</v>
      </c>
      <c r="BN88" s="13" t="e">
        <f ca="1">'QTR Share Price'!IT21</f>
        <v>#NAME?</v>
      </c>
      <c r="BO88" s="13" t="e">
        <f ca="1">'QTR Share Price'!IU21</f>
        <v>#NAME?</v>
      </c>
      <c r="BP88" s="13" t="e">
        <f ca="1">'QTR Share Price'!IV21</f>
        <v>#NAME?</v>
      </c>
      <c r="BQ88" s="13" t="e">
        <f ca="1">'QTR Share Price'!IW21</f>
        <v>#NAME?</v>
      </c>
      <c r="BR88" s="13" t="e">
        <f ca="1">'QTR Share Price'!IX21</f>
        <v>#NAME?</v>
      </c>
      <c r="BS88" s="13" t="e">
        <f ca="1">'QTR Share Price'!IY21</f>
        <v>#NAME?</v>
      </c>
      <c r="BT88" s="13" t="e">
        <f ca="1">'QTR Share Price'!IZ21</f>
        <v>#NAME?</v>
      </c>
      <c r="BU88" s="13" t="e">
        <f ca="1">'QTR Share Price'!JA21</f>
        <v>#NAME?</v>
      </c>
      <c r="BV88" s="13" t="e">
        <f ca="1">'QTR Share Price'!JB21</f>
        <v>#NAME?</v>
      </c>
      <c r="BW88" s="13" t="e">
        <f ca="1">'QTR Share Price'!JC21</f>
        <v>#NAME?</v>
      </c>
      <c r="BX88" s="13" t="e">
        <f ca="1">'QTR Share Price'!JD21</f>
        <v>#NAME?</v>
      </c>
      <c r="BY88" s="13" t="e">
        <f ca="1">'QTR Share Price'!JE21</f>
        <v>#NAME?</v>
      </c>
      <c r="BZ88" s="13" t="e">
        <f ca="1">'QTR Share Price'!JF21</f>
        <v>#NAME?</v>
      </c>
      <c r="CA88" s="13" t="e">
        <f ca="1">'QTR Share Price'!JG21</f>
        <v>#NAME?</v>
      </c>
      <c r="CB88" s="13" t="e">
        <f ca="1">'QTR Share Price'!JH21</f>
        <v>#NAME?</v>
      </c>
      <c r="CC88" s="13" t="e">
        <f ca="1">'QTR Share Price'!JI21</f>
        <v>#NAME?</v>
      </c>
      <c r="CD88" s="13" t="e">
        <f ca="1">'QTR Share Price'!JJ21</f>
        <v>#NAME?</v>
      </c>
      <c r="CE88" s="13" t="e">
        <f ca="1">'QTR Share Price'!JK21</f>
        <v>#NAME?</v>
      </c>
      <c r="CF88" s="13" t="e">
        <f ca="1">'QTR Share Price'!JL21</f>
        <v>#NAME?</v>
      </c>
      <c r="CG88" s="13" t="e">
        <f ca="1">'QTR Share Price'!JM21</f>
        <v>#NAME?</v>
      </c>
      <c r="CH88" s="13" t="e">
        <f ca="1">'QTR Share Price'!JN21</f>
        <v>#NAME?</v>
      </c>
      <c r="CI88" s="13" t="e">
        <f ca="1">'QTR Share Price'!JO21</f>
        <v>#NAME?</v>
      </c>
      <c r="CJ88" s="13" t="e">
        <f ca="1">'QTR Share Price'!JP21</f>
        <v>#NAME?</v>
      </c>
      <c r="CK88" s="13" t="e">
        <f ca="1">'QTR Share Price'!JQ21</f>
        <v>#NAME?</v>
      </c>
      <c r="CL88" s="13" t="e">
        <f ca="1">'QTR Share Price'!JR21</f>
        <v>#NAME?</v>
      </c>
      <c r="CM88" s="37">
        <v>2384</v>
      </c>
      <c r="CN88" s="37">
        <f t="shared" ref="CN88" si="841">+CM88</f>
        <v>2384</v>
      </c>
      <c r="CO88" s="37">
        <f t="shared" ref="CO88" si="842">+CN88</f>
        <v>2384</v>
      </c>
      <c r="CP88" s="37">
        <f t="shared" ref="CP88" si="843">+CO88</f>
        <v>2384</v>
      </c>
      <c r="CQ88" s="37">
        <f t="shared" ref="CQ88" si="844">+CP88</f>
        <v>2384</v>
      </c>
      <c r="CR88" s="37">
        <f t="shared" ref="CR88" si="845">+CQ88</f>
        <v>2384</v>
      </c>
      <c r="CS88" s="37">
        <f t="shared" ref="CS88" si="846">+CR88</f>
        <v>2384</v>
      </c>
      <c r="CT88" s="37">
        <f t="shared" ref="CT88" si="847">+CS88</f>
        <v>2384</v>
      </c>
      <c r="CU88" s="37">
        <f t="shared" ref="CU88" si="848">+CT88</f>
        <v>2384</v>
      </c>
      <c r="CV88" s="37">
        <f t="shared" ref="CV88" si="849">+CU88</f>
        <v>2384</v>
      </c>
      <c r="CW88" s="37">
        <f t="shared" ref="CW88" si="850">+CV88</f>
        <v>2384</v>
      </c>
      <c r="CX88" s="37">
        <f t="shared" ref="CX88" si="851">+CW88</f>
        <v>2384</v>
      </c>
      <c r="CY88" s="37">
        <f t="shared" ref="CY88" si="852">+CX88</f>
        <v>2384</v>
      </c>
      <c r="CZ88" s="37">
        <f t="shared" ref="CZ88" si="853">+CY88</f>
        <v>2384</v>
      </c>
      <c r="DA88" s="37">
        <f t="shared" ref="DA88" si="854">+CZ88</f>
        <v>2384</v>
      </c>
      <c r="DB88" s="37">
        <f t="shared" ref="DB88" si="855">+DA88</f>
        <v>2384</v>
      </c>
      <c r="DE88" s="134"/>
      <c r="DF88" s="13">
        <v>1671.8</v>
      </c>
    </row>
    <row r="89" spans="1:110" s="13" customFormat="1" x14ac:dyDescent="0.2">
      <c r="A89" s="13" t="s">
        <v>458</v>
      </c>
      <c r="B89" s="13" t="e">
        <f ca="1">'Annual Raw'!C107</f>
        <v>#NAME?</v>
      </c>
      <c r="C89" s="13" t="e">
        <f ca="1">'Annual Raw'!D107</f>
        <v>#NAME?</v>
      </c>
      <c r="D89" s="13" t="e">
        <f ca="1">'Annual Raw'!E107</f>
        <v>#NAME?</v>
      </c>
      <c r="E89" s="13" t="e">
        <f ca="1">'Annual Raw'!F107</f>
        <v>#NAME?</v>
      </c>
      <c r="F89" s="13" t="e">
        <f ca="1">'Annual Raw'!G107</f>
        <v>#NAME?</v>
      </c>
      <c r="G89" s="13" t="e">
        <f ca="1">'Annual Raw'!H107</f>
        <v>#NAME?</v>
      </c>
      <c r="H89" s="13" t="e">
        <f ca="1">'Annual Raw'!I107</f>
        <v>#NAME?</v>
      </c>
      <c r="I89" s="13" t="e">
        <f ca="1">'Annual Raw'!J107</f>
        <v>#NAME?</v>
      </c>
      <c r="J89" s="13" t="e">
        <f ca="1">'Annual Raw'!K107</f>
        <v>#NAME?</v>
      </c>
      <c r="K89" s="13" t="e">
        <f ca="1">'Annual Raw'!L107</f>
        <v>#NAME?</v>
      </c>
      <c r="L89" s="13" t="e">
        <f ca="1">'Annual Raw'!M107</f>
        <v>#NAME?</v>
      </c>
      <c r="M89" s="13" t="e">
        <f ca="1">'Annual Raw'!N107</f>
        <v>#NAME?</v>
      </c>
      <c r="N89" s="13" t="e">
        <f ca="1">'Annual Raw'!O107</f>
        <v>#NAME?</v>
      </c>
      <c r="O89" s="13" t="e">
        <f ca="1">'Annual Raw'!P107</f>
        <v>#NAME?</v>
      </c>
      <c r="P89" s="13" t="e">
        <f ca="1">'Annual Raw'!Q107</f>
        <v>#NAME?</v>
      </c>
      <c r="Q89" s="13" t="e">
        <f ca="1">'Annual Raw'!R107</f>
        <v>#NAME?</v>
      </c>
      <c r="R89" s="13" t="e">
        <f ca="1">'Annual Raw'!S107</f>
        <v>#NAME?</v>
      </c>
      <c r="S89" s="13" t="e">
        <f ca="1">'Annual Raw'!T107</f>
        <v>#NAME?</v>
      </c>
      <c r="T89" s="13" t="e">
        <f ca="1">'Annual Raw'!U107</f>
        <v>#NAME?</v>
      </c>
      <c r="U89" s="13" t="e">
        <f ca="1">'Annual Raw'!V107</f>
        <v>#NAME?</v>
      </c>
      <c r="V89" s="13" t="e">
        <f ca="1">'Annual Raw'!W107</f>
        <v>#NAME?</v>
      </c>
      <c r="W89" s="13" t="e">
        <f ca="1">'Annual Raw'!X107</f>
        <v>#NAME?</v>
      </c>
      <c r="X89" s="13" t="e">
        <f ca="1">'Annual Raw'!Y107</f>
        <v>#NAME?</v>
      </c>
      <c r="Y89" s="13" t="e">
        <f ca="1">'Annual Raw'!Z107</f>
        <v>#NAME?</v>
      </c>
      <c r="Z89" s="13" t="e">
        <f ca="1">'Annual Raw'!AA107</f>
        <v>#NAME?</v>
      </c>
      <c r="AA89" s="13" t="e">
        <f ca="1">'Annual Raw'!AB107</f>
        <v>#NAME?</v>
      </c>
      <c r="AB89" s="37" t="e">
        <f ca="1">+MAX(CM89:CP89)</f>
        <v>#NAME?</v>
      </c>
      <c r="AC89" s="37" t="e">
        <f ca="1">+MAX(CQ89:CT89)</f>
        <v>#NAME?</v>
      </c>
      <c r="AD89" s="37" t="e">
        <f ca="1">+MAX(CU89:CX89)</f>
        <v>#NAME?</v>
      </c>
      <c r="AE89" s="37" t="e">
        <f ca="1">+MAX(CY89:DB89)</f>
        <v>#NAME?</v>
      </c>
      <c r="AJ89" s="13" t="e">
        <f ca="1">'QTR Share Price'!HP19</f>
        <v>#NAME?</v>
      </c>
      <c r="AK89" s="13" t="e">
        <f ca="1">'QTR Share Price'!HQ19</f>
        <v>#NAME?</v>
      </c>
      <c r="AL89" s="13" t="e">
        <f ca="1">'QTR Share Price'!HR19</f>
        <v>#NAME?</v>
      </c>
      <c r="AM89" s="13" t="e">
        <f ca="1">'QTR Share Price'!HS19</f>
        <v>#NAME?</v>
      </c>
      <c r="AN89" s="13" t="e">
        <f ca="1">'QTR Share Price'!HT19</f>
        <v>#NAME?</v>
      </c>
      <c r="AO89" s="13" t="e">
        <f ca="1">'QTR Share Price'!HU19</f>
        <v>#NAME?</v>
      </c>
      <c r="AP89" s="13" t="e">
        <f ca="1">'QTR Share Price'!HV19</f>
        <v>#NAME?</v>
      </c>
      <c r="AQ89" s="13" t="e">
        <f ca="1">'QTR Share Price'!HW19</f>
        <v>#NAME?</v>
      </c>
      <c r="AR89" s="13" t="e">
        <f ca="1">'QTR Share Price'!HX19</f>
        <v>#NAME?</v>
      </c>
      <c r="AS89" s="13" t="e">
        <f ca="1">'QTR Share Price'!HY19</f>
        <v>#NAME?</v>
      </c>
      <c r="AT89" s="13" t="e">
        <f ca="1">'QTR Share Price'!HZ19</f>
        <v>#NAME?</v>
      </c>
      <c r="AU89" s="13" t="e">
        <f ca="1">'QTR Share Price'!IA19</f>
        <v>#NAME?</v>
      </c>
      <c r="AV89" s="13" t="e">
        <f ca="1">'QTR Share Price'!IB19</f>
        <v>#NAME?</v>
      </c>
      <c r="AW89" s="13" t="e">
        <f ca="1">'QTR Share Price'!IC19</f>
        <v>#NAME?</v>
      </c>
      <c r="AX89" s="13" t="e">
        <f ca="1">'QTR Share Price'!ID19</f>
        <v>#NAME?</v>
      </c>
      <c r="AY89" s="13" t="e">
        <f ca="1">'QTR Share Price'!IE19</f>
        <v>#NAME?</v>
      </c>
      <c r="AZ89" s="13" t="e">
        <f ca="1">'QTR Share Price'!IF19</f>
        <v>#NAME?</v>
      </c>
      <c r="BA89" s="13" t="e">
        <f ca="1">'QTR Share Price'!IG19</f>
        <v>#NAME?</v>
      </c>
      <c r="BB89" s="13" t="e">
        <f ca="1">'QTR Share Price'!IH19</f>
        <v>#NAME?</v>
      </c>
      <c r="BC89" s="13" t="e">
        <f ca="1">'QTR Share Price'!II19</f>
        <v>#NAME?</v>
      </c>
      <c r="BD89" s="13" t="e">
        <f ca="1">'QTR Share Price'!IJ19</f>
        <v>#NAME?</v>
      </c>
      <c r="BE89" s="13" t="e">
        <f ca="1">'QTR Share Price'!IK19</f>
        <v>#NAME?</v>
      </c>
      <c r="BF89" s="13" t="e">
        <f ca="1">'QTR Share Price'!IL19</f>
        <v>#NAME?</v>
      </c>
      <c r="BG89" s="13" t="e">
        <f ca="1">'QTR Share Price'!IM19</f>
        <v>#NAME?</v>
      </c>
      <c r="BH89" s="13" t="e">
        <f ca="1">'QTR Share Price'!IN19</f>
        <v>#NAME?</v>
      </c>
      <c r="BI89" s="13" t="e">
        <f ca="1">'QTR Share Price'!IO19</f>
        <v>#NAME?</v>
      </c>
      <c r="BJ89" s="13" t="e">
        <f ca="1">'QTR Share Price'!IP19</f>
        <v>#NAME?</v>
      </c>
      <c r="BK89" s="13" t="e">
        <f ca="1">'QTR Share Price'!IQ19</f>
        <v>#NAME?</v>
      </c>
      <c r="BL89" s="13" t="e">
        <f ca="1">'QTR Share Price'!IR19</f>
        <v>#NAME?</v>
      </c>
      <c r="BM89" s="13" t="e">
        <f ca="1">'QTR Share Price'!IS19</f>
        <v>#NAME?</v>
      </c>
      <c r="BN89" s="13" t="e">
        <f ca="1">'QTR Share Price'!IT19</f>
        <v>#NAME?</v>
      </c>
      <c r="BO89" s="13" t="e">
        <f ca="1">'QTR Share Price'!IU19</f>
        <v>#NAME?</v>
      </c>
      <c r="BP89" s="13" t="e">
        <f ca="1">'QTR Share Price'!IV19</f>
        <v>#NAME?</v>
      </c>
      <c r="BQ89" s="13" t="e">
        <f ca="1">'QTR Share Price'!IW19</f>
        <v>#NAME?</v>
      </c>
      <c r="BR89" s="13" t="e">
        <f ca="1">'QTR Share Price'!IX19</f>
        <v>#NAME?</v>
      </c>
      <c r="BS89" s="13" t="e">
        <f ca="1">'QTR Share Price'!IY19</f>
        <v>#NAME?</v>
      </c>
      <c r="BT89" s="13" t="e">
        <f ca="1">'QTR Share Price'!IZ19</f>
        <v>#NAME?</v>
      </c>
      <c r="BU89" s="13" t="e">
        <f ca="1">'QTR Share Price'!JA19</f>
        <v>#NAME?</v>
      </c>
      <c r="BV89" s="13" t="e">
        <f ca="1">'QTR Share Price'!JB19</f>
        <v>#NAME?</v>
      </c>
      <c r="BW89" s="13" t="e">
        <f ca="1">'QTR Share Price'!JC19</f>
        <v>#NAME?</v>
      </c>
      <c r="BX89" s="13" t="e">
        <f ca="1">'QTR Share Price'!JD19</f>
        <v>#NAME?</v>
      </c>
      <c r="BY89" s="13" t="e">
        <f ca="1">'QTR Share Price'!JE19</f>
        <v>#NAME?</v>
      </c>
      <c r="BZ89" s="13" t="e">
        <f ca="1">'QTR Share Price'!JF19</f>
        <v>#NAME?</v>
      </c>
      <c r="CA89" s="13" t="e">
        <f ca="1">'QTR Share Price'!JG19</f>
        <v>#NAME?</v>
      </c>
      <c r="CB89" s="13" t="e">
        <f ca="1">'QTR Share Price'!JH19</f>
        <v>#NAME?</v>
      </c>
      <c r="CC89" s="13" t="e">
        <f ca="1">'QTR Share Price'!JI19</f>
        <v>#NAME?</v>
      </c>
      <c r="CD89" s="13" t="e">
        <f ca="1">'QTR Share Price'!JJ19</f>
        <v>#NAME?</v>
      </c>
      <c r="CE89" s="13" t="e">
        <f ca="1">'QTR Share Price'!JK19</f>
        <v>#NAME?</v>
      </c>
      <c r="CF89" s="13" t="e">
        <f ca="1">'QTR Share Price'!JL19</f>
        <v>#NAME?</v>
      </c>
      <c r="CG89" s="13" t="e">
        <f ca="1">'QTR Share Price'!JM19</f>
        <v>#NAME?</v>
      </c>
      <c r="CH89" s="13" t="e">
        <f ca="1">'QTR Share Price'!JN19</f>
        <v>#NAME?</v>
      </c>
      <c r="CI89" s="13" t="e">
        <f ca="1">'QTR Share Price'!JO19</f>
        <v>#NAME?</v>
      </c>
      <c r="CJ89" s="13" t="e">
        <f ca="1">'QTR Share Price'!JP19</f>
        <v>#NAME?</v>
      </c>
      <c r="CK89" s="13" t="e">
        <f ca="1">'QTR Share Price'!JQ19</f>
        <v>#NAME?</v>
      </c>
      <c r="CL89" s="13" t="e">
        <f ca="1">'QTR Share Price'!JR19</f>
        <v>#NAME?</v>
      </c>
      <c r="CM89" s="37" t="e">
        <f t="shared" ref="CM89:DB89" ca="1" si="856">+CM80*CM97</f>
        <v>#NAME?</v>
      </c>
      <c r="CN89" s="37" t="e">
        <f t="shared" ca="1" si="856"/>
        <v>#NAME?</v>
      </c>
      <c r="CO89" s="37" t="e">
        <f t="shared" ca="1" si="856"/>
        <v>#NAME?</v>
      </c>
      <c r="CP89" s="37" t="e">
        <f t="shared" ca="1" si="856"/>
        <v>#NAME?</v>
      </c>
      <c r="CQ89" s="37" t="e">
        <f t="shared" ca="1" si="856"/>
        <v>#NAME?</v>
      </c>
      <c r="CR89" s="37" t="e">
        <f t="shared" ca="1" si="856"/>
        <v>#NAME?</v>
      </c>
      <c r="CS89" s="37" t="e">
        <f t="shared" ca="1" si="856"/>
        <v>#NAME?</v>
      </c>
      <c r="CT89" s="37" t="e">
        <f t="shared" ca="1" si="856"/>
        <v>#NAME?</v>
      </c>
      <c r="CU89" s="37" t="e">
        <f t="shared" ca="1" si="856"/>
        <v>#NAME?</v>
      </c>
      <c r="CV89" s="37" t="e">
        <f t="shared" ca="1" si="856"/>
        <v>#NAME?</v>
      </c>
      <c r="CW89" s="37" t="e">
        <f t="shared" ca="1" si="856"/>
        <v>#NAME?</v>
      </c>
      <c r="CX89" s="37" t="e">
        <f t="shared" ca="1" si="856"/>
        <v>#NAME?</v>
      </c>
      <c r="CY89" s="37" t="e">
        <f t="shared" ca="1" si="856"/>
        <v>#NAME?</v>
      </c>
      <c r="CZ89" s="37" t="e">
        <f t="shared" ca="1" si="856"/>
        <v>#NAME?</v>
      </c>
      <c r="DA89" s="37" t="e">
        <f t="shared" ca="1" si="856"/>
        <v>#NAME?</v>
      </c>
      <c r="DB89" s="37" t="e">
        <f t="shared" ca="1" si="856"/>
        <v>#NAME?</v>
      </c>
      <c r="DE89" s="134"/>
      <c r="DF89" s="13">
        <v>1999</v>
      </c>
    </row>
    <row r="90" spans="1:110" s="13" customFormat="1" x14ac:dyDescent="0.2">
      <c r="A90" s="13" t="s">
        <v>459</v>
      </c>
      <c r="B90" s="13" t="e">
        <f ca="1">'Annual Raw'!C108</f>
        <v>#NAME?</v>
      </c>
      <c r="C90" s="13" t="e">
        <f ca="1">'Annual Raw'!D108</f>
        <v>#NAME?</v>
      </c>
      <c r="D90" s="13" t="e">
        <f ca="1">'Annual Raw'!E108</f>
        <v>#NAME?</v>
      </c>
      <c r="E90" s="13" t="e">
        <f ca="1">'Annual Raw'!F108</f>
        <v>#NAME?</v>
      </c>
      <c r="F90" s="13" t="e">
        <f ca="1">'Annual Raw'!G108</f>
        <v>#NAME?</v>
      </c>
      <c r="G90" s="13" t="e">
        <f ca="1">'Annual Raw'!H108</f>
        <v>#NAME?</v>
      </c>
      <c r="H90" s="13" t="e">
        <f ca="1">'Annual Raw'!I108</f>
        <v>#NAME?</v>
      </c>
      <c r="I90" s="13" t="e">
        <f ca="1">'Annual Raw'!J108</f>
        <v>#NAME?</v>
      </c>
      <c r="J90" s="13" t="e">
        <f ca="1">'Annual Raw'!K108</f>
        <v>#NAME?</v>
      </c>
      <c r="K90" s="13" t="e">
        <f ca="1">'Annual Raw'!L108</f>
        <v>#NAME?</v>
      </c>
      <c r="L90" s="13" t="e">
        <f ca="1">'Annual Raw'!M108</f>
        <v>#NAME?</v>
      </c>
      <c r="M90" s="13" t="e">
        <f ca="1">'Annual Raw'!N108</f>
        <v>#NAME?</v>
      </c>
      <c r="N90" s="13" t="e">
        <f ca="1">'Annual Raw'!O108</f>
        <v>#NAME?</v>
      </c>
      <c r="O90" s="13" t="e">
        <f ca="1">'Annual Raw'!P108</f>
        <v>#NAME?</v>
      </c>
      <c r="P90" s="13" t="e">
        <f ca="1">'Annual Raw'!Q108</f>
        <v>#NAME?</v>
      </c>
      <c r="Q90" s="13" t="e">
        <f ca="1">'Annual Raw'!R108</f>
        <v>#NAME?</v>
      </c>
      <c r="R90" s="13" t="e">
        <f ca="1">'Annual Raw'!S108</f>
        <v>#NAME?</v>
      </c>
      <c r="S90" s="13" t="e">
        <f ca="1">'Annual Raw'!T108</f>
        <v>#NAME?</v>
      </c>
      <c r="T90" s="13" t="e">
        <f ca="1">'Annual Raw'!U108</f>
        <v>#NAME?</v>
      </c>
      <c r="U90" s="13" t="e">
        <f ca="1">'Annual Raw'!V108</f>
        <v>#NAME?</v>
      </c>
      <c r="V90" s="13" t="e">
        <f ca="1">'Annual Raw'!W108</f>
        <v>#NAME?</v>
      </c>
      <c r="W90" s="13" t="e">
        <f ca="1">'Annual Raw'!X108</f>
        <v>#NAME?</v>
      </c>
      <c r="X90" s="13" t="e">
        <f ca="1">'Annual Raw'!Y108</f>
        <v>#NAME?</v>
      </c>
      <c r="Y90" s="13" t="e">
        <f ca="1">'Annual Raw'!Z108</f>
        <v>#NAME?</v>
      </c>
      <c r="Z90" s="13" t="e">
        <f ca="1">'Annual Raw'!AA108</f>
        <v>#NAME?</v>
      </c>
      <c r="AA90" s="13" t="e">
        <f ca="1">'Annual Raw'!AB108</f>
        <v>#NAME?</v>
      </c>
      <c r="AB90" s="37" t="e">
        <f ca="1">+MIN(CM90:CP90)</f>
        <v>#NAME?</v>
      </c>
      <c r="AC90" s="37" t="e">
        <f ca="1">+MIN(CQ90:CT90)</f>
        <v>#NAME?</v>
      </c>
      <c r="AD90" s="37" t="e">
        <f ca="1">+MIN(CU90:CX90)</f>
        <v>#NAME?</v>
      </c>
      <c r="AE90" s="37" t="e">
        <f ca="1">+MIN(CY90:DB90)</f>
        <v>#NAME?</v>
      </c>
      <c r="AJ90" s="13" t="e">
        <f ca="1">+'QTR Share Price'!HP20</f>
        <v>#NAME?</v>
      </c>
      <c r="AK90" s="13" t="e">
        <f ca="1">+'QTR Share Price'!HQ20</f>
        <v>#NAME?</v>
      </c>
      <c r="AL90" s="13" t="e">
        <f ca="1">+'QTR Share Price'!HR20</f>
        <v>#NAME?</v>
      </c>
      <c r="AM90" s="13" t="e">
        <f ca="1">+'QTR Share Price'!HS20</f>
        <v>#NAME?</v>
      </c>
      <c r="AN90" s="13" t="e">
        <f ca="1">+'QTR Share Price'!HT20</f>
        <v>#NAME?</v>
      </c>
      <c r="AO90" s="13" t="e">
        <f ca="1">+'QTR Share Price'!HU20</f>
        <v>#NAME?</v>
      </c>
      <c r="AP90" s="13" t="e">
        <f ca="1">+'QTR Share Price'!HV20</f>
        <v>#NAME?</v>
      </c>
      <c r="AQ90" s="13" t="e">
        <f ca="1">+'QTR Share Price'!HW20</f>
        <v>#NAME?</v>
      </c>
      <c r="AR90" s="13" t="e">
        <f ca="1">+'QTR Share Price'!HX20</f>
        <v>#NAME?</v>
      </c>
      <c r="AS90" s="13" t="e">
        <f ca="1">+'QTR Share Price'!HY20</f>
        <v>#NAME?</v>
      </c>
      <c r="AT90" s="13" t="e">
        <f ca="1">+'QTR Share Price'!HZ20</f>
        <v>#NAME?</v>
      </c>
      <c r="AU90" s="13" t="e">
        <f ca="1">+'QTR Share Price'!IA20</f>
        <v>#NAME?</v>
      </c>
      <c r="AV90" s="13" t="e">
        <f ca="1">+'QTR Share Price'!IB20</f>
        <v>#NAME?</v>
      </c>
      <c r="AW90" s="13" t="e">
        <f ca="1">+'QTR Share Price'!IC20</f>
        <v>#NAME?</v>
      </c>
      <c r="AX90" s="13" t="e">
        <f ca="1">+'QTR Share Price'!ID20</f>
        <v>#NAME?</v>
      </c>
      <c r="AY90" s="13" t="e">
        <f ca="1">+'QTR Share Price'!IE20</f>
        <v>#NAME?</v>
      </c>
      <c r="AZ90" s="13" t="e">
        <f ca="1">+'QTR Share Price'!IF20</f>
        <v>#NAME?</v>
      </c>
      <c r="BA90" s="13" t="e">
        <f ca="1">+'QTR Share Price'!IG20</f>
        <v>#NAME?</v>
      </c>
      <c r="BB90" s="13" t="e">
        <f ca="1">+'QTR Share Price'!IH20</f>
        <v>#NAME?</v>
      </c>
      <c r="BC90" s="13" t="e">
        <f ca="1">+'QTR Share Price'!II20</f>
        <v>#NAME?</v>
      </c>
      <c r="BD90" s="13" t="e">
        <f ca="1">+'QTR Share Price'!IJ20</f>
        <v>#NAME?</v>
      </c>
      <c r="BE90" s="13" t="e">
        <f ca="1">+'QTR Share Price'!IK20</f>
        <v>#NAME?</v>
      </c>
      <c r="BF90" s="13" t="e">
        <f ca="1">+'QTR Share Price'!IL20</f>
        <v>#NAME?</v>
      </c>
      <c r="BG90" s="13" t="e">
        <f ca="1">+'QTR Share Price'!IM20</f>
        <v>#NAME?</v>
      </c>
      <c r="BH90" s="13" t="e">
        <f ca="1">+'QTR Share Price'!IN20</f>
        <v>#NAME?</v>
      </c>
      <c r="BI90" s="13" t="e">
        <f ca="1">+'QTR Share Price'!IO20</f>
        <v>#NAME?</v>
      </c>
      <c r="BJ90" s="13" t="e">
        <f ca="1">+'QTR Share Price'!IP20</f>
        <v>#NAME?</v>
      </c>
      <c r="BK90" s="13" t="e">
        <f ca="1">+'QTR Share Price'!IQ20</f>
        <v>#NAME?</v>
      </c>
      <c r="BL90" s="13" t="e">
        <f ca="1">+'QTR Share Price'!IR20</f>
        <v>#NAME?</v>
      </c>
      <c r="BM90" s="13" t="e">
        <f ca="1">+'QTR Share Price'!IS20</f>
        <v>#NAME?</v>
      </c>
      <c r="BN90" s="13" t="e">
        <f ca="1">+'QTR Share Price'!IT20</f>
        <v>#NAME?</v>
      </c>
      <c r="BO90" s="13" t="e">
        <f ca="1">+'QTR Share Price'!IU20</f>
        <v>#NAME?</v>
      </c>
      <c r="BP90" s="13" t="e">
        <f ca="1">+'QTR Share Price'!IV20</f>
        <v>#NAME?</v>
      </c>
      <c r="BQ90" s="13" t="e">
        <f ca="1">+'QTR Share Price'!IW20</f>
        <v>#NAME?</v>
      </c>
      <c r="BR90" s="13" t="e">
        <f ca="1">+'QTR Share Price'!IX20</f>
        <v>#NAME?</v>
      </c>
      <c r="BS90" s="13" t="e">
        <f ca="1">+'QTR Share Price'!IY20</f>
        <v>#NAME?</v>
      </c>
      <c r="BT90" s="13" t="e">
        <f ca="1">+'QTR Share Price'!IZ20</f>
        <v>#NAME?</v>
      </c>
      <c r="BU90" s="13" t="e">
        <f ca="1">+'QTR Share Price'!JA20</f>
        <v>#NAME?</v>
      </c>
      <c r="BV90" s="13" t="e">
        <f ca="1">+'QTR Share Price'!JB20</f>
        <v>#NAME?</v>
      </c>
      <c r="BW90" s="13" t="e">
        <f ca="1">+'QTR Share Price'!JC20</f>
        <v>#NAME?</v>
      </c>
      <c r="BX90" s="13" t="e">
        <f ca="1">+'QTR Share Price'!JD20</f>
        <v>#NAME?</v>
      </c>
      <c r="BY90" s="13" t="e">
        <f ca="1">+'QTR Share Price'!JE20</f>
        <v>#NAME?</v>
      </c>
      <c r="BZ90" s="13" t="e">
        <f ca="1">+'QTR Share Price'!JF20</f>
        <v>#NAME?</v>
      </c>
      <c r="CA90" s="13" t="e">
        <f ca="1">+'QTR Share Price'!JG20</f>
        <v>#NAME?</v>
      </c>
      <c r="CB90" s="13" t="e">
        <f ca="1">+'QTR Share Price'!JH20</f>
        <v>#NAME?</v>
      </c>
      <c r="CC90" s="13" t="e">
        <f ca="1">+'QTR Share Price'!JI20</f>
        <v>#NAME?</v>
      </c>
      <c r="CD90" s="13" t="e">
        <f ca="1">+'QTR Share Price'!JJ20</f>
        <v>#NAME?</v>
      </c>
      <c r="CE90" s="13" t="e">
        <f ca="1">+'QTR Share Price'!JK20</f>
        <v>#NAME?</v>
      </c>
      <c r="CF90" s="13" t="e">
        <f ca="1">+'QTR Share Price'!JL20</f>
        <v>#NAME?</v>
      </c>
      <c r="CG90" s="13" t="e">
        <f ca="1">+'QTR Share Price'!JM20</f>
        <v>#NAME?</v>
      </c>
      <c r="CH90" s="13" t="e">
        <f ca="1">+'QTR Share Price'!JN20</f>
        <v>#NAME?</v>
      </c>
      <c r="CI90" s="13" t="e">
        <f ca="1">+'QTR Share Price'!JO20</f>
        <v>#NAME?</v>
      </c>
      <c r="CJ90" s="13" t="e">
        <f ca="1">+'QTR Share Price'!JP20</f>
        <v>#NAME?</v>
      </c>
      <c r="CK90" s="13" t="e">
        <f ca="1">+'QTR Share Price'!JQ20</f>
        <v>#NAME?</v>
      </c>
      <c r="CL90" s="13" t="e">
        <f ca="1">+'QTR Share Price'!JR20</f>
        <v>#NAME?</v>
      </c>
      <c r="CM90" s="37" t="e">
        <f t="shared" ref="CM90:DB90" ca="1" si="857">+CM98*CM80</f>
        <v>#NAME?</v>
      </c>
      <c r="CN90" s="37" t="e">
        <f t="shared" ca="1" si="857"/>
        <v>#NAME?</v>
      </c>
      <c r="CO90" s="37" t="e">
        <f t="shared" ca="1" si="857"/>
        <v>#NAME?</v>
      </c>
      <c r="CP90" s="37" t="e">
        <f t="shared" ca="1" si="857"/>
        <v>#NAME?</v>
      </c>
      <c r="CQ90" s="37" t="e">
        <f t="shared" ca="1" si="857"/>
        <v>#NAME?</v>
      </c>
      <c r="CR90" s="37" t="e">
        <f t="shared" ca="1" si="857"/>
        <v>#NAME?</v>
      </c>
      <c r="CS90" s="37" t="e">
        <f t="shared" ca="1" si="857"/>
        <v>#NAME?</v>
      </c>
      <c r="CT90" s="37" t="e">
        <f t="shared" ca="1" si="857"/>
        <v>#NAME?</v>
      </c>
      <c r="CU90" s="37" t="e">
        <f t="shared" ca="1" si="857"/>
        <v>#NAME?</v>
      </c>
      <c r="CV90" s="37" t="e">
        <f t="shared" ca="1" si="857"/>
        <v>#NAME?</v>
      </c>
      <c r="CW90" s="37" t="e">
        <f t="shared" ca="1" si="857"/>
        <v>#NAME?</v>
      </c>
      <c r="CX90" s="37" t="e">
        <f t="shared" ca="1" si="857"/>
        <v>#NAME?</v>
      </c>
      <c r="CY90" s="37" t="e">
        <f t="shared" ca="1" si="857"/>
        <v>#NAME?</v>
      </c>
      <c r="CZ90" s="37" t="e">
        <f t="shared" ca="1" si="857"/>
        <v>#NAME?</v>
      </c>
      <c r="DA90" s="37" t="e">
        <f t="shared" ca="1" si="857"/>
        <v>#NAME?</v>
      </c>
      <c r="DB90" s="37" t="e">
        <f t="shared" ca="1" si="857"/>
        <v>#NAME?</v>
      </c>
      <c r="DE90" s="134"/>
      <c r="DF90" s="13">
        <v>635.04999999999995</v>
      </c>
    </row>
    <row r="91" spans="1:110" s="14" customFormat="1" x14ac:dyDescent="0.2">
      <c r="AB91" s="16"/>
      <c r="AC91" s="16"/>
      <c r="AD91" s="16"/>
      <c r="AE91" s="16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51" customFormat="1" x14ac:dyDescent="0.2">
      <c r="A92" s="51" t="s">
        <v>346</v>
      </c>
      <c r="AB92" s="48" t="e">
        <f t="shared" ref="AB92:AD92" ca="1" si="858">+AB89/AB88-1</f>
        <v>#NAME?</v>
      </c>
      <c r="AC92" s="48" t="e">
        <f t="shared" ca="1" si="858"/>
        <v>#NAME?</v>
      </c>
      <c r="AD92" s="48" t="e">
        <f t="shared" ca="1" si="858"/>
        <v>#NAME?</v>
      </c>
      <c r="AE92" s="48" t="e">
        <f t="shared" ref="AE92" ca="1" si="859">+AE89/AE88-1</f>
        <v>#NAME?</v>
      </c>
      <c r="CM92" s="48" t="e">
        <f t="shared" ref="CM92:DB92" ca="1" si="860">+CM89/CM88-1</f>
        <v>#NAME?</v>
      </c>
      <c r="CN92" s="48" t="e">
        <f t="shared" ca="1" si="860"/>
        <v>#NAME?</v>
      </c>
      <c r="CO92" s="48" t="e">
        <f t="shared" ca="1" si="860"/>
        <v>#NAME?</v>
      </c>
      <c r="CP92" s="48" t="e">
        <f t="shared" ca="1" si="860"/>
        <v>#NAME?</v>
      </c>
      <c r="CQ92" s="48" t="e">
        <f t="shared" ca="1" si="860"/>
        <v>#NAME?</v>
      </c>
      <c r="CR92" s="48" t="e">
        <f t="shared" ca="1" si="860"/>
        <v>#NAME?</v>
      </c>
      <c r="CS92" s="48" t="e">
        <f t="shared" ca="1" si="860"/>
        <v>#NAME?</v>
      </c>
      <c r="CT92" s="48" t="e">
        <f t="shared" ca="1" si="860"/>
        <v>#NAME?</v>
      </c>
      <c r="CU92" s="48" t="e">
        <f t="shared" ca="1" si="860"/>
        <v>#NAME?</v>
      </c>
      <c r="CV92" s="48" t="e">
        <f t="shared" ca="1" si="860"/>
        <v>#NAME?</v>
      </c>
      <c r="CW92" s="48" t="e">
        <f t="shared" ca="1" si="860"/>
        <v>#NAME?</v>
      </c>
      <c r="CX92" s="48" t="e">
        <f t="shared" ca="1" si="860"/>
        <v>#NAME?</v>
      </c>
      <c r="CY92" s="48" t="e">
        <f t="shared" ca="1" si="860"/>
        <v>#NAME?</v>
      </c>
      <c r="CZ92" s="48" t="e">
        <f t="shared" ca="1" si="860"/>
        <v>#NAME?</v>
      </c>
      <c r="DA92" s="48" t="e">
        <f t="shared" ca="1" si="860"/>
        <v>#NAME?</v>
      </c>
      <c r="DB92" s="48" t="e">
        <f t="shared" ca="1" si="860"/>
        <v>#NAME?</v>
      </c>
      <c r="DE92" s="129"/>
      <c r="DF92" s="51">
        <v>0.19571719105156116</v>
      </c>
    </row>
    <row r="93" spans="1:110" s="51" customFormat="1" x14ac:dyDescent="0.2">
      <c r="A93" s="51" t="s">
        <v>347</v>
      </c>
      <c r="AB93" s="48" t="e">
        <f t="shared" ref="AB93:AD93" ca="1" si="861">+AB90/AB88-1</f>
        <v>#NAME?</v>
      </c>
      <c r="AC93" s="48" t="e">
        <f t="shared" ca="1" si="861"/>
        <v>#NAME?</v>
      </c>
      <c r="AD93" s="48" t="e">
        <f t="shared" ca="1" si="861"/>
        <v>#NAME?</v>
      </c>
      <c r="AE93" s="48" t="e">
        <f t="shared" ref="AE93" ca="1" si="862">+AE90/AE88-1</f>
        <v>#NAME?</v>
      </c>
      <c r="CM93" s="48" t="e">
        <f t="shared" ref="CM93:DB93" ca="1" si="863">+CM90/CM88-1</f>
        <v>#NAME?</v>
      </c>
      <c r="CN93" s="48" t="e">
        <f t="shared" ca="1" si="863"/>
        <v>#NAME?</v>
      </c>
      <c r="CO93" s="48" t="e">
        <f t="shared" ca="1" si="863"/>
        <v>#NAME?</v>
      </c>
      <c r="CP93" s="48" t="e">
        <f t="shared" ca="1" si="863"/>
        <v>#NAME?</v>
      </c>
      <c r="CQ93" s="48" t="e">
        <f t="shared" ca="1" si="863"/>
        <v>#NAME?</v>
      </c>
      <c r="CR93" s="48" t="e">
        <f t="shared" ca="1" si="863"/>
        <v>#NAME?</v>
      </c>
      <c r="CS93" s="48" t="e">
        <f t="shared" ca="1" si="863"/>
        <v>#NAME?</v>
      </c>
      <c r="CT93" s="48" t="e">
        <f t="shared" ca="1" si="863"/>
        <v>#NAME?</v>
      </c>
      <c r="CU93" s="48" t="e">
        <f t="shared" ca="1" si="863"/>
        <v>#NAME?</v>
      </c>
      <c r="CV93" s="48" t="e">
        <f t="shared" ca="1" si="863"/>
        <v>#NAME?</v>
      </c>
      <c r="CW93" s="48" t="e">
        <f t="shared" ca="1" si="863"/>
        <v>#NAME?</v>
      </c>
      <c r="CX93" s="48" t="e">
        <f t="shared" ca="1" si="863"/>
        <v>#NAME?</v>
      </c>
      <c r="CY93" s="48" t="e">
        <f t="shared" ca="1" si="863"/>
        <v>#NAME?</v>
      </c>
      <c r="CZ93" s="48" t="e">
        <f t="shared" ca="1" si="863"/>
        <v>#NAME?</v>
      </c>
      <c r="DA93" s="48" t="e">
        <f t="shared" ca="1" si="863"/>
        <v>#NAME?</v>
      </c>
      <c r="DB93" s="48" t="e">
        <f t="shared" ca="1" si="863"/>
        <v>#NAME?</v>
      </c>
      <c r="DE93" s="129"/>
      <c r="DF93" s="51">
        <v>-0.62013996889580092</v>
      </c>
    </row>
    <row r="94" spans="1:110" s="14" customFormat="1" x14ac:dyDescent="0.2">
      <c r="AB94" s="16"/>
      <c r="AC94" s="16"/>
      <c r="AD94" s="16"/>
      <c r="AE94" s="16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40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460</v>
      </c>
      <c r="B96" s="13" t="e">
        <f t="shared" ref="B96:D96" ca="1" si="864">+B88/B80</f>
        <v>#NAME?</v>
      </c>
      <c r="C96" s="13" t="e">
        <f t="shared" ca="1" si="864"/>
        <v>#NAME?</v>
      </c>
      <c r="D96" s="13" t="e">
        <f t="shared" ca="1" si="864"/>
        <v>#NAME?</v>
      </c>
      <c r="E96" s="13" t="e">
        <f t="shared" ref="E96:AE96" ca="1" si="865">+E88/E80</f>
        <v>#DIV/0!</v>
      </c>
      <c r="F96" s="13" t="e">
        <f t="shared" ca="1" si="865"/>
        <v>#DIV/0!</v>
      </c>
      <c r="G96" s="13" t="e">
        <f t="shared" ca="1" si="865"/>
        <v>#DIV/0!</v>
      </c>
      <c r="H96" s="13" t="e">
        <f t="shared" ca="1" si="865"/>
        <v>#DIV/0!</v>
      </c>
      <c r="I96" s="13">
        <f t="shared" ca="1" si="865"/>
        <v>0</v>
      </c>
      <c r="J96" s="13">
        <f t="shared" ca="1" si="865"/>
        <v>0</v>
      </c>
      <c r="K96" s="13">
        <f t="shared" ca="1" si="865"/>
        <v>0</v>
      </c>
      <c r="L96" s="13">
        <f t="shared" ca="1" si="865"/>
        <v>0</v>
      </c>
      <c r="M96" s="13">
        <f t="shared" ca="1" si="865"/>
        <v>0</v>
      </c>
      <c r="N96" s="13">
        <f t="shared" ca="1" si="865"/>
        <v>0</v>
      </c>
      <c r="O96" s="13">
        <f t="shared" ca="1" si="865"/>
        <v>0</v>
      </c>
      <c r="P96" s="13">
        <f t="shared" ca="1" si="865"/>
        <v>0</v>
      </c>
      <c r="Q96" s="13">
        <f t="shared" ca="1" si="865"/>
        <v>6.0396037331350048</v>
      </c>
      <c r="R96" s="13">
        <f t="shared" ca="1" si="865"/>
        <v>23.388721871064849</v>
      </c>
      <c r="S96" s="13">
        <f t="shared" ca="1" si="865"/>
        <v>44.60450045477684</v>
      </c>
      <c r="T96" s="13">
        <f t="shared" ca="1" si="865"/>
        <v>51.91933830120788</v>
      </c>
      <c r="U96" s="13">
        <f t="shared" ca="1" si="865"/>
        <v>33.538670832404378</v>
      </c>
      <c r="V96" s="13">
        <f t="shared" ca="1" si="865"/>
        <v>79.820323118550178</v>
      </c>
      <c r="W96" s="13">
        <f t="shared" ca="1" si="865"/>
        <v>79.071818224867087</v>
      </c>
      <c r="X96" s="13">
        <f t="shared" ca="1" si="865"/>
        <v>39.363807765624671</v>
      </c>
      <c r="Y96" s="13">
        <f t="shared" ca="1" si="865"/>
        <v>25.127583624563083</v>
      </c>
      <c r="Z96" s="13">
        <f t="shared" ref="Z96:AA96" ca="1" si="866">+Z88/Z80</f>
        <v>18.538278344665475</v>
      </c>
      <c r="AA96" s="13">
        <f t="shared" ca="1" si="866"/>
        <v>18.538278344665475</v>
      </c>
      <c r="AB96" s="37">
        <f t="shared" ca="1" si="865"/>
        <v>22.232819932979005</v>
      </c>
      <c r="AC96" s="37">
        <f t="shared" ca="1" si="865"/>
        <v>15.660930834659835</v>
      </c>
      <c r="AD96" s="37">
        <f t="shared" ca="1" si="865"/>
        <v>10.997056001452755</v>
      </c>
      <c r="AE96" s="37">
        <f t="shared" ca="1" si="865"/>
        <v>7.7307790816541484</v>
      </c>
      <c r="AL96" s="13" t="e">
        <f t="shared" ref="AL96:BQ96" ca="1" si="867">+AL88/AL80</f>
        <v>#NAME?</v>
      </c>
      <c r="AM96" s="13" t="e">
        <f t="shared" ca="1" si="867"/>
        <v>#NAME?</v>
      </c>
      <c r="AN96" s="13" t="e">
        <f t="shared" ca="1" si="867"/>
        <v>#NAME?</v>
      </c>
      <c r="AO96" s="13" t="e">
        <f t="shared" ca="1" si="867"/>
        <v>#NAME?</v>
      </c>
      <c r="AP96" s="13" t="e">
        <f t="shared" ca="1" si="867"/>
        <v>#NAME?</v>
      </c>
      <c r="AQ96" s="13" t="e">
        <f t="shared" ca="1" si="867"/>
        <v>#NAME?</v>
      </c>
      <c r="AR96" s="13" t="e">
        <f t="shared" ca="1" si="867"/>
        <v>#NAME?</v>
      </c>
      <c r="AS96" s="13" t="e">
        <f t="shared" ca="1" si="867"/>
        <v>#NAME?</v>
      </c>
      <c r="AT96" s="13" t="e">
        <f t="shared" ca="1" si="867"/>
        <v>#NAME?</v>
      </c>
      <c r="AU96" s="13" t="e">
        <f t="shared" ca="1" si="867"/>
        <v>#NAME?</v>
      </c>
      <c r="AV96" s="13" t="e">
        <f t="shared" ca="1" si="867"/>
        <v>#NAME?</v>
      </c>
      <c r="AW96" s="13" t="e">
        <f t="shared" ca="1" si="867"/>
        <v>#NAME?</v>
      </c>
      <c r="AX96" s="13" t="e">
        <f t="shared" ca="1" si="867"/>
        <v>#NAME?</v>
      </c>
      <c r="AY96" s="13" t="e">
        <f t="shared" ca="1" si="867"/>
        <v>#NAME?</v>
      </c>
      <c r="AZ96" s="13" t="e">
        <f t="shared" ca="1" si="867"/>
        <v>#NAME?</v>
      </c>
      <c r="BA96" s="13" t="e">
        <f t="shared" ca="1" si="867"/>
        <v>#NAME?</v>
      </c>
      <c r="BB96" s="13" t="e">
        <f t="shared" ca="1" si="867"/>
        <v>#NAME?</v>
      </c>
      <c r="BC96" s="13" t="e">
        <f t="shared" ca="1" si="867"/>
        <v>#NAME?</v>
      </c>
      <c r="BD96" s="13" t="e">
        <f t="shared" ca="1" si="867"/>
        <v>#NAME?</v>
      </c>
      <c r="BE96" s="13" t="e">
        <f t="shared" ca="1" si="867"/>
        <v>#NAME?</v>
      </c>
      <c r="BF96" s="13" t="e">
        <f t="shared" ca="1" si="867"/>
        <v>#NAME?</v>
      </c>
      <c r="BG96" s="13" t="e">
        <f t="shared" ca="1" si="867"/>
        <v>#NAME?</v>
      </c>
      <c r="BH96" s="13" t="e">
        <f t="shared" ca="1" si="867"/>
        <v>#NAME?</v>
      </c>
      <c r="BI96" s="13" t="e">
        <f t="shared" ca="1" si="867"/>
        <v>#NAME?</v>
      </c>
      <c r="BJ96" s="13" t="e">
        <f t="shared" ca="1" si="867"/>
        <v>#NAME?</v>
      </c>
      <c r="BK96" s="13" t="e">
        <f t="shared" ca="1" si="867"/>
        <v>#NAME?</v>
      </c>
      <c r="BL96" s="13" t="e">
        <f t="shared" ca="1" si="867"/>
        <v>#NAME?</v>
      </c>
      <c r="BM96" s="13" t="e">
        <f t="shared" ca="1" si="867"/>
        <v>#NAME?</v>
      </c>
      <c r="BN96" s="13" t="e">
        <f t="shared" ca="1" si="867"/>
        <v>#NAME?</v>
      </c>
      <c r="BO96" s="13" t="e">
        <f t="shared" ca="1" si="867"/>
        <v>#NAME?</v>
      </c>
      <c r="BP96" s="13" t="e">
        <f t="shared" ca="1" si="867"/>
        <v>#NAME?</v>
      </c>
      <c r="BQ96" s="13" t="e">
        <f t="shared" ca="1" si="867"/>
        <v>#NAME?</v>
      </c>
      <c r="BR96" s="13" t="e">
        <f t="shared" ref="BR96:DB96" ca="1" si="868">+BR88/BR80</f>
        <v>#NAME?</v>
      </c>
      <c r="BS96" s="13" t="e">
        <f t="shared" ca="1" si="868"/>
        <v>#NAME?</v>
      </c>
      <c r="BT96" s="13" t="e">
        <f t="shared" ca="1" si="868"/>
        <v>#NAME?</v>
      </c>
      <c r="BU96" s="13" t="e">
        <f t="shared" ca="1" si="868"/>
        <v>#NAME?</v>
      </c>
      <c r="BV96" s="13" t="e">
        <f t="shared" ca="1" si="868"/>
        <v>#NAME?</v>
      </c>
      <c r="BW96" s="13" t="e">
        <f t="shared" ca="1" si="868"/>
        <v>#NAME?</v>
      </c>
      <c r="BX96" s="13" t="e">
        <f t="shared" ca="1" si="868"/>
        <v>#NAME?</v>
      </c>
      <c r="BY96" s="13" t="e">
        <f t="shared" ca="1" si="868"/>
        <v>#NAME?</v>
      </c>
      <c r="BZ96" s="13" t="e">
        <f t="shared" ca="1" si="868"/>
        <v>#NAME?</v>
      </c>
      <c r="CA96" s="13" t="e">
        <f t="shared" ca="1" si="868"/>
        <v>#NAME?</v>
      </c>
      <c r="CB96" s="13" t="e">
        <f t="shared" ca="1" si="868"/>
        <v>#NAME?</v>
      </c>
      <c r="CC96" s="13" t="e">
        <f t="shared" ca="1" si="868"/>
        <v>#NAME?</v>
      </c>
      <c r="CD96" s="13" t="e">
        <f t="shared" ca="1" si="868"/>
        <v>#NAME?</v>
      </c>
      <c r="CE96" s="13" t="e">
        <f t="shared" ca="1" si="868"/>
        <v>#NAME?</v>
      </c>
      <c r="CF96" s="13" t="e">
        <f t="shared" ca="1" si="868"/>
        <v>#NAME?</v>
      </c>
      <c r="CG96" s="13" t="e">
        <f t="shared" ca="1" si="868"/>
        <v>#NAME?</v>
      </c>
      <c r="CH96" s="13" t="e">
        <f t="shared" ca="1" si="868"/>
        <v>#NAME?</v>
      </c>
      <c r="CI96" s="13" t="e">
        <f t="shared" ref="CI96:CJ96" ca="1" si="869">+CI88/CI80</f>
        <v>#NAME?</v>
      </c>
      <c r="CJ96" s="13" t="e">
        <f t="shared" ca="1" si="869"/>
        <v>#NAME?</v>
      </c>
      <c r="CK96" s="13" t="e">
        <f t="shared" ref="CK96" ca="1" si="870">+CK88/CK80</f>
        <v>#NAME?</v>
      </c>
      <c r="CL96" s="13" t="e">
        <f t="shared" ref="CL96" ca="1" si="871">+CL88/CL80</f>
        <v>#NAME?</v>
      </c>
      <c r="CM96" s="37" t="e">
        <f t="shared" ca="1" si="868"/>
        <v>#NAME?</v>
      </c>
      <c r="CN96" s="37" t="e">
        <f t="shared" ca="1" si="868"/>
        <v>#NAME?</v>
      </c>
      <c r="CO96" s="37" t="e">
        <f t="shared" ca="1" si="868"/>
        <v>#NAME?</v>
      </c>
      <c r="CP96" s="37" t="e">
        <f t="shared" ca="1" si="868"/>
        <v>#NAME?</v>
      </c>
      <c r="CQ96" s="37" t="e">
        <f t="shared" ca="1" si="868"/>
        <v>#NAME?</v>
      </c>
      <c r="CR96" s="37" t="e">
        <f t="shared" ca="1" si="868"/>
        <v>#NAME?</v>
      </c>
      <c r="CS96" s="37" t="e">
        <f t="shared" ca="1" si="868"/>
        <v>#NAME?</v>
      </c>
      <c r="CT96" s="37" t="e">
        <f t="shared" ca="1" si="868"/>
        <v>#NAME?</v>
      </c>
      <c r="CU96" s="37" t="e">
        <f t="shared" ca="1" si="868"/>
        <v>#NAME?</v>
      </c>
      <c r="CV96" s="37" t="e">
        <f t="shared" ca="1" si="868"/>
        <v>#NAME?</v>
      </c>
      <c r="CW96" s="37" t="e">
        <f t="shared" ca="1" si="868"/>
        <v>#NAME?</v>
      </c>
      <c r="CX96" s="37" t="e">
        <f t="shared" ca="1" si="868"/>
        <v>#NAME?</v>
      </c>
      <c r="CY96" s="37" t="e">
        <f t="shared" ca="1" si="868"/>
        <v>#NAME?</v>
      </c>
      <c r="CZ96" s="37" t="e">
        <f t="shared" ca="1" si="868"/>
        <v>#NAME?</v>
      </c>
      <c r="DA96" s="37" t="e">
        <f t="shared" ca="1" si="868"/>
        <v>#NAME?</v>
      </c>
      <c r="DB96" s="37" t="e">
        <f t="shared" ca="1" si="868"/>
        <v>#NAME?</v>
      </c>
      <c r="DE96" s="134"/>
      <c r="DF96" s="13">
        <v>24.430634946064249</v>
      </c>
    </row>
    <row r="97" spans="1:110" s="13" customFormat="1" x14ac:dyDescent="0.2">
      <c r="A97" s="13" t="s">
        <v>461</v>
      </c>
      <c r="B97" s="13" t="e">
        <f t="shared" ref="B97:D97" ca="1" si="872">+B89/B80</f>
        <v>#NAME?</v>
      </c>
      <c r="C97" s="13" t="e">
        <f t="shared" ca="1" si="872"/>
        <v>#NAME?</v>
      </c>
      <c r="D97" s="13" t="e">
        <f t="shared" ca="1" si="872"/>
        <v>#NAME?</v>
      </c>
      <c r="E97" s="13" t="e">
        <f t="shared" ref="E97:AE97" ca="1" si="873">+E89/E80</f>
        <v>#DIV/0!</v>
      </c>
      <c r="F97" s="13" t="e">
        <f t="shared" ca="1" si="873"/>
        <v>#DIV/0!</v>
      </c>
      <c r="G97" s="13" t="e">
        <f t="shared" ca="1" si="873"/>
        <v>#DIV/0!</v>
      </c>
      <c r="H97" s="13" t="e">
        <f t="shared" ca="1" si="873"/>
        <v>#DIV/0!</v>
      </c>
      <c r="I97" s="13">
        <f t="shared" ca="1" si="873"/>
        <v>0</v>
      </c>
      <c r="J97" s="13">
        <f t="shared" ca="1" si="873"/>
        <v>0</v>
      </c>
      <c r="K97" s="13">
        <f t="shared" ca="1" si="873"/>
        <v>0</v>
      </c>
      <c r="L97" s="13">
        <f t="shared" ca="1" si="873"/>
        <v>0</v>
      </c>
      <c r="M97" s="13">
        <f t="shared" ca="1" si="873"/>
        <v>0</v>
      </c>
      <c r="N97" s="13">
        <f t="shared" ca="1" si="873"/>
        <v>0</v>
      </c>
      <c r="O97" s="13">
        <f t="shared" ca="1" si="873"/>
        <v>0</v>
      </c>
      <c r="P97" s="13">
        <f t="shared" ca="1" si="873"/>
        <v>0</v>
      </c>
      <c r="Q97" s="13">
        <f t="shared" ca="1" si="873"/>
        <v>6.0396037331350048</v>
      </c>
      <c r="R97" s="13">
        <f t="shared" ca="1" si="873"/>
        <v>23.388721871064849</v>
      </c>
      <c r="S97" s="13">
        <f t="shared" ca="1" si="873"/>
        <v>44.60450045477684</v>
      </c>
      <c r="T97" s="13">
        <f t="shared" ca="1" si="873"/>
        <v>60.742312595362563</v>
      </c>
      <c r="U97" s="13">
        <f t="shared" ca="1" si="873"/>
        <v>143.88104175205655</v>
      </c>
      <c r="V97" s="13">
        <f t="shared" ca="1" si="873"/>
        <v>102.7995532343317</v>
      </c>
      <c r="W97" s="13">
        <f t="shared" ca="1" si="873"/>
        <v>98.483418306946874</v>
      </c>
      <c r="X97" s="13">
        <f t="shared" ca="1" si="873"/>
        <v>72.321026039642362</v>
      </c>
      <c r="Y97" s="13">
        <f t="shared" ca="1" si="873"/>
        <v>43.753453153602806</v>
      </c>
      <c r="Z97" s="13">
        <f t="shared" ref="Z97:AA97" ca="1" si="874">+Z89/Z80</f>
        <v>28.394580846514767</v>
      </c>
      <c r="AA97" s="13">
        <f t="shared" ca="1" si="874"/>
        <v>28.394580846514767</v>
      </c>
      <c r="AB97" s="60">
        <f t="shared" ca="1" si="873"/>
        <v>40.000000000000043</v>
      </c>
      <c r="AC97" s="60">
        <f t="shared" ca="1" si="873"/>
        <v>39.999999999999957</v>
      </c>
      <c r="AD97" s="60">
        <f t="shared" ca="1" si="873"/>
        <v>39.999999999999986</v>
      </c>
      <c r="AE97" s="60">
        <f t="shared" ca="1" si="873"/>
        <v>40.000000000000028</v>
      </c>
      <c r="AL97" s="13" t="e">
        <f t="shared" ref="AL97:BQ97" ca="1" si="875">+AL89/AL80</f>
        <v>#NAME?</v>
      </c>
      <c r="AM97" s="13" t="e">
        <f t="shared" ca="1" si="875"/>
        <v>#NAME?</v>
      </c>
      <c r="AN97" s="13" t="e">
        <f t="shared" ca="1" si="875"/>
        <v>#NAME?</v>
      </c>
      <c r="AO97" s="13" t="e">
        <f t="shared" ca="1" si="875"/>
        <v>#NAME?</v>
      </c>
      <c r="AP97" s="13" t="e">
        <f t="shared" ca="1" si="875"/>
        <v>#NAME?</v>
      </c>
      <c r="AQ97" s="13" t="e">
        <f t="shared" ca="1" si="875"/>
        <v>#NAME?</v>
      </c>
      <c r="AR97" s="13" t="e">
        <f t="shared" ca="1" si="875"/>
        <v>#NAME?</v>
      </c>
      <c r="AS97" s="13" t="e">
        <f t="shared" ca="1" si="875"/>
        <v>#NAME?</v>
      </c>
      <c r="AT97" s="13" t="e">
        <f t="shared" ca="1" si="875"/>
        <v>#NAME?</v>
      </c>
      <c r="AU97" s="13" t="e">
        <f t="shared" ca="1" si="875"/>
        <v>#NAME?</v>
      </c>
      <c r="AV97" s="13" t="e">
        <f t="shared" ca="1" si="875"/>
        <v>#NAME?</v>
      </c>
      <c r="AW97" s="13" t="e">
        <f t="shared" ca="1" si="875"/>
        <v>#NAME?</v>
      </c>
      <c r="AX97" s="13" t="e">
        <f t="shared" ca="1" si="875"/>
        <v>#NAME?</v>
      </c>
      <c r="AY97" s="13" t="e">
        <f t="shared" ca="1" si="875"/>
        <v>#NAME?</v>
      </c>
      <c r="AZ97" s="13" t="e">
        <f t="shared" ca="1" si="875"/>
        <v>#NAME?</v>
      </c>
      <c r="BA97" s="13" t="e">
        <f t="shared" ca="1" si="875"/>
        <v>#NAME?</v>
      </c>
      <c r="BB97" s="13" t="e">
        <f t="shared" ca="1" si="875"/>
        <v>#NAME?</v>
      </c>
      <c r="BC97" s="13" t="e">
        <f t="shared" ca="1" si="875"/>
        <v>#NAME?</v>
      </c>
      <c r="BD97" s="13" t="e">
        <f t="shared" ca="1" si="875"/>
        <v>#NAME?</v>
      </c>
      <c r="BE97" s="13" t="e">
        <f t="shared" ca="1" si="875"/>
        <v>#NAME?</v>
      </c>
      <c r="BF97" s="13" t="e">
        <f t="shared" ca="1" si="875"/>
        <v>#NAME?</v>
      </c>
      <c r="BG97" s="13" t="e">
        <f t="shared" ca="1" si="875"/>
        <v>#NAME?</v>
      </c>
      <c r="BH97" s="13" t="e">
        <f t="shared" ca="1" si="875"/>
        <v>#NAME?</v>
      </c>
      <c r="BI97" s="13" t="e">
        <f t="shared" ca="1" si="875"/>
        <v>#NAME?</v>
      </c>
      <c r="BJ97" s="13" t="e">
        <f t="shared" ca="1" si="875"/>
        <v>#NAME?</v>
      </c>
      <c r="BK97" s="13" t="e">
        <f t="shared" ca="1" si="875"/>
        <v>#NAME?</v>
      </c>
      <c r="BL97" s="13" t="e">
        <f t="shared" ca="1" si="875"/>
        <v>#NAME?</v>
      </c>
      <c r="BM97" s="13" t="e">
        <f t="shared" ca="1" si="875"/>
        <v>#NAME?</v>
      </c>
      <c r="BN97" s="13" t="e">
        <f t="shared" ca="1" si="875"/>
        <v>#NAME?</v>
      </c>
      <c r="BO97" s="13" t="e">
        <f t="shared" ca="1" si="875"/>
        <v>#NAME?</v>
      </c>
      <c r="BP97" s="13" t="e">
        <f t="shared" ca="1" si="875"/>
        <v>#NAME?</v>
      </c>
      <c r="BQ97" s="13" t="e">
        <f t="shared" ca="1" si="875"/>
        <v>#NAME?</v>
      </c>
      <c r="BR97" s="13" t="e">
        <f t="shared" ref="BR97:CH97" ca="1" si="876">+BR89/BR80</f>
        <v>#NAME?</v>
      </c>
      <c r="BS97" s="13" t="e">
        <f t="shared" ca="1" si="876"/>
        <v>#NAME?</v>
      </c>
      <c r="BT97" s="13" t="e">
        <f t="shared" ca="1" si="876"/>
        <v>#NAME?</v>
      </c>
      <c r="BU97" s="13" t="e">
        <f t="shared" ca="1" si="876"/>
        <v>#NAME?</v>
      </c>
      <c r="BV97" s="13" t="e">
        <f t="shared" ca="1" si="876"/>
        <v>#NAME?</v>
      </c>
      <c r="BW97" s="13" t="e">
        <f t="shared" ca="1" si="876"/>
        <v>#NAME?</v>
      </c>
      <c r="BX97" s="13" t="e">
        <f t="shared" ca="1" si="876"/>
        <v>#NAME?</v>
      </c>
      <c r="BY97" s="13" t="e">
        <f t="shared" ca="1" si="876"/>
        <v>#NAME?</v>
      </c>
      <c r="BZ97" s="13" t="e">
        <f t="shared" ca="1" si="876"/>
        <v>#NAME?</v>
      </c>
      <c r="CA97" s="13" t="e">
        <f t="shared" ca="1" si="876"/>
        <v>#NAME?</v>
      </c>
      <c r="CB97" s="13" t="e">
        <f t="shared" ca="1" si="876"/>
        <v>#NAME?</v>
      </c>
      <c r="CC97" s="13" t="e">
        <f t="shared" ca="1" si="876"/>
        <v>#NAME?</v>
      </c>
      <c r="CD97" s="13" t="e">
        <f t="shared" ca="1" si="876"/>
        <v>#NAME?</v>
      </c>
      <c r="CE97" s="13" t="e">
        <f t="shared" ca="1" si="876"/>
        <v>#NAME?</v>
      </c>
      <c r="CF97" s="13" t="e">
        <f t="shared" ca="1" si="876"/>
        <v>#NAME?</v>
      </c>
      <c r="CG97" s="13" t="e">
        <f t="shared" ca="1" si="876"/>
        <v>#NAME?</v>
      </c>
      <c r="CH97" s="13" t="e">
        <f t="shared" ca="1" si="876"/>
        <v>#NAME?</v>
      </c>
      <c r="CI97" s="13" t="e">
        <f t="shared" ref="CI97:CJ97" ca="1" si="877">+CI89/CI80</f>
        <v>#NAME?</v>
      </c>
      <c r="CJ97" s="13" t="e">
        <f t="shared" ca="1" si="877"/>
        <v>#NAME?</v>
      </c>
      <c r="CK97" s="13" t="e">
        <f t="shared" ref="CK97" ca="1" si="878">+CK89/CK80</f>
        <v>#NAME?</v>
      </c>
      <c r="CL97" s="13" t="e">
        <f t="shared" ref="CL97" ca="1" si="879">+CL89/CL80</f>
        <v>#NAME?</v>
      </c>
      <c r="CM97" s="60">
        <v>40</v>
      </c>
      <c r="CN97" s="60">
        <f t="shared" ref="CN97:CN98" si="880">+CM97</f>
        <v>40</v>
      </c>
      <c r="CO97" s="60">
        <f t="shared" ref="CO97:CO98" si="881">+CN97</f>
        <v>40</v>
      </c>
      <c r="CP97" s="60">
        <f t="shared" ref="CP97:CP98" si="882">+CO97</f>
        <v>40</v>
      </c>
      <c r="CQ97" s="60">
        <f t="shared" ref="CQ97:CQ98" si="883">+CP97</f>
        <v>40</v>
      </c>
      <c r="CR97" s="60">
        <f t="shared" ref="CR97:CR98" si="884">+CQ97</f>
        <v>40</v>
      </c>
      <c r="CS97" s="60">
        <f t="shared" ref="CS97:CS98" si="885">+CR97</f>
        <v>40</v>
      </c>
      <c r="CT97" s="60">
        <f t="shared" ref="CT97:CT98" si="886">+CS97</f>
        <v>40</v>
      </c>
      <c r="CU97" s="60">
        <f t="shared" ref="CU97:CU98" si="887">+CT97</f>
        <v>40</v>
      </c>
      <c r="CV97" s="60">
        <f t="shared" ref="CV97:CV98" si="888">+CU97</f>
        <v>40</v>
      </c>
      <c r="CW97" s="60">
        <f t="shared" ref="CW97:CW98" si="889">+CV97</f>
        <v>40</v>
      </c>
      <c r="CX97" s="60">
        <f t="shared" ref="CX97:CX98" si="890">+CW97</f>
        <v>40</v>
      </c>
      <c r="CY97" s="60">
        <f t="shared" ref="CY97:CY98" si="891">+CX97</f>
        <v>40</v>
      </c>
      <c r="CZ97" s="60">
        <f t="shared" ref="CZ97:CZ98" si="892">+CY97</f>
        <v>40</v>
      </c>
      <c r="DA97" s="60">
        <f t="shared" ref="DA97:DA98" si="893">+CZ97</f>
        <v>40</v>
      </c>
      <c r="DB97" s="60">
        <f t="shared" ref="DB97:DB98" si="894">+DA97</f>
        <v>40</v>
      </c>
      <c r="DE97" s="136"/>
      <c r="DF97" s="13">
        <v>29.212130193314053</v>
      </c>
    </row>
    <row r="98" spans="1:110" s="13" customFormat="1" x14ac:dyDescent="0.2">
      <c r="A98" s="13" t="s">
        <v>462</v>
      </c>
      <c r="B98" s="13" t="e">
        <f t="shared" ref="B98:D98" ca="1" si="895">+B90/B80</f>
        <v>#NAME?</v>
      </c>
      <c r="C98" s="13" t="e">
        <f t="shared" ca="1" si="895"/>
        <v>#NAME?</v>
      </c>
      <c r="D98" s="13" t="e">
        <f t="shared" ca="1" si="895"/>
        <v>#NAME?</v>
      </c>
      <c r="E98" s="13" t="e">
        <f t="shared" ref="E98:AE98" ca="1" si="896">+E90/E80</f>
        <v>#DIV/0!</v>
      </c>
      <c r="F98" s="13" t="e">
        <f t="shared" ca="1" si="896"/>
        <v>#DIV/0!</v>
      </c>
      <c r="G98" s="13" t="e">
        <f t="shared" ca="1" si="896"/>
        <v>#DIV/0!</v>
      </c>
      <c r="H98" s="13" t="e">
        <f t="shared" ca="1" si="896"/>
        <v>#DIV/0!</v>
      </c>
      <c r="I98" s="13">
        <f t="shared" ca="1" si="896"/>
        <v>0</v>
      </c>
      <c r="J98" s="13">
        <f t="shared" ca="1" si="896"/>
        <v>0</v>
      </c>
      <c r="K98" s="13">
        <f t="shared" ca="1" si="896"/>
        <v>0</v>
      </c>
      <c r="L98" s="13">
        <f t="shared" ca="1" si="896"/>
        <v>0</v>
      </c>
      <c r="M98" s="13">
        <f t="shared" ca="1" si="896"/>
        <v>0</v>
      </c>
      <c r="N98" s="13">
        <f t="shared" ca="1" si="896"/>
        <v>0</v>
      </c>
      <c r="O98" s="13">
        <f t="shared" ca="1" si="896"/>
        <v>0</v>
      </c>
      <c r="P98" s="13">
        <f t="shared" ca="1" si="896"/>
        <v>0</v>
      </c>
      <c r="Q98" s="13">
        <f t="shared" ca="1" si="896"/>
        <v>6.0396037331350048</v>
      </c>
      <c r="R98" s="13">
        <f t="shared" ca="1" si="896"/>
        <v>5.0304923106290298</v>
      </c>
      <c r="S98" s="13">
        <f t="shared" ca="1" si="896"/>
        <v>19.067095499238878</v>
      </c>
      <c r="T98" s="13">
        <f t="shared" ca="1" si="896"/>
        <v>17.510965671430782</v>
      </c>
      <c r="U98" s="13">
        <f t="shared" ca="1" si="896"/>
        <v>29.639494600923648</v>
      </c>
      <c r="V98" s="13">
        <f t="shared" ca="1" si="896"/>
        <v>19.500920274351866</v>
      </c>
      <c r="W98" s="13">
        <f t="shared" ca="1" si="896"/>
        <v>30.33980395561381</v>
      </c>
      <c r="X98" s="13">
        <f t="shared" ca="1" si="896"/>
        <v>34.185358947309943</v>
      </c>
      <c r="Y98" s="13">
        <f t="shared" ca="1" si="896"/>
        <v>22.770011649192814</v>
      </c>
      <c r="Z98" s="13">
        <f t="shared" ref="Z98:AA98" ca="1" si="897">+Z90/Z80</f>
        <v>17.607967614782105</v>
      </c>
      <c r="AA98" s="13">
        <f t="shared" ca="1" si="897"/>
        <v>17.607967614782105</v>
      </c>
      <c r="AB98" s="60">
        <f t="shared" ca="1" si="896"/>
        <v>15.708752528028027</v>
      </c>
      <c r="AC98" s="60">
        <f t="shared" ca="1" si="896"/>
        <v>19.098182925911807</v>
      </c>
      <c r="AD98" s="60">
        <f t="shared" ca="1" si="896"/>
        <v>19.138145041526453</v>
      </c>
      <c r="AE98" s="60">
        <f t="shared" ca="1" si="896"/>
        <v>19.153378707419947</v>
      </c>
      <c r="AL98" s="13" t="e">
        <f t="shared" ref="AL98:BQ98" ca="1" si="898">+AL90/AL80</f>
        <v>#NAME?</v>
      </c>
      <c r="AM98" s="13" t="e">
        <f t="shared" ca="1" si="898"/>
        <v>#NAME?</v>
      </c>
      <c r="AN98" s="13" t="e">
        <f t="shared" ca="1" si="898"/>
        <v>#NAME?</v>
      </c>
      <c r="AO98" s="13" t="e">
        <f t="shared" ca="1" si="898"/>
        <v>#NAME?</v>
      </c>
      <c r="AP98" s="13" t="e">
        <f t="shared" ca="1" si="898"/>
        <v>#NAME?</v>
      </c>
      <c r="AQ98" s="13" t="e">
        <f t="shared" ca="1" si="898"/>
        <v>#NAME?</v>
      </c>
      <c r="AR98" s="13" t="e">
        <f t="shared" ca="1" si="898"/>
        <v>#NAME?</v>
      </c>
      <c r="AS98" s="13" t="e">
        <f t="shared" ca="1" si="898"/>
        <v>#NAME?</v>
      </c>
      <c r="AT98" s="13" t="e">
        <f t="shared" ca="1" si="898"/>
        <v>#NAME?</v>
      </c>
      <c r="AU98" s="13" t="e">
        <f t="shared" ca="1" si="898"/>
        <v>#NAME?</v>
      </c>
      <c r="AV98" s="13" t="e">
        <f t="shared" ca="1" si="898"/>
        <v>#NAME?</v>
      </c>
      <c r="AW98" s="13" t="e">
        <f t="shared" ca="1" si="898"/>
        <v>#NAME?</v>
      </c>
      <c r="AX98" s="13" t="e">
        <f t="shared" ca="1" si="898"/>
        <v>#NAME?</v>
      </c>
      <c r="AY98" s="13" t="e">
        <f t="shared" ca="1" si="898"/>
        <v>#NAME?</v>
      </c>
      <c r="AZ98" s="13" t="e">
        <f t="shared" ca="1" si="898"/>
        <v>#NAME?</v>
      </c>
      <c r="BA98" s="13" t="e">
        <f t="shared" ca="1" si="898"/>
        <v>#NAME?</v>
      </c>
      <c r="BB98" s="13" t="e">
        <f t="shared" ca="1" si="898"/>
        <v>#NAME?</v>
      </c>
      <c r="BC98" s="13" t="e">
        <f t="shared" ca="1" si="898"/>
        <v>#NAME?</v>
      </c>
      <c r="BD98" s="13" t="e">
        <f t="shared" ca="1" si="898"/>
        <v>#NAME?</v>
      </c>
      <c r="BE98" s="13" t="e">
        <f t="shared" ca="1" si="898"/>
        <v>#NAME?</v>
      </c>
      <c r="BF98" s="13" t="e">
        <f t="shared" ca="1" si="898"/>
        <v>#NAME?</v>
      </c>
      <c r="BG98" s="13" t="e">
        <f t="shared" ca="1" si="898"/>
        <v>#NAME?</v>
      </c>
      <c r="BH98" s="13" t="e">
        <f t="shared" ca="1" si="898"/>
        <v>#NAME?</v>
      </c>
      <c r="BI98" s="13" t="e">
        <f t="shared" ca="1" si="898"/>
        <v>#NAME?</v>
      </c>
      <c r="BJ98" s="13" t="e">
        <f t="shared" ca="1" si="898"/>
        <v>#NAME?</v>
      </c>
      <c r="BK98" s="13" t="e">
        <f t="shared" ca="1" si="898"/>
        <v>#NAME?</v>
      </c>
      <c r="BL98" s="13" t="e">
        <f t="shared" ca="1" si="898"/>
        <v>#NAME?</v>
      </c>
      <c r="BM98" s="13" t="e">
        <f t="shared" ca="1" si="898"/>
        <v>#NAME?</v>
      </c>
      <c r="BN98" s="13" t="e">
        <f t="shared" ca="1" si="898"/>
        <v>#NAME?</v>
      </c>
      <c r="BO98" s="13" t="e">
        <f t="shared" ca="1" si="898"/>
        <v>#NAME?</v>
      </c>
      <c r="BP98" s="13" t="e">
        <f t="shared" ca="1" si="898"/>
        <v>#NAME?</v>
      </c>
      <c r="BQ98" s="13" t="e">
        <f t="shared" ca="1" si="898"/>
        <v>#NAME?</v>
      </c>
      <c r="BR98" s="13" t="e">
        <f t="shared" ref="BR98:CH98" ca="1" si="899">+BR90/BR80</f>
        <v>#NAME?</v>
      </c>
      <c r="BS98" s="13" t="e">
        <f t="shared" ca="1" si="899"/>
        <v>#NAME?</v>
      </c>
      <c r="BT98" s="13" t="e">
        <f t="shared" ca="1" si="899"/>
        <v>#NAME?</v>
      </c>
      <c r="BU98" s="13" t="e">
        <f t="shared" ca="1" si="899"/>
        <v>#NAME?</v>
      </c>
      <c r="BV98" s="13" t="e">
        <f t="shared" ca="1" si="899"/>
        <v>#NAME?</v>
      </c>
      <c r="BW98" s="13" t="e">
        <f t="shared" ca="1" si="899"/>
        <v>#NAME?</v>
      </c>
      <c r="BX98" s="13" t="e">
        <f t="shared" ca="1" si="899"/>
        <v>#NAME?</v>
      </c>
      <c r="BY98" s="13" t="e">
        <f t="shared" ca="1" si="899"/>
        <v>#NAME?</v>
      </c>
      <c r="BZ98" s="13" t="e">
        <f t="shared" ca="1" si="899"/>
        <v>#NAME?</v>
      </c>
      <c r="CA98" s="13" t="e">
        <f t="shared" ca="1" si="899"/>
        <v>#NAME?</v>
      </c>
      <c r="CB98" s="13" t="e">
        <f t="shared" ca="1" si="899"/>
        <v>#NAME?</v>
      </c>
      <c r="CC98" s="13" t="e">
        <f t="shared" ca="1" si="899"/>
        <v>#NAME?</v>
      </c>
      <c r="CD98" s="13" t="e">
        <f t="shared" ca="1" si="899"/>
        <v>#NAME?</v>
      </c>
      <c r="CE98" s="13" t="e">
        <f t="shared" ca="1" si="899"/>
        <v>#NAME?</v>
      </c>
      <c r="CF98" s="13" t="e">
        <f t="shared" ca="1" si="899"/>
        <v>#NAME?</v>
      </c>
      <c r="CG98" s="13" t="e">
        <f t="shared" ca="1" si="899"/>
        <v>#NAME?</v>
      </c>
      <c r="CH98" s="13" t="e">
        <f t="shared" ca="1" si="899"/>
        <v>#NAME?</v>
      </c>
      <c r="CI98" s="13" t="e">
        <f t="shared" ref="CI98:CJ98" ca="1" si="900">+CI90/CI80</f>
        <v>#NAME?</v>
      </c>
      <c r="CJ98" s="13" t="e">
        <f t="shared" ca="1" si="900"/>
        <v>#NAME?</v>
      </c>
      <c r="CK98" s="13" t="e">
        <f t="shared" ref="CK98" ca="1" si="901">+CK90/CK80</f>
        <v>#NAME?</v>
      </c>
      <c r="CL98" s="13" t="e">
        <f t="shared" ref="CL98" ca="1" si="902">+CL90/CL80</f>
        <v>#NAME?</v>
      </c>
      <c r="CM98" s="60">
        <v>26</v>
      </c>
      <c r="CN98" s="60">
        <f t="shared" si="880"/>
        <v>26</v>
      </c>
      <c r="CO98" s="60">
        <f t="shared" si="881"/>
        <v>26</v>
      </c>
      <c r="CP98" s="60">
        <f t="shared" si="882"/>
        <v>26</v>
      </c>
      <c r="CQ98" s="60">
        <f t="shared" si="883"/>
        <v>26</v>
      </c>
      <c r="CR98" s="60">
        <f t="shared" si="884"/>
        <v>26</v>
      </c>
      <c r="CS98" s="60">
        <f t="shared" si="885"/>
        <v>26</v>
      </c>
      <c r="CT98" s="60">
        <f t="shared" si="886"/>
        <v>26</v>
      </c>
      <c r="CU98" s="60">
        <f t="shared" si="887"/>
        <v>26</v>
      </c>
      <c r="CV98" s="60">
        <f t="shared" si="888"/>
        <v>26</v>
      </c>
      <c r="CW98" s="60">
        <f t="shared" si="889"/>
        <v>26</v>
      </c>
      <c r="CX98" s="60">
        <f t="shared" si="890"/>
        <v>26</v>
      </c>
      <c r="CY98" s="60">
        <f t="shared" si="891"/>
        <v>26</v>
      </c>
      <c r="CZ98" s="60">
        <f t="shared" si="892"/>
        <v>26</v>
      </c>
      <c r="DA98" s="60">
        <f t="shared" si="893"/>
        <v>26</v>
      </c>
      <c r="DB98" s="60">
        <f t="shared" si="894"/>
        <v>26</v>
      </c>
      <c r="DE98" s="136"/>
      <c r="DF98" s="13">
        <v>9.2802217505072981</v>
      </c>
    </row>
    <row r="99" spans="1:110" s="13" customFormat="1" x14ac:dyDescent="0.2">
      <c r="AB99" s="60"/>
      <c r="AC99" s="60"/>
      <c r="AD99" s="60"/>
      <c r="AE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E99" s="136"/>
    </row>
    <row r="100" spans="1:110" s="13" customFormat="1" x14ac:dyDescent="0.2">
      <c r="A100" s="13" t="s">
        <v>463</v>
      </c>
      <c r="B100" s="13" t="e">
        <f t="shared" ref="B100:AD100" ca="1" si="903">+B89/C80</f>
        <v>#NAME?</v>
      </c>
      <c r="C100" s="13" t="e">
        <f t="shared" ca="1" si="903"/>
        <v>#NAME?</v>
      </c>
      <c r="D100" s="13" t="e">
        <f t="shared" ca="1" si="903"/>
        <v>#DIV/0!</v>
      </c>
      <c r="E100" s="13" t="e">
        <f t="shared" ca="1" si="903"/>
        <v>#DIV/0!</v>
      </c>
      <c r="F100" s="13" t="e">
        <f t="shared" ca="1" si="903"/>
        <v>#DIV/0!</v>
      </c>
      <c r="G100" s="13" t="e">
        <f t="shared" ca="1" si="903"/>
        <v>#DIV/0!</v>
      </c>
      <c r="H100" s="13">
        <f t="shared" ca="1" si="903"/>
        <v>0</v>
      </c>
      <c r="I100" s="13">
        <f t="shared" ca="1" si="903"/>
        <v>0</v>
      </c>
      <c r="J100" s="13">
        <f t="shared" ca="1" si="903"/>
        <v>0</v>
      </c>
      <c r="K100" s="13">
        <f t="shared" ca="1" si="903"/>
        <v>0</v>
      </c>
      <c r="L100" s="13">
        <f t="shared" ca="1" si="903"/>
        <v>0</v>
      </c>
      <c r="M100" s="13">
        <f t="shared" ca="1" si="903"/>
        <v>0</v>
      </c>
      <c r="N100" s="13">
        <f t="shared" ca="1" si="903"/>
        <v>0</v>
      </c>
      <c r="O100" s="13">
        <f t="shared" ca="1" si="903"/>
        <v>0</v>
      </c>
      <c r="P100" s="13">
        <f t="shared" ca="1" si="903"/>
        <v>0</v>
      </c>
      <c r="Q100" s="13">
        <f t="shared" ca="1" si="903"/>
        <v>4.7927708752182072</v>
      </c>
      <c r="R100" s="13">
        <f t="shared" ca="1" si="903"/>
        <v>19.067095499238878</v>
      </c>
      <c r="S100" s="13">
        <f t="shared" ca="1" si="903"/>
        <v>17.510965671430782</v>
      </c>
      <c r="T100" s="13">
        <f t="shared" ca="1" si="903"/>
        <v>142.44223133453599</v>
      </c>
      <c r="U100" s="13">
        <f t="shared" ca="1" si="903"/>
        <v>86.096778253209123</v>
      </c>
      <c r="V100" s="13">
        <f t="shared" ca="1" si="903"/>
        <v>51.574211166006393</v>
      </c>
      <c r="W100" s="13">
        <f t="shared" ca="1" si="903"/>
        <v>57.735272888790128</v>
      </c>
      <c r="X100" s="13">
        <f t="shared" ca="1" si="903"/>
        <v>50.023964053918981</v>
      </c>
      <c r="Y100" s="13">
        <f t="shared" ca="1" si="903"/>
        <v>34.633624489547799</v>
      </c>
      <c r="Z100" s="13">
        <f t="shared" ref="Z100:AA100" ca="1" si="904">+Z89/AA80</f>
        <v>14.96409270532946</v>
      </c>
      <c r="AA100" s="13">
        <f t="shared" ca="1" si="904"/>
        <v>14.96409270532946</v>
      </c>
      <c r="AB100" s="37">
        <f t="shared" ca="1" si="903"/>
        <v>28.176238339301701</v>
      </c>
      <c r="AC100" s="37">
        <f t="shared" ca="1" si="903"/>
        <v>28.087873237048509</v>
      </c>
      <c r="AD100" s="37">
        <f t="shared" ca="1" si="903"/>
        <v>28.119449716843775</v>
      </c>
      <c r="AE100" s="37"/>
      <c r="AL100" s="13" t="e">
        <f t="shared" ref="AL100:BQ100" ca="1" si="905">+AL89/AP80</f>
        <v>#NAME?</v>
      </c>
      <c r="AM100" s="13" t="e">
        <f t="shared" ca="1" si="905"/>
        <v>#NAME?</v>
      </c>
      <c r="AN100" s="13" t="e">
        <f t="shared" ca="1" si="905"/>
        <v>#NAME?</v>
      </c>
      <c r="AO100" s="13" t="e">
        <f t="shared" ca="1" si="905"/>
        <v>#NAME?</v>
      </c>
      <c r="AP100" s="13" t="e">
        <f t="shared" ca="1" si="905"/>
        <v>#NAME?</v>
      </c>
      <c r="AQ100" s="13" t="e">
        <f t="shared" ca="1" si="905"/>
        <v>#NAME?</v>
      </c>
      <c r="AR100" s="13" t="e">
        <f t="shared" ca="1" si="905"/>
        <v>#NAME?</v>
      </c>
      <c r="AS100" s="13" t="e">
        <f t="shared" ca="1" si="905"/>
        <v>#NAME?</v>
      </c>
      <c r="AT100" s="13" t="e">
        <f t="shared" ca="1" si="905"/>
        <v>#NAME?</v>
      </c>
      <c r="AU100" s="13" t="e">
        <f t="shared" ca="1" si="905"/>
        <v>#NAME?</v>
      </c>
      <c r="AV100" s="13" t="e">
        <f t="shared" ca="1" si="905"/>
        <v>#NAME?</v>
      </c>
      <c r="AW100" s="13" t="e">
        <f t="shared" ca="1" si="905"/>
        <v>#NAME?</v>
      </c>
      <c r="AX100" s="13" t="e">
        <f t="shared" ca="1" si="905"/>
        <v>#NAME?</v>
      </c>
      <c r="AY100" s="13" t="e">
        <f t="shared" ca="1" si="905"/>
        <v>#NAME?</v>
      </c>
      <c r="AZ100" s="13" t="e">
        <f t="shared" ca="1" si="905"/>
        <v>#NAME?</v>
      </c>
      <c r="BA100" s="13" t="e">
        <f t="shared" ca="1" si="905"/>
        <v>#NAME?</v>
      </c>
      <c r="BB100" s="13" t="e">
        <f t="shared" ca="1" si="905"/>
        <v>#NAME?</v>
      </c>
      <c r="BC100" s="13" t="e">
        <f t="shared" ca="1" si="905"/>
        <v>#NAME?</v>
      </c>
      <c r="BD100" s="13" t="e">
        <f t="shared" ca="1" si="905"/>
        <v>#NAME?</v>
      </c>
      <c r="BE100" s="13" t="e">
        <f t="shared" ca="1" si="905"/>
        <v>#NAME?</v>
      </c>
      <c r="BF100" s="13" t="e">
        <f t="shared" ca="1" si="905"/>
        <v>#NAME?</v>
      </c>
      <c r="BG100" s="13" t="e">
        <f t="shared" ca="1" si="905"/>
        <v>#NAME?</v>
      </c>
      <c r="BH100" s="13" t="e">
        <f t="shared" ca="1" si="905"/>
        <v>#NAME?</v>
      </c>
      <c r="BI100" s="13" t="e">
        <f t="shared" ca="1" si="905"/>
        <v>#NAME?</v>
      </c>
      <c r="BJ100" s="13" t="e">
        <f t="shared" ca="1" si="905"/>
        <v>#NAME?</v>
      </c>
      <c r="BK100" s="13" t="e">
        <f t="shared" ca="1" si="905"/>
        <v>#NAME?</v>
      </c>
      <c r="BL100" s="13" t="e">
        <f t="shared" ca="1" si="905"/>
        <v>#NAME?</v>
      </c>
      <c r="BM100" s="13" t="e">
        <f t="shared" ca="1" si="905"/>
        <v>#NAME?</v>
      </c>
      <c r="BN100" s="13" t="e">
        <f t="shared" ca="1" si="905"/>
        <v>#NAME?</v>
      </c>
      <c r="BO100" s="13" t="e">
        <f t="shared" ca="1" si="905"/>
        <v>#NAME?</v>
      </c>
      <c r="BP100" s="13" t="e">
        <f t="shared" ca="1" si="905"/>
        <v>#NAME?</v>
      </c>
      <c r="BQ100" s="13" t="e">
        <f t="shared" ca="1" si="905"/>
        <v>#NAME?</v>
      </c>
      <c r="BR100" s="13" t="e">
        <f t="shared" ref="BR100:CL100" ca="1" si="906">+BR89/BV80</f>
        <v>#NAME?</v>
      </c>
      <c r="BS100" s="13" t="e">
        <f t="shared" ca="1" si="906"/>
        <v>#NAME?</v>
      </c>
      <c r="BT100" s="13" t="e">
        <f t="shared" ca="1" si="906"/>
        <v>#NAME?</v>
      </c>
      <c r="BU100" s="13" t="e">
        <f t="shared" ca="1" si="906"/>
        <v>#NAME?</v>
      </c>
      <c r="BV100" s="13" t="e">
        <f t="shared" ca="1" si="906"/>
        <v>#NAME?</v>
      </c>
      <c r="BW100" s="13" t="e">
        <f t="shared" ca="1" si="906"/>
        <v>#NAME?</v>
      </c>
      <c r="BX100" s="13" t="e">
        <f t="shared" ca="1" si="906"/>
        <v>#NAME?</v>
      </c>
      <c r="BY100" s="13" t="e">
        <f t="shared" ca="1" si="906"/>
        <v>#NAME?</v>
      </c>
      <c r="BZ100" s="13" t="e">
        <f t="shared" ca="1" si="906"/>
        <v>#NAME?</v>
      </c>
      <c r="CA100" s="13" t="e">
        <f t="shared" ca="1" si="906"/>
        <v>#NAME?</v>
      </c>
      <c r="CB100" s="13" t="e">
        <f t="shared" ca="1" si="906"/>
        <v>#NAME?</v>
      </c>
      <c r="CC100" s="13" t="e">
        <f t="shared" ca="1" si="906"/>
        <v>#NAME?</v>
      </c>
      <c r="CD100" s="13" t="e">
        <f t="shared" ca="1" si="906"/>
        <v>#NAME?</v>
      </c>
      <c r="CE100" s="13" t="e">
        <f t="shared" ca="1" si="906"/>
        <v>#NAME?</v>
      </c>
      <c r="CF100" s="13" t="e">
        <f t="shared" ca="1" si="906"/>
        <v>#NAME?</v>
      </c>
      <c r="CG100" s="13" t="e">
        <f t="shared" ca="1" si="906"/>
        <v>#NAME?</v>
      </c>
      <c r="CH100" s="13" t="e">
        <f t="shared" ca="1" si="906"/>
        <v>#NAME?</v>
      </c>
      <c r="CI100" s="13" t="e">
        <f t="shared" ca="1" si="906"/>
        <v>#NAME?</v>
      </c>
      <c r="CJ100" s="13" t="e">
        <f t="shared" ca="1" si="906"/>
        <v>#NAME?</v>
      </c>
      <c r="CK100" s="13" t="e">
        <f t="shared" ca="1" si="906"/>
        <v>#NAME?</v>
      </c>
      <c r="CL100" s="13" t="e">
        <f t="shared" ca="1" si="906"/>
        <v>#NAME?</v>
      </c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  <c r="DF100" s="13">
        <v>18.642368727359493</v>
      </c>
    </row>
    <row r="101" spans="1:110" s="98" customFormat="1" x14ac:dyDescent="0.2">
      <c r="A101" s="98" t="s">
        <v>426</v>
      </c>
      <c r="AB101" s="99"/>
      <c r="AC101" s="99"/>
      <c r="AD101" s="99"/>
      <c r="AE101" s="99"/>
      <c r="AL101" s="175"/>
      <c r="AM101" s="175"/>
      <c r="AN101" s="175"/>
      <c r="AO101" s="175" t="e">
        <f t="shared" ref="AO101:CI101" ca="1" si="907">+CORREL(AL80:AO80,AL97:AO97)</f>
        <v>#NAME?</v>
      </c>
      <c r="AP101" s="175" t="e">
        <f t="shared" ca="1" si="907"/>
        <v>#NAME?</v>
      </c>
      <c r="AQ101" s="175" t="e">
        <f t="shared" ca="1" si="907"/>
        <v>#NAME?</v>
      </c>
      <c r="AR101" s="175" t="e">
        <f t="shared" ca="1" si="907"/>
        <v>#NAME?</v>
      </c>
      <c r="AS101" s="175" t="e">
        <f t="shared" ca="1" si="907"/>
        <v>#NAME?</v>
      </c>
      <c r="AT101" s="175" t="e">
        <f t="shared" ca="1" si="907"/>
        <v>#NAME?</v>
      </c>
      <c r="AU101" s="175" t="e">
        <f t="shared" ca="1" si="907"/>
        <v>#NAME?</v>
      </c>
      <c r="AV101" s="175" t="e">
        <f t="shared" ca="1" si="907"/>
        <v>#NAME?</v>
      </c>
      <c r="AW101" s="175" t="e">
        <f t="shared" ca="1" si="907"/>
        <v>#NAME?</v>
      </c>
      <c r="AX101" s="175" t="e">
        <f t="shared" ca="1" si="907"/>
        <v>#NAME?</v>
      </c>
      <c r="AY101" s="175" t="e">
        <f t="shared" ca="1" si="907"/>
        <v>#NAME?</v>
      </c>
      <c r="AZ101" s="175" t="e">
        <f t="shared" ca="1" si="907"/>
        <v>#NAME?</v>
      </c>
      <c r="BA101" s="175" t="e">
        <f t="shared" ca="1" si="907"/>
        <v>#NAME?</v>
      </c>
      <c r="BB101" s="175" t="e">
        <f t="shared" ca="1" si="907"/>
        <v>#NAME?</v>
      </c>
      <c r="BC101" s="175" t="e">
        <f t="shared" ca="1" si="907"/>
        <v>#NAME?</v>
      </c>
      <c r="BD101" s="175" t="e">
        <f t="shared" ca="1" si="907"/>
        <v>#NAME?</v>
      </c>
      <c r="BE101" s="175" t="e">
        <f t="shared" ca="1" si="907"/>
        <v>#NAME?</v>
      </c>
      <c r="BF101" s="175" t="e">
        <f t="shared" ca="1" si="907"/>
        <v>#NAME?</v>
      </c>
      <c r="BG101" s="175" t="e">
        <f t="shared" ca="1" si="907"/>
        <v>#NAME?</v>
      </c>
      <c r="BH101" s="175" t="e">
        <f t="shared" ca="1" si="907"/>
        <v>#NAME?</v>
      </c>
      <c r="BI101" s="175" t="e">
        <f t="shared" ca="1" si="907"/>
        <v>#NAME?</v>
      </c>
      <c r="BJ101" s="175" t="e">
        <f t="shared" ca="1" si="907"/>
        <v>#NAME?</v>
      </c>
      <c r="BK101" s="175" t="e">
        <f t="shared" ca="1" si="907"/>
        <v>#NAME?</v>
      </c>
      <c r="BL101" s="175" t="e">
        <f t="shared" ca="1" si="907"/>
        <v>#NAME?</v>
      </c>
      <c r="BM101" s="175" t="e">
        <f t="shared" ca="1" si="907"/>
        <v>#NAME?</v>
      </c>
      <c r="BN101" s="175" t="e">
        <f t="shared" ca="1" si="907"/>
        <v>#NAME?</v>
      </c>
      <c r="BO101" s="175" t="e">
        <f t="shared" ca="1" si="907"/>
        <v>#NAME?</v>
      </c>
      <c r="BP101" s="175" t="e">
        <f t="shared" ca="1" si="907"/>
        <v>#NAME?</v>
      </c>
      <c r="BQ101" s="175" t="e">
        <f t="shared" ca="1" si="907"/>
        <v>#NAME?</v>
      </c>
      <c r="BR101" s="175" t="e">
        <f t="shared" ca="1" si="907"/>
        <v>#NAME?</v>
      </c>
      <c r="BS101" s="175" t="e">
        <f t="shared" ca="1" si="907"/>
        <v>#NAME?</v>
      </c>
      <c r="BT101" s="175" t="e">
        <f t="shared" ca="1" si="907"/>
        <v>#NAME?</v>
      </c>
      <c r="BU101" s="175" t="e">
        <f t="shared" ca="1" si="907"/>
        <v>#NAME?</v>
      </c>
      <c r="BV101" s="175" t="e">
        <f t="shared" ca="1" si="907"/>
        <v>#NAME?</v>
      </c>
      <c r="BW101" s="175" t="e">
        <f t="shared" ca="1" si="907"/>
        <v>#NAME?</v>
      </c>
      <c r="BX101" s="175" t="e">
        <f t="shared" ca="1" si="907"/>
        <v>#NAME?</v>
      </c>
      <c r="BY101" s="175" t="e">
        <f t="shared" ca="1" si="907"/>
        <v>#NAME?</v>
      </c>
      <c r="BZ101" s="175" t="e">
        <f t="shared" ca="1" si="907"/>
        <v>#NAME?</v>
      </c>
      <c r="CA101" s="175" t="e">
        <f t="shared" ca="1" si="907"/>
        <v>#NAME?</v>
      </c>
      <c r="CB101" s="175" t="e">
        <f t="shared" ca="1" si="907"/>
        <v>#NAME?</v>
      </c>
      <c r="CC101" s="175" t="e">
        <f t="shared" ca="1" si="907"/>
        <v>#NAME?</v>
      </c>
      <c r="CD101" s="175" t="e">
        <f t="shared" ca="1" si="907"/>
        <v>#NAME?</v>
      </c>
      <c r="CE101" s="175" t="e">
        <f t="shared" ca="1" si="907"/>
        <v>#NAME?</v>
      </c>
      <c r="CF101" s="175" t="e">
        <f t="shared" ca="1" si="907"/>
        <v>#NAME?</v>
      </c>
      <c r="CG101" s="175" t="e">
        <f t="shared" ca="1" si="907"/>
        <v>#NAME?</v>
      </c>
      <c r="CH101" s="175" t="e">
        <f t="shared" ca="1" si="907"/>
        <v>#NAME?</v>
      </c>
      <c r="CI101" s="175" t="e">
        <f t="shared" ca="1" si="907"/>
        <v>#NAME?</v>
      </c>
      <c r="CJ101" s="175" t="e">
        <f ca="1">+CORREL(CG80:CJ80,CG97:CJ97)</f>
        <v>#NAME?</v>
      </c>
      <c r="CK101" s="175" t="e">
        <f ca="1">+CORREL(CH80:CK80,CH97:CK97)</f>
        <v>#NAME?</v>
      </c>
      <c r="CL101" s="175" t="e">
        <f ca="1">+CORREL(CI80:CL80,CI97:CL97)</f>
        <v>#NAME?</v>
      </c>
      <c r="CM101" s="99"/>
      <c r="CN101" s="99"/>
      <c r="CO101" s="99"/>
      <c r="CP101" s="99"/>
      <c r="CQ101" s="99"/>
      <c r="CR101" s="99"/>
      <c r="CS101" s="99"/>
      <c r="CT101" s="99"/>
      <c r="CU101" s="99"/>
      <c r="CV101" s="99"/>
      <c r="CW101" s="99"/>
      <c r="CX101" s="99"/>
      <c r="CY101" s="99"/>
      <c r="CZ101" s="99"/>
      <c r="DA101" s="99"/>
      <c r="DB101" s="99"/>
      <c r="DE101" s="137"/>
      <c r="DF101" s="175"/>
    </row>
    <row r="102" spans="1:110" s="4" customFormat="1" x14ac:dyDescent="0.2">
      <c r="A102" s="3"/>
      <c r="AB102" s="17"/>
      <c r="AC102" s="17"/>
      <c r="AD102" s="17"/>
      <c r="AE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0" s="162" customFormat="1" x14ac:dyDescent="0.2">
      <c r="A103" s="49" t="s">
        <v>505</v>
      </c>
      <c r="E103" s="162">
        <f t="shared" ref="E103:AE103" ca="1" si="908">+E$131/E$76</f>
        <v>0</v>
      </c>
      <c r="F103" s="162">
        <f t="shared" ca="1" si="908"/>
        <v>0</v>
      </c>
      <c r="G103" s="162">
        <f t="shared" ca="1" si="908"/>
        <v>0</v>
      </c>
      <c r="H103" s="162">
        <f t="shared" ca="1" si="908"/>
        <v>0</v>
      </c>
      <c r="I103" s="162">
        <f t="shared" ca="1" si="908"/>
        <v>5.7395591083500825</v>
      </c>
      <c r="J103" s="162">
        <f t="shared" ca="1" si="908"/>
        <v>5.6258885437602784</v>
      </c>
      <c r="K103" s="162">
        <f t="shared" ca="1" si="908"/>
        <v>5.5525342590900788</v>
      </c>
      <c r="L103" s="162">
        <f t="shared" ca="1" si="908"/>
        <v>5.3686756806139231</v>
      </c>
      <c r="M103" s="162">
        <f t="shared" ca="1" si="908"/>
        <v>4.8522486753151846</v>
      </c>
      <c r="N103" s="162">
        <f t="shared" ca="1" si="908"/>
        <v>4.8227593641512883</v>
      </c>
      <c r="O103" s="162">
        <f t="shared" ca="1" si="908"/>
        <v>5.2110162616480906</v>
      </c>
      <c r="P103" s="162">
        <f t="shared" ca="1" si="908"/>
        <v>5.6356272610999456</v>
      </c>
      <c r="Q103" s="162">
        <f t="shared" ca="1" si="908"/>
        <v>7.2353349168646091</v>
      </c>
      <c r="R103" s="162">
        <f t="shared" ca="1" si="908"/>
        <v>13.265146890188197</v>
      </c>
      <c r="S103" s="162">
        <f t="shared" ca="1" si="908"/>
        <v>40.494622428284302</v>
      </c>
      <c r="T103" s="162">
        <f t="shared" ca="1" si="908"/>
        <v>71.23919044582496</v>
      </c>
      <c r="U103" s="162">
        <f t="shared" ca="1" si="908"/>
        <v>75.500310213776729</v>
      </c>
      <c r="V103" s="162">
        <f t="shared" ca="1" si="908"/>
        <v>78.695779280102315</v>
      </c>
      <c r="W103" s="162">
        <f t="shared" ca="1" si="908"/>
        <v>124.35684268225836</v>
      </c>
      <c r="X103" s="162">
        <f t="shared" ca="1" si="908"/>
        <v>176.09318472501369</v>
      </c>
      <c r="Y103" s="162">
        <f t="shared" ca="1" si="908"/>
        <v>221.9462817467568</v>
      </c>
      <c r="Z103" s="162">
        <f t="shared" ca="1" si="908"/>
        <v>258.32760825872464</v>
      </c>
      <c r="AA103" s="162">
        <f t="shared" ca="1" si="908"/>
        <v>258.32760825872464</v>
      </c>
      <c r="AB103" s="21">
        <f t="shared" ca="1" si="908"/>
        <v>615.37430413576988</v>
      </c>
      <c r="AC103" s="21">
        <f t="shared" ca="1" si="908"/>
        <v>767.6002493984787</v>
      </c>
      <c r="AD103" s="21">
        <f t="shared" ca="1" si="908"/>
        <v>984.38554172444856</v>
      </c>
      <c r="AE103" s="21">
        <f t="shared" ca="1" si="908"/>
        <v>1292.7632582287854</v>
      </c>
      <c r="AL103" s="162" t="e">
        <f t="shared" ref="AL103:BQ103" ca="1" si="909">+AL$131/AL$76</f>
        <v>#NAME?</v>
      </c>
      <c r="AM103" s="162" t="e">
        <f t="shared" ca="1" si="909"/>
        <v>#NAME?</v>
      </c>
      <c r="AN103" s="162" t="e">
        <f t="shared" ca="1" si="909"/>
        <v>#NAME?</v>
      </c>
      <c r="AO103" s="162" t="e">
        <f t="shared" ca="1" si="909"/>
        <v>#NAME?</v>
      </c>
      <c r="AP103" s="162" t="e">
        <f t="shared" ca="1" si="909"/>
        <v>#NAME?</v>
      </c>
      <c r="AQ103" s="162" t="e">
        <f t="shared" ca="1" si="909"/>
        <v>#NAME?</v>
      </c>
      <c r="AR103" s="162" t="e">
        <f t="shared" ca="1" si="909"/>
        <v>#NAME?</v>
      </c>
      <c r="AS103" s="162" t="e">
        <f t="shared" ca="1" si="909"/>
        <v>#NAME?</v>
      </c>
      <c r="AT103" s="162" t="e">
        <f t="shared" ca="1" si="909"/>
        <v>#NAME?</v>
      </c>
      <c r="AU103" s="162" t="e">
        <f t="shared" ca="1" si="909"/>
        <v>#NAME?</v>
      </c>
      <c r="AV103" s="162" t="e">
        <f t="shared" ca="1" si="909"/>
        <v>#NAME?</v>
      </c>
      <c r="AW103" s="162" t="e">
        <f t="shared" ca="1" si="909"/>
        <v>#NAME?</v>
      </c>
      <c r="AX103" s="162" t="e">
        <f t="shared" ca="1" si="909"/>
        <v>#NAME?</v>
      </c>
      <c r="AY103" s="162" t="e">
        <f t="shared" ca="1" si="909"/>
        <v>#NAME?</v>
      </c>
      <c r="AZ103" s="162" t="e">
        <f t="shared" ca="1" si="909"/>
        <v>#NAME?</v>
      </c>
      <c r="BA103" s="162" t="e">
        <f t="shared" ca="1" si="909"/>
        <v>#NAME?</v>
      </c>
      <c r="BB103" s="162" t="e">
        <f t="shared" ca="1" si="909"/>
        <v>#NAME?</v>
      </c>
      <c r="BC103" s="162" t="e">
        <f t="shared" ca="1" si="909"/>
        <v>#NAME?</v>
      </c>
      <c r="BD103" s="162" t="e">
        <f t="shared" ca="1" si="909"/>
        <v>#NAME?</v>
      </c>
      <c r="BE103" s="162" t="e">
        <f t="shared" ca="1" si="909"/>
        <v>#NAME?</v>
      </c>
      <c r="BF103" s="162" t="e">
        <f t="shared" ca="1" si="909"/>
        <v>#NAME?</v>
      </c>
      <c r="BG103" s="162" t="e">
        <f t="shared" ca="1" si="909"/>
        <v>#NAME?</v>
      </c>
      <c r="BH103" s="162" t="e">
        <f t="shared" ca="1" si="909"/>
        <v>#NAME?</v>
      </c>
      <c r="BI103" s="162" t="e">
        <f t="shared" ca="1" si="909"/>
        <v>#NAME?</v>
      </c>
      <c r="BJ103" s="162" t="e">
        <f t="shared" ca="1" si="909"/>
        <v>#NAME?</v>
      </c>
      <c r="BK103" s="162" t="e">
        <f t="shared" ca="1" si="909"/>
        <v>#NAME?</v>
      </c>
      <c r="BL103" s="162" t="e">
        <f t="shared" ca="1" si="909"/>
        <v>#NAME?</v>
      </c>
      <c r="BM103" s="162" t="e">
        <f t="shared" ca="1" si="909"/>
        <v>#NAME?</v>
      </c>
      <c r="BN103" s="162" t="e">
        <f t="shared" ca="1" si="909"/>
        <v>#NAME?</v>
      </c>
      <c r="BO103" s="162" t="e">
        <f t="shared" ca="1" si="909"/>
        <v>#NAME?</v>
      </c>
      <c r="BP103" s="162" t="e">
        <f t="shared" ca="1" si="909"/>
        <v>#NAME?</v>
      </c>
      <c r="BQ103" s="162" t="e">
        <f t="shared" ca="1" si="909"/>
        <v>#NAME?</v>
      </c>
      <c r="BR103" s="162" t="e">
        <f t="shared" ref="BR103:DB103" ca="1" si="910">+BR$131/BR$76</f>
        <v>#NAME?</v>
      </c>
      <c r="BS103" s="162" t="e">
        <f t="shared" ca="1" si="910"/>
        <v>#NAME?</v>
      </c>
      <c r="BT103" s="162" t="e">
        <f t="shared" ca="1" si="910"/>
        <v>#NAME?</v>
      </c>
      <c r="BU103" s="162" t="e">
        <f t="shared" ca="1" si="910"/>
        <v>#NAME?</v>
      </c>
      <c r="BV103" s="162" t="e">
        <f t="shared" ca="1" si="910"/>
        <v>#NAME?</v>
      </c>
      <c r="BW103" s="162" t="e">
        <f t="shared" ca="1" si="910"/>
        <v>#NAME?</v>
      </c>
      <c r="BX103" s="162" t="e">
        <f t="shared" ca="1" si="910"/>
        <v>#NAME?</v>
      </c>
      <c r="BY103" s="162" t="e">
        <f t="shared" ca="1" si="910"/>
        <v>#NAME?</v>
      </c>
      <c r="BZ103" s="162" t="e">
        <f t="shared" ca="1" si="910"/>
        <v>#NAME?</v>
      </c>
      <c r="CA103" s="162" t="e">
        <f t="shared" ca="1" si="910"/>
        <v>#NAME?</v>
      </c>
      <c r="CB103" s="162" t="e">
        <f t="shared" ca="1" si="910"/>
        <v>#NAME?</v>
      </c>
      <c r="CC103" s="162" t="e">
        <f t="shared" ca="1" si="910"/>
        <v>#NAME?</v>
      </c>
      <c r="CD103" s="162" t="e">
        <f t="shared" ca="1" si="910"/>
        <v>#NAME?</v>
      </c>
      <c r="CE103" s="162" t="e">
        <f t="shared" ca="1" si="910"/>
        <v>#NAME?</v>
      </c>
      <c r="CF103" s="162" t="e">
        <f t="shared" ca="1" si="910"/>
        <v>#NAME?</v>
      </c>
      <c r="CG103" s="162" t="e">
        <f t="shared" ca="1" si="910"/>
        <v>#NAME?</v>
      </c>
      <c r="CH103" s="162" t="e">
        <f t="shared" ca="1" si="910"/>
        <v>#NAME?</v>
      </c>
      <c r="CI103" s="162" t="e">
        <f t="shared" ca="1" si="910"/>
        <v>#NAME?</v>
      </c>
      <c r="CJ103" s="162" t="e">
        <f t="shared" ca="1" si="910"/>
        <v>#NAME?</v>
      </c>
      <c r="CK103" s="162" t="e">
        <f t="shared" ca="1" si="910"/>
        <v>#NAME?</v>
      </c>
      <c r="CL103" s="162" t="e">
        <f t="shared" ca="1" si="910"/>
        <v>#NAME?</v>
      </c>
      <c r="CM103" s="21" t="e">
        <f t="shared" ca="1" si="910"/>
        <v>#NAME?</v>
      </c>
      <c r="CN103" s="21" t="e">
        <f t="shared" ca="1" si="910"/>
        <v>#NAME?</v>
      </c>
      <c r="CO103" s="21" t="e">
        <f t="shared" ca="1" si="910"/>
        <v>#NAME?</v>
      </c>
      <c r="CP103" s="21" t="e">
        <f t="shared" ca="1" si="910"/>
        <v>#NAME?</v>
      </c>
      <c r="CQ103" s="21" t="e">
        <f t="shared" ca="1" si="910"/>
        <v>#NAME?</v>
      </c>
      <c r="CR103" s="21" t="e">
        <f t="shared" ca="1" si="910"/>
        <v>#NAME?</v>
      </c>
      <c r="CS103" s="21" t="e">
        <f t="shared" ca="1" si="910"/>
        <v>#NAME?</v>
      </c>
      <c r="CT103" s="21" t="e">
        <f t="shared" ca="1" si="910"/>
        <v>#NAME?</v>
      </c>
      <c r="CU103" s="21" t="e">
        <f t="shared" ca="1" si="910"/>
        <v>#NAME?</v>
      </c>
      <c r="CV103" s="21" t="e">
        <f t="shared" ca="1" si="910"/>
        <v>#NAME?</v>
      </c>
      <c r="CW103" s="21" t="e">
        <f t="shared" ca="1" si="910"/>
        <v>#NAME?</v>
      </c>
      <c r="CX103" s="21" t="e">
        <f t="shared" ca="1" si="910"/>
        <v>#NAME?</v>
      </c>
      <c r="CY103" s="21" t="e">
        <f t="shared" ca="1" si="910"/>
        <v>#NAME?</v>
      </c>
      <c r="CZ103" s="21" t="e">
        <f t="shared" ca="1" si="910"/>
        <v>#NAME?</v>
      </c>
      <c r="DA103" s="21" t="e">
        <f t="shared" ca="1" si="910"/>
        <v>#NAME?</v>
      </c>
      <c r="DB103" s="21" t="e">
        <f t="shared" ca="1" si="910"/>
        <v>#NAME?</v>
      </c>
      <c r="DE103" s="22"/>
      <c r="DF103" s="162">
        <v>508.14544125708022</v>
      </c>
    </row>
    <row r="104" spans="1:110" s="162" customFormat="1" x14ac:dyDescent="0.2">
      <c r="A104" s="49" t="s">
        <v>501</v>
      </c>
      <c r="AB104" s="21"/>
      <c r="AC104" s="21"/>
      <c r="AD104" s="21"/>
      <c r="AE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E104" s="22"/>
    </row>
    <row r="105" spans="1:110" s="162" customFormat="1" x14ac:dyDescent="0.2">
      <c r="A105" s="49" t="s">
        <v>502</v>
      </c>
      <c r="E105" s="162" t="e">
        <f t="shared" ref="E105:AE107" ca="1" si="911">+E88/E$103</f>
        <v>#DIV/0!</v>
      </c>
      <c r="F105" s="162" t="e">
        <f t="shared" ca="1" si="911"/>
        <v>#DIV/0!</v>
      </c>
      <c r="G105" s="162" t="e">
        <f t="shared" ca="1" si="911"/>
        <v>#DIV/0!</v>
      </c>
      <c r="H105" s="162" t="e">
        <f t="shared" ca="1" si="911"/>
        <v>#DIV/0!</v>
      </c>
      <c r="I105" s="162">
        <f t="shared" ca="1" si="911"/>
        <v>0</v>
      </c>
      <c r="J105" s="162">
        <f t="shared" ca="1" si="911"/>
        <v>0</v>
      </c>
      <c r="K105" s="162">
        <f t="shared" ca="1" si="911"/>
        <v>0</v>
      </c>
      <c r="L105" s="162">
        <f t="shared" ca="1" si="911"/>
        <v>0</v>
      </c>
      <c r="M105" s="162">
        <f t="shared" ca="1" si="911"/>
        <v>0</v>
      </c>
      <c r="N105" s="162">
        <f t="shared" ca="1" si="911"/>
        <v>0</v>
      </c>
      <c r="O105" s="162">
        <f t="shared" ca="1" si="911"/>
        <v>0</v>
      </c>
      <c r="P105" s="162">
        <f t="shared" ca="1" si="911"/>
        <v>0</v>
      </c>
      <c r="Q105" s="162">
        <f t="shared" ca="1" si="911"/>
        <v>1.7276325344475973</v>
      </c>
      <c r="R105" s="162">
        <f t="shared" ca="1" si="911"/>
        <v>4.5985167375055411</v>
      </c>
      <c r="S105" s="162">
        <f t="shared" ca="1" si="911"/>
        <v>3.5239246952535663</v>
      </c>
      <c r="T105" s="162">
        <f t="shared" ca="1" si="911"/>
        <v>5.9391466600361431</v>
      </c>
      <c r="U105" s="162">
        <f t="shared" ca="1" si="911"/>
        <v>1.5437022665203941</v>
      </c>
      <c r="V105" s="162">
        <f t="shared" ca="1" si="911"/>
        <v>5.8904048506856252</v>
      </c>
      <c r="W105" s="162">
        <f t="shared" ca="1" si="911"/>
        <v>7.3602704946334505</v>
      </c>
      <c r="X105" s="162">
        <f t="shared" ca="1" si="911"/>
        <v>4.4138562273931843</v>
      </c>
      <c r="Y105" s="162">
        <f t="shared" ca="1" si="911"/>
        <v>3.2318631082923357</v>
      </c>
      <c r="Z105" s="162">
        <f t="shared" ca="1" si="911"/>
        <v>2.5879928378790331</v>
      </c>
      <c r="AA105" s="162">
        <f t="shared" ref="AA105" ca="1" si="912">+AA88/AA$103</f>
        <v>2.5879928378790331</v>
      </c>
      <c r="AB105" s="21">
        <f t="shared" ca="1" si="911"/>
        <v>3.8740649129769622</v>
      </c>
      <c r="AC105" s="21">
        <f t="shared" ca="1" si="911"/>
        <v>3.1057832535466146</v>
      </c>
      <c r="AD105" s="21">
        <f t="shared" ca="1" si="911"/>
        <v>2.4218153344915083</v>
      </c>
      <c r="AE105" s="21">
        <f t="shared" ca="1" si="911"/>
        <v>1.8441118161621624</v>
      </c>
      <c r="AL105" s="162" t="e">
        <f t="shared" ref="AL105:CI107" ca="1" si="913">+AL88/AL$103</f>
        <v>#NAME?</v>
      </c>
      <c r="AM105" s="162" t="e">
        <f t="shared" ca="1" si="913"/>
        <v>#NAME?</v>
      </c>
      <c r="AN105" s="162" t="e">
        <f t="shared" ca="1" si="913"/>
        <v>#NAME?</v>
      </c>
      <c r="AO105" s="162" t="e">
        <f t="shared" ca="1" si="913"/>
        <v>#NAME?</v>
      </c>
      <c r="AP105" s="162" t="e">
        <f t="shared" ca="1" si="913"/>
        <v>#NAME?</v>
      </c>
      <c r="AQ105" s="162" t="e">
        <f t="shared" ca="1" si="913"/>
        <v>#NAME?</v>
      </c>
      <c r="AR105" s="162" t="e">
        <f t="shared" ca="1" si="913"/>
        <v>#NAME?</v>
      </c>
      <c r="AS105" s="162" t="e">
        <f t="shared" ca="1" si="913"/>
        <v>#NAME?</v>
      </c>
      <c r="AT105" s="162" t="e">
        <f t="shared" ca="1" si="913"/>
        <v>#NAME?</v>
      </c>
      <c r="AU105" s="162" t="e">
        <f t="shared" ca="1" si="913"/>
        <v>#NAME?</v>
      </c>
      <c r="AV105" s="162" t="e">
        <f t="shared" ca="1" si="913"/>
        <v>#NAME?</v>
      </c>
      <c r="AW105" s="162" t="e">
        <f t="shared" ca="1" si="913"/>
        <v>#NAME?</v>
      </c>
      <c r="AX105" s="162" t="e">
        <f t="shared" ca="1" si="913"/>
        <v>#NAME?</v>
      </c>
      <c r="AY105" s="162" t="e">
        <f t="shared" ca="1" si="913"/>
        <v>#NAME?</v>
      </c>
      <c r="AZ105" s="162" t="e">
        <f t="shared" ca="1" si="913"/>
        <v>#NAME?</v>
      </c>
      <c r="BA105" s="162" t="e">
        <f t="shared" ca="1" si="913"/>
        <v>#NAME?</v>
      </c>
      <c r="BB105" s="162" t="e">
        <f t="shared" ca="1" si="913"/>
        <v>#NAME?</v>
      </c>
      <c r="BC105" s="162" t="e">
        <f t="shared" ca="1" si="913"/>
        <v>#NAME?</v>
      </c>
      <c r="BD105" s="162" t="e">
        <f t="shared" ca="1" si="913"/>
        <v>#NAME?</v>
      </c>
      <c r="BE105" s="162" t="e">
        <f t="shared" ca="1" si="913"/>
        <v>#NAME?</v>
      </c>
      <c r="BF105" s="162" t="e">
        <f t="shared" ca="1" si="913"/>
        <v>#NAME?</v>
      </c>
      <c r="BG105" s="162" t="e">
        <f t="shared" ca="1" si="913"/>
        <v>#NAME?</v>
      </c>
      <c r="BH105" s="162" t="e">
        <f t="shared" ca="1" si="913"/>
        <v>#NAME?</v>
      </c>
      <c r="BI105" s="162" t="e">
        <f t="shared" ca="1" si="913"/>
        <v>#NAME?</v>
      </c>
      <c r="BJ105" s="162" t="e">
        <f t="shared" ca="1" si="913"/>
        <v>#NAME?</v>
      </c>
      <c r="BK105" s="162" t="e">
        <f t="shared" ca="1" si="913"/>
        <v>#NAME?</v>
      </c>
      <c r="BL105" s="162" t="e">
        <f t="shared" ca="1" si="913"/>
        <v>#NAME?</v>
      </c>
      <c r="BM105" s="162" t="e">
        <f t="shared" ca="1" si="913"/>
        <v>#NAME?</v>
      </c>
      <c r="BN105" s="162" t="e">
        <f t="shared" ca="1" si="913"/>
        <v>#NAME?</v>
      </c>
      <c r="BO105" s="162" t="e">
        <f t="shared" ca="1" si="913"/>
        <v>#NAME?</v>
      </c>
      <c r="BP105" s="162" t="e">
        <f t="shared" ca="1" si="913"/>
        <v>#NAME?</v>
      </c>
      <c r="BQ105" s="162" t="e">
        <f t="shared" ca="1" si="913"/>
        <v>#NAME?</v>
      </c>
      <c r="BR105" s="162" t="e">
        <f t="shared" ca="1" si="913"/>
        <v>#NAME?</v>
      </c>
      <c r="BS105" s="162" t="e">
        <f t="shared" ca="1" si="913"/>
        <v>#NAME?</v>
      </c>
      <c r="BT105" s="162" t="e">
        <f t="shared" ca="1" si="913"/>
        <v>#NAME?</v>
      </c>
      <c r="BU105" s="162" t="e">
        <f t="shared" ca="1" si="913"/>
        <v>#NAME?</v>
      </c>
      <c r="BV105" s="162" t="e">
        <f t="shared" ca="1" si="913"/>
        <v>#NAME?</v>
      </c>
      <c r="BW105" s="162" t="e">
        <f t="shared" ca="1" si="913"/>
        <v>#NAME?</v>
      </c>
      <c r="BX105" s="162" t="e">
        <f t="shared" ca="1" si="913"/>
        <v>#NAME?</v>
      </c>
      <c r="BY105" s="162" t="e">
        <f t="shared" ca="1" si="913"/>
        <v>#NAME?</v>
      </c>
      <c r="BZ105" s="162" t="e">
        <f t="shared" ca="1" si="913"/>
        <v>#NAME?</v>
      </c>
      <c r="CA105" s="162" t="e">
        <f t="shared" ca="1" si="913"/>
        <v>#NAME?</v>
      </c>
      <c r="CB105" s="162" t="e">
        <f t="shared" ca="1" si="913"/>
        <v>#NAME?</v>
      </c>
      <c r="CC105" s="162" t="e">
        <f t="shared" ca="1" si="913"/>
        <v>#NAME?</v>
      </c>
      <c r="CD105" s="162" t="e">
        <f t="shared" ca="1" si="913"/>
        <v>#NAME?</v>
      </c>
      <c r="CE105" s="162" t="e">
        <f t="shared" ca="1" si="913"/>
        <v>#NAME?</v>
      </c>
      <c r="CF105" s="162" t="e">
        <f t="shared" ca="1" si="913"/>
        <v>#NAME?</v>
      </c>
      <c r="CG105" s="162" t="e">
        <f t="shared" ca="1" si="913"/>
        <v>#NAME?</v>
      </c>
      <c r="CH105" s="162" t="e">
        <f t="shared" ca="1" si="913"/>
        <v>#NAME?</v>
      </c>
      <c r="CI105" s="162" t="e">
        <f t="shared" ca="1" si="913"/>
        <v>#NAME?</v>
      </c>
      <c r="CJ105" s="162" t="e">
        <f ca="1">+CJ88/CJ$103</f>
        <v>#NAME?</v>
      </c>
      <c r="CK105" s="162" t="e">
        <f ca="1">+CK88/CK$103</f>
        <v>#NAME?</v>
      </c>
      <c r="CL105" s="162" t="e">
        <f ca="1">+CL88/CL$103</f>
        <v>#NAME?</v>
      </c>
      <c r="CM105" s="21" t="e">
        <f t="shared" ref="CM105:DB105" ca="1" si="914">+CM88/CM$103</f>
        <v>#NAME?</v>
      </c>
      <c r="CN105" s="21" t="e">
        <f t="shared" ca="1" si="914"/>
        <v>#NAME?</v>
      </c>
      <c r="CO105" s="21" t="e">
        <f t="shared" ca="1" si="914"/>
        <v>#NAME?</v>
      </c>
      <c r="CP105" s="21" t="e">
        <f t="shared" ca="1" si="914"/>
        <v>#NAME?</v>
      </c>
      <c r="CQ105" s="21" t="e">
        <f t="shared" ca="1" si="914"/>
        <v>#NAME?</v>
      </c>
      <c r="CR105" s="21" t="e">
        <f t="shared" ca="1" si="914"/>
        <v>#NAME?</v>
      </c>
      <c r="CS105" s="21" t="e">
        <f t="shared" ca="1" si="914"/>
        <v>#NAME?</v>
      </c>
      <c r="CT105" s="21" t="e">
        <f t="shared" ca="1" si="914"/>
        <v>#NAME?</v>
      </c>
      <c r="CU105" s="21" t="e">
        <f t="shared" ca="1" si="914"/>
        <v>#NAME?</v>
      </c>
      <c r="CV105" s="21" t="e">
        <f t="shared" ca="1" si="914"/>
        <v>#NAME?</v>
      </c>
      <c r="CW105" s="21" t="e">
        <f t="shared" ca="1" si="914"/>
        <v>#NAME?</v>
      </c>
      <c r="CX105" s="21" t="e">
        <f t="shared" ca="1" si="914"/>
        <v>#NAME?</v>
      </c>
      <c r="CY105" s="21" t="e">
        <f t="shared" ca="1" si="914"/>
        <v>#NAME?</v>
      </c>
      <c r="CZ105" s="21" t="e">
        <f t="shared" ca="1" si="914"/>
        <v>#NAME?</v>
      </c>
      <c r="DA105" s="21" t="e">
        <f t="shared" ca="1" si="914"/>
        <v>#NAME?</v>
      </c>
      <c r="DB105" s="21" t="e">
        <f t="shared" ca="1" si="914"/>
        <v>#NAME?</v>
      </c>
      <c r="DE105" s="22"/>
      <c r="DF105" s="162">
        <v>3.2900029484948292</v>
      </c>
    </row>
    <row r="106" spans="1:110" s="162" customFormat="1" x14ac:dyDescent="0.2">
      <c r="A106" s="49" t="s">
        <v>503</v>
      </c>
      <c r="E106" s="162" t="e">
        <f t="shared" ca="1" si="911"/>
        <v>#DIV/0!</v>
      </c>
      <c r="F106" s="162" t="e">
        <f t="shared" ca="1" si="911"/>
        <v>#DIV/0!</v>
      </c>
      <c r="G106" s="162" t="e">
        <f t="shared" ca="1" si="911"/>
        <v>#DIV/0!</v>
      </c>
      <c r="H106" s="162" t="e">
        <f t="shared" ca="1" si="911"/>
        <v>#DIV/0!</v>
      </c>
      <c r="I106" s="162">
        <f t="shared" ca="1" si="911"/>
        <v>0</v>
      </c>
      <c r="J106" s="162">
        <f t="shared" ca="1" si="911"/>
        <v>0</v>
      </c>
      <c r="K106" s="162">
        <f t="shared" ca="1" si="911"/>
        <v>0</v>
      </c>
      <c r="L106" s="162">
        <f t="shared" ca="1" si="911"/>
        <v>0</v>
      </c>
      <c r="M106" s="162">
        <f t="shared" ca="1" si="911"/>
        <v>0</v>
      </c>
      <c r="N106" s="162">
        <f t="shared" ca="1" si="911"/>
        <v>0</v>
      </c>
      <c r="O106" s="162">
        <f t="shared" ca="1" si="911"/>
        <v>0</v>
      </c>
      <c r="P106" s="162">
        <f t="shared" ca="1" si="911"/>
        <v>0</v>
      </c>
      <c r="Q106" s="162">
        <f t="shared" ca="1" si="911"/>
        <v>1.7276325344475973</v>
      </c>
      <c r="R106" s="162">
        <f t="shared" ca="1" si="911"/>
        <v>4.5985167375055411</v>
      </c>
      <c r="S106" s="162">
        <f t="shared" ca="1" si="911"/>
        <v>3.5239246952535663</v>
      </c>
      <c r="T106" s="162">
        <f t="shared" ca="1" si="911"/>
        <v>6.9484225873738845</v>
      </c>
      <c r="U106" s="162">
        <f t="shared" ca="1" si="911"/>
        <v>6.6224893458618368</v>
      </c>
      <c r="V106" s="162">
        <f t="shared" ca="1" si="911"/>
        <v>7.5861755924049579</v>
      </c>
      <c r="W106" s="162">
        <f t="shared" ca="1" si="911"/>
        <v>9.1671674466100015</v>
      </c>
      <c r="X106" s="162">
        <f t="shared" ca="1" si="911"/>
        <v>8.1093428018236953</v>
      </c>
      <c r="Y106" s="162">
        <f t="shared" ca="1" si="911"/>
        <v>5.6274878325067998</v>
      </c>
      <c r="Z106" s="162">
        <f t="shared" ca="1" si="911"/>
        <v>3.9639588153288914</v>
      </c>
      <c r="AA106" s="162">
        <f t="shared" ref="AA106" ca="1" si="915">+AA89/AA$103</f>
        <v>3.9639588153288914</v>
      </c>
      <c r="AB106" s="21">
        <f t="shared" ca="1" si="911"/>
        <v>6.9699928747776712</v>
      </c>
      <c r="AC106" s="21">
        <f t="shared" ca="1" si="911"/>
        <v>7.9325636166480669</v>
      </c>
      <c r="AD106" s="21">
        <f t="shared" ca="1" si="911"/>
        <v>8.8089588128734668</v>
      </c>
      <c r="AE106" s="21">
        <f t="shared" ca="1" si="911"/>
        <v>9.5416609202475389</v>
      </c>
      <c r="AL106" s="162" t="e">
        <f t="shared" ca="1" si="913"/>
        <v>#NAME?</v>
      </c>
      <c r="AM106" s="162" t="e">
        <f t="shared" ca="1" si="913"/>
        <v>#NAME?</v>
      </c>
      <c r="AN106" s="162" t="e">
        <f t="shared" ca="1" si="913"/>
        <v>#NAME?</v>
      </c>
      <c r="AO106" s="162" t="e">
        <f t="shared" ca="1" si="913"/>
        <v>#NAME?</v>
      </c>
      <c r="AP106" s="162" t="e">
        <f t="shared" ca="1" si="913"/>
        <v>#NAME?</v>
      </c>
      <c r="AQ106" s="162" t="e">
        <f t="shared" ca="1" si="913"/>
        <v>#NAME?</v>
      </c>
      <c r="AR106" s="162" t="e">
        <f t="shared" ca="1" si="913"/>
        <v>#NAME?</v>
      </c>
      <c r="AS106" s="162" t="e">
        <f t="shared" ca="1" si="913"/>
        <v>#NAME?</v>
      </c>
      <c r="AT106" s="162" t="e">
        <f t="shared" ca="1" si="913"/>
        <v>#NAME?</v>
      </c>
      <c r="AU106" s="162" t="e">
        <f t="shared" ca="1" si="913"/>
        <v>#NAME?</v>
      </c>
      <c r="AV106" s="162" t="e">
        <f t="shared" ca="1" si="913"/>
        <v>#NAME?</v>
      </c>
      <c r="AW106" s="162" t="e">
        <f t="shared" ca="1" si="913"/>
        <v>#NAME?</v>
      </c>
      <c r="AX106" s="162" t="e">
        <f t="shared" ca="1" si="913"/>
        <v>#NAME?</v>
      </c>
      <c r="AY106" s="162" t="e">
        <f t="shared" ca="1" si="913"/>
        <v>#NAME?</v>
      </c>
      <c r="AZ106" s="162" t="e">
        <f t="shared" ca="1" si="913"/>
        <v>#NAME?</v>
      </c>
      <c r="BA106" s="162" t="e">
        <f t="shared" ca="1" si="913"/>
        <v>#NAME?</v>
      </c>
      <c r="BB106" s="162" t="e">
        <f t="shared" ca="1" si="913"/>
        <v>#NAME?</v>
      </c>
      <c r="BC106" s="162" t="e">
        <f t="shared" ca="1" si="913"/>
        <v>#NAME?</v>
      </c>
      <c r="BD106" s="162" t="e">
        <f t="shared" ca="1" si="913"/>
        <v>#NAME?</v>
      </c>
      <c r="BE106" s="162" t="e">
        <f t="shared" ca="1" si="913"/>
        <v>#NAME?</v>
      </c>
      <c r="BF106" s="162" t="e">
        <f t="shared" ca="1" si="913"/>
        <v>#NAME?</v>
      </c>
      <c r="BG106" s="162" t="e">
        <f t="shared" ca="1" si="913"/>
        <v>#NAME?</v>
      </c>
      <c r="BH106" s="162" t="e">
        <f t="shared" ca="1" si="913"/>
        <v>#NAME?</v>
      </c>
      <c r="BI106" s="162" t="e">
        <f t="shared" ca="1" si="913"/>
        <v>#NAME?</v>
      </c>
      <c r="BJ106" s="162" t="e">
        <f t="shared" ca="1" si="913"/>
        <v>#NAME?</v>
      </c>
      <c r="BK106" s="162" t="e">
        <f t="shared" ca="1" si="913"/>
        <v>#NAME?</v>
      </c>
      <c r="BL106" s="162" t="e">
        <f t="shared" ca="1" si="913"/>
        <v>#NAME?</v>
      </c>
      <c r="BM106" s="162" t="e">
        <f t="shared" ca="1" si="913"/>
        <v>#NAME?</v>
      </c>
      <c r="BN106" s="162" t="e">
        <f t="shared" ca="1" si="913"/>
        <v>#NAME?</v>
      </c>
      <c r="BO106" s="162" t="e">
        <f t="shared" ca="1" si="913"/>
        <v>#NAME?</v>
      </c>
      <c r="BP106" s="162" t="e">
        <f t="shared" ca="1" si="913"/>
        <v>#NAME?</v>
      </c>
      <c r="BQ106" s="162" t="e">
        <f t="shared" ca="1" si="913"/>
        <v>#NAME?</v>
      </c>
      <c r="BR106" s="162" t="e">
        <f t="shared" ca="1" si="913"/>
        <v>#NAME?</v>
      </c>
      <c r="BS106" s="162" t="e">
        <f t="shared" ca="1" si="913"/>
        <v>#NAME?</v>
      </c>
      <c r="BT106" s="162" t="e">
        <f t="shared" ca="1" si="913"/>
        <v>#NAME?</v>
      </c>
      <c r="BU106" s="162" t="e">
        <f t="shared" ca="1" si="913"/>
        <v>#NAME?</v>
      </c>
      <c r="BV106" s="162" t="e">
        <f t="shared" ca="1" si="913"/>
        <v>#NAME?</v>
      </c>
      <c r="BW106" s="162" t="e">
        <f t="shared" ca="1" si="913"/>
        <v>#NAME?</v>
      </c>
      <c r="BX106" s="162" t="e">
        <f t="shared" ca="1" si="913"/>
        <v>#NAME?</v>
      </c>
      <c r="BY106" s="162" t="e">
        <f t="shared" ca="1" si="913"/>
        <v>#NAME?</v>
      </c>
      <c r="BZ106" s="162" t="e">
        <f t="shared" ca="1" si="913"/>
        <v>#NAME?</v>
      </c>
      <c r="CA106" s="162" t="e">
        <f t="shared" ca="1" si="913"/>
        <v>#NAME?</v>
      </c>
      <c r="CB106" s="162" t="e">
        <f t="shared" ca="1" si="913"/>
        <v>#NAME?</v>
      </c>
      <c r="CC106" s="162" t="e">
        <f t="shared" ca="1" si="913"/>
        <v>#NAME?</v>
      </c>
      <c r="CD106" s="162" t="e">
        <f t="shared" ca="1" si="913"/>
        <v>#NAME?</v>
      </c>
      <c r="CE106" s="162" t="e">
        <f t="shared" ca="1" si="913"/>
        <v>#NAME?</v>
      </c>
      <c r="CF106" s="162" t="e">
        <f t="shared" ca="1" si="913"/>
        <v>#NAME?</v>
      </c>
      <c r="CG106" s="162" t="e">
        <f t="shared" ca="1" si="913"/>
        <v>#NAME?</v>
      </c>
      <c r="CH106" s="162" t="e">
        <f t="shared" ca="1" si="913"/>
        <v>#NAME?</v>
      </c>
      <c r="CI106" s="162" t="e">
        <f t="shared" ca="1" si="913"/>
        <v>#NAME?</v>
      </c>
      <c r="CJ106" s="162" t="e">
        <f t="shared" ref="CJ106:CK107" ca="1" si="916">+CJ89/CJ$103</f>
        <v>#NAME?</v>
      </c>
      <c r="CK106" s="162" t="e">
        <f t="shared" ca="1" si="916"/>
        <v>#NAME?</v>
      </c>
      <c r="CL106" s="162" t="e">
        <f t="shared" ref="CL106" ca="1" si="917">+CL89/CL$103</f>
        <v>#NAME?</v>
      </c>
      <c r="CM106" s="94" t="e">
        <f t="shared" ref="CM106:DB106" ca="1" si="918">+CL106</f>
        <v>#NAME?</v>
      </c>
      <c r="CN106" s="94" t="e">
        <f t="shared" ca="1" si="918"/>
        <v>#NAME?</v>
      </c>
      <c r="CO106" s="94" t="e">
        <f t="shared" ca="1" si="918"/>
        <v>#NAME?</v>
      </c>
      <c r="CP106" s="94" t="e">
        <f t="shared" ca="1" si="918"/>
        <v>#NAME?</v>
      </c>
      <c r="CQ106" s="94" t="e">
        <f t="shared" ca="1" si="918"/>
        <v>#NAME?</v>
      </c>
      <c r="CR106" s="94" t="e">
        <f t="shared" ca="1" si="918"/>
        <v>#NAME?</v>
      </c>
      <c r="CS106" s="94" t="e">
        <f t="shared" ca="1" si="918"/>
        <v>#NAME?</v>
      </c>
      <c r="CT106" s="94" t="e">
        <f t="shared" ca="1" si="918"/>
        <v>#NAME?</v>
      </c>
      <c r="CU106" s="94" t="e">
        <f t="shared" ca="1" si="918"/>
        <v>#NAME?</v>
      </c>
      <c r="CV106" s="94" t="e">
        <f t="shared" ca="1" si="918"/>
        <v>#NAME?</v>
      </c>
      <c r="CW106" s="94" t="e">
        <f t="shared" ca="1" si="918"/>
        <v>#NAME?</v>
      </c>
      <c r="CX106" s="94" t="e">
        <f t="shared" ca="1" si="918"/>
        <v>#NAME?</v>
      </c>
      <c r="CY106" s="94" t="e">
        <f t="shared" ca="1" si="918"/>
        <v>#NAME?</v>
      </c>
      <c r="CZ106" s="94" t="e">
        <f t="shared" ca="1" si="918"/>
        <v>#NAME?</v>
      </c>
      <c r="DA106" s="94" t="e">
        <f t="shared" ca="1" si="918"/>
        <v>#NAME?</v>
      </c>
      <c r="DB106" s="94" t="e">
        <f t="shared" ca="1" si="918"/>
        <v>#NAME?</v>
      </c>
      <c r="DC106" s="94"/>
      <c r="DE106" s="22"/>
      <c r="DF106" s="162">
        <v>3.9339130841255914</v>
      </c>
    </row>
    <row r="107" spans="1:110" s="162" customFormat="1" x14ac:dyDescent="0.2">
      <c r="A107" s="49" t="s">
        <v>504</v>
      </c>
      <c r="E107" s="162" t="e">
        <f t="shared" ca="1" si="911"/>
        <v>#DIV/0!</v>
      </c>
      <c r="F107" s="162" t="e">
        <f t="shared" ca="1" si="911"/>
        <v>#DIV/0!</v>
      </c>
      <c r="G107" s="162" t="e">
        <f t="shared" ca="1" si="911"/>
        <v>#DIV/0!</v>
      </c>
      <c r="H107" s="162" t="e">
        <f t="shared" ca="1" si="911"/>
        <v>#DIV/0!</v>
      </c>
      <c r="I107" s="162">
        <f t="shared" ca="1" si="911"/>
        <v>0</v>
      </c>
      <c r="J107" s="162">
        <f t="shared" ca="1" si="911"/>
        <v>0</v>
      </c>
      <c r="K107" s="162">
        <f t="shared" ca="1" si="911"/>
        <v>0</v>
      </c>
      <c r="L107" s="162">
        <f t="shared" ca="1" si="911"/>
        <v>0</v>
      </c>
      <c r="M107" s="162">
        <f t="shared" ca="1" si="911"/>
        <v>0</v>
      </c>
      <c r="N107" s="162">
        <f t="shared" ca="1" si="911"/>
        <v>0</v>
      </c>
      <c r="O107" s="162">
        <f t="shared" ca="1" si="911"/>
        <v>0</v>
      </c>
      <c r="P107" s="162">
        <f t="shared" ca="1" si="911"/>
        <v>0</v>
      </c>
      <c r="Q107" s="162">
        <f t="shared" ca="1" si="911"/>
        <v>1.7276325344475973</v>
      </c>
      <c r="R107" s="162">
        <f t="shared" ca="1" si="911"/>
        <v>0.98905802616512617</v>
      </c>
      <c r="S107" s="162">
        <f t="shared" ca="1" si="911"/>
        <v>1.506372855013788</v>
      </c>
      <c r="T107" s="162">
        <f t="shared" ca="1" si="911"/>
        <v>2.0031109155924307</v>
      </c>
      <c r="U107" s="162">
        <f t="shared" ca="1" si="911"/>
        <v>1.3642328052475383</v>
      </c>
      <c r="V107" s="162">
        <f t="shared" ca="1" si="911"/>
        <v>1.439086073433604</v>
      </c>
      <c r="W107" s="162">
        <f t="shared" ca="1" si="911"/>
        <v>2.8241308835521335</v>
      </c>
      <c r="X107" s="162">
        <f t="shared" ca="1" si="911"/>
        <v>3.8331977529628811</v>
      </c>
      <c r="Y107" s="162">
        <f t="shared" ca="1" si="911"/>
        <v>2.9286365821692715</v>
      </c>
      <c r="Z107" s="162">
        <f t="shared" ca="1" si="911"/>
        <v>2.4581189919275839</v>
      </c>
      <c r="AA107" s="162">
        <f t="shared" ref="AA107" ca="1" si="919">+AA90/AA$103</f>
        <v>2.4581189919275839</v>
      </c>
      <c r="AB107" s="21">
        <f t="shared" ca="1" si="911"/>
        <v>2.7372473298000242</v>
      </c>
      <c r="AC107" s="21">
        <f t="shared" ca="1" si="911"/>
        <v>3.787438775554437</v>
      </c>
      <c r="AD107" s="21">
        <f t="shared" ca="1" si="911"/>
        <v>4.2146782856401286</v>
      </c>
      <c r="AE107" s="21">
        <f t="shared" ca="1" si="911"/>
        <v>4.5688761275822527</v>
      </c>
      <c r="AL107" s="162" t="e">
        <f t="shared" ca="1" si="913"/>
        <v>#NAME?</v>
      </c>
      <c r="AM107" s="162" t="e">
        <f t="shared" ca="1" si="913"/>
        <v>#NAME?</v>
      </c>
      <c r="AN107" s="162" t="e">
        <f t="shared" ca="1" si="913"/>
        <v>#NAME?</v>
      </c>
      <c r="AO107" s="162" t="e">
        <f t="shared" ca="1" si="913"/>
        <v>#NAME?</v>
      </c>
      <c r="AP107" s="162" t="e">
        <f t="shared" ca="1" si="913"/>
        <v>#NAME?</v>
      </c>
      <c r="AQ107" s="162" t="e">
        <f t="shared" ca="1" si="913"/>
        <v>#NAME?</v>
      </c>
      <c r="AR107" s="162" t="e">
        <f t="shared" ca="1" si="913"/>
        <v>#NAME?</v>
      </c>
      <c r="AS107" s="162" t="e">
        <f t="shared" ca="1" si="913"/>
        <v>#NAME?</v>
      </c>
      <c r="AT107" s="162" t="e">
        <f t="shared" ca="1" si="913"/>
        <v>#NAME?</v>
      </c>
      <c r="AU107" s="162" t="e">
        <f t="shared" ca="1" si="913"/>
        <v>#NAME?</v>
      </c>
      <c r="AV107" s="162" t="e">
        <f t="shared" ca="1" si="913"/>
        <v>#NAME?</v>
      </c>
      <c r="AW107" s="162" t="e">
        <f t="shared" ca="1" si="913"/>
        <v>#NAME?</v>
      </c>
      <c r="AX107" s="162" t="e">
        <f t="shared" ca="1" si="913"/>
        <v>#NAME?</v>
      </c>
      <c r="AY107" s="162" t="e">
        <f t="shared" ca="1" si="913"/>
        <v>#NAME?</v>
      </c>
      <c r="AZ107" s="162" t="e">
        <f t="shared" ca="1" si="913"/>
        <v>#NAME?</v>
      </c>
      <c r="BA107" s="162" t="e">
        <f t="shared" ca="1" si="913"/>
        <v>#NAME?</v>
      </c>
      <c r="BB107" s="162" t="e">
        <f t="shared" ca="1" si="913"/>
        <v>#NAME?</v>
      </c>
      <c r="BC107" s="162" t="e">
        <f t="shared" ca="1" si="913"/>
        <v>#NAME?</v>
      </c>
      <c r="BD107" s="162" t="e">
        <f t="shared" ca="1" si="913"/>
        <v>#NAME?</v>
      </c>
      <c r="BE107" s="162" t="e">
        <f t="shared" ca="1" si="913"/>
        <v>#NAME?</v>
      </c>
      <c r="BF107" s="162" t="e">
        <f t="shared" ca="1" si="913"/>
        <v>#NAME?</v>
      </c>
      <c r="BG107" s="162" t="e">
        <f t="shared" ca="1" si="913"/>
        <v>#NAME?</v>
      </c>
      <c r="BH107" s="162" t="e">
        <f t="shared" ca="1" si="913"/>
        <v>#NAME?</v>
      </c>
      <c r="BI107" s="162" t="e">
        <f t="shared" ca="1" si="913"/>
        <v>#NAME?</v>
      </c>
      <c r="BJ107" s="162" t="e">
        <f t="shared" ca="1" si="913"/>
        <v>#NAME?</v>
      </c>
      <c r="BK107" s="162" t="e">
        <f t="shared" ca="1" si="913"/>
        <v>#NAME?</v>
      </c>
      <c r="BL107" s="162" t="e">
        <f t="shared" ca="1" si="913"/>
        <v>#NAME?</v>
      </c>
      <c r="BM107" s="162" t="e">
        <f t="shared" ca="1" si="913"/>
        <v>#NAME?</v>
      </c>
      <c r="BN107" s="162" t="e">
        <f t="shared" ca="1" si="913"/>
        <v>#NAME?</v>
      </c>
      <c r="BO107" s="162" t="e">
        <f t="shared" ca="1" si="913"/>
        <v>#NAME?</v>
      </c>
      <c r="BP107" s="162" t="e">
        <f t="shared" ca="1" si="913"/>
        <v>#NAME?</v>
      </c>
      <c r="BQ107" s="162" t="e">
        <f t="shared" ca="1" si="913"/>
        <v>#NAME?</v>
      </c>
      <c r="BR107" s="162" t="e">
        <f t="shared" ca="1" si="913"/>
        <v>#NAME?</v>
      </c>
      <c r="BS107" s="162" t="e">
        <f t="shared" ca="1" si="913"/>
        <v>#NAME?</v>
      </c>
      <c r="BT107" s="162" t="e">
        <f t="shared" ca="1" si="913"/>
        <v>#NAME?</v>
      </c>
      <c r="BU107" s="162" t="e">
        <f t="shared" ca="1" si="913"/>
        <v>#NAME?</v>
      </c>
      <c r="BV107" s="162" t="e">
        <f t="shared" ca="1" si="913"/>
        <v>#NAME?</v>
      </c>
      <c r="BW107" s="162" t="e">
        <f t="shared" ca="1" si="913"/>
        <v>#NAME?</v>
      </c>
      <c r="BX107" s="162" t="e">
        <f t="shared" ca="1" si="913"/>
        <v>#NAME?</v>
      </c>
      <c r="BY107" s="162" t="e">
        <f t="shared" ca="1" si="913"/>
        <v>#NAME?</v>
      </c>
      <c r="BZ107" s="162" t="e">
        <f t="shared" ca="1" si="913"/>
        <v>#NAME?</v>
      </c>
      <c r="CA107" s="162" t="e">
        <f t="shared" ca="1" si="913"/>
        <v>#NAME?</v>
      </c>
      <c r="CB107" s="162" t="e">
        <f t="shared" ca="1" si="913"/>
        <v>#NAME?</v>
      </c>
      <c r="CC107" s="162" t="e">
        <f t="shared" ca="1" si="913"/>
        <v>#NAME?</v>
      </c>
      <c r="CD107" s="162" t="e">
        <f t="shared" ca="1" si="913"/>
        <v>#NAME?</v>
      </c>
      <c r="CE107" s="162" t="e">
        <f t="shared" ca="1" si="913"/>
        <v>#NAME?</v>
      </c>
      <c r="CF107" s="162" t="e">
        <f t="shared" ca="1" si="913"/>
        <v>#NAME?</v>
      </c>
      <c r="CG107" s="162" t="e">
        <f t="shared" ca="1" si="913"/>
        <v>#NAME?</v>
      </c>
      <c r="CH107" s="162" t="e">
        <f t="shared" ca="1" si="913"/>
        <v>#NAME?</v>
      </c>
      <c r="CI107" s="162" t="e">
        <f t="shared" ca="1" si="913"/>
        <v>#NAME?</v>
      </c>
      <c r="CJ107" s="162" t="e">
        <f t="shared" ca="1" si="916"/>
        <v>#NAME?</v>
      </c>
      <c r="CK107" s="162" t="e">
        <f t="shared" ca="1" si="916"/>
        <v>#NAME?</v>
      </c>
      <c r="CL107" s="162" t="e">
        <f t="shared" ref="CL107" ca="1" si="920">+CL90/CL$103</f>
        <v>#NAME?</v>
      </c>
      <c r="CM107" s="94" t="e">
        <f t="shared" ref="CM107:DB107" ca="1" si="921">+CL107</f>
        <v>#NAME?</v>
      </c>
      <c r="CN107" s="94" t="e">
        <f t="shared" ca="1" si="921"/>
        <v>#NAME?</v>
      </c>
      <c r="CO107" s="94" t="e">
        <f t="shared" ca="1" si="921"/>
        <v>#NAME?</v>
      </c>
      <c r="CP107" s="94" t="e">
        <f t="shared" ca="1" si="921"/>
        <v>#NAME?</v>
      </c>
      <c r="CQ107" s="94" t="e">
        <f t="shared" ca="1" si="921"/>
        <v>#NAME?</v>
      </c>
      <c r="CR107" s="94" t="e">
        <f t="shared" ca="1" si="921"/>
        <v>#NAME?</v>
      </c>
      <c r="CS107" s="94" t="e">
        <f t="shared" ca="1" si="921"/>
        <v>#NAME?</v>
      </c>
      <c r="CT107" s="94" t="e">
        <f t="shared" ca="1" si="921"/>
        <v>#NAME?</v>
      </c>
      <c r="CU107" s="94" t="e">
        <f t="shared" ca="1" si="921"/>
        <v>#NAME?</v>
      </c>
      <c r="CV107" s="94" t="e">
        <f t="shared" ca="1" si="921"/>
        <v>#NAME?</v>
      </c>
      <c r="CW107" s="94" t="e">
        <f t="shared" ca="1" si="921"/>
        <v>#NAME?</v>
      </c>
      <c r="CX107" s="94" t="e">
        <f t="shared" ca="1" si="921"/>
        <v>#NAME?</v>
      </c>
      <c r="CY107" s="94" t="e">
        <f t="shared" ca="1" si="921"/>
        <v>#NAME?</v>
      </c>
      <c r="CZ107" s="94" t="e">
        <f t="shared" ca="1" si="921"/>
        <v>#NAME?</v>
      </c>
      <c r="DA107" s="94" t="e">
        <f t="shared" ca="1" si="921"/>
        <v>#NAME?</v>
      </c>
      <c r="DB107" s="94" t="e">
        <f t="shared" ca="1" si="921"/>
        <v>#NAME?</v>
      </c>
      <c r="DC107" s="94"/>
      <c r="DE107" s="22"/>
      <c r="DF107" s="162">
        <v>1.2497406223481524</v>
      </c>
    </row>
    <row r="108" spans="1:110" s="4" customFormat="1" x14ac:dyDescent="0.2">
      <c r="A108" s="3"/>
      <c r="AB108" s="17"/>
      <c r="AC108" s="17"/>
      <c r="AD108" s="17"/>
      <c r="AE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E108" s="119"/>
    </row>
    <row r="109" spans="1:110" s="177" customFormat="1" x14ac:dyDescent="0.2">
      <c r="A109" s="177" t="s">
        <v>510</v>
      </c>
      <c r="E109" s="177" t="e">
        <f t="shared" ref="E109:Y109" ca="1" si="922">+E21</f>
        <v>#NAME?</v>
      </c>
      <c r="F109" s="177" t="e">
        <f t="shared" ca="1" si="922"/>
        <v>#NAME?</v>
      </c>
      <c r="G109" s="177" t="e">
        <f t="shared" ca="1" si="922"/>
        <v>#NAME?</v>
      </c>
      <c r="H109" s="177" t="e">
        <f t="shared" ca="1" si="922"/>
        <v>#NAME?</v>
      </c>
      <c r="I109" s="177" t="e">
        <f t="shared" ca="1" si="922"/>
        <v>#NAME?</v>
      </c>
      <c r="J109" s="177" t="e">
        <f t="shared" ca="1" si="922"/>
        <v>#NAME?</v>
      </c>
      <c r="K109" s="177" t="e">
        <f t="shared" ca="1" si="922"/>
        <v>#NAME?</v>
      </c>
      <c r="L109" s="177" t="e">
        <f t="shared" ca="1" si="922"/>
        <v>#NAME?</v>
      </c>
      <c r="M109" s="177" t="e">
        <f t="shared" ca="1" si="922"/>
        <v>#NAME?</v>
      </c>
      <c r="N109" s="177" t="e">
        <f t="shared" ca="1" si="922"/>
        <v>#NAME?</v>
      </c>
      <c r="O109" s="177" t="e">
        <f t="shared" ca="1" si="922"/>
        <v>#NAME?</v>
      </c>
      <c r="P109" s="177" t="e">
        <f t="shared" ca="1" si="922"/>
        <v>#NAME?</v>
      </c>
      <c r="Q109" s="177" t="e">
        <f t="shared" ca="1" si="922"/>
        <v>#NAME?</v>
      </c>
      <c r="R109" s="177" t="e">
        <f t="shared" ca="1" si="922"/>
        <v>#NAME?</v>
      </c>
      <c r="S109" s="177" t="e">
        <f t="shared" ca="1" si="922"/>
        <v>#NAME?</v>
      </c>
      <c r="T109" s="177" t="e">
        <f t="shared" ca="1" si="922"/>
        <v>#NAME?</v>
      </c>
      <c r="U109" s="177" t="e">
        <f t="shared" ca="1" si="922"/>
        <v>#NAME?</v>
      </c>
      <c r="V109" s="177" t="e">
        <f t="shared" ca="1" si="922"/>
        <v>#NAME?</v>
      </c>
      <c r="W109" s="177" t="e">
        <f t="shared" ca="1" si="922"/>
        <v>#NAME?</v>
      </c>
      <c r="X109" s="177" t="e">
        <f t="shared" ca="1" si="922"/>
        <v>#NAME?</v>
      </c>
      <c r="Y109" s="177" t="e">
        <f t="shared" ca="1" si="922"/>
        <v>#NAME?</v>
      </c>
      <c r="Z109" s="177" t="e">
        <f ca="1">+Z21</f>
        <v>#NAME?</v>
      </c>
      <c r="AA109" s="177" t="e">
        <f ca="1">+AA21</f>
        <v>#NAME?</v>
      </c>
      <c r="AB109" s="178">
        <f t="shared" ref="AA109:AE109" si="923">+AB21</f>
        <v>838.2192</v>
      </c>
      <c r="AC109" s="178">
        <f t="shared" si="923"/>
        <v>1105.2606000000001</v>
      </c>
      <c r="AD109" s="178">
        <f t="shared" si="923"/>
        <v>1473.829248</v>
      </c>
      <c r="AE109" s="178">
        <f t="shared" si="923"/>
        <v>1987.8161340000001</v>
      </c>
      <c r="AL109" s="177" t="e">
        <f t="shared" ref="AL109:BQ109" ca="1" si="924">+SUM(AI19:AL19)</f>
        <v>#NAME?</v>
      </c>
      <c r="AM109" s="177" t="e">
        <f t="shared" ca="1" si="924"/>
        <v>#NAME?</v>
      </c>
      <c r="AN109" s="177" t="e">
        <f t="shared" ca="1" si="924"/>
        <v>#NAME?</v>
      </c>
      <c r="AO109" s="177" t="e">
        <f t="shared" ca="1" si="924"/>
        <v>#NAME?</v>
      </c>
      <c r="AP109" s="177" t="e">
        <f t="shared" ca="1" si="924"/>
        <v>#NAME?</v>
      </c>
      <c r="AQ109" s="177" t="e">
        <f t="shared" ca="1" si="924"/>
        <v>#NAME?</v>
      </c>
      <c r="AR109" s="177" t="e">
        <f t="shared" ca="1" si="924"/>
        <v>#NAME?</v>
      </c>
      <c r="AS109" s="177" t="e">
        <f t="shared" ca="1" si="924"/>
        <v>#NAME?</v>
      </c>
      <c r="AT109" s="177" t="e">
        <f t="shared" ca="1" si="924"/>
        <v>#NAME?</v>
      </c>
      <c r="AU109" s="177" t="e">
        <f t="shared" ca="1" si="924"/>
        <v>#NAME?</v>
      </c>
      <c r="AV109" s="177" t="e">
        <f t="shared" ca="1" si="924"/>
        <v>#NAME?</v>
      </c>
      <c r="AW109" s="177" t="e">
        <f t="shared" ca="1" si="924"/>
        <v>#NAME?</v>
      </c>
      <c r="AX109" s="177" t="e">
        <f t="shared" ca="1" si="924"/>
        <v>#NAME?</v>
      </c>
      <c r="AY109" s="177" t="e">
        <f t="shared" ca="1" si="924"/>
        <v>#NAME?</v>
      </c>
      <c r="AZ109" s="177" t="e">
        <f t="shared" ca="1" si="924"/>
        <v>#NAME?</v>
      </c>
      <c r="BA109" s="177" t="e">
        <f t="shared" ca="1" si="924"/>
        <v>#NAME?</v>
      </c>
      <c r="BB109" s="177" t="e">
        <f t="shared" ca="1" si="924"/>
        <v>#NAME?</v>
      </c>
      <c r="BC109" s="177" t="e">
        <f t="shared" ca="1" si="924"/>
        <v>#NAME?</v>
      </c>
      <c r="BD109" s="177" t="e">
        <f t="shared" ca="1" si="924"/>
        <v>#NAME?</v>
      </c>
      <c r="BE109" s="177" t="e">
        <f t="shared" ca="1" si="924"/>
        <v>#NAME?</v>
      </c>
      <c r="BF109" s="177" t="e">
        <f t="shared" ca="1" si="924"/>
        <v>#NAME?</v>
      </c>
      <c r="BG109" s="177" t="e">
        <f t="shared" ca="1" si="924"/>
        <v>#NAME?</v>
      </c>
      <c r="BH109" s="177" t="e">
        <f t="shared" ca="1" si="924"/>
        <v>#NAME?</v>
      </c>
      <c r="BI109" s="177" t="e">
        <f t="shared" ca="1" si="924"/>
        <v>#NAME?</v>
      </c>
      <c r="BJ109" s="177" t="e">
        <f t="shared" ca="1" si="924"/>
        <v>#NAME?</v>
      </c>
      <c r="BK109" s="177" t="e">
        <f t="shared" ca="1" si="924"/>
        <v>#NAME?</v>
      </c>
      <c r="BL109" s="177" t="e">
        <f t="shared" ca="1" si="924"/>
        <v>#NAME?</v>
      </c>
      <c r="BM109" s="177" t="e">
        <f t="shared" ca="1" si="924"/>
        <v>#NAME?</v>
      </c>
      <c r="BN109" s="177" t="e">
        <f t="shared" ca="1" si="924"/>
        <v>#NAME?</v>
      </c>
      <c r="BO109" s="177" t="e">
        <f t="shared" ca="1" si="924"/>
        <v>#NAME?</v>
      </c>
      <c r="BP109" s="177" t="e">
        <f t="shared" ca="1" si="924"/>
        <v>#NAME?</v>
      </c>
      <c r="BQ109" s="177" t="e">
        <f t="shared" ca="1" si="924"/>
        <v>#NAME?</v>
      </c>
      <c r="BR109" s="177" t="e">
        <f t="shared" ref="BR109:CW109" ca="1" si="925">+SUM(BO19:BR19)</f>
        <v>#NAME?</v>
      </c>
      <c r="BS109" s="177" t="e">
        <f t="shared" ca="1" si="925"/>
        <v>#NAME?</v>
      </c>
      <c r="BT109" s="177" t="e">
        <f t="shared" ca="1" si="925"/>
        <v>#NAME?</v>
      </c>
      <c r="BU109" s="177" t="e">
        <f t="shared" ca="1" si="925"/>
        <v>#NAME?</v>
      </c>
      <c r="BV109" s="177" t="e">
        <f t="shared" ca="1" si="925"/>
        <v>#NAME?</v>
      </c>
      <c r="BW109" s="177" t="e">
        <f t="shared" ca="1" si="925"/>
        <v>#NAME?</v>
      </c>
      <c r="BX109" s="177" t="e">
        <f t="shared" ca="1" si="925"/>
        <v>#NAME?</v>
      </c>
      <c r="BY109" s="177" t="e">
        <f t="shared" ca="1" si="925"/>
        <v>#NAME?</v>
      </c>
      <c r="BZ109" s="177" t="e">
        <f t="shared" ca="1" si="925"/>
        <v>#NAME?</v>
      </c>
      <c r="CA109" s="177" t="e">
        <f t="shared" ca="1" si="925"/>
        <v>#NAME?</v>
      </c>
      <c r="CB109" s="177" t="e">
        <f t="shared" ca="1" si="925"/>
        <v>#NAME?</v>
      </c>
      <c r="CC109" s="177" t="e">
        <f t="shared" ca="1" si="925"/>
        <v>#NAME?</v>
      </c>
      <c r="CD109" s="177" t="e">
        <f t="shared" ca="1" si="925"/>
        <v>#NAME?</v>
      </c>
      <c r="CE109" s="177" t="e">
        <f t="shared" ca="1" si="925"/>
        <v>#NAME?</v>
      </c>
      <c r="CF109" s="177" t="e">
        <f t="shared" ca="1" si="925"/>
        <v>#NAME?</v>
      </c>
      <c r="CG109" s="177" t="e">
        <f t="shared" ca="1" si="925"/>
        <v>#NAME?</v>
      </c>
      <c r="CH109" s="177" t="e">
        <f t="shared" ca="1" si="925"/>
        <v>#NAME?</v>
      </c>
      <c r="CI109" s="177" t="e">
        <f t="shared" ca="1" si="925"/>
        <v>#NAME?</v>
      </c>
      <c r="CJ109" s="177" t="e">
        <f t="shared" ca="1" si="925"/>
        <v>#NAME?</v>
      </c>
      <c r="CK109" s="177" t="e">
        <f t="shared" ca="1" si="925"/>
        <v>#NAME?</v>
      </c>
      <c r="CL109" s="177" t="e">
        <f t="shared" ca="1" si="925"/>
        <v>#NAME?</v>
      </c>
      <c r="CM109" s="178" t="e">
        <f t="shared" ca="1" si="925"/>
        <v>#NAME?</v>
      </c>
      <c r="CN109" s="178" t="e">
        <f t="shared" ca="1" si="925"/>
        <v>#NAME?</v>
      </c>
      <c r="CO109" s="178" t="e">
        <f t="shared" ca="1" si="925"/>
        <v>#NAME?</v>
      </c>
      <c r="CP109" s="178">
        <f t="shared" si="925"/>
        <v>838.2192</v>
      </c>
      <c r="CQ109" s="178">
        <f t="shared" si="925"/>
        <v>886.36919999999998</v>
      </c>
      <c r="CR109" s="178">
        <f t="shared" si="925"/>
        <v>945.19920000000002</v>
      </c>
      <c r="CS109" s="178">
        <f t="shared" si="925"/>
        <v>1011.3492</v>
      </c>
      <c r="CT109" s="178">
        <f t="shared" si="925"/>
        <v>1105.2606000000001</v>
      </c>
      <c r="CU109" s="178">
        <f t="shared" si="925"/>
        <v>1171.3055999999999</v>
      </c>
      <c r="CV109" s="178">
        <f t="shared" si="925"/>
        <v>1252.1226000000001</v>
      </c>
      <c r="CW109" s="178">
        <f t="shared" si="925"/>
        <v>1343.3375999999998</v>
      </c>
      <c r="CX109" s="178">
        <f t="shared" ref="CX109:DB109" si="926">+SUM(CU19:CX19)</f>
        <v>1473.829248</v>
      </c>
      <c r="CY109" s="178">
        <f t="shared" si="926"/>
        <v>1565.402748</v>
      </c>
      <c r="CZ109" s="178">
        <f t="shared" si="926"/>
        <v>1677.6054479999998</v>
      </c>
      <c r="DA109" s="178">
        <f t="shared" si="926"/>
        <v>1804.698948</v>
      </c>
      <c r="DB109" s="178">
        <f t="shared" si="926"/>
        <v>1987.8161340000001</v>
      </c>
      <c r="DE109" s="179"/>
      <c r="DF109" s="177">
        <v>639.12400000000002</v>
      </c>
    </row>
    <row r="110" spans="1:110" s="163" customFormat="1" x14ac:dyDescent="0.2">
      <c r="A110" s="163" t="s">
        <v>511</v>
      </c>
      <c r="E110" s="163">
        <f t="shared" ref="E110:AE110" ca="1" si="927">+E109/E76</f>
        <v>0</v>
      </c>
      <c r="F110" s="163">
        <f t="shared" ca="1" si="927"/>
        <v>0</v>
      </c>
      <c r="G110" s="163">
        <f t="shared" ca="1" si="927"/>
        <v>0</v>
      </c>
      <c r="H110" s="163">
        <f t="shared" ca="1" si="927"/>
        <v>0</v>
      </c>
      <c r="I110" s="163">
        <f t="shared" ca="1" si="927"/>
        <v>8.5016511967842128</v>
      </c>
      <c r="J110" s="163">
        <f t="shared" ca="1" si="927"/>
        <v>7.2757312260186362</v>
      </c>
      <c r="K110" s="163">
        <f t="shared" ca="1" si="927"/>
        <v>8.3945251233327234</v>
      </c>
      <c r="L110" s="163">
        <f t="shared" ca="1" si="927"/>
        <v>14.560441439795358</v>
      </c>
      <c r="M110" s="163">
        <f t="shared" ca="1" si="927"/>
        <v>21.332695779280101</v>
      </c>
      <c r="N110" s="163">
        <f t="shared" ca="1" si="927"/>
        <v>27.55666526585054</v>
      </c>
      <c r="O110" s="163">
        <f t="shared" ca="1" si="927"/>
        <v>38.890484926000362</v>
      </c>
      <c r="P110" s="163">
        <f t="shared" ca="1" si="927"/>
        <v>46.280624703087888</v>
      </c>
      <c r="Q110" s="163">
        <f t="shared" ca="1" si="927"/>
        <v>77.327516535720804</v>
      </c>
      <c r="R110" s="163">
        <f t="shared" ca="1" si="927"/>
        <v>103.59257592910653</v>
      </c>
      <c r="S110" s="163">
        <f t="shared" ca="1" si="927"/>
        <v>108.80137704184177</v>
      </c>
      <c r="T110" s="163">
        <f t="shared" ca="1" si="927"/>
        <v>177.26235630549974</v>
      </c>
      <c r="U110" s="163">
        <f t="shared" ca="1" si="927"/>
        <v>206.05035459711311</v>
      </c>
      <c r="V110" s="163">
        <f t="shared" ca="1" si="927"/>
        <v>244.64352274803582</v>
      </c>
      <c r="W110" s="163">
        <f t="shared" ca="1" si="927"/>
        <v>410.12150557281194</v>
      </c>
      <c r="X110" s="163">
        <f t="shared" ca="1" si="927"/>
        <v>501.87392654851084</v>
      </c>
      <c r="Y110" s="163">
        <f t="shared" ca="1" si="927"/>
        <v>636.13411291796092</v>
      </c>
      <c r="Z110" s="163">
        <f t="shared" ref="Z110:AA110" ca="1" si="928">+Z109/Z76</f>
        <v>829.19367805591082</v>
      </c>
      <c r="AA110" s="163">
        <f t="shared" ca="1" si="928"/>
        <v>829.19367805591082</v>
      </c>
      <c r="AB110" s="94">
        <f t="shared" ca="1" si="927"/>
        <v>1531.5534441805225</v>
      </c>
      <c r="AC110" s="94">
        <f t="shared" ca="1" si="927"/>
        <v>2019.4785309702174</v>
      </c>
      <c r="AD110" s="94">
        <f t="shared" ca="1" si="927"/>
        <v>2692.9092782751691</v>
      </c>
      <c r="AE110" s="94">
        <f t="shared" ca="1" si="927"/>
        <v>3632.0411730312444</v>
      </c>
      <c r="AL110" s="163" t="e">
        <f t="shared" ref="AL110:BQ110" ca="1" si="929">+AL109/AL76</f>
        <v>#NAME?</v>
      </c>
      <c r="AM110" s="163" t="e">
        <f t="shared" ca="1" si="929"/>
        <v>#NAME?</v>
      </c>
      <c r="AN110" s="163" t="e">
        <f t="shared" ca="1" si="929"/>
        <v>#NAME?</v>
      </c>
      <c r="AO110" s="163" t="e">
        <f t="shared" ca="1" si="929"/>
        <v>#NAME?</v>
      </c>
      <c r="AP110" s="163" t="e">
        <f t="shared" ca="1" si="929"/>
        <v>#NAME?</v>
      </c>
      <c r="AQ110" s="163" t="e">
        <f t="shared" ca="1" si="929"/>
        <v>#NAME?</v>
      </c>
      <c r="AR110" s="163" t="e">
        <f t="shared" ca="1" si="929"/>
        <v>#NAME?</v>
      </c>
      <c r="AS110" s="163" t="e">
        <f t="shared" ca="1" si="929"/>
        <v>#NAME?</v>
      </c>
      <c r="AT110" s="163" t="e">
        <f t="shared" ca="1" si="929"/>
        <v>#NAME?</v>
      </c>
      <c r="AU110" s="163" t="e">
        <f t="shared" ca="1" si="929"/>
        <v>#NAME?</v>
      </c>
      <c r="AV110" s="163" t="e">
        <f t="shared" ca="1" si="929"/>
        <v>#NAME?</v>
      </c>
      <c r="AW110" s="163" t="e">
        <f t="shared" ca="1" si="929"/>
        <v>#NAME?</v>
      </c>
      <c r="AX110" s="163" t="e">
        <f t="shared" ca="1" si="929"/>
        <v>#NAME?</v>
      </c>
      <c r="AY110" s="163" t="e">
        <f t="shared" ca="1" si="929"/>
        <v>#NAME?</v>
      </c>
      <c r="AZ110" s="163" t="e">
        <f t="shared" ca="1" si="929"/>
        <v>#NAME?</v>
      </c>
      <c r="BA110" s="163" t="e">
        <f t="shared" ca="1" si="929"/>
        <v>#NAME?</v>
      </c>
      <c r="BB110" s="163" t="e">
        <f t="shared" ca="1" si="929"/>
        <v>#NAME?</v>
      </c>
      <c r="BC110" s="163" t="e">
        <f t="shared" ca="1" si="929"/>
        <v>#NAME?</v>
      </c>
      <c r="BD110" s="163" t="e">
        <f t="shared" ca="1" si="929"/>
        <v>#NAME?</v>
      </c>
      <c r="BE110" s="163" t="e">
        <f t="shared" ca="1" si="929"/>
        <v>#NAME?</v>
      </c>
      <c r="BF110" s="163" t="e">
        <f t="shared" ca="1" si="929"/>
        <v>#NAME?</v>
      </c>
      <c r="BG110" s="163" t="e">
        <f t="shared" ca="1" si="929"/>
        <v>#NAME?</v>
      </c>
      <c r="BH110" s="163" t="e">
        <f t="shared" ca="1" si="929"/>
        <v>#NAME?</v>
      </c>
      <c r="BI110" s="163" t="e">
        <f t="shared" ca="1" si="929"/>
        <v>#NAME?</v>
      </c>
      <c r="BJ110" s="163" t="e">
        <f t="shared" ca="1" si="929"/>
        <v>#NAME?</v>
      </c>
      <c r="BK110" s="163" t="e">
        <f t="shared" ca="1" si="929"/>
        <v>#NAME?</v>
      </c>
      <c r="BL110" s="163" t="e">
        <f t="shared" ca="1" si="929"/>
        <v>#NAME?</v>
      </c>
      <c r="BM110" s="163" t="e">
        <f t="shared" ca="1" si="929"/>
        <v>#NAME?</v>
      </c>
      <c r="BN110" s="163" t="e">
        <f t="shared" ca="1" si="929"/>
        <v>#NAME?</v>
      </c>
      <c r="BO110" s="163" t="e">
        <f t="shared" ca="1" si="929"/>
        <v>#NAME?</v>
      </c>
      <c r="BP110" s="163" t="e">
        <f t="shared" ca="1" si="929"/>
        <v>#NAME?</v>
      </c>
      <c r="BQ110" s="163" t="e">
        <f t="shared" ca="1" si="929"/>
        <v>#NAME?</v>
      </c>
      <c r="BR110" s="163" t="e">
        <f t="shared" ref="BR110:CW110" ca="1" si="930">+BR109/BR76</f>
        <v>#NAME?</v>
      </c>
      <c r="BS110" s="163" t="e">
        <f t="shared" ca="1" si="930"/>
        <v>#NAME?</v>
      </c>
      <c r="BT110" s="163" t="e">
        <f t="shared" ca="1" si="930"/>
        <v>#NAME?</v>
      </c>
      <c r="BU110" s="163" t="e">
        <f t="shared" ca="1" si="930"/>
        <v>#NAME?</v>
      </c>
      <c r="BV110" s="163" t="e">
        <f t="shared" ca="1" si="930"/>
        <v>#NAME?</v>
      </c>
      <c r="BW110" s="163" t="e">
        <f t="shared" ca="1" si="930"/>
        <v>#NAME?</v>
      </c>
      <c r="BX110" s="163" t="e">
        <f t="shared" ca="1" si="930"/>
        <v>#NAME?</v>
      </c>
      <c r="BY110" s="163" t="e">
        <f t="shared" ca="1" si="930"/>
        <v>#NAME?</v>
      </c>
      <c r="BZ110" s="163" t="e">
        <f t="shared" ca="1" si="930"/>
        <v>#NAME?</v>
      </c>
      <c r="CA110" s="163" t="e">
        <f t="shared" ca="1" si="930"/>
        <v>#NAME?</v>
      </c>
      <c r="CB110" s="163" t="e">
        <f t="shared" ca="1" si="930"/>
        <v>#NAME?</v>
      </c>
      <c r="CC110" s="163" t="e">
        <f t="shared" ca="1" si="930"/>
        <v>#NAME?</v>
      </c>
      <c r="CD110" s="163" t="e">
        <f t="shared" ca="1" si="930"/>
        <v>#NAME?</v>
      </c>
      <c r="CE110" s="163" t="e">
        <f t="shared" ca="1" si="930"/>
        <v>#NAME?</v>
      </c>
      <c r="CF110" s="163" t="e">
        <f t="shared" ca="1" si="930"/>
        <v>#NAME?</v>
      </c>
      <c r="CG110" s="163" t="e">
        <f t="shared" ca="1" si="930"/>
        <v>#NAME?</v>
      </c>
      <c r="CH110" s="163" t="e">
        <f t="shared" ca="1" si="930"/>
        <v>#NAME?</v>
      </c>
      <c r="CI110" s="163" t="e">
        <f t="shared" ca="1" si="930"/>
        <v>#NAME?</v>
      </c>
      <c r="CJ110" s="163" t="e">
        <f t="shared" ca="1" si="930"/>
        <v>#NAME?</v>
      </c>
      <c r="CK110" s="163" t="e">
        <f t="shared" ref="CK110" ca="1" si="931">+CK109/CK76</f>
        <v>#NAME?</v>
      </c>
      <c r="CL110" s="163" t="e">
        <f t="shared" ref="CL110" ca="1" si="932">+CL109/CL76</f>
        <v>#NAME?</v>
      </c>
      <c r="CM110" s="50" t="e">
        <f t="shared" ca="1" si="930"/>
        <v>#NAME?</v>
      </c>
      <c r="CN110" s="50" t="e">
        <f t="shared" ca="1" si="930"/>
        <v>#NAME?</v>
      </c>
      <c r="CO110" s="50" t="e">
        <f t="shared" ca="1" si="930"/>
        <v>#NAME?</v>
      </c>
      <c r="CP110" s="50" t="e">
        <f t="shared" ca="1" si="930"/>
        <v>#NAME?</v>
      </c>
      <c r="CQ110" s="50" t="e">
        <f t="shared" ca="1" si="930"/>
        <v>#NAME?</v>
      </c>
      <c r="CR110" s="50" t="e">
        <f t="shared" ca="1" si="930"/>
        <v>#NAME?</v>
      </c>
      <c r="CS110" s="50" t="e">
        <f t="shared" ca="1" si="930"/>
        <v>#NAME?</v>
      </c>
      <c r="CT110" s="50" t="e">
        <f t="shared" ca="1" si="930"/>
        <v>#NAME?</v>
      </c>
      <c r="CU110" s="50" t="e">
        <f t="shared" ca="1" si="930"/>
        <v>#NAME?</v>
      </c>
      <c r="CV110" s="50" t="e">
        <f t="shared" ca="1" si="930"/>
        <v>#NAME?</v>
      </c>
      <c r="CW110" s="50" t="e">
        <f t="shared" ca="1" si="930"/>
        <v>#NAME?</v>
      </c>
      <c r="CX110" s="50" t="e">
        <f t="shared" ref="CX110:DB110" ca="1" si="933">+CX109/CX76</f>
        <v>#NAME?</v>
      </c>
      <c r="CY110" s="50" t="e">
        <f t="shared" ca="1" si="933"/>
        <v>#NAME?</v>
      </c>
      <c r="CZ110" s="50" t="e">
        <f t="shared" ca="1" si="933"/>
        <v>#NAME?</v>
      </c>
      <c r="DA110" s="50" t="e">
        <f t="shared" ca="1" si="933"/>
        <v>#NAME?</v>
      </c>
      <c r="DB110" s="50" t="e">
        <f t="shared" ca="1" si="933"/>
        <v>#NAME?</v>
      </c>
      <c r="DE110" s="164"/>
      <c r="DF110" s="163">
        <v>1167.7763566599672</v>
      </c>
    </row>
    <row r="111" spans="1:110" s="163" customFormat="1" x14ac:dyDescent="0.2">
      <c r="AB111" s="94"/>
      <c r="AC111" s="94"/>
      <c r="AD111" s="94"/>
      <c r="AE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E111" s="164"/>
    </row>
    <row r="112" spans="1:110" s="163" customFormat="1" x14ac:dyDescent="0.2">
      <c r="A112" s="163" t="s">
        <v>506</v>
      </c>
      <c r="AB112" s="94"/>
      <c r="AC112" s="94"/>
      <c r="AD112" s="94"/>
      <c r="AE112" s="94"/>
      <c r="CM112" s="94"/>
      <c r="CN112" s="94"/>
      <c r="CO112" s="94"/>
      <c r="CP112" s="94"/>
      <c r="CQ112" s="94"/>
      <c r="CR112" s="94"/>
      <c r="CS112" s="94"/>
      <c r="CT112" s="94"/>
      <c r="CU112" s="94"/>
      <c r="CV112" s="94"/>
      <c r="CW112" s="94"/>
      <c r="CX112" s="94"/>
      <c r="CY112" s="94"/>
      <c r="CZ112" s="94"/>
      <c r="DA112" s="94"/>
      <c r="DB112" s="94"/>
      <c r="DE112" s="164"/>
    </row>
    <row r="113" spans="1:110" s="163" customFormat="1" x14ac:dyDescent="0.2">
      <c r="A113" s="163" t="s">
        <v>507</v>
      </c>
      <c r="E113" s="163" t="e">
        <f t="shared" ref="E113:AE115" ca="1" si="934">+E88/E$110</f>
        <v>#DIV/0!</v>
      </c>
      <c r="F113" s="163" t="e">
        <f t="shared" ca="1" si="934"/>
        <v>#DIV/0!</v>
      </c>
      <c r="G113" s="163" t="e">
        <f t="shared" ca="1" si="934"/>
        <v>#DIV/0!</v>
      </c>
      <c r="H113" s="163" t="e">
        <f t="shared" ca="1" si="934"/>
        <v>#DIV/0!</v>
      </c>
      <c r="I113" s="163">
        <f t="shared" ca="1" si="934"/>
        <v>0</v>
      </c>
      <c r="J113" s="163">
        <f t="shared" ca="1" si="934"/>
        <v>0</v>
      </c>
      <c r="K113" s="163">
        <f t="shared" ca="1" si="934"/>
        <v>0</v>
      </c>
      <c r="L113" s="163">
        <f t="shared" ca="1" si="934"/>
        <v>0</v>
      </c>
      <c r="M113" s="163">
        <f t="shared" ca="1" si="934"/>
        <v>0</v>
      </c>
      <c r="N113" s="163">
        <f t="shared" ca="1" si="934"/>
        <v>0</v>
      </c>
      <c r="O113" s="163">
        <f t="shared" ca="1" si="934"/>
        <v>0</v>
      </c>
      <c r="P113" s="163">
        <f t="shared" ca="1" si="934"/>
        <v>0</v>
      </c>
      <c r="Q113" s="163">
        <f t="shared" ca="1" si="934"/>
        <v>0.16165008990332347</v>
      </c>
      <c r="R113" s="163">
        <f t="shared" ca="1" si="934"/>
        <v>0.58884528599564201</v>
      </c>
      <c r="S113" s="163">
        <f t="shared" ca="1" si="934"/>
        <v>1.3115642823630973</v>
      </c>
      <c r="T113" s="163">
        <f t="shared" ca="1" si="934"/>
        <v>2.3868575867896942</v>
      </c>
      <c r="U113" s="163">
        <f t="shared" ca="1" si="934"/>
        <v>0.56563843448795958</v>
      </c>
      <c r="V113" s="163">
        <f t="shared" ca="1" si="934"/>
        <v>1.8947977644902587</v>
      </c>
      <c r="W113" s="163">
        <f t="shared" ca="1" si="934"/>
        <v>2.2317776258077737</v>
      </c>
      <c r="X113" s="163">
        <f t="shared" ca="1" si="934"/>
        <v>1.548695715964578</v>
      </c>
      <c r="Y113" s="163">
        <f t="shared" ca="1" si="934"/>
        <v>1.127592413979702</v>
      </c>
      <c r="Z113" s="163">
        <f ca="1">+Z88/Z$110</f>
        <v>0.80626519194822055</v>
      </c>
      <c r="AA113" s="163">
        <f ca="1">+AA88/AA$110</f>
        <v>0.80626519194822055</v>
      </c>
      <c r="AB113" s="50">
        <f t="shared" ref="AA113:AE113" ca="1" si="935">+AB88/AB$110</f>
        <v>1.5565894935358198</v>
      </c>
      <c r="AC113" s="50">
        <f t="shared" ca="1" si="935"/>
        <v>1.1805027701159347</v>
      </c>
      <c r="AD113" s="50">
        <f t="shared" ca="1" si="935"/>
        <v>0.88528790005394165</v>
      </c>
      <c r="AE113" s="50">
        <f t="shared" ca="1" si="935"/>
        <v>0.65638022434926069</v>
      </c>
      <c r="AL113" s="163" t="e">
        <f t="shared" ref="AL113:BQ113" ca="1" si="936">+AL88/AL110</f>
        <v>#NAME?</v>
      </c>
      <c r="AM113" s="163" t="e">
        <f t="shared" ca="1" si="936"/>
        <v>#NAME?</v>
      </c>
      <c r="AN113" s="163" t="e">
        <f t="shared" ca="1" si="936"/>
        <v>#NAME?</v>
      </c>
      <c r="AO113" s="163" t="e">
        <f t="shared" ca="1" si="936"/>
        <v>#NAME?</v>
      </c>
      <c r="AP113" s="163" t="e">
        <f t="shared" ca="1" si="936"/>
        <v>#NAME?</v>
      </c>
      <c r="AQ113" s="163" t="e">
        <f t="shared" ca="1" si="936"/>
        <v>#NAME?</v>
      </c>
      <c r="AR113" s="163" t="e">
        <f t="shared" ca="1" si="936"/>
        <v>#NAME?</v>
      </c>
      <c r="AS113" s="163" t="e">
        <f t="shared" ca="1" si="936"/>
        <v>#NAME?</v>
      </c>
      <c r="AT113" s="163" t="e">
        <f t="shared" ca="1" si="936"/>
        <v>#NAME?</v>
      </c>
      <c r="AU113" s="163" t="e">
        <f t="shared" ca="1" si="936"/>
        <v>#NAME?</v>
      </c>
      <c r="AV113" s="163" t="e">
        <f t="shared" ca="1" si="936"/>
        <v>#NAME?</v>
      </c>
      <c r="AW113" s="163" t="e">
        <f t="shared" ca="1" si="936"/>
        <v>#NAME?</v>
      </c>
      <c r="AX113" s="163" t="e">
        <f t="shared" ca="1" si="936"/>
        <v>#NAME?</v>
      </c>
      <c r="AY113" s="163" t="e">
        <f t="shared" ca="1" si="936"/>
        <v>#NAME?</v>
      </c>
      <c r="AZ113" s="163" t="e">
        <f t="shared" ca="1" si="936"/>
        <v>#NAME?</v>
      </c>
      <c r="BA113" s="163" t="e">
        <f t="shared" ca="1" si="936"/>
        <v>#NAME?</v>
      </c>
      <c r="BB113" s="163" t="e">
        <f t="shared" ca="1" si="936"/>
        <v>#NAME?</v>
      </c>
      <c r="BC113" s="163" t="e">
        <f t="shared" ca="1" si="936"/>
        <v>#NAME?</v>
      </c>
      <c r="BD113" s="163" t="e">
        <f t="shared" ca="1" si="936"/>
        <v>#NAME?</v>
      </c>
      <c r="BE113" s="163" t="e">
        <f t="shared" ca="1" si="936"/>
        <v>#NAME?</v>
      </c>
      <c r="BF113" s="163" t="e">
        <f t="shared" ca="1" si="936"/>
        <v>#NAME?</v>
      </c>
      <c r="BG113" s="163" t="e">
        <f t="shared" ca="1" si="936"/>
        <v>#NAME?</v>
      </c>
      <c r="BH113" s="163" t="e">
        <f t="shared" ca="1" si="936"/>
        <v>#NAME?</v>
      </c>
      <c r="BI113" s="163" t="e">
        <f t="shared" ca="1" si="936"/>
        <v>#NAME?</v>
      </c>
      <c r="BJ113" s="163" t="e">
        <f t="shared" ca="1" si="936"/>
        <v>#NAME?</v>
      </c>
      <c r="BK113" s="163" t="e">
        <f t="shared" ca="1" si="936"/>
        <v>#NAME?</v>
      </c>
      <c r="BL113" s="163" t="e">
        <f t="shared" ca="1" si="936"/>
        <v>#NAME?</v>
      </c>
      <c r="BM113" s="163" t="e">
        <f t="shared" ca="1" si="936"/>
        <v>#NAME?</v>
      </c>
      <c r="BN113" s="163" t="e">
        <f t="shared" ca="1" si="936"/>
        <v>#NAME?</v>
      </c>
      <c r="BO113" s="163" t="e">
        <f t="shared" ca="1" si="936"/>
        <v>#NAME?</v>
      </c>
      <c r="BP113" s="163" t="e">
        <f t="shared" ca="1" si="936"/>
        <v>#NAME?</v>
      </c>
      <c r="BQ113" s="163" t="e">
        <f t="shared" ca="1" si="936"/>
        <v>#NAME?</v>
      </c>
      <c r="BR113" s="163" t="e">
        <f t="shared" ref="BR113:DB113" ca="1" si="937">+BR88/BR110</f>
        <v>#NAME?</v>
      </c>
      <c r="BS113" s="163" t="e">
        <f t="shared" ca="1" si="937"/>
        <v>#NAME?</v>
      </c>
      <c r="BT113" s="163" t="e">
        <f t="shared" ca="1" si="937"/>
        <v>#NAME?</v>
      </c>
      <c r="BU113" s="163" t="e">
        <f t="shared" ca="1" si="937"/>
        <v>#NAME?</v>
      </c>
      <c r="BV113" s="163" t="e">
        <f t="shared" ca="1" si="937"/>
        <v>#NAME?</v>
      </c>
      <c r="BW113" s="163" t="e">
        <f t="shared" ca="1" si="937"/>
        <v>#NAME?</v>
      </c>
      <c r="BX113" s="163" t="e">
        <f t="shared" ca="1" si="937"/>
        <v>#NAME?</v>
      </c>
      <c r="BY113" s="163" t="e">
        <f t="shared" ca="1" si="937"/>
        <v>#NAME?</v>
      </c>
      <c r="BZ113" s="163" t="e">
        <f t="shared" ca="1" si="937"/>
        <v>#NAME?</v>
      </c>
      <c r="CA113" s="163" t="e">
        <f t="shared" ca="1" si="937"/>
        <v>#NAME?</v>
      </c>
      <c r="CB113" s="163" t="e">
        <f t="shared" ca="1" si="937"/>
        <v>#NAME?</v>
      </c>
      <c r="CC113" s="163" t="e">
        <f t="shared" ca="1" si="937"/>
        <v>#NAME?</v>
      </c>
      <c r="CD113" s="163" t="e">
        <f t="shared" ca="1" si="937"/>
        <v>#NAME?</v>
      </c>
      <c r="CE113" s="163" t="e">
        <f t="shared" ca="1" si="937"/>
        <v>#NAME?</v>
      </c>
      <c r="CF113" s="163" t="e">
        <f t="shared" ca="1" si="937"/>
        <v>#NAME?</v>
      </c>
      <c r="CG113" s="163" t="e">
        <f t="shared" ca="1" si="937"/>
        <v>#NAME?</v>
      </c>
      <c r="CH113" s="163" t="e">
        <f t="shared" ca="1" si="937"/>
        <v>#NAME?</v>
      </c>
      <c r="CI113" s="163" t="e">
        <f t="shared" ca="1" si="937"/>
        <v>#NAME?</v>
      </c>
      <c r="CJ113" s="163" t="e">
        <f t="shared" ca="1" si="937"/>
        <v>#NAME?</v>
      </c>
      <c r="CK113" s="163" t="e">
        <f t="shared" ref="CK113" ca="1" si="938">+CK88/CK110</f>
        <v>#NAME?</v>
      </c>
      <c r="CL113" s="163" t="e">
        <f t="shared" ref="CL113" ca="1" si="939">+CL88/CL110</f>
        <v>#NAME?</v>
      </c>
      <c r="CM113" s="50" t="e">
        <f t="shared" ca="1" si="937"/>
        <v>#NAME?</v>
      </c>
      <c r="CN113" s="50" t="e">
        <f t="shared" ca="1" si="937"/>
        <v>#NAME?</v>
      </c>
      <c r="CO113" s="50" t="e">
        <f t="shared" ca="1" si="937"/>
        <v>#NAME?</v>
      </c>
      <c r="CP113" s="50" t="e">
        <f t="shared" ca="1" si="937"/>
        <v>#NAME?</v>
      </c>
      <c r="CQ113" s="50" t="e">
        <f t="shared" ca="1" si="937"/>
        <v>#NAME?</v>
      </c>
      <c r="CR113" s="50" t="e">
        <f t="shared" ca="1" si="937"/>
        <v>#NAME?</v>
      </c>
      <c r="CS113" s="50" t="e">
        <f t="shared" ca="1" si="937"/>
        <v>#NAME?</v>
      </c>
      <c r="CT113" s="50" t="e">
        <f t="shared" ca="1" si="937"/>
        <v>#NAME?</v>
      </c>
      <c r="CU113" s="50" t="e">
        <f t="shared" ca="1" si="937"/>
        <v>#NAME?</v>
      </c>
      <c r="CV113" s="50" t="e">
        <f t="shared" ca="1" si="937"/>
        <v>#NAME?</v>
      </c>
      <c r="CW113" s="50" t="e">
        <f t="shared" ca="1" si="937"/>
        <v>#NAME?</v>
      </c>
      <c r="CX113" s="50" t="e">
        <f t="shared" ca="1" si="937"/>
        <v>#NAME?</v>
      </c>
      <c r="CY113" s="50" t="e">
        <f t="shared" ca="1" si="937"/>
        <v>#NAME?</v>
      </c>
      <c r="CZ113" s="50" t="e">
        <f t="shared" ca="1" si="937"/>
        <v>#NAME?</v>
      </c>
      <c r="DA113" s="50" t="e">
        <f t="shared" ca="1" si="937"/>
        <v>#NAME?</v>
      </c>
      <c r="DB113" s="50" t="e">
        <f t="shared" ca="1" si="937"/>
        <v>#NAME?</v>
      </c>
      <c r="DE113" s="106"/>
      <c r="DF113" s="163">
        <v>1.4316097345741983</v>
      </c>
    </row>
    <row r="114" spans="1:110" s="163" customFormat="1" x14ac:dyDescent="0.2">
      <c r="A114" s="163" t="s">
        <v>508</v>
      </c>
      <c r="E114" s="163" t="e">
        <f t="shared" ca="1" si="934"/>
        <v>#DIV/0!</v>
      </c>
      <c r="F114" s="163" t="e">
        <f t="shared" ca="1" si="934"/>
        <v>#DIV/0!</v>
      </c>
      <c r="G114" s="163" t="e">
        <f t="shared" ca="1" si="934"/>
        <v>#DIV/0!</v>
      </c>
      <c r="H114" s="163" t="e">
        <f t="shared" ca="1" si="934"/>
        <v>#DIV/0!</v>
      </c>
      <c r="I114" s="163">
        <f t="shared" ca="1" si="934"/>
        <v>0</v>
      </c>
      <c r="J114" s="163">
        <f t="shared" ca="1" si="934"/>
        <v>0</v>
      </c>
      <c r="K114" s="163">
        <f t="shared" ca="1" si="934"/>
        <v>0</v>
      </c>
      <c r="L114" s="163">
        <f t="shared" ca="1" si="934"/>
        <v>0</v>
      </c>
      <c r="M114" s="163">
        <f t="shared" ca="1" si="934"/>
        <v>0</v>
      </c>
      <c r="N114" s="163">
        <f t="shared" ca="1" si="934"/>
        <v>0</v>
      </c>
      <c r="O114" s="163">
        <f t="shared" ca="1" si="934"/>
        <v>0</v>
      </c>
      <c r="P114" s="163">
        <f t="shared" ca="1" si="934"/>
        <v>0</v>
      </c>
      <c r="Q114" s="163">
        <f t="shared" ca="1" si="934"/>
        <v>0.16165008990332347</v>
      </c>
      <c r="R114" s="163">
        <f t="shared" ca="1" si="934"/>
        <v>0.58884528599564201</v>
      </c>
      <c r="S114" s="163">
        <f t="shared" ca="1" si="934"/>
        <v>1.3115642823630973</v>
      </c>
      <c r="T114" s="163">
        <f t="shared" ca="1" si="934"/>
        <v>2.7924710599406724</v>
      </c>
      <c r="U114" s="163">
        <f t="shared" ca="1" si="934"/>
        <v>2.4265913105446568</v>
      </c>
      <c r="V114" s="163">
        <f t="shared" ca="1" si="934"/>
        <v>2.4402853314651805</v>
      </c>
      <c r="W114" s="163">
        <f t="shared" ca="1" si="934"/>
        <v>2.7796640373875916</v>
      </c>
      <c r="X114" s="163">
        <f t="shared" ca="1" si="934"/>
        <v>2.8453360982919489</v>
      </c>
      <c r="Y114" s="163">
        <f t="shared" ca="1" si="934"/>
        <v>1.9634224523360491</v>
      </c>
      <c r="Z114" s="163">
        <f t="shared" ref="Z114:AA115" ca="1" si="940">+Z89/Z$110</f>
        <v>1.2349346444618621</v>
      </c>
      <c r="AA114" s="163">
        <f t="shared" ca="1" si="940"/>
        <v>1.2349346444618621</v>
      </c>
      <c r="AB114" s="94">
        <f t="shared" ca="1" si="934"/>
        <v>2.8005255261872701</v>
      </c>
      <c r="AC114" s="94">
        <f t="shared" ca="1" si="934"/>
        <v>3.015153524599739</v>
      </c>
      <c r="AD114" s="94">
        <f t="shared" ca="1" si="934"/>
        <v>3.220090540366408</v>
      </c>
      <c r="AE114" s="94">
        <f t="shared" ca="1" si="934"/>
        <v>3.3961918581112314</v>
      </c>
      <c r="AL114" s="163" t="e">
        <f t="shared" ref="AL114:BQ114" ca="1" si="941">+AL89/AL110</f>
        <v>#NAME?</v>
      </c>
      <c r="AM114" s="163" t="e">
        <f t="shared" ca="1" si="941"/>
        <v>#NAME?</v>
      </c>
      <c r="AN114" s="163" t="e">
        <f t="shared" ca="1" si="941"/>
        <v>#NAME?</v>
      </c>
      <c r="AO114" s="163" t="e">
        <f t="shared" ca="1" si="941"/>
        <v>#NAME?</v>
      </c>
      <c r="AP114" s="163" t="e">
        <f t="shared" ca="1" si="941"/>
        <v>#NAME?</v>
      </c>
      <c r="AQ114" s="163" t="e">
        <f t="shared" ca="1" si="941"/>
        <v>#NAME?</v>
      </c>
      <c r="AR114" s="163" t="e">
        <f t="shared" ca="1" si="941"/>
        <v>#NAME?</v>
      </c>
      <c r="AS114" s="163" t="e">
        <f t="shared" ca="1" si="941"/>
        <v>#NAME?</v>
      </c>
      <c r="AT114" s="163" t="e">
        <f t="shared" ca="1" si="941"/>
        <v>#NAME?</v>
      </c>
      <c r="AU114" s="163" t="e">
        <f t="shared" ca="1" si="941"/>
        <v>#NAME?</v>
      </c>
      <c r="AV114" s="163" t="e">
        <f t="shared" ca="1" si="941"/>
        <v>#NAME?</v>
      </c>
      <c r="AW114" s="163" t="e">
        <f t="shared" ca="1" si="941"/>
        <v>#NAME?</v>
      </c>
      <c r="AX114" s="163" t="e">
        <f t="shared" ca="1" si="941"/>
        <v>#NAME?</v>
      </c>
      <c r="AY114" s="163" t="e">
        <f t="shared" ca="1" si="941"/>
        <v>#NAME?</v>
      </c>
      <c r="AZ114" s="163" t="e">
        <f t="shared" ca="1" si="941"/>
        <v>#NAME?</v>
      </c>
      <c r="BA114" s="163" t="e">
        <f t="shared" ca="1" si="941"/>
        <v>#NAME?</v>
      </c>
      <c r="BB114" s="163" t="e">
        <f t="shared" ca="1" si="941"/>
        <v>#NAME?</v>
      </c>
      <c r="BC114" s="163" t="e">
        <f t="shared" ca="1" si="941"/>
        <v>#NAME?</v>
      </c>
      <c r="BD114" s="163" t="e">
        <f t="shared" ca="1" si="941"/>
        <v>#NAME?</v>
      </c>
      <c r="BE114" s="163" t="e">
        <f t="shared" ca="1" si="941"/>
        <v>#NAME?</v>
      </c>
      <c r="BF114" s="163" t="e">
        <f t="shared" ca="1" si="941"/>
        <v>#NAME?</v>
      </c>
      <c r="BG114" s="163" t="e">
        <f t="shared" ca="1" si="941"/>
        <v>#NAME?</v>
      </c>
      <c r="BH114" s="163" t="e">
        <f t="shared" ca="1" si="941"/>
        <v>#NAME?</v>
      </c>
      <c r="BI114" s="163" t="e">
        <f t="shared" ca="1" si="941"/>
        <v>#NAME?</v>
      </c>
      <c r="BJ114" s="163" t="e">
        <f t="shared" ca="1" si="941"/>
        <v>#NAME?</v>
      </c>
      <c r="BK114" s="163" t="e">
        <f t="shared" ca="1" si="941"/>
        <v>#NAME?</v>
      </c>
      <c r="BL114" s="163" t="e">
        <f t="shared" ca="1" si="941"/>
        <v>#NAME?</v>
      </c>
      <c r="BM114" s="163" t="e">
        <f t="shared" ca="1" si="941"/>
        <v>#NAME?</v>
      </c>
      <c r="BN114" s="163" t="e">
        <f t="shared" ca="1" si="941"/>
        <v>#NAME?</v>
      </c>
      <c r="BO114" s="163" t="e">
        <f t="shared" ca="1" si="941"/>
        <v>#NAME?</v>
      </c>
      <c r="BP114" s="163" t="e">
        <f t="shared" ca="1" si="941"/>
        <v>#NAME?</v>
      </c>
      <c r="BQ114" s="163" t="e">
        <f t="shared" ca="1" si="941"/>
        <v>#NAME?</v>
      </c>
      <c r="BR114" s="163" t="e">
        <f t="shared" ref="BR114:CJ114" ca="1" si="942">+BR89/BR110</f>
        <v>#NAME?</v>
      </c>
      <c r="BS114" s="163" t="e">
        <f t="shared" ca="1" si="942"/>
        <v>#NAME?</v>
      </c>
      <c r="BT114" s="163" t="e">
        <f t="shared" ca="1" si="942"/>
        <v>#NAME?</v>
      </c>
      <c r="BU114" s="163" t="e">
        <f t="shared" ca="1" si="942"/>
        <v>#NAME?</v>
      </c>
      <c r="BV114" s="163" t="e">
        <f t="shared" ca="1" si="942"/>
        <v>#NAME?</v>
      </c>
      <c r="BW114" s="163" t="e">
        <f t="shared" ca="1" si="942"/>
        <v>#NAME?</v>
      </c>
      <c r="BX114" s="163" t="e">
        <f t="shared" ca="1" si="942"/>
        <v>#NAME?</v>
      </c>
      <c r="BY114" s="163" t="e">
        <f t="shared" ca="1" si="942"/>
        <v>#NAME?</v>
      </c>
      <c r="BZ114" s="163" t="e">
        <f t="shared" ca="1" si="942"/>
        <v>#NAME?</v>
      </c>
      <c r="CA114" s="163" t="e">
        <f t="shared" ca="1" si="942"/>
        <v>#NAME?</v>
      </c>
      <c r="CB114" s="163" t="e">
        <f t="shared" ca="1" si="942"/>
        <v>#NAME?</v>
      </c>
      <c r="CC114" s="163" t="e">
        <f t="shared" ca="1" si="942"/>
        <v>#NAME?</v>
      </c>
      <c r="CD114" s="163" t="e">
        <f t="shared" ca="1" si="942"/>
        <v>#NAME?</v>
      </c>
      <c r="CE114" s="163" t="e">
        <f t="shared" ca="1" si="942"/>
        <v>#NAME?</v>
      </c>
      <c r="CF114" s="163" t="e">
        <f t="shared" ca="1" si="942"/>
        <v>#NAME?</v>
      </c>
      <c r="CG114" s="163" t="e">
        <f t="shared" ca="1" si="942"/>
        <v>#NAME?</v>
      </c>
      <c r="CH114" s="163" t="e">
        <f t="shared" ca="1" si="942"/>
        <v>#NAME?</v>
      </c>
      <c r="CI114" s="163" t="e">
        <f t="shared" ca="1" si="942"/>
        <v>#NAME?</v>
      </c>
      <c r="CJ114" s="163" t="e">
        <f t="shared" ca="1" si="942"/>
        <v>#NAME?</v>
      </c>
      <c r="CK114" s="163" t="e">
        <f t="shared" ref="CK114" ca="1" si="943">+CK89/CK110</f>
        <v>#NAME?</v>
      </c>
      <c r="CL114" s="163" t="e">
        <f t="shared" ref="CL114" ca="1" si="944">+CL89/CL110</f>
        <v>#NAME?</v>
      </c>
      <c r="CM114" s="94" t="e">
        <f t="shared" ref="CM114:DB114" ca="1" si="945">+CL114</f>
        <v>#NAME?</v>
      </c>
      <c r="CN114" s="94" t="e">
        <f t="shared" ca="1" si="945"/>
        <v>#NAME?</v>
      </c>
      <c r="CO114" s="94" t="e">
        <f t="shared" ca="1" si="945"/>
        <v>#NAME?</v>
      </c>
      <c r="CP114" s="94" t="e">
        <f t="shared" ca="1" si="945"/>
        <v>#NAME?</v>
      </c>
      <c r="CQ114" s="94" t="e">
        <f t="shared" ca="1" si="945"/>
        <v>#NAME?</v>
      </c>
      <c r="CR114" s="94" t="e">
        <f t="shared" ca="1" si="945"/>
        <v>#NAME?</v>
      </c>
      <c r="CS114" s="94" t="e">
        <f t="shared" ca="1" si="945"/>
        <v>#NAME?</v>
      </c>
      <c r="CT114" s="94" t="e">
        <f t="shared" ca="1" si="945"/>
        <v>#NAME?</v>
      </c>
      <c r="CU114" s="94" t="e">
        <f t="shared" ca="1" si="945"/>
        <v>#NAME?</v>
      </c>
      <c r="CV114" s="94" t="e">
        <f t="shared" ca="1" si="945"/>
        <v>#NAME?</v>
      </c>
      <c r="CW114" s="94" t="e">
        <f t="shared" ca="1" si="945"/>
        <v>#NAME?</v>
      </c>
      <c r="CX114" s="94" t="e">
        <f t="shared" ca="1" si="945"/>
        <v>#NAME?</v>
      </c>
      <c r="CY114" s="94" t="e">
        <f t="shared" ca="1" si="945"/>
        <v>#NAME?</v>
      </c>
      <c r="CZ114" s="94" t="e">
        <f t="shared" ca="1" si="945"/>
        <v>#NAME?</v>
      </c>
      <c r="DA114" s="94" t="e">
        <f t="shared" ca="1" si="945"/>
        <v>#NAME?</v>
      </c>
      <c r="DB114" s="94" t="e">
        <f t="shared" ca="1" si="945"/>
        <v>#NAME?</v>
      </c>
      <c r="DE114" s="164"/>
      <c r="DF114" s="163">
        <v>1.7118003705071316</v>
      </c>
    </row>
    <row r="115" spans="1:110" s="163" customFormat="1" x14ac:dyDescent="0.2">
      <c r="A115" s="163" t="s">
        <v>509</v>
      </c>
      <c r="E115" s="163" t="e">
        <f t="shared" ca="1" si="934"/>
        <v>#DIV/0!</v>
      </c>
      <c r="F115" s="163" t="e">
        <f t="shared" ca="1" si="934"/>
        <v>#DIV/0!</v>
      </c>
      <c r="G115" s="163" t="e">
        <f t="shared" ca="1" si="934"/>
        <v>#DIV/0!</v>
      </c>
      <c r="H115" s="163" t="e">
        <f t="shared" ca="1" si="934"/>
        <v>#DIV/0!</v>
      </c>
      <c r="I115" s="163">
        <f t="shared" ca="1" si="934"/>
        <v>0</v>
      </c>
      <c r="J115" s="163">
        <f t="shared" ca="1" si="934"/>
        <v>0</v>
      </c>
      <c r="K115" s="163">
        <f t="shared" ca="1" si="934"/>
        <v>0</v>
      </c>
      <c r="L115" s="163">
        <f t="shared" ca="1" si="934"/>
        <v>0</v>
      </c>
      <c r="M115" s="163">
        <f t="shared" ca="1" si="934"/>
        <v>0</v>
      </c>
      <c r="N115" s="163">
        <f t="shared" ca="1" si="934"/>
        <v>0</v>
      </c>
      <c r="O115" s="163">
        <f t="shared" ca="1" si="934"/>
        <v>0</v>
      </c>
      <c r="P115" s="163">
        <f t="shared" ca="1" si="934"/>
        <v>0</v>
      </c>
      <c r="Q115" s="163">
        <f t="shared" ca="1" si="934"/>
        <v>0.16165008990332347</v>
      </c>
      <c r="R115" s="163">
        <f t="shared" ca="1" si="934"/>
        <v>0.12665000249611186</v>
      </c>
      <c r="S115" s="163">
        <f t="shared" ca="1" si="934"/>
        <v>0.56065466870461766</v>
      </c>
      <c r="T115" s="163">
        <f t="shared" ca="1" si="934"/>
        <v>0.80502145505764433</v>
      </c>
      <c r="U115" s="163">
        <f t="shared" ca="1" si="934"/>
        <v>0.49987780997219933</v>
      </c>
      <c r="V115" s="163">
        <f t="shared" ca="1" si="934"/>
        <v>0.462918448556837</v>
      </c>
      <c r="W115" s="163">
        <f t="shared" ca="1" si="934"/>
        <v>0.85633158765835271</v>
      </c>
      <c r="X115" s="163">
        <f t="shared" ca="1" si="934"/>
        <v>1.3449592901590095</v>
      </c>
      <c r="Y115" s="163">
        <f t="shared" ca="1" si="934"/>
        <v>1.0217971129050696</v>
      </c>
      <c r="Z115" s="163">
        <f t="shared" ca="1" si="940"/>
        <v>0.76580419847000236</v>
      </c>
      <c r="AA115" s="163">
        <f t="shared" ca="1" si="940"/>
        <v>0.76580419847000236</v>
      </c>
      <c r="AB115" s="94">
        <f t="shared" ca="1" si="934"/>
        <v>1.0998190609825313</v>
      </c>
      <c r="AC115" s="94">
        <f t="shared" ca="1" si="934"/>
        <v>1.43959883906284</v>
      </c>
      <c r="AD115" s="94">
        <f t="shared" ca="1" si="934"/>
        <v>1.5406639952094909</v>
      </c>
      <c r="AE115" s="94">
        <f t="shared" ca="1" si="934"/>
        <v>1.6262137205365153</v>
      </c>
      <c r="AL115" s="163" t="e">
        <f t="shared" ref="AL115:BQ115" ca="1" si="946">+AL90/AL110</f>
        <v>#NAME?</v>
      </c>
      <c r="AM115" s="163" t="e">
        <f t="shared" ca="1" si="946"/>
        <v>#NAME?</v>
      </c>
      <c r="AN115" s="163" t="e">
        <f t="shared" ca="1" si="946"/>
        <v>#NAME?</v>
      </c>
      <c r="AO115" s="163" t="e">
        <f t="shared" ca="1" si="946"/>
        <v>#NAME?</v>
      </c>
      <c r="AP115" s="163" t="e">
        <f t="shared" ca="1" si="946"/>
        <v>#NAME?</v>
      </c>
      <c r="AQ115" s="163" t="e">
        <f t="shared" ca="1" si="946"/>
        <v>#NAME?</v>
      </c>
      <c r="AR115" s="163" t="e">
        <f t="shared" ca="1" si="946"/>
        <v>#NAME?</v>
      </c>
      <c r="AS115" s="163" t="e">
        <f t="shared" ca="1" si="946"/>
        <v>#NAME?</v>
      </c>
      <c r="AT115" s="163" t="e">
        <f t="shared" ca="1" si="946"/>
        <v>#NAME?</v>
      </c>
      <c r="AU115" s="163" t="e">
        <f t="shared" ca="1" si="946"/>
        <v>#NAME?</v>
      </c>
      <c r="AV115" s="163" t="e">
        <f t="shared" ca="1" si="946"/>
        <v>#NAME?</v>
      </c>
      <c r="AW115" s="163" t="e">
        <f t="shared" ca="1" si="946"/>
        <v>#NAME?</v>
      </c>
      <c r="AX115" s="163" t="e">
        <f t="shared" ca="1" si="946"/>
        <v>#NAME?</v>
      </c>
      <c r="AY115" s="163" t="e">
        <f t="shared" ca="1" si="946"/>
        <v>#NAME?</v>
      </c>
      <c r="AZ115" s="163" t="e">
        <f t="shared" ca="1" si="946"/>
        <v>#NAME?</v>
      </c>
      <c r="BA115" s="163" t="e">
        <f t="shared" ca="1" si="946"/>
        <v>#NAME?</v>
      </c>
      <c r="BB115" s="163" t="e">
        <f t="shared" ca="1" si="946"/>
        <v>#NAME?</v>
      </c>
      <c r="BC115" s="163" t="e">
        <f t="shared" ca="1" si="946"/>
        <v>#NAME?</v>
      </c>
      <c r="BD115" s="163" t="e">
        <f t="shared" ca="1" si="946"/>
        <v>#NAME?</v>
      </c>
      <c r="BE115" s="163" t="e">
        <f t="shared" ca="1" si="946"/>
        <v>#NAME?</v>
      </c>
      <c r="BF115" s="163" t="e">
        <f t="shared" ca="1" si="946"/>
        <v>#NAME?</v>
      </c>
      <c r="BG115" s="163" t="e">
        <f t="shared" ca="1" si="946"/>
        <v>#NAME?</v>
      </c>
      <c r="BH115" s="163" t="e">
        <f t="shared" ca="1" si="946"/>
        <v>#NAME?</v>
      </c>
      <c r="BI115" s="163" t="e">
        <f t="shared" ca="1" si="946"/>
        <v>#NAME?</v>
      </c>
      <c r="BJ115" s="163" t="e">
        <f t="shared" ca="1" si="946"/>
        <v>#NAME?</v>
      </c>
      <c r="BK115" s="163" t="e">
        <f t="shared" ca="1" si="946"/>
        <v>#NAME?</v>
      </c>
      <c r="BL115" s="163" t="e">
        <f t="shared" ca="1" si="946"/>
        <v>#NAME?</v>
      </c>
      <c r="BM115" s="163" t="e">
        <f t="shared" ca="1" si="946"/>
        <v>#NAME?</v>
      </c>
      <c r="BN115" s="163" t="e">
        <f t="shared" ca="1" si="946"/>
        <v>#NAME?</v>
      </c>
      <c r="BO115" s="163" t="e">
        <f t="shared" ca="1" si="946"/>
        <v>#NAME?</v>
      </c>
      <c r="BP115" s="163" t="e">
        <f t="shared" ca="1" si="946"/>
        <v>#NAME?</v>
      </c>
      <c r="BQ115" s="163" t="e">
        <f t="shared" ca="1" si="946"/>
        <v>#NAME?</v>
      </c>
      <c r="BR115" s="163" t="e">
        <f t="shared" ref="BR115:CJ115" ca="1" si="947">+BR90/BR110</f>
        <v>#NAME?</v>
      </c>
      <c r="BS115" s="163" t="e">
        <f t="shared" ca="1" si="947"/>
        <v>#NAME?</v>
      </c>
      <c r="BT115" s="163" t="e">
        <f t="shared" ca="1" si="947"/>
        <v>#NAME?</v>
      </c>
      <c r="BU115" s="163" t="e">
        <f t="shared" ca="1" si="947"/>
        <v>#NAME?</v>
      </c>
      <c r="BV115" s="163" t="e">
        <f t="shared" ca="1" si="947"/>
        <v>#NAME?</v>
      </c>
      <c r="BW115" s="163" t="e">
        <f t="shared" ca="1" si="947"/>
        <v>#NAME?</v>
      </c>
      <c r="BX115" s="163" t="e">
        <f t="shared" ca="1" si="947"/>
        <v>#NAME?</v>
      </c>
      <c r="BY115" s="163" t="e">
        <f t="shared" ca="1" si="947"/>
        <v>#NAME?</v>
      </c>
      <c r="BZ115" s="163" t="e">
        <f t="shared" ca="1" si="947"/>
        <v>#NAME?</v>
      </c>
      <c r="CA115" s="163" t="e">
        <f t="shared" ca="1" si="947"/>
        <v>#NAME?</v>
      </c>
      <c r="CB115" s="163" t="e">
        <f t="shared" ca="1" si="947"/>
        <v>#NAME?</v>
      </c>
      <c r="CC115" s="163" t="e">
        <f t="shared" ca="1" si="947"/>
        <v>#NAME?</v>
      </c>
      <c r="CD115" s="163" t="e">
        <f t="shared" ca="1" si="947"/>
        <v>#NAME?</v>
      </c>
      <c r="CE115" s="163" t="e">
        <f t="shared" ca="1" si="947"/>
        <v>#NAME?</v>
      </c>
      <c r="CF115" s="163" t="e">
        <f t="shared" ca="1" si="947"/>
        <v>#NAME?</v>
      </c>
      <c r="CG115" s="163" t="e">
        <f t="shared" ca="1" si="947"/>
        <v>#NAME?</v>
      </c>
      <c r="CH115" s="163" t="e">
        <f t="shared" ca="1" si="947"/>
        <v>#NAME?</v>
      </c>
      <c r="CI115" s="163" t="e">
        <f t="shared" ca="1" si="947"/>
        <v>#NAME?</v>
      </c>
      <c r="CJ115" s="163" t="e">
        <f t="shared" ca="1" si="947"/>
        <v>#NAME?</v>
      </c>
      <c r="CK115" s="163" t="e">
        <f t="shared" ref="CK115" ca="1" si="948">+CK90/CK110</f>
        <v>#NAME?</v>
      </c>
      <c r="CL115" s="163" t="e">
        <f t="shared" ref="CL115" ca="1" si="949">+CL90/CL110</f>
        <v>#NAME?</v>
      </c>
      <c r="CM115" s="94" t="e">
        <f t="shared" ref="CM115:DB115" ca="1" si="950">+CL115</f>
        <v>#NAME?</v>
      </c>
      <c r="CN115" s="94" t="e">
        <f t="shared" ca="1" si="950"/>
        <v>#NAME?</v>
      </c>
      <c r="CO115" s="94" t="e">
        <f t="shared" ca="1" si="950"/>
        <v>#NAME?</v>
      </c>
      <c r="CP115" s="94" t="e">
        <f t="shared" ca="1" si="950"/>
        <v>#NAME?</v>
      </c>
      <c r="CQ115" s="94" t="e">
        <f t="shared" ca="1" si="950"/>
        <v>#NAME?</v>
      </c>
      <c r="CR115" s="94" t="e">
        <f t="shared" ca="1" si="950"/>
        <v>#NAME?</v>
      </c>
      <c r="CS115" s="94" t="e">
        <f t="shared" ca="1" si="950"/>
        <v>#NAME?</v>
      </c>
      <c r="CT115" s="94" t="e">
        <f t="shared" ca="1" si="950"/>
        <v>#NAME?</v>
      </c>
      <c r="CU115" s="94" t="e">
        <f t="shared" ca="1" si="950"/>
        <v>#NAME?</v>
      </c>
      <c r="CV115" s="94" t="e">
        <f t="shared" ca="1" si="950"/>
        <v>#NAME?</v>
      </c>
      <c r="CW115" s="94" t="e">
        <f t="shared" ca="1" si="950"/>
        <v>#NAME?</v>
      </c>
      <c r="CX115" s="94" t="e">
        <f t="shared" ca="1" si="950"/>
        <v>#NAME?</v>
      </c>
      <c r="CY115" s="94" t="e">
        <f t="shared" ca="1" si="950"/>
        <v>#NAME?</v>
      </c>
      <c r="CZ115" s="94" t="e">
        <f t="shared" ca="1" si="950"/>
        <v>#NAME?</v>
      </c>
      <c r="DA115" s="94" t="e">
        <f t="shared" ca="1" si="950"/>
        <v>#NAME?</v>
      </c>
      <c r="DB115" s="94" t="e">
        <f t="shared" ca="1" si="950"/>
        <v>#NAME?</v>
      </c>
      <c r="DE115" s="164"/>
      <c r="DF115" s="163">
        <v>0.54381131830442908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4" customFormat="1" x14ac:dyDescent="0.2">
      <c r="A117" s="3"/>
      <c r="AB117" s="17"/>
      <c r="AC117" s="17"/>
      <c r="AD117" s="17"/>
      <c r="AE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E117" s="119"/>
    </row>
    <row r="118" spans="1:110" s="162" customFormat="1" x14ac:dyDescent="0.2">
      <c r="A118" s="49" t="s">
        <v>340</v>
      </c>
      <c r="B118" s="162" t="e">
        <f t="shared" ref="B118:AE118" ca="1" si="951">+B89*B76</f>
        <v>#NAME?</v>
      </c>
      <c r="C118" s="162" t="e">
        <f t="shared" ca="1" si="951"/>
        <v>#NAME?</v>
      </c>
      <c r="D118" s="162" t="e">
        <f t="shared" ca="1" si="951"/>
        <v>#NAME?</v>
      </c>
      <c r="E118" s="162">
        <f t="shared" ca="1" si="951"/>
        <v>0</v>
      </c>
      <c r="F118" s="162">
        <f t="shared" ca="1" si="951"/>
        <v>0</v>
      </c>
      <c r="G118" s="162">
        <f t="shared" ca="1" si="951"/>
        <v>0</v>
      </c>
      <c r="H118" s="162">
        <f t="shared" ca="1" si="951"/>
        <v>0</v>
      </c>
      <c r="I118" s="162">
        <f t="shared" ca="1" si="951"/>
        <v>0</v>
      </c>
      <c r="J118" s="162">
        <f t="shared" ca="1" si="951"/>
        <v>0</v>
      </c>
      <c r="K118" s="162">
        <f t="shared" ca="1" si="951"/>
        <v>0</v>
      </c>
      <c r="L118" s="162">
        <f t="shared" ca="1" si="951"/>
        <v>0</v>
      </c>
      <c r="M118" s="162">
        <f t="shared" ca="1" si="951"/>
        <v>0</v>
      </c>
      <c r="N118" s="162">
        <f t="shared" ca="1" si="951"/>
        <v>0</v>
      </c>
      <c r="O118" s="162">
        <f t="shared" ca="1" si="951"/>
        <v>0</v>
      </c>
      <c r="P118" s="162">
        <f t="shared" ca="1" si="951"/>
        <v>0</v>
      </c>
      <c r="Q118" s="162">
        <f t="shared" ca="1" si="951"/>
        <v>6.8412500000000005</v>
      </c>
      <c r="R118" s="162">
        <f t="shared" ca="1" si="951"/>
        <v>33.385300000000001</v>
      </c>
      <c r="S118" s="162">
        <f t="shared" ca="1" si="951"/>
        <v>78.099710000000002</v>
      </c>
      <c r="T118" s="162">
        <f t="shared" ca="1" si="951"/>
        <v>270.9135</v>
      </c>
      <c r="U118" s="162">
        <f t="shared" ca="1" si="951"/>
        <v>273.64999999999998</v>
      </c>
      <c r="V118" s="162">
        <f t="shared" ca="1" si="951"/>
        <v>326.73810000000003</v>
      </c>
      <c r="W118" s="162">
        <f t="shared" ca="1" si="951"/>
        <v>623.92200000000003</v>
      </c>
      <c r="X118" s="162">
        <f t="shared" ca="1" si="951"/>
        <v>781.5444</v>
      </c>
      <c r="Y118" s="162">
        <f t="shared" ca="1" si="951"/>
        <v>683.57770000000005</v>
      </c>
      <c r="Z118" s="162">
        <f t="shared" ca="1" si="951"/>
        <v>560.43520000000001</v>
      </c>
      <c r="AA118" s="162">
        <f t="shared" ref="AA118" ca="1" si="952">+AA89*AA76</f>
        <v>560.43520000000001</v>
      </c>
      <c r="AB118" s="21">
        <f t="shared" ca="1" si="951"/>
        <v>2347.4542661402729</v>
      </c>
      <c r="AC118" s="21">
        <f t="shared" ca="1" si="951"/>
        <v>3332.5303936912223</v>
      </c>
      <c r="AD118" s="21">
        <f t="shared" ca="1" si="951"/>
        <v>4745.8636196001371</v>
      </c>
      <c r="AE118" s="21">
        <f t="shared" ca="1" si="951"/>
        <v>6751.0049697129452</v>
      </c>
      <c r="AL118" s="162" t="e">
        <f t="shared" ref="AL118:BQ118" ca="1" si="953">+AL89*AL76</f>
        <v>#NAME?</v>
      </c>
      <c r="AM118" s="162" t="e">
        <f t="shared" ca="1" si="953"/>
        <v>#NAME?</v>
      </c>
      <c r="AN118" s="162" t="e">
        <f t="shared" ca="1" si="953"/>
        <v>#NAME?</v>
      </c>
      <c r="AO118" s="162" t="e">
        <f t="shared" ca="1" si="953"/>
        <v>#NAME?</v>
      </c>
      <c r="AP118" s="162" t="e">
        <f t="shared" ca="1" si="953"/>
        <v>#NAME?</v>
      </c>
      <c r="AQ118" s="162" t="e">
        <f t="shared" ca="1" si="953"/>
        <v>#NAME?</v>
      </c>
      <c r="AR118" s="162" t="e">
        <f t="shared" ca="1" si="953"/>
        <v>#NAME?</v>
      </c>
      <c r="AS118" s="162" t="e">
        <f t="shared" ca="1" si="953"/>
        <v>#NAME?</v>
      </c>
      <c r="AT118" s="162" t="e">
        <f t="shared" ca="1" si="953"/>
        <v>#NAME?</v>
      </c>
      <c r="AU118" s="162" t="e">
        <f t="shared" ca="1" si="953"/>
        <v>#NAME?</v>
      </c>
      <c r="AV118" s="162" t="e">
        <f t="shared" ca="1" si="953"/>
        <v>#NAME?</v>
      </c>
      <c r="AW118" s="162" t="e">
        <f t="shared" ca="1" si="953"/>
        <v>#NAME?</v>
      </c>
      <c r="AX118" s="162" t="e">
        <f t="shared" ca="1" si="953"/>
        <v>#NAME?</v>
      </c>
      <c r="AY118" s="162" t="e">
        <f t="shared" ca="1" si="953"/>
        <v>#NAME?</v>
      </c>
      <c r="AZ118" s="162" t="e">
        <f t="shared" ca="1" si="953"/>
        <v>#NAME?</v>
      </c>
      <c r="BA118" s="162" t="e">
        <f t="shared" ca="1" si="953"/>
        <v>#NAME?</v>
      </c>
      <c r="BB118" s="162" t="e">
        <f t="shared" ca="1" si="953"/>
        <v>#NAME?</v>
      </c>
      <c r="BC118" s="162" t="e">
        <f t="shared" ca="1" si="953"/>
        <v>#NAME?</v>
      </c>
      <c r="BD118" s="162" t="e">
        <f t="shared" ca="1" si="953"/>
        <v>#NAME?</v>
      </c>
      <c r="BE118" s="162" t="e">
        <f t="shared" ca="1" si="953"/>
        <v>#NAME?</v>
      </c>
      <c r="BF118" s="162" t="e">
        <f t="shared" ca="1" si="953"/>
        <v>#NAME?</v>
      </c>
      <c r="BG118" s="162" t="e">
        <f t="shared" ca="1" si="953"/>
        <v>#NAME?</v>
      </c>
      <c r="BH118" s="162" t="e">
        <f t="shared" ca="1" si="953"/>
        <v>#NAME?</v>
      </c>
      <c r="BI118" s="162" t="e">
        <f t="shared" ca="1" si="953"/>
        <v>#NAME?</v>
      </c>
      <c r="BJ118" s="162" t="e">
        <f t="shared" ca="1" si="953"/>
        <v>#NAME?</v>
      </c>
      <c r="BK118" s="162" t="e">
        <f t="shared" ca="1" si="953"/>
        <v>#NAME?</v>
      </c>
      <c r="BL118" s="162" t="e">
        <f t="shared" ca="1" si="953"/>
        <v>#NAME?</v>
      </c>
      <c r="BM118" s="162" t="e">
        <f t="shared" ca="1" si="953"/>
        <v>#NAME?</v>
      </c>
      <c r="BN118" s="162" t="e">
        <f t="shared" ca="1" si="953"/>
        <v>#NAME?</v>
      </c>
      <c r="BO118" s="162" t="e">
        <f t="shared" ca="1" si="953"/>
        <v>#NAME?</v>
      </c>
      <c r="BP118" s="162" t="e">
        <f t="shared" ca="1" si="953"/>
        <v>#NAME?</v>
      </c>
      <c r="BQ118" s="162" t="e">
        <f t="shared" ca="1" si="953"/>
        <v>#NAME?</v>
      </c>
      <c r="BR118" s="162" t="e">
        <f t="shared" ref="BR118:CJ118" ca="1" si="954">+BR89*BR76</f>
        <v>#NAME?</v>
      </c>
      <c r="BS118" s="162" t="e">
        <f t="shared" ca="1" si="954"/>
        <v>#NAME?</v>
      </c>
      <c r="BT118" s="162" t="e">
        <f t="shared" ca="1" si="954"/>
        <v>#NAME?</v>
      </c>
      <c r="BU118" s="162" t="e">
        <f t="shared" ca="1" si="954"/>
        <v>#NAME?</v>
      </c>
      <c r="BV118" s="162" t="e">
        <f t="shared" ca="1" si="954"/>
        <v>#NAME?</v>
      </c>
      <c r="BW118" s="162" t="e">
        <f t="shared" ca="1" si="954"/>
        <v>#NAME?</v>
      </c>
      <c r="BX118" s="162" t="e">
        <f t="shared" ca="1" si="954"/>
        <v>#NAME?</v>
      </c>
      <c r="BY118" s="162" t="e">
        <f t="shared" ca="1" si="954"/>
        <v>#NAME?</v>
      </c>
      <c r="BZ118" s="162" t="e">
        <f t="shared" ca="1" si="954"/>
        <v>#NAME?</v>
      </c>
      <c r="CA118" s="162" t="e">
        <f t="shared" ca="1" si="954"/>
        <v>#NAME?</v>
      </c>
      <c r="CB118" s="162" t="e">
        <f t="shared" ca="1" si="954"/>
        <v>#NAME?</v>
      </c>
      <c r="CC118" s="162" t="e">
        <f t="shared" ca="1" si="954"/>
        <v>#NAME?</v>
      </c>
      <c r="CD118" s="162" t="e">
        <f t="shared" ca="1" si="954"/>
        <v>#NAME?</v>
      </c>
      <c r="CE118" s="162" t="e">
        <f t="shared" ca="1" si="954"/>
        <v>#NAME?</v>
      </c>
      <c r="CF118" s="162" t="e">
        <f t="shared" ca="1" si="954"/>
        <v>#NAME?</v>
      </c>
      <c r="CG118" s="162" t="e">
        <f t="shared" ca="1" si="954"/>
        <v>#NAME?</v>
      </c>
      <c r="CH118" s="162" t="e">
        <f t="shared" ca="1" si="954"/>
        <v>#NAME?</v>
      </c>
      <c r="CI118" s="162" t="e">
        <f t="shared" ca="1" si="954"/>
        <v>#NAME?</v>
      </c>
      <c r="CJ118" s="162" t="e">
        <f t="shared" ca="1" si="954"/>
        <v>#NAME?</v>
      </c>
      <c r="CK118" s="162" t="e">
        <f t="shared" ref="CK118" ca="1" si="955">+CK89*CK76</f>
        <v>#NAME?</v>
      </c>
      <c r="CL118" s="162" t="e">
        <f t="shared" ref="CL118" ca="1" si="956">+CL89*CL76</f>
        <v>#NAME?</v>
      </c>
      <c r="CM118" s="21" t="e">
        <f t="shared" ref="CM118:DB118" ca="1" si="957">+CM89*CM76</f>
        <v>#NAME?</v>
      </c>
      <c r="CN118" s="21" t="e">
        <f t="shared" ca="1" si="957"/>
        <v>#NAME?</v>
      </c>
      <c r="CO118" s="21" t="e">
        <f t="shared" ca="1" si="957"/>
        <v>#NAME?</v>
      </c>
      <c r="CP118" s="21" t="e">
        <f t="shared" ca="1" si="957"/>
        <v>#NAME?</v>
      </c>
      <c r="CQ118" s="21" t="e">
        <f t="shared" ca="1" si="957"/>
        <v>#NAME?</v>
      </c>
      <c r="CR118" s="21" t="e">
        <f t="shared" ca="1" si="957"/>
        <v>#NAME?</v>
      </c>
      <c r="CS118" s="21" t="e">
        <f t="shared" ca="1" si="957"/>
        <v>#NAME?</v>
      </c>
      <c r="CT118" s="21" t="e">
        <f t="shared" ca="1" si="957"/>
        <v>#NAME?</v>
      </c>
      <c r="CU118" s="21" t="e">
        <f t="shared" ca="1" si="957"/>
        <v>#NAME?</v>
      </c>
      <c r="CV118" s="21" t="e">
        <f t="shared" ca="1" si="957"/>
        <v>#NAME?</v>
      </c>
      <c r="CW118" s="21" t="e">
        <f t="shared" ca="1" si="957"/>
        <v>#NAME?</v>
      </c>
      <c r="CX118" s="21" t="e">
        <f t="shared" ca="1" si="957"/>
        <v>#NAME?</v>
      </c>
      <c r="CY118" s="21" t="e">
        <f t="shared" ca="1" si="957"/>
        <v>#NAME?</v>
      </c>
      <c r="CZ118" s="21" t="e">
        <f t="shared" ca="1" si="957"/>
        <v>#NAME?</v>
      </c>
      <c r="DA118" s="21" t="e">
        <f t="shared" ca="1" si="957"/>
        <v>#NAME?</v>
      </c>
      <c r="DB118" s="21" t="e">
        <f t="shared" ca="1" si="957"/>
        <v>#NAME?</v>
      </c>
      <c r="DE118" s="22"/>
      <c r="DF118" s="162">
        <v>1094.0527</v>
      </c>
    </row>
    <row r="119" spans="1:110" s="162" customFormat="1" x14ac:dyDescent="0.2">
      <c r="A119" s="49" t="s">
        <v>341</v>
      </c>
      <c r="B119" s="162" t="e">
        <f t="shared" ref="B119:AE119" ca="1" si="958">+B90*B76</f>
        <v>#NAME?</v>
      </c>
      <c r="C119" s="162" t="e">
        <f t="shared" ca="1" si="958"/>
        <v>#NAME?</v>
      </c>
      <c r="D119" s="162" t="e">
        <f t="shared" ca="1" si="958"/>
        <v>#NAME?</v>
      </c>
      <c r="E119" s="162">
        <f t="shared" ca="1" si="958"/>
        <v>0</v>
      </c>
      <c r="F119" s="162">
        <f t="shared" ca="1" si="958"/>
        <v>0</v>
      </c>
      <c r="G119" s="162">
        <f t="shared" ca="1" si="958"/>
        <v>0</v>
      </c>
      <c r="H119" s="162">
        <f t="shared" ca="1" si="958"/>
        <v>0</v>
      </c>
      <c r="I119" s="162">
        <f t="shared" ca="1" si="958"/>
        <v>0</v>
      </c>
      <c r="J119" s="162">
        <f t="shared" ca="1" si="958"/>
        <v>0</v>
      </c>
      <c r="K119" s="162">
        <f t="shared" ca="1" si="958"/>
        <v>0</v>
      </c>
      <c r="L119" s="162">
        <f t="shared" ca="1" si="958"/>
        <v>0</v>
      </c>
      <c r="M119" s="162">
        <f t="shared" ca="1" si="958"/>
        <v>0</v>
      </c>
      <c r="N119" s="162">
        <f t="shared" ca="1" si="958"/>
        <v>0</v>
      </c>
      <c r="O119" s="162">
        <f t="shared" ca="1" si="958"/>
        <v>0</v>
      </c>
      <c r="P119" s="162">
        <f t="shared" ca="1" si="958"/>
        <v>0</v>
      </c>
      <c r="Q119" s="162">
        <f t="shared" ca="1" si="958"/>
        <v>6.8412500000000005</v>
      </c>
      <c r="R119" s="162">
        <f t="shared" ca="1" si="958"/>
        <v>7.1805759999999994</v>
      </c>
      <c r="S119" s="162">
        <f t="shared" ca="1" si="958"/>
        <v>33.385300000000001</v>
      </c>
      <c r="T119" s="162">
        <f t="shared" ca="1" si="958"/>
        <v>78.099710000000002</v>
      </c>
      <c r="U119" s="162">
        <f t="shared" ca="1" si="958"/>
        <v>56.371900000000004</v>
      </c>
      <c r="V119" s="162">
        <f t="shared" ca="1" si="958"/>
        <v>61.981725000000004</v>
      </c>
      <c r="W119" s="162">
        <f t="shared" ca="1" si="958"/>
        <v>192.21176</v>
      </c>
      <c r="X119" s="162">
        <f t="shared" ca="1" si="958"/>
        <v>369.42750000000001</v>
      </c>
      <c r="Y119" s="162">
        <f t="shared" ca="1" si="958"/>
        <v>355.745</v>
      </c>
      <c r="Z119" s="162">
        <f t="shared" ca="1" si="958"/>
        <v>347.53550000000001</v>
      </c>
      <c r="AA119" s="162">
        <f t="shared" ref="AA119" ca="1" si="959">+AA90*AA76</f>
        <v>347.53550000000001</v>
      </c>
      <c r="AB119" s="21">
        <f t="shared" ca="1" si="958"/>
        <v>921.88945344152864</v>
      </c>
      <c r="AC119" s="21">
        <f t="shared" ca="1" si="958"/>
        <v>1591.1318766218981</v>
      </c>
      <c r="AD119" s="21">
        <f t="shared" ca="1" si="958"/>
        <v>2270.6756574802794</v>
      </c>
      <c r="AE119" s="21">
        <f t="shared" ca="1" si="958"/>
        <v>3232.613871014652</v>
      </c>
      <c r="AL119" s="162" t="e">
        <f t="shared" ref="AL119:BQ119" ca="1" si="960">+AL90*AL76</f>
        <v>#NAME?</v>
      </c>
      <c r="AM119" s="162" t="e">
        <f t="shared" ca="1" si="960"/>
        <v>#NAME?</v>
      </c>
      <c r="AN119" s="162" t="e">
        <f t="shared" ca="1" si="960"/>
        <v>#NAME?</v>
      </c>
      <c r="AO119" s="162" t="e">
        <f t="shared" ca="1" si="960"/>
        <v>#NAME?</v>
      </c>
      <c r="AP119" s="162" t="e">
        <f t="shared" ca="1" si="960"/>
        <v>#NAME?</v>
      </c>
      <c r="AQ119" s="162" t="e">
        <f t="shared" ca="1" si="960"/>
        <v>#NAME?</v>
      </c>
      <c r="AR119" s="162" t="e">
        <f t="shared" ca="1" si="960"/>
        <v>#NAME?</v>
      </c>
      <c r="AS119" s="162" t="e">
        <f t="shared" ca="1" si="960"/>
        <v>#NAME?</v>
      </c>
      <c r="AT119" s="162" t="e">
        <f t="shared" ca="1" si="960"/>
        <v>#NAME?</v>
      </c>
      <c r="AU119" s="162" t="e">
        <f t="shared" ca="1" si="960"/>
        <v>#NAME?</v>
      </c>
      <c r="AV119" s="162" t="e">
        <f t="shared" ca="1" si="960"/>
        <v>#NAME?</v>
      </c>
      <c r="AW119" s="162" t="e">
        <f t="shared" ca="1" si="960"/>
        <v>#NAME?</v>
      </c>
      <c r="AX119" s="162" t="e">
        <f t="shared" ca="1" si="960"/>
        <v>#NAME?</v>
      </c>
      <c r="AY119" s="162" t="e">
        <f t="shared" ca="1" si="960"/>
        <v>#NAME?</v>
      </c>
      <c r="AZ119" s="162" t="e">
        <f t="shared" ca="1" si="960"/>
        <v>#NAME?</v>
      </c>
      <c r="BA119" s="162" t="e">
        <f t="shared" ca="1" si="960"/>
        <v>#NAME?</v>
      </c>
      <c r="BB119" s="162" t="e">
        <f t="shared" ca="1" si="960"/>
        <v>#NAME?</v>
      </c>
      <c r="BC119" s="162" t="e">
        <f t="shared" ca="1" si="960"/>
        <v>#NAME?</v>
      </c>
      <c r="BD119" s="162" t="e">
        <f t="shared" ca="1" si="960"/>
        <v>#NAME?</v>
      </c>
      <c r="BE119" s="162" t="e">
        <f t="shared" ca="1" si="960"/>
        <v>#NAME?</v>
      </c>
      <c r="BF119" s="162" t="e">
        <f t="shared" ca="1" si="960"/>
        <v>#NAME?</v>
      </c>
      <c r="BG119" s="162" t="e">
        <f t="shared" ca="1" si="960"/>
        <v>#NAME?</v>
      </c>
      <c r="BH119" s="162" t="e">
        <f t="shared" ca="1" si="960"/>
        <v>#NAME?</v>
      </c>
      <c r="BI119" s="162" t="e">
        <f t="shared" ca="1" si="960"/>
        <v>#NAME?</v>
      </c>
      <c r="BJ119" s="162" t="e">
        <f t="shared" ca="1" si="960"/>
        <v>#NAME?</v>
      </c>
      <c r="BK119" s="162" t="e">
        <f t="shared" ca="1" si="960"/>
        <v>#NAME?</v>
      </c>
      <c r="BL119" s="162" t="e">
        <f t="shared" ca="1" si="960"/>
        <v>#NAME?</v>
      </c>
      <c r="BM119" s="162" t="e">
        <f t="shared" ca="1" si="960"/>
        <v>#NAME?</v>
      </c>
      <c r="BN119" s="162" t="e">
        <f t="shared" ca="1" si="960"/>
        <v>#NAME?</v>
      </c>
      <c r="BO119" s="162" t="e">
        <f t="shared" ca="1" si="960"/>
        <v>#NAME?</v>
      </c>
      <c r="BP119" s="162" t="e">
        <f t="shared" ca="1" si="960"/>
        <v>#NAME?</v>
      </c>
      <c r="BQ119" s="162" t="e">
        <f t="shared" ca="1" si="960"/>
        <v>#NAME?</v>
      </c>
      <c r="BR119" s="162" t="e">
        <f t="shared" ref="BR119:CJ119" ca="1" si="961">+BR90*BR76</f>
        <v>#NAME?</v>
      </c>
      <c r="BS119" s="162" t="e">
        <f t="shared" ca="1" si="961"/>
        <v>#NAME?</v>
      </c>
      <c r="BT119" s="162" t="e">
        <f t="shared" ca="1" si="961"/>
        <v>#NAME?</v>
      </c>
      <c r="BU119" s="162" t="e">
        <f t="shared" ca="1" si="961"/>
        <v>#NAME?</v>
      </c>
      <c r="BV119" s="162" t="e">
        <f t="shared" ca="1" si="961"/>
        <v>#NAME?</v>
      </c>
      <c r="BW119" s="162" t="e">
        <f t="shared" ca="1" si="961"/>
        <v>#NAME?</v>
      </c>
      <c r="BX119" s="162" t="e">
        <f t="shared" ca="1" si="961"/>
        <v>#NAME?</v>
      </c>
      <c r="BY119" s="162" t="e">
        <f t="shared" ca="1" si="961"/>
        <v>#NAME?</v>
      </c>
      <c r="BZ119" s="162" t="e">
        <f t="shared" ca="1" si="961"/>
        <v>#NAME?</v>
      </c>
      <c r="CA119" s="162" t="e">
        <f t="shared" ca="1" si="961"/>
        <v>#NAME?</v>
      </c>
      <c r="CB119" s="162" t="e">
        <f t="shared" ca="1" si="961"/>
        <v>#NAME?</v>
      </c>
      <c r="CC119" s="162" t="e">
        <f t="shared" ca="1" si="961"/>
        <v>#NAME?</v>
      </c>
      <c r="CD119" s="162" t="e">
        <f t="shared" ca="1" si="961"/>
        <v>#NAME?</v>
      </c>
      <c r="CE119" s="162" t="e">
        <f t="shared" ca="1" si="961"/>
        <v>#NAME?</v>
      </c>
      <c r="CF119" s="162" t="e">
        <f t="shared" ca="1" si="961"/>
        <v>#NAME?</v>
      </c>
      <c r="CG119" s="162" t="e">
        <f t="shared" ca="1" si="961"/>
        <v>#NAME?</v>
      </c>
      <c r="CH119" s="162" t="e">
        <f t="shared" ca="1" si="961"/>
        <v>#NAME?</v>
      </c>
      <c r="CI119" s="162" t="e">
        <f t="shared" ca="1" si="961"/>
        <v>#NAME?</v>
      </c>
      <c r="CJ119" s="162" t="e">
        <f t="shared" ca="1" si="961"/>
        <v>#NAME?</v>
      </c>
      <c r="CK119" s="162" t="e">
        <f t="shared" ref="CK119" ca="1" si="962">+CK90*CK76</f>
        <v>#NAME?</v>
      </c>
      <c r="CL119" s="162" t="e">
        <f t="shared" ref="CL119" ca="1" si="963">+CL90*CL76</f>
        <v>#NAME?</v>
      </c>
      <c r="CM119" s="21" t="e">
        <f t="shared" ref="CM119:DB119" ca="1" si="964">+CM90*CM76</f>
        <v>#NAME?</v>
      </c>
      <c r="CN119" s="21" t="e">
        <f t="shared" ca="1" si="964"/>
        <v>#NAME?</v>
      </c>
      <c r="CO119" s="21" t="e">
        <f t="shared" ca="1" si="964"/>
        <v>#NAME?</v>
      </c>
      <c r="CP119" s="21" t="e">
        <f t="shared" ca="1" si="964"/>
        <v>#NAME?</v>
      </c>
      <c r="CQ119" s="21" t="e">
        <f t="shared" ca="1" si="964"/>
        <v>#NAME?</v>
      </c>
      <c r="CR119" s="21" t="e">
        <f t="shared" ca="1" si="964"/>
        <v>#NAME?</v>
      </c>
      <c r="CS119" s="21" t="e">
        <f t="shared" ca="1" si="964"/>
        <v>#NAME?</v>
      </c>
      <c r="CT119" s="21" t="e">
        <f t="shared" ca="1" si="964"/>
        <v>#NAME?</v>
      </c>
      <c r="CU119" s="21" t="e">
        <f t="shared" ca="1" si="964"/>
        <v>#NAME?</v>
      </c>
      <c r="CV119" s="21" t="e">
        <f t="shared" ca="1" si="964"/>
        <v>#NAME?</v>
      </c>
      <c r="CW119" s="21" t="e">
        <f t="shared" ca="1" si="964"/>
        <v>#NAME?</v>
      </c>
      <c r="CX119" s="21" t="e">
        <f t="shared" ca="1" si="964"/>
        <v>#NAME?</v>
      </c>
      <c r="CY119" s="21" t="e">
        <f t="shared" ca="1" si="964"/>
        <v>#NAME?</v>
      </c>
      <c r="CZ119" s="21" t="e">
        <f t="shared" ca="1" si="964"/>
        <v>#NAME?</v>
      </c>
      <c r="DA119" s="21" t="e">
        <f t="shared" ca="1" si="964"/>
        <v>#NAME?</v>
      </c>
      <c r="DB119" s="21" t="e">
        <f t="shared" ca="1" si="964"/>
        <v>#NAME?</v>
      </c>
      <c r="DE119" s="22"/>
      <c r="DF119" s="162">
        <v>347.56286499999999</v>
      </c>
    </row>
    <row r="120" spans="1:110" s="162" customFormat="1" x14ac:dyDescent="0.2">
      <c r="A120" s="49" t="s">
        <v>80</v>
      </c>
      <c r="B120" s="162" t="e">
        <f ca="1">+B179</f>
        <v>#NAME?</v>
      </c>
      <c r="C120" s="162" t="e">
        <f t="shared" ref="C120:W120" ca="1" si="965">+C179</f>
        <v>#NAME?</v>
      </c>
      <c r="D120" s="162" t="e">
        <f t="shared" ca="1" si="965"/>
        <v>#NAME?</v>
      </c>
      <c r="E120" s="162" t="e">
        <f t="shared" ca="1" si="965"/>
        <v>#NAME?</v>
      </c>
      <c r="F120" s="162" t="e">
        <f t="shared" ca="1" si="965"/>
        <v>#NAME?</v>
      </c>
      <c r="G120" s="162" t="e">
        <f t="shared" ca="1" si="965"/>
        <v>#NAME?</v>
      </c>
      <c r="H120" s="162" t="e">
        <f t="shared" ca="1" si="965"/>
        <v>#NAME?</v>
      </c>
      <c r="I120" s="162" t="e">
        <f t="shared" ca="1" si="965"/>
        <v>#NAME?</v>
      </c>
      <c r="J120" s="162" t="e">
        <f t="shared" ca="1" si="965"/>
        <v>#NAME?</v>
      </c>
      <c r="K120" s="162" t="e">
        <f t="shared" ca="1" si="965"/>
        <v>#NAME?</v>
      </c>
      <c r="L120" s="162" t="e">
        <f t="shared" ca="1" si="965"/>
        <v>#NAME?</v>
      </c>
      <c r="M120" s="162" t="e">
        <f t="shared" ca="1" si="965"/>
        <v>#NAME?</v>
      </c>
      <c r="N120" s="162" t="e">
        <f t="shared" ca="1" si="965"/>
        <v>#NAME?</v>
      </c>
      <c r="O120" s="162" t="e">
        <f t="shared" ca="1" si="965"/>
        <v>#NAME?</v>
      </c>
      <c r="P120" s="162" t="e">
        <f t="shared" ca="1" si="965"/>
        <v>#NAME?</v>
      </c>
      <c r="Q120" s="162" t="e">
        <f t="shared" ca="1" si="965"/>
        <v>#NAME?</v>
      </c>
      <c r="R120" s="162" t="e">
        <f t="shared" ca="1" si="965"/>
        <v>#NAME?</v>
      </c>
      <c r="S120" s="162" t="e">
        <f t="shared" ca="1" si="965"/>
        <v>#NAME?</v>
      </c>
      <c r="T120" s="162" t="e">
        <f t="shared" ca="1" si="965"/>
        <v>#NAME?</v>
      </c>
      <c r="U120" s="162" t="e">
        <f t="shared" ca="1" si="965"/>
        <v>#NAME?</v>
      </c>
      <c r="V120" s="162" t="e">
        <f t="shared" ca="1" si="965"/>
        <v>#NAME?</v>
      </c>
      <c r="W120" s="162" t="e">
        <f t="shared" ca="1" si="965"/>
        <v>#NAME?</v>
      </c>
      <c r="X120" s="162" t="e">
        <f t="shared" ref="X120:Y120" ca="1" si="966">+X179</f>
        <v>#NAME?</v>
      </c>
      <c r="Y120" s="162" t="e">
        <f t="shared" ca="1" si="966"/>
        <v>#NAME?</v>
      </c>
      <c r="Z120" s="162" t="e">
        <f t="shared" ref="Z120:AA120" ca="1" si="967">+Z179</f>
        <v>#NAME?</v>
      </c>
      <c r="AA120" s="162" t="e">
        <f t="shared" ca="1" si="967"/>
        <v>#NAME?</v>
      </c>
      <c r="AB120" s="21" t="e">
        <f t="shared" ref="AA120:AD120" ca="1" si="968">+AB179</f>
        <v>#NAME?</v>
      </c>
      <c r="AC120" s="21" t="e">
        <f t="shared" ca="1" si="968"/>
        <v>#NAME?</v>
      </c>
      <c r="AD120" s="21" t="e">
        <f t="shared" ca="1" si="968"/>
        <v>#NAME?</v>
      </c>
      <c r="AE120" s="21" t="e">
        <f t="shared" ref="AE120" ca="1" si="969">+AE179</f>
        <v>#NAME?</v>
      </c>
      <c r="AL120" s="162" t="e">
        <f t="shared" ref="AL120:AM120" ca="1" si="970">+AL179</f>
        <v>#NAME?</v>
      </c>
      <c r="AM120" s="162" t="e">
        <f t="shared" ca="1" si="970"/>
        <v>#NAME?</v>
      </c>
      <c r="AN120" s="162" t="e">
        <f t="shared" ref="AN120:AO120" ca="1" si="971">+AN179</f>
        <v>#NAME?</v>
      </c>
      <c r="AO120" s="162" t="e">
        <f t="shared" ca="1" si="971"/>
        <v>#NAME?</v>
      </c>
      <c r="AP120" s="162" t="e">
        <f t="shared" ref="AP120:CD120" ca="1" si="972">+AP179</f>
        <v>#NAME?</v>
      </c>
      <c r="AQ120" s="162" t="e">
        <f t="shared" ca="1" si="972"/>
        <v>#NAME?</v>
      </c>
      <c r="AR120" s="162" t="e">
        <f t="shared" ca="1" si="972"/>
        <v>#NAME?</v>
      </c>
      <c r="AS120" s="162" t="e">
        <f t="shared" ca="1" si="972"/>
        <v>#NAME?</v>
      </c>
      <c r="AT120" s="162" t="e">
        <f t="shared" ca="1" si="972"/>
        <v>#NAME?</v>
      </c>
      <c r="AU120" s="162" t="e">
        <f t="shared" ca="1" si="972"/>
        <v>#NAME?</v>
      </c>
      <c r="AV120" s="162" t="e">
        <f t="shared" ca="1" si="972"/>
        <v>#NAME?</v>
      </c>
      <c r="AW120" s="162" t="e">
        <f t="shared" ca="1" si="972"/>
        <v>#NAME?</v>
      </c>
      <c r="AX120" s="162" t="e">
        <f t="shared" ca="1" si="972"/>
        <v>#NAME?</v>
      </c>
      <c r="AY120" s="162" t="e">
        <f t="shared" ca="1" si="972"/>
        <v>#NAME?</v>
      </c>
      <c r="AZ120" s="162" t="e">
        <f t="shared" ca="1" si="972"/>
        <v>#NAME?</v>
      </c>
      <c r="BA120" s="162" t="e">
        <f t="shared" ca="1" si="972"/>
        <v>#NAME?</v>
      </c>
      <c r="BB120" s="162" t="e">
        <f t="shared" ca="1" si="972"/>
        <v>#NAME?</v>
      </c>
      <c r="BC120" s="162" t="e">
        <f t="shared" ca="1" si="972"/>
        <v>#NAME?</v>
      </c>
      <c r="BD120" s="162" t="e">
        <f t="shared" ca="1" si="972"/>
        <v>#NAME?</v>
      </c>
      <c r="BE120" s="162" t="e">
        <f t="shared" ca="1" si="972"/>
        <v>#NAME?</v>
      </c>
      <c r="BF120" s="162" t="e">
        <f t="shared" ca="1" si="972"/>
        <v>#NAME?</v>
      </c>
      <c r="BG120" s="162" t="e">
        <f t="shared" ca="1" si="972"/>
        <v>#NAME?</v>
      </c>
      <c r="BH120" s="162" t="e">
        <f t="shared" ca="1" si="972"/>
        <v>#NAME?</v>
      </c>
      <c r="BI120" s="162" t="e">
        <f t="shared" ca="1" si="972"/>
        <v>#NAME?</v>
      </c>
      <c r="BJ120" s="162" t="e">
        <f t="shared" ca="1" si="972"/>
        <v>#NAME?</v>
      </c>
      <c r="BK120" s="162" t="e">
        <f t="shared" ca="1" si="972"/>
        <v>#NAME?</v>
      </c>
      <c r="BL120" s="162" t="e">
        <f t="shared" ca="1" si="972"/>
        <v>#NAME?</v>
      </c>
      <c r="BM120" s="162" t="e">
        <f t="shared" ca="1" si="972"/>
        <v>#NAME?</v>
      </c>
      <c r="BN120" s="162" t="e">
        <f t="shared" ca="1" si="972"/>
        <v>#NAME?</v>
      </c>
      <c r="BO120" s="162" t="e">
        <f t="shared" ca="1" si="972"/>
        <v>#NAME?</v>
      </c>
      <c r="BP120" s="162" t="e">
        <f t="shared" ca="1" si="972"/>
        <v>#NAME?</v>
      </c>
      <c r="BQ120" s="162" t="e">
        <f t="shared" ca="1" si="972"/>
        <v>#NAME?</v>
      </c>
      <c r="BR120" s="162" t="e">
        <f t="shared" ca="1" si="972"/>
        <v>#NAME?</v>
      </c>
      <c r="BS120" s="162" t="e">
        <f t="shared" ca="1" si="972"/>
        <v>#NAME?</v>
      </c>
      <c r="BT120" s="162" t="e">
        <f t="shared" ca="1" si="972"/>
        <v>#NAME?</v>
      </c>
      <c r="BU120" s="162" t="e">
        <f t="shared" ca="1" si="972"/>
        <v>#NAME?</v>
      </c>
      <c r="BV120" s="162" t="e">
        <f t="shared" ca="1" si="972"/>
        <v>#NAME?</v>
      </c>
      <c r="BW120" s="162" t="e">
        <f t="shared" ca="1" si="972"/>
        <v>#NAME?</v>
      </c>
      <c r="BX120" s="162" t="e">
        <f t="shared" ca="1" si="972"/>
        <v>#NAME?</v>
      </c>
      <c r="BY120" s="162" t="e">
        <f t="shared" ca="1" si="972"/>
        <v>#NAME?</v>
      </c>
      <c r="BZ120" s="162" t="e">
        <f t="shared" ca="1" si="972"/>
        <v>#NAME?</v>
      </c>
      <c r="CA120" s="162" t="e">
        <f t="shared" ca="1" si="972"/>
        <v>#NAME?</v>
      </c>
      <c r="CB120" s="162" t="e">
        <f t="shared" ca="1" si="972"/>
        <v>#NAME?</v>
      </c>
      <c r="CC120" s="162" t="e">
        <f t="shared" ca="1" si="972"/>
        <v>#NAME?</v>
      </c>
      <c r="CD120" s="162" t="e">
        <f t="shared" ca="1" si="972"/>
        <v>#NAME?</v>
      </c>
      <c r="CE120" s="162" t="e">
        <f t="shared" ref="CE120:CF120" ca="1" si="973">+CE179</f>
        <v>#NAME?</v>
      </c>
      <c r="CF120" s="162" t="e">
        <f t="shared" ca="1" si="973"/>
        <v>#NAME?</v>
      </c>
      <c r="CG120" s="162" t="e">
        <f t="shared" ref="CG120:CH120" ca="1" si="974">+CG179</f>
        <v>#NAME?</v>
      </c>
      <c r="CH120" s="162" t="e">
        <f t="shared" ca="1" si="974"/>
        <v>#NAME?</v>
      </c>
      <c r="CI120" s="162" t="e">
        <f t="shared" ref="CI120:CJ120" ca="1" si="975">+CI179</f>
        <v>#NAME?</v>
      </c>
      <c r="CJ120" s="162" t="e">
        <f t="shared" ca="1" si="975"/>
        <v>#NAME?</v>
      </c>
      <c r="CK120" s="162" t="e">
        <f t="shared" ref="CK120" ca="1" si="976">+CK179</f>
        <v>#NAME?</v>
      </c>
      <c r="CL120" s="162" t="e">
        <f t="shared" ref="CL120" ca="1" si="977">+CL179</f>
        <v>#NAME?</v>
      </c>
      <c r="CM120" s="21" t="e">
        <f t="shared" ref="CM120:DB120" ca="1" si="978">+CM179</f>
        <v>#NAME?</v>
      </c>
      <c r="CN120" s="21" t="e">
        <f t="shared" ca="1" si="978"/>
        <v>#NAME?</v>
      </c>
      <c r="CO120" s="21" t="e">
        <f t="shared" ca="1" si="978"/>
        <v>#NAME?</v>
      </c>
      <c r="CP120" s="21" t="e">
        <f t="shared" ca="1" si="978"/>
        <v>#NAME?</v>
      </c>
      <c r="CQ120" s="21" t="e">
        <f t="shared" ca="1" si="978"/>
        <v>#NAME?</v>
      </c>
      <c r="CR120" s="21" t="e">
        <f t="shared" ca="1" si="978"/>
        <v>#NAME?</v>
      </c>
      <c r="CS120" s="21" t="e">
        <f t="shared" ca="1" si="978"/>
        <v>#NAME?</v>
      </c>
      <c r="CT120" s="21" t="e">
        <f t="shared" ca="1" si="978"/>
        <v>#NAME?</v>
      </c>
      <c r="CU120" s="21" t="e">
        <f t="shared" ca="1" si="978"/>
        <v>#NAME?</v>
      </c>
      <c r="CV120" s="21" t="e">
        <f t="shared" ca="1" si="978"/>
        <v>#NAME?</v>
      </c>
      <c r="CW120" s="21" t="e">
        <f t="shared" ca="1" si="978"/>
        <v>#NAME?</v>
      </c>
      <c r="CX120" s="21" t="e">
        <f t="shared" ca="1" si="978"/>
        <v>#NAME?</v>
      </c>
      <c r="CY120" s="21" t="e">
        <f t="shared" ca="1" si="978"/>
        <v>#NAME?</v>
      </c>
      <c r="CZ120" s="21" t="e">
        <f t="shared" ca="1" si="978"/>
        <v>#NAME?</v>
      </c>
      <c r="DA120" s="21" t="e">
        <f t="shared" ca="1" si="978"/>
        <v>#NAME?</v>
      </c>
      <c r="DB120" s="21" t="e">
        <f t="shared" ca="1" si="978"/>
        <v>#NAME?</v>
      </c>
      <c r="DE120" s="22"/>
      <c r="DF120" s="162">
        <v>157.41900000000001</v>
      </c>
    </row>
    <row r="121" spans="1:110" s="162" customFormat="1" x14ac:dyDescent="0.2">
      <c r="A121" s="49" t="s">
        <v>342</v>
      </c>
      <c r="B121" s="162" t="e">
        <f ca="1">+B118+B120</f>
        <v>#NAME?</v>
      </c>
      <c r="C121" s="162" t="e">
        <f t="shared" ref="C121:W121" ca="1" si="979">+C118+C120</f>
        <v>#NAME?</v>
      </c>
      <c r="D121" s="162" t="e">
        <f t="shared" ca="1" si="979"/>
        <v>#NAME?</v>
      </c>
      <c r="E121" s="162">
        <f t="shared" ca="1" si="979"/>
        <v>0</v>
      </c>
      <c r="F121" s="162">
        <f t="shared" ca="1" si="979"/>
        <v>0</v>
      </c>
      <c r="G121" s="162">
        <f t="shared" ca="1" si="979"/>
        <v>0</v>
      </c>
      <c r="H121" s="162">
        <f t="shared" ca="1" si="979"/>
        <v>0</v>
      </c>
      <c r="I121" s="162">
        <f t="shared" ca="1" si="979"/>
        <v>1.1698302999999999</v>
      </c>
      <c r="J121" s="162">
        <f t="shared" ca="1" si="979"/>
        <v>2.3812145</v>
      </c>
      <c r="K121" s="162">
        <f t="shared" ca="1" si="979"/>
        <v>3.3252050999999998</v>
      </c>
      <c r="L121" s="162">
        <f t="shared" ca="1" si="979"/>
        <v>3.7397161999999997</v>
      </c>
      <c r="M121" s="162">
        <f t="shared" ca="1" si="979"/>
        <v>4.5171922000000002</v>
      </c>
      <c r="N121" s="162">
        <f t="shared" ca="1" si="979"/>
        <v>4.2936874999999999</v>
      </c>
      <c r="O121" s="162">
        <f t="shared" ca="1" si="979"/>
        <v>6.6725231100000002</v>
      </c>
      <c r="P121" s="162">
        <f t="shared" ca="1" si="979"/>
        <v>8.4951255999999979</v>
      </c>
      <c r="Q121" s="162">
        <f t="shared" ca="1" si="979"/>
        <v>20.988850599999999</v>
      </c>
      <c r="R121" s="162">
        <f t="shared" ca="1" si="979"/>
        <v>51.036447455000001</v>
      </c>
      <c r="S121" s="162">
        <f t="shared" ca="1" si="979"/>
        <v>86.546417676999994</v>
      </c>
      <c r="T121" s="162">
        <f t="shared" ca="1" si="979"/>
        <v>288.71472615099998</v>
      </c>
      <c r="U121" s="162">
        <f t="shared" ca="1" si="979"/>
        <v>305.44418376299996</v>
      </c>
      <c r="V121" s="162">
        <f t="shared" ca="1" si="979"/>
        <v>365.19210000000004</v>
      </c>
      <c r="W121" s="162">
        <f t="shared" ca="1" si="979"/>
        <v>674.5566</v>
      </c>
      <c r="X121" s="162">
        <f t="shared" ref="X121:Y121" ca="1" si="980">+X118+X120</f>
        <v>864.34770000000003</v>
      </c>
      <c r="Y121" s="162">
        <f t="shared" ca="1" si="980"/>
        <v>786.98740000000009</v>
      </c>
      <c r="Z121" s="162">
        <f t="shared" ref="Z121:AA121" ca="1" si="981">+Z118+Z120</f>
        <v>721.60860000000002</v>
      </c>
      <c r="AA121" s="162">
        <f t="shared" ca="1" si="981"/>
        <v>721.60860000000002</v>
      </c>
      <c r="AB121" s="21">
        <f t="shared" ref="AA121:AD121" ca="1" si="982">+AB118+AB120</f>
        <v>2556.2439821177768</v>
      </c>
      <c r="AC121" s="21">
        <f t="shared" ca="1" si="982"/>
        <v>3599.8544755559524</v>
      </c>
      <c r="AD121" s="21">
        <f t="shared" ca="1" si="982"/>
        <v>5091.6410418280984</v>
      </c>
      <c r="AE121" s="21">
        <f t="shared" ref="AE121" ca="1" si="983">+AE118+AE120</f>
        <v>7204.5949670015589</v>
      </c>
      <c r="AL121" s="162" t="e">
        <f t="shared" ref="AL121" ca="1" si="984">+AL118+AL120</f>
        <v>#NAME?</v>
      </c>
      <c r="AM121" s="162" t="e">
        <f t="shared" ref="AM121:AO121" ca="1" si="985">+AM118+AM120</f>
        <v>#NAME?</v>
      </c>
      <c r="AN121" s="162" t="e">
        <f t="shared" ca="1" si="985"/>
        <v>#NAME?</v>
      </c>
      <c r="AO121" s="162" t="e">
        <f t="shared" ca="1" si="985"/>
        <v>#NAME?</v>
      </c>
      <c r="AP121" s="162" t="e">
        <f t="shared" ref="AP121:CD121" ca="1" si="986">+AP118+AP120</f>
        <v>#NAME?</v>
      </c>
      <c r="AQ121" s="162" t="e">
        <f t="shared" ca="1" si="986"/>
        <v>#NAME?</v>
      </c>
      <c r="AR121" s="162" t="e">
        <f t="shared" ca="1" si="986"/>
        <v>#NAME?</v>
      </c>
      <c r="AS121" s="162" t="e">
        <f t="shared" ca="1" si="986"/>
        <v>#NAME?</v>
      </c>
      <c r="AT121" s="162" t="e">
        <f t="shared" ca="1" si="986"/>
        <v>#NAME?</v>
      </c>
      <c r="AU121" s="162" t="e">
        <f t="shared" ca="1" si="986"/>
        <v>#NAME?</v>
      </c>
      <c r="AV121" s="162" t="e">
        <f t="shared" ca="1" si="986"/>
        <v>#NAME?</v>
      </c>
      <c r="AW121" s="162" t="e">
        <f t="shared" ca="1" si="986"/>
        <v>#NAME?</v>
      </c>
      <c r="AX121" s="162" t="e">
        <f t="shared" ca="1" si="986"/>
        <v>#NAME?</v>
      </c>
      <c r="AY121" s="162" t="e">
        <f t="shared" ca="1" si="986"/>
        <v>#NAME?</v>
      </c>
      <c r="AZ121" s="162" t="e">
        <f t="shared" ca="1" si="986"/>
        <v>#NAME?</v>
      </c>
      <c r="BA121" s="162" t="e">
        <f t="shared" ca="1" si="986"/>
        <v>#NAME?</v>
      </c>
      <c r="BB121" s="162" t="e">
        <f t="shared" ca="1" si="986"/>
        <v>#NAME?</v>
      </c>
      <c r="BC121" s="162" t="e">
        <f t="shared" ca="1" si="986"/>
        <v>#NAME?</v>
      </c>
      <c r="BD121" s="162" t="e">
        <f t="shared" ca="1" si="986"/>
        <v>#NAME?</v>
      </c>
      <c r="BE121" s="162" t="e">
        <f t="shared" ca="1" si="986"/>
        <v>#NAME?</v>
      </c>
      <c r="BF121" s="162" t="e">
        <f t="shared" ca="1" si="986"/>
        <v>#NAME?</v>
      </c>
      <c r="BG121" s="162" t="e">
        <f t="shared" ca="1" si="986"/>
        <v>#NAME?</v>
      </c>
      <c r="BH121" s="162" t="e">
        <f t="shared" ca="1" si="986"/>
        <v>#NAME?</v>
      </c>
      <c r="BI121" s="162" t="e">
        <f t="shared" ca="1" si="986"/>
        <v>#NAME?</v>
      </c>
      <c r="BJ121" s="162" t="e">
        <f t="shared" ca="1" si="986"/>
        <v>#NAME?</v>
      </c>
      <c r="BK121" s="162" t="e">
        <f t="shared" ca="1" si="986"/>
        <v>#NAME?</v>
      </c>
      <c r="BL121" s="162" t="e">
        <f t="shared" ca="1" si="986"/>
        <v>#NAME?</v>
      </c>
      <c r="BM121" s="162" t="e">
        <f t="shared" ca="1" si="986"/>
        <v>#NAME?</v>
      </c>
      <c r="BN121" s="162" t="e">
        <f t="shared" ca="1" si="986"/>
        <v>#NAME?</v>
      </c>
      <c r="BO121" s="162" t="e">
        <f t="shared" ca="1" si="986"/>
        <v>#NAME?</v>
      </c>
      <c r="BP121" s="162" t="e">
        <f t="shared" ca="1" si="986"/>
        <v>#NAME?</v>
      </c>
      <c r="BQ121" s="162" t="e">
        <f t="shared" ca="1" si="986"/>
        <v>#NAME?</v>
      </c>
      <c r="BR121" s="162" t="e">
        <f t="shared" ca="1" si="986"/>
        <v>#NAME?</v>
      </c>
      <c r="BS121" s="162" t="e">
        <f t="shared" ca="1" si="986"/>
        <v>#NAME?</v>
      </c>
      <c r="BT121" s="162" t="e">
        <f t="shared" ca="1" si="986"/>
        <v>#NAME?</v>
      </c>
      <c r="BU121" s="162" t="e">
        <f t="shared" ca="1" si="986"/>
        <v>#NAME?</v>
      </c>
      <c r="BV121" s="162" t="e">
        <f t="shared" ca="1" si="986"/>
        <v>#NAME?</v>
      </c>
      <c r="BW121" s="162" t="e">
        <f t="shared" ca="1" si="986"/>
        <v>#NAME?</v>
      </c>
      <c r="BX121" s="162" t="e">
        <f t="shared" ca="1" si="986"/>
        <v>#NAME?</v>
      </c>
      <c r="BY121" s="162" t="e">
        <f t="shared" ca="1" si="986"/>
        <v>#NAME?</v>
      </c>
      <c r="BZ121" s="162" t="e">
        <f t="shared" ca="1" si="986"/>
        <v>#NAME?</v>
      </c>
      <c r="CA121" s="162" t="e">
        <f t="shared" ca="1" si="986"/>
        <v>#NAME?</v>
      </c>
      <c r="CB121" s="162" t="e">
        <f t="shared" ca="1" si="986"/>
        <v>#NAME?</v>
      </c>
      <c r="CC121" s="162" t="e">
        <f t="shared" ca="1" si="986"/>
        <v>#NAME?</v>
      </c>
      <c r="CD121" s="162" t="e">
        <f t="shared" ca="1" si="986"/>
        <v>#NAME?</v>
      </c>
      <c r="CE121" s="162" t="e">
        <f t="shared" ref="CE121:CF121" ca="1" si="987">+CE118+CE120</f>
        <v>#NAME?</v>
      </c>
      <c r="CF121" s="162" t="e">
        <f t="shared" ca="1" si="987"/>
        <v>#NAME?</v>
      </c>
      <c r="CG121" s="162" t="e">
        <f t="shared" ref="CG121:CH121" ca="1" si="988">+CG118+CG120</f>
        <v>#NAME?</v>
      </c>
      <c r="CH121" s="162" t="e">
        <f t="shared" ca="1" si="988"/>
        <v>#NAME?</v>
      </c>
      <c r="CI121" s="162" t="e">
        <f t="shared" ref="CI121:CJ121" ca="1" si="989">+CI118+CI120</f>
        <v>#NAME?</v>
      </c>
      <c r="CJ121" s="162" t="e">
        <f t="shared" ca="1" si="989"/>
        <v>#NAME?</v>
      </c>
      <c r="CK121" s="162" t="e">
        <f t="shared" ref="CK121" ca="1" si="990">+CK118+CK120</f>
        <v>#NAME?</v>
      </c>
      <c r="CL121" s="162" t="e">
        <f t="shared" ref="CL121" ca="1" si="991">+CL118+CL120</f>
        <v>#NAME?</v>
      </c>
      <c r="CM121" s="21" t="e">
        <f t="shared" ref="CM121:DB121" ca="1" si="992">+CM118+CM120</f>
        <v>#NAME?</v>
      </c>
      <c r="CN121" s="21" t="e">
        <f t="shared" ca="1" si="992"/>
        <v>#NAME?</v>
      </c>
      <c r="CO121" s="21" t="e">
        <f t="shared" ca="1" si="992"/>
        <v>#NAME?</v>
      </c>
      <c r="CP121" s="21" t="e">
        <f t="shared" ca="1" si="992"/>
        <v>#NAME?</v>
      </c>
      <c r="CQ121" s="21" t="e">
        <f t="shared" ca="1" si="992"/>
        <v>#NAME?</v>
      </c>
      <c r="CR121" s="21" t="e">
        <f t="shared" ca="1" si="992"/>
        <v>#NAME?</v>
      </c>
      <c r="CS121" s="21" t="e">
        <f t="shared" ca="1" si="992"/>
        <v>#NAME?</v>
      </c>
      <c r="CT121" s="21" t="e">
        <f t="shared" ca="1" si="992"/>
        <v>#NAME?</v>
      </c>
      <c r="CU121" s="21" t="e">
        <f t="shared" ca="1" si="992"/>
        <v>#NAME?</v>
      </c>
      <c r="CV121" s="21" t="e">
        <f t="shared" ca="1" si="992"/>
        <v>#NAME?</v>
      </c>
      <c r="CW121" s="21" t="e">
        <f t="shared" ca="1" si="992"/>
        <v>#NAME?</v>
      </c>
      <c r="CX121" s="21" t="e">
        <f t="shared" ca="1" si="992"/>
        <v>#NAME?</v>
      </c>
      <c r="CY121" s="21" t="e">
        <f t="shared" ca="1" si="992"/>
        <v>#NAME?</v>
      </c>
      <c r="CZ121" s="21" t="e">
        <f t="shared" ca="1" si="992"/>
        <v>#NAME?</v>
      </c>
      <c r="DA121" s="21" t="e">
        <f t="shared" ca="1" si="992"/>
        <v>#NAME?</v>
      </c>
      <c r="DB121" s="21" t="e">
        <f t="shared" ca="1" si="992"/>
        <v>#NAME?</v>
      </c>
      <c r="DE121" s="22"/>
      <c r="DF121" s="162">
        <v>1251.4717000000001</v>
      </c>
    </row>
    <row r="122" spans="1:110" s="162" customFormat="1" x14ac:dyDescent="0.2">
      <c r="A122" s="49" t="s">
        <v>345</v>
      </c>
      <c r="B122" s="162" t="e">
        <f ca="1">+B119+B120</f>
        <v>#NAME?</v>
      </c>
      <c r="C122" s="162" t="e">
        <f t="shared" ref="C122:W122" ca="1" si="993">+C119+C120</f>
        <v>#NAME?</v>
      </c>
      <c r="D122" s="162" t="e">
        <f t="shared" ca="1" si="993"/>
        <v>#NAME?</v>
      </c>
      <c r="E122" s="162">
        <f t="shared" ca="1" si="993"/>
        <v>0</v>
      </c>
      <c r="F122" s="162">
        <f t="shared" ca="1" si="993"/>
        <v>0</v>
      </c>
      <c r="G122" s="162">
        <f t="shared" ca="1" si="993"/>
        <v>0</v>
      </c>
      <c r="H122" s="162">
        <f t="shared" ca="1" si="993"/>
        <v>0</v>
      </c>
      <c r="I122" s="162">
        <f t="shared" ca="1" si="993"/>
        <v>1.1698302999999999</v>
      </c>
      <c r="J122" s="162">
        <f t="shared" ca="1" si="993"/>
        <v>2.3812145</v>
      </c>
      <c r="K122" s="162">
        <f t="shared" ca="1" si="993"/>
        <v>3.3252050999999998</v>
      </c>
      <c r="L122" s="162">
        <f t="shared" ca="1" si="993"/>
        <v>3.7397161999999997</v>
      </c>
      <c r="M122" s="162">
        <f t="shared" ca="1" si="993"/>
        <v>4.5171922000000002</v>
      </c>
      <c r="N122" s="162">
        <f t="shared" ca="1" si="993"/>
        <v>4.2936874999999999</v>
      </c>
      <c r="O122" s="162">
        <f t="shared" ca="1" si="993"/>
        <v>6.6725231100000002</v>
      </c>
      <c r="P122" s="162">
        <f t="shared" ca="1" si="993"/>
        <v>8.4951255999999979</v>
      </c>
      <c r="Q122" s="162">
        <f t="shared" ca="1" si="993"/>
        <v>20.988850599999999</v>
      </c>
      <c r="R122" s="162">
        <f t="shared" ca="1" si="993"/>
        <v>24.831723454999999</v>
      </c>
      <c r="S122" s="162">
        <f t="shared" ca="1" si="993"/>
        <v>41.832007677</v>
      </c>
      <c r="T122" s="162">
        <f t="shared" ca="1" si="993"/>
        <v>95.900936150999996</v>
      </c>
      <c r="U122" s="162">
        <f t="shared" ca="1" si="993"/>
        <v>88.166083763000003</v>
      </c>
      <c r="V122" s="162">
        <f t="shared" ca="1" si="993"/>
        <v>100.43572500000001</v>
      </c>
      <c r="W122" s="162">
        <f t="shared" ca="1" si="993"/>
        <v>242.84636</v>
      </c>
      <c r="X122" s="162">
        <f t="shared" ref="X122:Y122" ca="1" si="994">+X119+X120</f>
        <v>452.23079999999999</v>
      </c>
      <c r="Y122" s="162">
        <f t="shared" ca="1" si="994"/>
        <v>459.15469999999999</v>
      </c>
      <c r="Z122" s="162">
        <f t="shared" ref="Z122:AA122" ca="1" si="995">+Z119+Z120</f>
        <v>508.70890000000003</v>
      </c>
      <c r="AA122" s="162">
        <f t="shared" ca="1" si="995"/>
        <v>508.70890000000003</v>
      </c>
      <c r="AB122" s="21">
        <f t="shared" ref="AA122:AD122" ca="1" si="996">+AB119+AB120</f>
        <v>1130.6791694190324</v>
      </c>
      <c r="AC122" s="21">
        <f t="shared" ca="1" si="996"/>
        <v>1858.4559584866279</v>
      </c>
      <c r="AD122" s="21">
        <f t="shared" ca="1" si="996"/>
        <v>2616.4530797082407</v>
      </c>
      <c r="AE122" s="21">
        <f t="shared" ref="AE122" ca="1" si="997">+AE119+AE120</f>
        <v>3686.2038683032661</v>
      </c>
      <c r="AL122" s="162" t="e">
        <f t="shared" ref="AL122:AM122" ca="1" si="998">+AL119+AL120</f>
        <v>#NAME?</v>
      </c>
      <c r="AM122" s="162" t="e">
        <f t="shared" ca="1" si="998"/>
        <v>#NAME?</v>
      </c>
      <c r="AN122" s="162" t="e">
        <f t="shared" ref="AN122:AO122" ca="1" si="999">+AN119+AN120</f>
        <v>#NAME?</v>
      </c>
      <c r="AO122" s="162" t="e">
        <f t="shared" ca="1" si="999"/>
        <v>#NAME?</v>
      </c>
      <c r="AP122" s="162" t="e">
        <f t="shared" ref="AP122:CD122" ca="1" si="1000">+AP119+AP120</f>
        <v>#NAME?</v>
      </c>
      <c r="AQ122" s="162" t="e">
        <f t="shared" ca="1" si="1000"/>
        <v>#NAME?</v>
      </c>
      <c r="AR122" s="162" t="e">
        <f t="shared" ca="1" si="1000"/>
        <v>#NAME?</v>
      </c>
      <c r="AS122" s="162" t="e">
        <f t="shared" ca="1" si="1000"/>
        <v>#NAME?</v>
      </c>
      <c r="AT122" s="162" t="e">
        <f t="shared" ca="1" si="1000"/>
        <v>#NAME?</v>
      </c>
      <c r="AU122" s="162" t="e">
        <f t="shared" ca="1" si="1000"/>
        <v>#NAME?</v>
      </c>
      <c r="AV122" s="162" t="e">
        <f t="shared" ca="1" si="1000"/>
        <v>#NAME?</v>
      </c>
      <c r="AW122" s="162" t="e">
        <f t="shared" ca="1" si="1000"/>
        <v>#NAME?</v>
      </c>
      <c r="AX122" s="162" t="e">
        <f t="shared" ca="1" si="1000"/>
        <v>#NAME?</v>
      </c>
      <c r="AY122" s="162" t="e">
        <f t="shared" ca="1" si="1000"/>
        <v>#NAME?</v>
      </c>
      <c r="AZ122" s="162" t="e">
        <f t="shared" ca="1" si="1000"/>
        <v>#NAME?</v>
      </c>
      <c r="BA122" s="162" t="e">
        <f t="shared" ca="1" si="1000"/>
        <v>#NAME?</v>
      </c>
      <c r="BB122" s="162" t="e">
        <f t="shared" ca="1" si="1000"/>
        <v>#NAME?</v>
      </c>
      <c r="BC122" s="162" t="e">
        <f t="shared" ca="1" si="1000"/>
        <v>#NAME?</v>
      </c>
      <c r="BD122" s="162" t="e">
        <f t="shared" ca="1" si="1000"/>
        <v>#NAME?</v>
      </c>
      <c r="BE122" s="162" t="e">
        <f t="shared" ca="1" si="1000"/>
        <v>#NAME?</v>
      </c>
      <c r="BF122" s="162" t="e">
        <f t="shared" ca="1" si="1000"/>
        <v>#NAME?</v>
      </c>
      <c r="BG122" s="162" t="e">
        <f t="shared" ca="1" si="1000"/>
        <v>#NAME?</v>
      </c>
      <c r="BH122" s="162" t="e">
        <f t="shared" ca="1" si="1000"/>
        <v>#NAME?</v>
      </c>
      <c r="BI122" s="162" t="e">
        <f t="shared" ca="1" si="1000"/>
        <v>#NAME?</v>
      </c>
      <c r="BJ122" s="162" t="e">
        <f t="shared" ca="1" si="1000"/>
        <v>#NAME?</v>
      </c>
      <c r="BK122" s="162" t="e">
        <f t="shared" ca="1" si="1000"/>
        <v>#NAME?</v>
      </c>
      <c r="BL122" s="162" t="e">
        <f t="shared" ca="1" si="1000"/>
        <v>#NAME?</v>
      </c>
      <c r="BM122" s="162" t="e">
        <f t="shared" ca="1" si="1000"/>
        <v>#NAME?</v>
      </c>
      <c r="BN122" s="162" t="e">
        <f t="shared" ca="1" si="1000"/>
        <v>#NAME?</v>
      </c>
      <c r="BO122" s="162" t="e">
        <f t="shared" ca="1" si="1000"/>
        <v>#NAME?</v>
      </c>
      <c r="BP122" s="162" t="e">
        <f t="shared" ca="1" si="1000"/>
        <v>#NAME?</v>
      </c>
      <c r="BQ122" s="162" t="e">
        <f t="shared" ca="1" si="1000"/>
        <v>#NAME?</v>
      </c>
      <c r="BR122" s="162" t="e">
        <f t="shared" ca="1" si="1000"/>
        <v>#NAME?</v>
      </c>
      <c r="BS122" s="162" t="e">
        <f t="shared" ca="1" si="1000"/>
        <v>#NAME?</v>
      </c>
      <c r="BT122" s="162" t="e">
        <f t="shared" ca="1" si="1000"/>
        <v>#NAME?</v>
      </c>
      <c r="BU122" s="162" t="e">
        <f t="shared" ca="1" si="1000"/>
        <v>#NAME?</v>
      </c>
      <c r="BV122" s="162" t="e">
        <f t="shared" ca="1" si="1000"/>
        <v>#NAME?</v>
      </c>
      <c r="BW122" s="162" t="e">
        <f t="shared" ca="1" si="1000"/>
        <v>#NAME?</v>
      </c>
      <c r="BX122" s="162" t="e">
        <f t="shared" ca="1" si="1000"/>
        <v>#NAME?</v>
      </c>
      <c r="BY122" s="162" t="e">
        <f t="shared" ca="1" si="1000"/>
        <v>#NAME?</v>
      </c>
      <c r="BZ122" s="162" t="e">
        <f t="shared" ca="1" si="1000"/>
        <v>#NAME?</v>
      </c>
      <c r="CA122" s="162" t="e">
        <f t="shared" ca="1" si="1000"/>
        <v>#NAME?</v>
      </c>
      <c r="CB122" s="162" t="e">
        <f t="shared" ca="1" si="1000"/>
        <v>#NAME?</v>
      </c>
      <c r="CC122" s="162" t="e">
        <f t="shared" ca="1" si="1000"/>
        <v>#NAME?</v>
      </c>
      <c r="CD122" s="162" t="e">
        <f t="shared" ca="1" si="1000"/>
        <v>#NAME?</v>
      </c>
      <c r="CE122" s="162" t="e">
        <f t="shared" ref="CE122:CF122" ca="1" si="1001">+CE119+CE120</f>
        <v>#NAME?</v>
      </c>
      <c r="CF122" s="162" t="e">
        <f t="shared" ca="1" si="1001"/>
        <v>#NAME?</v>
      </c>
      <c r="CG122" s="162" t="e">
        <f t="shared" ref="CG122:CH122" ca="1" si="1002">+CG119+CG120</f>
        <v>#NAME?</v>
      </c>
      <c r="CH122" s="162" t="e">
        <f t="shared" ca="1" si="1002"/>
        <v>#NAME?</v>
      </c>
      <c r="CI122" s="162" t="e">
        <f t="shared" ref="CI122:CJ122" ca="1" si="1003">+CI119+CI120</f>
        <v>#NAME?</v>
      </c>
      <c r="CJ122" s="162" t="e">
        <f t="shared" ca="1" si="1003"/>
        <v>#NAME?</v>
      </c>
      <c r="CK122" s="162" t="e">
        <f t="shared" ref="CK122" ca="1" si="1004">+CK119+CK120</f>
        <v>#NAME?</v>
      </c>
      <c r="CL122" s="162" t="e">
        <f t="shared" ref="CL122" ca="1" si="1005">+CL119+CL120</f>
        <v>#NAME?</v>
      </c>
      <c r="CM122" s="21" t="e">
        <f t="shared" ref="CM122:DB122" ca="1" si="1006">+CM119+CM120</f>
        <v>#NAME?</v>
      </c>
      <c r="CN122" s="21" t="e">
        <f t="shared" ca="1" si="1006"/>
        <v>#NAME?</v>
      </c>
      <c r="CO122" s="21" t="e">
        <f t="shared" ca="1" si="1006"/>
        <v>#NAME?</v>
      </c>
      <c r="CP122" s="21" t="e">
        <f t="shared" ca="1" si="1006"/>
        <v>#NAME?</v>
      </c>
      <c r="CQ122" s="21" t="e">
        <f t="shared" ca="1" si="1006"/>
        <v>#NAME?</v>
      </c>
      <c r="CR122" s="21" t="e">
        <f t="shared" ca="1" si="1006"/>
        <v>#NAME?</v>
      </c>
      <c r="CS122" s="21" t="e">
        <f t="shared" ca="1" si="1006"/>
        <v>#NAME?</v>
      </c>
      <c r="CT122" s="21" t="e">
        <f t="shared" ca="1" si="1006"/>
        <v>#NAME?</v>
      </c>
      <c r="CU122" s="21" t="e">
        <f t="shared" ca="1" si="1006"/>
        <v>#NAME?</v>
      </c>
      <c r="CV122" s="21" t="e">
        <f t="shared" ca="1" si="1006"/>
        <v>#NAME?</v>
      </c>
      <c r="CW122" s="21" t="e">
        <f t="shared" ca="1" si="1006"/>
        <v>#NAME?</v>
      </c>
      <c r="CX122" s="21" t="e">
        <f t="shared" ca="1" si="1006"/>
        <v>#NAME?</v>
      </c>
      <c r="CY122" s="21" t="e">
        <f t="shared" ca="1" si="1006"/>
        <v>#NAME?</v>
      </c>
      <c r="CZ122" s="21" t="e">
        <f t="shared" ca="1" si="1006"/>
        <v>#NAME?</v>
      </c>
      <c r="DA122" s="21" t="e">
        <f t="shared" ca="1" si="1006"/>
        <v>#NAME?</v>
      </c>
      <c r="DB122" s="21" t="e">
        <f t="shared" ca="1" si="1006"/>
        <v>#NAME?</v>
      </c>
      <c r="DE122" s="22"/>
      <c r="DF122" s="162">
        <v>504.98186499999997</v>
      </c>
    </row>
    <row r="123" spans="1:110" s="162" customFormat="1" x14ac:dyDescent="0.2">
      <c r="A123" s="49" t="s">
        <v>13</v>
      </c>
      <c r="B123" s="162" t="e">
        <f t="shared" ref="B123:AE123" ca="1" si="1007">+B39</f>
        <v>#NAME?</v>
      </c>
      <c r="C123" s="162" t="e">
        <f t="shared" ca="1" si="1007"/>
        <v>#NAME?</v>
      </c>
      <c r="D123" s="162" t="e">
        <f t="shared" ca="1" si="1007"/>
        <v>#NAME?</v>
      </c>
      <c r="E123" s="162" t="e">
        <f t="shared" ca="1" si="1007"/>
        <v>#NAME?</v>
      </c>
      <c r="F123" s="162" t="e">
        <f t="shared" ca="1" si="1007"/>
        <v>#NAME?</v>
      </c>
      <c r="G123" s="162" t="e">
        <f t="shared" ca="1" si="1007"/>
        <v>#NAME?</v>
      </c>
      <c r="H123" s="162" t="e">
        <f t="shared" ca="1" si="1007"/>
        <v>#NAME?</v>
      </c>
      <c r="I123" s="162" t="e">
        <f t="shared" ca="1" si="1007"/>
        <v>#NAME?</v>
      </c>
      <c r="J123" s="162" t="e">
        <f t="shared" ca="1" si="1007"/>
        <v>#NAME?</v>
      </c>
      <c r="K123" s="162" t="e">
        <f t="shared" ca="1" si="1007"/>
        <v>#NAME?</v>
      </c>
      <c r="L123" s="162" t="e">
        <f t="shared" ca="1" si="1007"/>
        <v>#NAME?</v>
      </c>
      <c r="M123" s="162" t="e">
        <f t="shared" ca="1" si="1007"/>
        <v>#NAME?</v>
      </c>
      <c r="N123" s="162" t="e">
        <f t="shared" ca="1" si="1007"/>
        <v>#NAME?</v>
      </c>
      <c r="O123" s="162" t="e">
        <f t="shared" ca="1" si="1007"/>
        <v>#NAME?</v>
      </c>
      <c r="P123" s="162" t="e">
        <f t="shared" ca="1" si="1007"/>
        <v>#NAME?</v>
      </c>
      <c r="Q123" s="162" t="e">
        <f t="shared" ca="1" si="1007"/>
        <v>#NAME?</v>
      </c>
      <c r="R123" s="162" t="e">
        <f t="shared" ca="1" si="1007"/>
        <v>#NAME?</v>
      </c>
      <c r="S123" s="162" t="e">
        <f t="shared" ca="1" si="1007"/>
        <v>#NAME?</v>
      </c>
      <c r="T123" s="162" t="e">
        <f t="shared" ca="1" si="1007"/>
        <v>#NAME?</v>
      </c>
      <c r="U123" s="162" t="e">
        <f t="shared" ca="1" si="1007"/>
        <v>#NAME?</v>
      </c>
      <c r="V123" s="162" t="e">
        <f t="shared" ca="1" si="1007"/>
        <v>#NAME?</v>
      </c>
      <c r="W123" s="162" t="e">
        <f t="shared" ca="1" si="1007"/>
        <v>#NAME?</v>
      </c>
      <c r="X123" s="162" t="e">
        <f t="shared" ca="1" si="1007"/>
        <v>#NAME?</v>
      </c>
      <c r="Y123" s="162" t="e">
        <f t="shared" ca="1" si="1007"/>
        <v>#NAME?</v>
      </c>
      <c r="Z123" s="162" t="e">
        <f t="shared" ca="1" si="1007"/>
        <v>#NAME?</v>
      </c>
      <c r="AA123" s="162" t="e">
        <f t="shared" ref="AA123" ca="1" si="1008">+AA39</f>
        <v>#NAME?</v>
      </c>
      <c r="AB123" s="21" t="e">
        <f t="shared" ca="1" si="1007"/>
        <v>#NAME?</v>
      </c>
      <c r="AC123" s="21" t="e">
        <f t="shared" ca="1" si="1007"/>
        <v>#NAME?</v>
      </c>
      <c r="AD123" s="21" t="e">
        <f t="shared" ca="1" si="1007"/>
        <v>#NAME?</v>
      </c>
      <c r="AE123" s="21" t="e">
        <f t="shared" ca="1" si="1007"/>
        <v>#NAME?</v>
      </c>
      <c r="AL123" s="162" t="e">
        <f t="shared" ref="AL123:BQ123" ca="1" si="1009">+SUM(AI39:AL39)</f>
        <v>#NAME?</v>
      </c>
      <c r="AM123" s="162" t="e">
        <f t="shared" ca="1" si="1009"/>
        <v>#NAME?</v>
      </c>
      <c r="AN123" s="162" t="e">
        <f t="shared" ca="1" si="1009"/>
        <v>#NAME?</v>
      </c>
      <c r="AO123" s="162" t="e">
        <f t="shared" ca="1" si="1009"/>
        <v>#NAME?</v>
      </c>
      <c r="AP123" s="162" t="e">
        <f t="shared" ca="1" si="1009"/>
        <v>#NAME?</v>
      </c>
      <c r="AQ123" s="162" t="e">
        <f t="shared" ca="1" si="1009"/>
        <v>#NAME?</v>
      </c>
      <c r="AR123" s="162" t="e">
        <f t="shared" ca="1" si="1009"/>
        <v>#NAME?</v>
      </c>
      <c r="AS123" s="162" t="e">
        <f t="shared" ca="1" si="1009"/>
        <v>#NAME?</v>
      </c>
      <c r="AT123" s="162" t="e">
        <f t="shared" ca="1" si="1009"/>
        <v>#NAME?</v>
      </c>
      <c r="AU123" s="162" t="e">
        <f t="shared" ca="1" si="1009"/>
        <v>#NAME?</v>
      </c>
      <c r="AV123" s="162" t="e">
        <f t="shared" ca="1" si="1009"/>
        <v>#NAME?</v>
      </c>
      <c r="AW123" s="162" t="e">
        <f t="shared" ca="1" si="1009"/>
        <v>#NAME?</v>
      </c>
      <c r="AX123" s="162" t="e">
        <f t="shared" ca="1" si="1009"/>
        <v>#NAME?</v>
      </c>
      <c r="AY123" s="162" t="e">
        <f t="shared" ca="1" si="1009"/>
        <v>#NAME?</v>
      </c>
      <c r="AZ123" s="162" t="e">
        <f t="shared" ca="1" si="1009"/>
        <v>#NAME?</v>
      </c>
      <c r="BA123" s="162" t="e">
        <f t="shared" ca="1" si="1009"/>
        <v>#NAME?</v>
      </c>
      <c r="BB123" s="162" t="e">
        <f t="shared" ca="1" si="1009"/>
        <v>#NAME?</v>
      </c>
      <c r="BC123" s="162" t="e">
        <f t="shared" ca="1" si="1009"/>
        <v>#NAME?</v>
      </c>
      <c r="BD123" s="162" t="e">
        <f t="shared" ca="1" si="1009"/>
        <v>#NAME?</v>
      </c>
      <c r="BE123" s="162" t="e">
        <f t="shared" ca="1" si="1009"/>
        <v>#NAME?</v>
      </c>
      <c r="BF123" s="162" t="e">
        <f t="shared" ca="1" si="1009"/>
        <v>#NAME?</v>
      </c>
      <c r="BG123" s="162" t="e">
        <f t="shared" ca="1" si="1009"/>
        <v>#NAME?</v>
      </c>
      <c r="BH123" s="162" t="e">
        <f t="shared" ca="1" si="1009"/>
        <v>#NAME?</v>
      </c>
      <c r="BI123" s="162" t="e">
        <f t="shared" ca="1" si="1009"/>
        <v>#NAME?</v>
      </c>
      <c r="BJ123" s="162" t="e">
        <f t="shared" ca="1" si="1009"/>
        <v>#NAME?</v>
      </c>
      <c r="BK123" s="162" t="e">
        <f t="shared" ca="1" si="1009"/>
        <v>#NAME?</v>
      </c>
      <c r="BL123" s="162" t="e">
        <f t="shared" ca="1" si="1009"/>
        <v>#NAME?</v>
      </c>
      <c r="BM123" s="162" t="e">
        <f t="shared" ca="1" si="1009"/>
        <v>#NAME?</v>
      </c>
      <c r="BN123" s="162" t="e">
        <f t="shared" ca="1" si="1009"/>
        <v>#NAME?</v>
      </c>
      <c r="BO123" s="162" t="e">
        <f t="shared" ca="1" si="1009"/>
        <v>#NAME?</v>
      </c>
      <c r="BP123" s="162" t="e">
        <f t="shared" ca="1" si="1009"/>
        <v>#NAME?</v>
      </c>
      <c r="BQ123" s="162" t="e">
        <f t="shared" ca="1" si="1009"/>
        <v>#NAME?</v>
      </c>
      <c r="BR123" s="162" t="e">
        <f t="shared" ref="BR123:CW123" ca="1" si="1010">+SUM(BO39:BR39)</f>
        <v>#NAME?</v>
      </c>
      <c r="BS123" s="162" t="e">
        <f t="shared" ca="1" si="1010"/>
        <v>#NAME?</v>
      </c>
      <c r="BT123" s="162" t="e">
        <f t="shared" ca="1" si="1010"/>
        <v>#NAME?</v>
      </c>
      <c r="BU123" s="162" t="e">
        <f t="shared" ca="1" si="1010"/>
        <v>#NAME?</v>
      </c>
      <c r="BV123" s="162" t="e">
        <f t="shared" ca="1" si="1010"/>
        <v>#NAME?</v>
      </c>
      <c r="BW123" s="162" t="e">
        <f t="shared" ca="1" si="1010"/>
        <v>#NAME?</v>
      </c>
      <c r="BX123" s="162" t="e">
        <f t="shared" ca="1" si="1010"/>
        <v>#NAME?</v>
      </c>
      <c r="BY123" s="162" t="e">
        <f t="shared" ca="1" si="1010"/>
        <v>#NAME?</v>
      </c>
      <c r="BZ123" s="162" t="e">
        <f t="shared" ca="1" si="1010"/>
        <v>#NAME?</v>
      </c>
      <c r="CA123" s="162" t="e">
        <f t="shared" ca="1" si="1010"/>
        <v>#NAME?</v>
      </c>
      <c r="CB123" s="162" t="e">
        <f t="shared" ca="1" si="1010"/>
        <v>#NAME?</v>
      </c>
      <c r="CC123" s="162" t="e">
        <f t="shared" ca="1" si="1010"/>
        <v>#NAME?</v>
      </c>
      <c r="CD123" s="162" t="e">
        <f t="shared" ca="1" si="1010"/>
        <v>#NAME?</v>
      </c>
      <c r="CE123" s="162" t="e">
        <f t="shared" ca="1" si="1010"/>
        <v>#NAME?</v>
      </c>
      <c r="CF123" s="162" t="e">
        <f t="shared" ca="1" si="1010"/>
        <v>#NAME?</v>
      </c>
      <c r="CG123" s="162" t="e">
        <f t="shared" ca="1" si="1010"/>
        <v>#NAME?</v>
      </c>
      <c r="CH123" s="162" t="e">
        <f t="shared" ca="1" si="1010"/>
        <v>#NAME?</v>
      </c>
      <c r="CI123" s="162" t="e">
        <f t="shared" ca="1" si="1010"/>
        <v>#NAME?</v>
      </c>
      <c r="CJ123" s="162" t="e">
        <f t="shared" ca="1" si="1010"/>
        <v>#NAME?</v>
      </c>
      <c r="CK123" s="162" t="e">
        <f t="shared" ca="1" si="1010"/>
        <v>#NAME?</v>
      </c>
      <c r="CL123" s="162" t="e">
        <f t="shared" ca="1" si="1010"/>
        <v>#NAME?</v>
      </c>
      <c r="CM123" s="21" t="e">
        <f t="shared" ca="1" si="1010"/>
        <v>#NAME?</v>
      </c>
      <c r="CN123" s="21" t="e">
        <f t="shared" ca="1" si="1010"/>
        <v>#NAME?</v>
      </c>
      <c r="CO123" s="21" t="e">
        <f t="shared" ca="1" si="1010"/>
        <v>#NAME?</v>
      </c>
      <c r="CP123" s="21" t="e">
        <f t="shared" ca="1" si="1010"/>
        <v>#NAME?</v>
      </c>
      <c r="CQ123" s="21" t="e">
        <f t="shared" ca="1" si="1010"/>
        <v>#NAME?</v>
      </c>
      <c r="CR123" s="21" t="e">
        <f t="shared" ca="1" si="1010"/>
        <v>#NAME?</v>
      </c>
      <c r="CS123" s="21" t="e">
        <f t="shared" ca="1" si="1010"/>
        <v>#NAME?</v>
      </c>
      <c r="CT123" s="21" t="e">
        <f t="shared" ca="1" si="1010"/>
        <v>#NAME?</v>
      </c>
      <c r="CU123" s="21" t="e">
        <f t="shared" ca="1" si="1010"/>
        <v>#NAME?</v>
      </c>
      <c r="CV123" s="21" t="e">
        <f t="shared" ca="1" si="1010"/>
        <v>#NAME?</v>
      </c>
      <c r="CW123" s="21" t="e">
        <f t="shared" ca="1" si="1010"/>
        <v>#NAME?</v>
      </c>
      <c r="CX123" s="21" t="e">
        <f t="shared" ref="CX123:DB123" ca="1" si="1011">+SUM(CU39:CX39)</f>
        <v>#NAME?</v>
      </c>
      <c r="CY123" s="21" t="e">
        <f t="shared" ca="1" si="1011"/>
        <v>#NAME?</v>
      </c>
      <c r="CZ123" s="21" t="e">
        <f t="shared" ca="1" si="1011"/>
        <v>#NAME?</v>
      </c>
      <c r="DA123" s="21" t="e">
        <f t="shared" ca="1" si="1011"/>
        <v>#NAME?</v>
      </c>
      <c r="DB123" s="21" t="e">
        <f t="shared" ca="1" si="1011"/>
        <v>#NAME?</v>
      </c>
      <c r="DE123" s="22"/>
      <c r="DF123" s="162">
        <v>94.538000000000068</v>
      </c>
    </row>
    <row r="124" spans="1:110" s="162" customFormat="1" x14ac:dyDescent="0.2">
      <c r="A124" s="49" t="s">
        <v>343</v>
      </c>
      <c r="B124" s="162" t="e">
        <f ca="1">+B121/B123</f>
        <v>#NAME?</v>
      </c>
      <c r="C124" s="162" t="e">
        <f t="shared" ref="C124:W124" ca="1" si="1012">+C121/C123</f>
        <v>#NAME?</v>
      </c>
      <c r="D124" s="162" t="e">
        <f t="shared" ca="1" si="1012"/>
        <v>#NAME?</v>
      </c>
      <c r="E124" s="162" t="e">
        <f t="shared" ca="1" si="1012"/>
        <v>#DIV/0!</v>
      </c>
      <c r="F124" s="162" t="e">
        <f t="shared" ca="1" si="1012"/>
        <v>#DIV/0!</v>
      </c>
      <c r="G124" s="162" t="e">
        <f t="shared" ca="1" si="1012"/>
        <v>#DIV/0!</v>
      </c>
      <c r="H124" s="162" t="e">
        <f t="shared" ca="1" si="1012"/>
        <v>#DIV/0!</v>
      </c>
      <c r="I124" s="162">
        <f t="shared" ca="1" si="1012"/>
        <v>3.0667904920946611</v>
      </c>
      <c r="J124" s="162">
        <f t="shared" ca="1" si="1012"/>
        <v>4.7335279716165042</v>
      </c>
      <c r="K124" s="162">
        <f t="shared" ca="1" si="1012"/>
        <v>8.619956469960588</v>
      </c>
      <c r="L124" s="162">
        <f t="shared" ca="1" si="1012"/>
        <v>4.9525901827180983</v>
      </c>
      <c r="M124" s="162">
        <f t="shared" ca="1" si="1012"/>
        <v>18.232967613136836</v>
      </c>
      <c r="N124" s="162">
        <f t="shared" ca="1" si="1012"/>
        <v>3.9883427694136229</v>
      </c>
      <c r="O124" s="162">
        <f t="shared" ca="1" si="1012"/>
        <v>4.6659871796108963</v>
      </c>
      <c r="P124" s="162">
        <f t="shared" ca="1" si="1012"/>
        <v>5.1303987363039303</v>
      </c>
      <c r="Q124" s="162">
        <f t="shared" ca="1" si="1012"/>
        <v>5.3816327865484697</v>
      </c>
      <c r="R124" s="162">
        <f t="shared" ca="1" si="1012"/>
        <v>15.359807437290854</v>
      </c>
      <c r="S124" s="162">
        <f t="shared" ca="1" si="1012"/>
        <v>15.157401132320247</v>
      </c>
      <c r="T124" s="162">
        <f t="shared" ca="1" si="1012"/>
        <v>28.78516643629526</v>
      </c>
      <c r="U124" s="162">
        <f t="shared" ca="1" si="1012"/>
        <v>36.664272996375573</v>
      </c>
      <c r="V124" s="162">
        <f t="shared" ca="1" si="1012"/>
        <v>39.071768645618235</v>
      </c>
      <c r="W124" s="162">
        <f t="shared" ca="1" si="1012"/>
        <v>48.491574891451265</v>
      </c>
      <c r="X124" s="162">
        <f t="shared" ref="X124:Y124" ca="1" si="1013">+X121/X123</f>
        <v>31.116940390389296</v>
      </c>
      <c r="Y124" s="162">
        <f t="shared" ca="1" si="1013"/>
        <v>20.719900374385873</v>
      </c>
      <c r="Z124" s="162">
        <f t="shared" ref="Z124:AA124" ca="1" si="1014">+Z121/Z123</f>
        <v>13.755746901848507</v>
      </c>
      <c r="AA124" s="162">
        <f t="shared" ca="1" si="1014"/>
        <v>13.755746901848507</v>
      </c>
      <c r="AB124" s="21">
        <f t="shared" ref="AA124:AD124" ca="1" si="1015">+AB121/AB123</f>
        <v>21.252405045095404</v>
      </c>
      <c r="AC124" s="21">
        <f t="shared" ca="1" si="1015"/>
        <v>22.678782739374672</v>
      </c>
      <c r="AD124" s="21">
        <f t="shared" ca="1" si="1015"/>
        <v>24.054841235455239</v>
      </c>
      <c r="AE124" s="21">
        <f t="shared" ref="AE124" ca="1" si="1016">+AE121/AE123</f>
        <v>25.236923033098421</v>
      </c>
      <c r="AL124" s="162" t="e">
        <f t="shared" ref="AL124" ca="1" si="1017">+AL121/AL123</f>
        <v>#NAME?</v>
      </c>
      <c r="AM124" s="162" t="e">
        <f t="shared" ref="AM124:AO124" ca="1" si="1018">+AM121/AM123</f>
        <v>#NAME?</v>
      </c>
      <c r="AN124" s="162" t="e">
        <f t="shared" ca="1" si="1018"/>
        <v>#NAME?</v>
      </c>
      <c r="AO124" s="162" t="e">
        <f t="shared" ca="1" si="1018"/>
        <v>#NAME?</v>
      </c>
      <c r="AP124" s="162" t="e">
        <f t="shared" ref="AP124:CD124" ca="1" si="1019">+AP121/AP123</f>
        <v>#NAME?</v>
      </c>
      <c r="AQ124" s="162" t="e">
        <f t="shared" ca="1" si="1019"/>
        <v>#NAME?</v>
      </c>
      <c r="AR124" s="162" t="e">
        <f t="shared" ca="1" si="1019"/>
        <v>#NAME?</v>
      </c>
      <c r="AS124" s="162" t="e">
        <f t="shared" ca="1" si="1019"/>
        <v>#NAME?</v>
      </c>
      <c r="AT124" s="162" t="e">
        <f t="shared" ca="1" si="1019"/>
        <v>#NAME?</v>
      </c>
      <c r="AU124" s="162" t="e">
        <f t="shared" ca="1" si="1019"/>
        <v>#NAME?</v>
      </c>
      <c r="AV124" s="162" t="e">
        <f t="shared" ca="1" si="1019"/>
        <v>#NAME?</v>
      </c>
      <c r="AW124" s="162" t="e">
        <f t="shared" ca="1" si="1019"/>
        <v>#NAME?</v>
      </c>
      <c r="AX124" s="162" t="e">
        <f t="shared" ca="1" si="1019"/>
        <v>#NAME?</v>
      </c>
      <c r="AY124" s="162" t="e">
        <f t="shared" ca="1" si="1019"/>
        <v>#NAME?</v>
      </c>
      <c r="AZ124" s="162" t="e">
        <f t="shared" ca="1" si="1019"/>
        <v>#NAME?</v>
      </c>
      <c r="BA124" s="162" t="e">
        <f t="shared" ca="1" si="1019"/>
        <v>#NAME?</v>
      </c>
      <c r="BB124" s="162" t="e">
        <f t="shared" ca="1" si="1019"/>
        <v>#NAME?</v>
      </c>
      <c r="BC124" s="162" t="e">
        <f t="shared" ca="1" si="1019"/>
        <v>#NAME?</v>
      </c>
      <c r="BD124" s="162" t="e">
        <f t="shared" ca="1" si="1019"/>
        <v>#NAME?</v>
      </c>
      <c r="BE124" s="162" t="e">
        <f t="shared" ca="1" si="1019"/>
        <v>#NAME?</v>
      </c>
      <c r="BF124" s="162" t="e">
        <f t="shared" ca="1" si="1019"/>
        <v>#NAME?</v>
      </c>
      <c r="BG124" s="162" t="e">
        <f t="shared" ca="1" si="1019"/>
        <v>#NAME?</v>
      </c>
      <c r="BH124" s="162" t="e">
        <f t="shared" ca="1" si="1019"/>
        <v>#NAME?</v>
      </c>
      <c r="BI124" s="162" t="e">
        <f t="shared" ca="1" si="1019"/>
        <v>#NAME?</v>
      </c>
      <c r="BJ124" s="162" t="e">
        <f t="shared" ca="1" si="1019"/>
        <v>#NAME?</v>
      </c>
      <c r="BK124" s="162" t="e">
        <f t="shared" ca="1" si="1019"/>
        <v>#NAME?</v>
      </c>
      <c r="BL124" s="162" t="e">
        <f t="shared" ca="1" si="1019"/>
        <v>#NAME?</v>
      </c>
      <c r="BM124" s="162" t="e">
        <f t="shared" ca="1" si="1019"/>
        <v>#NAME?</v>
      </c>
      <c r="BN124" s="162" t="e">
        <f t="shared" ca="1" si="1019"/>
        <v>#NAME?</v>
      </c>
      <c r="BO124" s="162" t="e">
        <f t="shared" ca="1" si="1019"/>
        <v>#NAME?</v>
      </c>
      <c r="BP124" s="162" t="e">
        <f t="shared" ca="1" si="1019"/>
        <v>#NAME?</v>
      </c>
      <c r="BQ124" s="162" t="e">
        <f t="shared" ca="1" si="1019"/>
        <v>#NAME?</v>
      </c>
      <c r="BR124" s="162" t="e">
        <f t="shared" ca="1" si="1019"/>
        <v>#NAME?</v>
      </c>
      <c r="BS124" s="162" t="e">
        <f t="shared" ca="1" si="1019"/>
        <v>#NAME?</v>
      </c>
      <c r="BT124" s="162" t="e">
        <f t="shared" ca="1" si="1019"/>
        <v>#NAME?</v>
      </c>
      <c r="BU124" s="162" t="e">
        <f t="shared" ca="1" si="1019"/>
        <v>#NAME?</v>
      </c>
      <c r="BV124" s="162" t="e">
        <f t="shared" ca="1" si="1019"/>
        <v>#NAME?</v>
      </c>
      <c r="BW124" s="162" t="e">
        <f t="shared" ca="1" si="1019"/>
        <v>#NAME?</v>
      </c>
      <c r="BX124" s="162" t="e">
        <f t="shared" ca="1" si="1019"/>
        <v>#NAME?</v>
      </c>
      <c r="BY124" s="162" t="e">
        <f t="shared" ca="1" si="1019"/>
        <v>#NAME?</v>
      </c>
      <c r="BZ124" s="162" t="e">
        <f t="shared" ca="1" si="1019"/>
        <v>#NAME?</v>
      </c>
      <c r="CA124" s="162" t="e">
        <f t="shared" ca="1" si="1019"/>
        <v>#NAME?</v>
      </c>
      <c r="CB124" s="162" t="e">
        <f t="shared" ca="1" si="1019"/>
        <v>#NAME?</v>
      </c>
      <c r="CC124" s="162" t="e">
        <f t="shared" ca="1" si="1019"/>
        <v>#NAME?</v>
      </c>
      <c r="CD124" s="162" t="e">
        <f t="shared" ca="1" si="1019"/>
        <v>#NAME?</v>
      </c>
      <c r="CE124" s="162" t="e">
        <f t="shared" ref="CE124:CF124" ca="1" si="1020">+CE121/CE123</f>
        <v>#NAME?</v>
      </c>
      <c r="CF124" s="162" t="e">
        <f t="shared" ca="1" si="1020"/>
        <v>#NAME?</v>
      </c>
      <c r="CG124" s="162" t="e">
        <f t="shared" ref="CG124:CH124" ca="1" si="1021">+CG121/CG123</f>
        <v>#NAME?</v>
      </c>
      <c r="CH124" s="162" t="e">
        <f t="shared" ca="1" si="1021"/>
        <v>#NAME?</v>
      </c>
      <c r="CI124" s="162" t="e">
        <f t="shared" ref="CI124:CJ124" ca="1" si="1022">+CI121/CI123</f>
        <v>#NAME?</v>
      </c>
      <c r="CJ124" s="162" t="e">
        <f t="shared" ca="1" si="1022"/>
        <v>#NAME?</v>
      </c>
      <c r="CK124" s="162" t="e">
        <f t="shared" ref="CK124" ca="1" si="1023">+CK121/CK123</f>
        <v>#NAME?</v>
      </c>
      <c r="CL124" s="162" t="e">
        <f t="shared" ref="CL124" ca="1" si="1024">+CL121/CL123</f>
        <v>#NAME?</v>
      </c>
      <c r="CM124" s="21" t="e">
        <f t="shared" ref="CM124:DB124" ca="1" si="1025">+CM121/CM123</f>
        <v>#NAME?</v>
      </c>
      <c r="CN124" s="21" t="e">
        <f t="shared" ca="1" si="1025"/>
        <v>#NAME?</v>
      </c>
      <c r="CO124" s="21" t="e">
        <f t="shared" ca="1" si="1025"/>
        <v>#NAME?</v>
      </c>
      <c r="CP124" s="21" t="e">
        <f t="shared" ca="1" si="1025"/>
        <v>#NAME?</v>
      </c>
      <c r="CQ124" s="21" t="e">
        <f t="shared" ca="1" si="1025"/>
        <v>#NAME?</v>
      </c>
      <c r="CR124" s="21" t="e">
        <f t="shared" ca="1" si="1025"/>
        <v>#NAME?</v>
      </c>
      <c r="CS124" s="21" t="e">
        <f t="shared" ca="1" si="1025"/>
        <v>#NAME?</v>
      </c>
      <c r="CT124" s="21" t="e">
        <f t="shared" ca="1" si="1025"/>
        <v>#NAME?</v>
      </c>
      <c r="CU124" s="21" t="e">
        <f t="shared" ca="1" si="1025"/>
        <v>#NAME?</v>
      </c>
      <c r="CV124" s="21" t="e">
        <f t="shared" ca="1" si="1025"/>
        <v>#NAME?</v>
      </c>
      <c r="CW124" s="21" t="e">
        <f t="shared" ca="1" si="1025"/>
        <v>#NAME?</v>
      </c>
      <c r="CX124" s="21" t="e">
        <f t="shared" ca="1" si="1025"/>
        <v>#NAME?</v>
      </c>
      <c r="CY124" s="21" t="e">
        <f t="shared" ca="1" si="1025"/>
        <v>#NAME?</v>
      </c>
      <c r="CZ124" s="21" t="e">
        <f t="shared" ca="1" si="1025"/>
        <v>#NAME?</v>
      </c>
      <c r="DA124" s="21" t="e">
        <f t="shared" ca="1" si="1025"/>
        <v>#NAME?</v>
      </c>
      <c r="DB124" s="21" t="e">
        <f t="shared" ca="1" si="1025"/>
        <v>#NAME?</v>
      </c>
      <c r="DE124" s="22"/>
      <c r="DF124" s="162">
        <v>13.237763650595518</v>
      </c>
    </row>
    <row r="125" spans="1:110" s="162" customFormat="1" x14ac:dyDescent="0.2">
      <c r="A125" s="49" t="s">
        <v>344</v>
      </c>
      <c r="B125" s="162" t="e">
        <f ca="1">+B122/B123</f>
        <v>#NAME?</v>
      </c>
      <c r="C125" s="162" t="e">
        <f t="shared" ref="C125:W125" ca="1" si="1026">+C122/C123</f>
        <v>#NAME?</v>
      </c>
      <c r="D125" s="162" t="e">
        <f t="shared" ca="1" si="1026"/>
        <v>#NAME?</v>
      </c>
      <c r="E125" s="162" t="e">
        <f t="shared" ca="1" si="1026"/>
        <v>#DIV/0!</v>
      </c>
      <c r="F125" s="162" t="e">
        <f t="shared" ca="1" si="1026"/>
        <v>#DIV/0!</v>
      </c>
      <c r="G125" s="162" t="e">
        <f t="shared" ca="1" si="1026"/>
        <v>#DIV/0!</v>
      </c>
      <c r="H125" s="162" t="e">
        <f t="shared" ca="1" si="1026"/>
        <v>#DIV/0!</v>
      </c>
      <c r="I125" s="162">
        <f t="shared" ca="1" si="1026"/>
        <v>3.0667904920946611</v>
      </c>
      <c r="J125" s="162">
        <f t="shared" ca="1" si="1026"/>
        <v>4.7335279716165042</v>
      </c>
      <c r="K125" s="162">
        <f t="shared" ca="1" si="1026"/>
        <v>8.619956469960588</v>
      </c>
      <c r="L125" s="162">
        <f t="shared" ca="1" si="1026"/>
        <v>4.9525901827180983</v>
      </c>
      <c r="M125" s="162">
        <f t="shared" ca="1" si="1026"/>
        <v>18.232967613136836</v>
      </c>
      <c r="N125" s="162">
        <f t="shared" ca="1" si="1026"/>
        <v>3.9883427694136229</v>
      </c>
      <c r="O125" s="162">
        <f t="shared" ca="1" si="1026"/>
        <v>4.6659871796108963</v>
      </c>
      <c r="P125" s="162">
        <f t="shared" ca="1" si="1026"/>
        <v>5.1303987363039303</v>
      </c>
      <c r="Q125" s="162">
        <f t="shared" ca="1" si="1026"/>
        <v>5.3816327865484697</v>
      </c>
      <c r="R125" s="162">
        <f t="shared" ca="1" si="1026"/>
        <v>7.4732962348360363</v>
      </c>
      <c r="S125" s="162">
        <f t="shared" ca="1" si="1026"/>
        <v>7.3262942308829251</v>
      </c>
      <c r="T125" s="162">
        <f t="shared" ca="1" si="1026"/>
        <v>9.5614257204853654</v>
      </c>
      <c r="U125" s="162">
        <f t="shared" ca="1" si="1026"/>
        <v>10.583096801136479</v>
      </c>
      <c r="V125" s="162">
        <f t="shared" ca="1" si="1026"/>
        <v>10.745581328169299</v>
      </c>
      <c r="W125" s="162">
        <f t="shared" ca="1" si="1026"/>
        <v>17.457397130287266</v>
      </c>
      <c r="X125" s="162">
        <f t="shared" ref="X125:Y125" ca="1" si="1027">+X122/X123</f>
        <v>16.280530215210916</v>
      </c>
      <c r="Y125" s="162">
        <f t="shared" ca="1" si="1027"/>
        <v>12.088681013737999</v>
      </c>
      <c r="Z125" s="162">
        <f t="shared" ref="Z125:AA125" ca="1" si="1028">+Z122/Z123</f>
        <v>9.6973218932226732</v>
      </c>
      <c r="AA125" s="162">
        <f t="shared" ca="1" si="1028"/>
        <v>9.6973218932226732</v>
      </c>
      <c r="AB125" s="21">
        <f t="shared" ref="AA125:AD125" ca="1" si="1029">+AB122/AB123</f>
        <v>9.400374867440247</v>
      </c>
      <c r="AC125" s="21">
        <f t="shared" ca="1" si="1029"/>
        <v>11.708117425137136</v>
      </c>
      <c r="AD125" s="21">
        <f t="shared" ca="1" si="1029"/>
        <v>12.36111558441722</v>
      </c>
      <c r="AE125" s="21">
        <f t="shared" ref="AE125" ca="1" si="1030">+AE122/AE123</f>
        <v>12.912376578387473</v>
      </c>
      <c r="AL125" s="162" t="e">
        <f t="shared" ref="AL125:AM125" ca="1" si="1031">+AL122/AL123</f>
        <v>#NAME?</v>
      </c>
      <c r="AM125" s="162" t="e">
        <f t="shared" ca="1" si="1031"/>
        <v>#NAME?</v>
      </c>
      <c r="AN125" s="162" t="e">
        <f t="shared" ref="AN125:AO125" ca="1" si="1032">+AN122/AN123</f>
        <v>#NAME?</v>
      </c>
      <c r="AO125" s="162" t="e">
        <f t="shared" ca="1" si="1032"/>
        <v>#NAME?</v>
      </c>
      <c r="AP125" s="162" t="e">
        <f t="shared" ref="AP125:CD125" ca="1" si="1033">+AP122/AP123</f>
        <v>#NAME?</v>
      </c>
      <c r="AQ125" s="162" t="e">
        <f t="shared" ca="1" si="1033"/>
        <v>#NAME?</v>
      </c>
      <c r="AR125" s="162" t="e">
        <f t="shared" ca="1" si="1033"/>
        <v>#NAME?</v>
      </c>
      <c r="AS125" s="162" t="e">
        <f t="shared" ca="1" si="1033"/>
        <v>#NAME?</v>
      </c>
      <c r="AT125" s="162" t="e">
        <f t="shared" ca="1" si="1033"/>
        <v>#NAME?</v>
      </c>
      <c r="AU125" s="162" t="e">
        <f t="shared" ca="1" si="1033"/>
        <v>#NAME?</v>
      </c>
      <c r="AV125" s="162" t="e">
        <f t="shared" ca="1" si="1033"/>
        <v>#NAME?</v>
      </c>
      <c r="AW125" s="162" t="e">
        <f t="shared" ca="1" si="1033"/>
        <v>#NAME?</v>
      </c>
      <c r="AX125" s="162" t="e">
        <f t="shared" ca="1" si="1033"/>
        <v>#NAME?</v>
      </c>
      <c r="AY125" s="162" t="e">
        <f t="shared" ca="1" si="1033"/>
        <v>#NAME?</v>
      </c>
      <c r="AZ125" s="162" t="e">
        <f t="shared" ca="1" si="1033"/>
        <v>#NAME?</v>
      </c>
      <c r="BA125" s="162" t="e">
        <f t="shared" ca="1" si="1033"/>
        <v>#NAME?</v>
      </c>
      <c r="BB125" s="162" t="e">
        <f t="shared" ca="1" si="1033"/>
        <v>#NAME?</v>
      </c>
      <c r="BC125" s="162" t="e">
        <f t="shared" ca="1" si="1033"/>
        <v>#NAME?</v>
      </c>
      <c r="BD125" s="162" t="e">
        <f t="shared" ca="1" si="1033"/>
        <v>#NAME?</v>
      </c>
      <c r="BE125" s="162" t="e">
        <f t="shared" ca="1" si="1033"/>
        <v>#NAME?</v>
      </c>
      <c r="BF125" s="162" t="e">
        <f t="shared" ca="1" si="1033"/>
        <v>#NAME?</v>
      </c>
      <c r="BG125" s="162" t="e">
        <f t="shared" ca="1" si="1033"/>
        <v>#NAME?</v>
      </c>
      <c r="BH125" s="162" t="e">
        <f t="shared" ca="1" si="1033"/>
        <v>#NAME?</v>
      </c>
      <c r="BI125" s="162" t="e">
        <f t="shared" ca="1" si="1033"/>
        <v>#NAME?</v>
      </c>
      <c r="BJ125" s="162" t="e">
        <f t="shared" ca="1" si="1033"/>
        <v>#NAME?</v>
      </c>
      <c r="BK125" s="162" t="e">
        <f t="shared" ca="1" si="1033"/>
        <v>#NAME?</v>
      </c>
      <c r="BL125" s="162" t="e">
        <f t="shared" ca="1" si="1033"/>
        <v>#NAME?</v>
      </c>
      <c r="BM125" s="162" t="e">
        <f t="shared" ca="1" si="1033"/>
        <v>#NAME?</v>
      </c>
      <c r="BN125" s="162" t="e">
        <f t="shared" ca="1" si="1033"/>
        <v>#NAME?</v>
      </c>
      <c r="BO125" s="162" t="e">
        <f t="shared" ca="1" si="1033"/>
        <v>#NAME?</v>
      </c>
      <c r="BP125" s="162" t="e">
        <f t="shared" ca="1" si="1033"/>
        <v>#NAME?</v>
      </c>
      <c r="BQ125" s="162" t="e">
        <f t="shared" ca="1" si="1033"/>
        <v>#NAME?</v>
      </c>
      <c r="BR125" s="162" t="e">
        <f t="shared" ca="1" si="1033"/>
        <v>#NAME?</v>
      </c>
      <c r="BS125" s="162" t="e">
        <f t="shared" ca="1" si="1033"/>
        <v>#NAME?</v>
      </c>
      <c r="BT125" s="162" t="e">
        <f t="shared" ca="1" si="1033"/>
        <v>#NAME?</v>
      </c>
      <c r="BU125" s="162" t="e">
        <f t="shared" ca="1" si="1033"/>
        <v>#NAME?</v>
      </c>
      <c r="BV125" s="162" t="e">
        <f t="shared" ca="1" si="1033"/>
        <v>#NAME?</v>
      </c>
      <c r="BW125" s="162" t="e">
        <f t="shared" ca="1" si="1033"/>
        <v>#NAME?</v>
      </c>
      <c r="BX125" s="162" t="e">
        <f t="shared" ca="1" si="1033"/>
        <v>#NAME?</v>
      </c>
      <c r="BY125" s="162" t="e">
        <f t="shared" ca="1" si="1033"/>
        <v>#NAME?</v>
      </c>
      <c r="BZ125" s="162" t="e">
        <f t="shared" ca="1" si="1033"/>
        <v>#NAME?</v>
      </c>
      <c r="CA125" s="162" t="e">
        <f t="shared" ca="1" si="1033"/>
        <v>#NAME?</v>
      </c>
      <c r="CB125" s="162" t="e">
        <f t="shared" ca="1" si="1033"/>
        <v>#NAME?</v>
      </c>
      <c r="CC125" s="162" t="e">
        <f t="shared" ca="1" si="1033"/>
        <v>#NAME?</v>
      </c>
      <c r="CD125" s="162" t="e">
        <f t="shared" ca="1" si="1033"/>
        <v>#NAME?</v>
      </c>
      <c r="CE125" s="162" t="e">
        <f t="shared" ref="CE125:CF125" ca="1" si="1034">+CE122/CE123</f>
        <v>#NAME?</v>
      </c>
      <c r="CF125" s="162" t="e">
        <f t="shared" ca="1" si="1034"/>
        <v>#NAME?</v>
      </c>
      <c r="CG125" s="162" t="e">
        <f t="shared" ref="CG125:CH125" ca="1" si="1035">+CG122/CG123</f>
        <v>#NAME?</v>
      </c>
      <c r="CH125" s="162" t="e">
        <f t="shared" ca="1" si="1035"/>
        <v>#NAME?</v>
      </c>
      <c r="CI125" s="162" t="e">
        <f t="shared" ref="CI125:CJ125" ca="1" si="1036">+CI122/CI123</f>
        <v>#NAME?</v>
      </c>
      <c r="CJ125" s="162" t="e">
        <f t="shared" ca="1" si="1036"/>
        <v>#NAME?</v>
      </c>
      <c r="CK125" s="162" t="e">
        <f t="shared" ref="CK125" ca="1" si="1037">+CK122/CK123</f>
        <v>#NAME?</v>
      </c>
      <c r="CL125" s="162" t="e">
        <f t="shared" ref="CL125" ca="1" si="1038">+CL122/CL123</f>
        <v>#NAME?</v>
      </c>
      <c r="CM125" s="21" t="e">
        <f t="shared" ref="CM125:DB125" ca="1" si="1039">+CM122/CM123</f>
        <v>#NAME?</v>
      </c>
      <c r="CN125" s="21" t="e">
        <f t="shared" ca="1" si="1039"/>
        <v>#NAME?</v>
      </c>
      <c r="CO125" s="21" t="e">
        <f t="shared" ca="1" si="1039"/>
        <v>#NAME?</v>
      </c>
      <c r="CP125" s="21" t="e">
        <f t="shared" ca="1" si="1039"/>
        <v>#NAME?</v>
      </c>
      <c r="CQ125" s="21" t="e">
        <f t="shared" ca="1" si="1039"/>
        <v>#NAME?</v>
      </c>
      <c r="CR125" s="21" t="e">
        <f t="shared" ca="1" si="1039"/>
        <v>#NAME?</v>
      </c>
      <c r="CS125" s="21" t="e">
        <f t="shared" ca="1" si="1039"/>
        <v>#NAME?</v>
      </c>
      <c r="CT125" s="21" t="e">
        <f t="shared" ca="1" si="1039"/>
        <v>#NAME?</v>
      </c>
      <c r="CU125" s="21" t="e">
        <f t="shared" ca="1" si="1039"/>
        <v>#NAME?</v>
      </c>
      <c r="CV125" s="21" t="e">
        <f t="shared" ca="1" si="1039"/>
        <v>#NAME?</v>
      </c>
      <c r="CW125" s="21" t="e">
        <f t="shared" ca="1" si="1039"/>
        <v>#NAME?</v>
      </c>
      <c r="CX125" s="21" t="e">
        <f t="shared" ca="1" si="1039"/>
        <v>#NAME?</v>
      </c>
      <c r="CY125" s="21" t="e">
        <f t="shared" ca="1" si="1039"/>
        <v>#NAME?</v>
      </c>
      <c r="CZ125" s="21" t="e">
        <f t="shared" ca="1" si="1039"/>
        <v>#NAME?</v>
      </c>
      <c r="DA125" s="21" t="e">
        <f t="shared" ca="1" si="1039"/>
        <v>#NAME?</v>
      </c>
      <c r="DB125" s="21" t="e">
        <f t="shared" ca="1" si="1039"/>
        <v>#NAME?</v>
      </c>
      <c r="DE125" s="22"/>
      <c r="DF125" s="162">
        <v>5.3415755040301214</v>
      </c>
    </row>
    <row r="126" spans="1:110" s="10" customFormat="1" x14ac:dyDescent="0.2">
      <c r="A126" s="149" t="s">
        <v>490</v>
      </c>
      <c r="AB126" s="20"/>
      <c r="AC126" s="20"/>
      <c r="AD126" s="20"/>
      <c r="AE126" s="20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E126" s="126"/>
    </row>
    <row r="127" spans="1:110" x14ac:dyDescent="0.2">
      <c r="A127" s="152" t="s">
        <v>491</v>
      </c>
      <c r="AA127" s="2"/>
      <c r="DF127" s="111"/>
    </row>
    <row r="128" spans="1:110" s="23" customFormat="1" outlineLevel="1" x14ac:dyDescent="0.2">
      <c r="A128" s="23" t="s">
        <v>41</v>
      </c>
      <c r="B128" s="23" t="e">
        <f ca="1">'Annual Raw'!C41</f>
        <v>#NAME?</v>
      </c>
      <c r="C128" s="23" t="e">
        <f ca="1">'Annual Raw'!D41</f>
        <v>#NAME?</v>
      </c>
      <c r="D128" s="23" t="e">
        <f ca="1">'Annual Raw'!E41</f>
        <v>#NAME?</v>
      </c>
      <c r="E128" s="23" t="e">
        <f ca="1">'Annual Raw'!F41</f>
        <v>#NAME?</v>
      </c>
      <c r="F128" s="23" t="e">
        <f ca="1">'Annual Raw'!G41</f>
        <v>#NAME?</v>
      </c>
      <c r="G128" s="23" t="e">
        <f ca="1">'Annual Raw'!H41</f>
        <v>#NAME?</v>
      </c>
      <c r="H128" s="23" t="e">
        <f ca="1">'Annual Raw'!I41</f>
        <v>#NAME?</v>
      </c>
      <c r="I128" s="23" t="e">
        <f ca="1">'Annual Raw'!J41</f>
        <v>#NAME?</v>
      </c>
      <c r="J128" s="23" t="e">
        <f ca="1">'Annual Raw'!K41</f>
        <v>#NAME?</v>
      </c>
      <c r="K128" s="23" t="e">
        <f ca="1">'Annual Raw'!L41</f>
        <v>#NAME?</v>
      </c>
      <c r="L128" s="23" t="e">
        <f ca="1">'Annual Raw'!M41</f>
        <v>#NAME?</v>
      </c>
      <c r="M128" s="23" t="e">
        <f ca="1">'Annual Raw'!N41</f>
        <v>#NAME?</v>
      </c>
      <c r="N128" s="23" t="e">
        <f ca="1">'Annual Raw'!O41</f>
        <v>#NAME?</v>
      </c>
      <c r="O128" s="23" t="e">
        <f ca="1">'Annual Raw'!P41</f>
        <v>#NAME?</v>
      </c>
      <c r="P128" s="23" t="e">
        <f ca="1">'Annual Raw'!Q41</f>
        <v>#NAME?</v>
      </c>
      <c r="Q128" s="23" t="e">
        <f ca="1">'Annual Raw'!R41</f>
        <v>#NAME?</v>
      </c>
      <c r="R128" s="23" t="e">
        <f ca="1">'Annual Raw'!S41</f>
        <v>#NAME?</v>
      </c>
      <c r="S128" s="23" t="e">
        <f ca="1">'Annual Raw'!T41</f>
        <v>#NAME?</v>
      </c>
      <c r="T128" s="23" t="e">
        <f ca="1">'Annual Raw'!U41</f>
        <v>#NAME?</v>
      </c>
      <c r="U128" s="23" t="e">
        <f ca="1">'Annual Raw'!V41</f>
        <v>#NAME?</v>
      </c>
      <c r="V128" s="23" t="e">
        <f ca="1">'Annual Raw'!W41</f>
        <v>#NAME?</v>
      </c>
      <c r="W128" s="23" t="e">
        <f ca="1">'Annual Raw'!X41</f>
        <v>#NAME?</v>
      </c>
      <c r="X128" s="23" t="e">
        <f ca="1">'Annual Raw'!Y41</f>
        <v>#NAME?</v>
      </c>
      <c r="Y128" s="23" t="e">
        <f ca="1">'Annual Raw'!Z41</f>
        <v>#NAME?</v>
      </c>
      <c r="Z128" s="23" t="e">
        <f ca="1">'Annual Raw'!AA41</f>
        <v>#NAME?</v>
      </c>
      <c r="AA128" s="23" t="e">
        <f ca="1">'Annual Raw'!AB41</f>
        <v>#NAME?</v>
      </c>
      <c r="AB128" s="24" t="e">
        <f ca="1">+CP128</f>
        <v>#NAME?</v>
      </c>
      <c r="AC128" s="24" t="e">
        <f ca="1">+CT128</f>
        <v>#NAME?</v>
      </c>
      <c r="AD128" s="24" t="e">
        <f ca="1">+CX128</f>
        <v>#NAME?</v>
      </c>
      <c r="AE128" s="24" t="e">
        <f ca="1">+DB128</f>
        <v>#NAME?</v>
      </c>
      <c r="AJ128" s="23" t="e">
        <f ca="1">+'QTR Raw'!D56</f>
        <v>#NAME?</v>
      </c>
      <c r="AK128" s="23" t="e">
        <f t="shared" ref="AK128:CE128" ca="1" si="1040">+AJ128</f>
        <v>#NAME?</v>
      </c>
      <c r="AL128" s="23" t="e">
        <f ca="1">+'QTR Raw'!F56</f>
        <v>#NAME?</v>
      </c>
      <c r="AM128" s="23" t="e">
        <f t="shared" ca="1" si="1040"/>
        <v>#NAME?</v>
      </c>
      <c r="AN128" s="23" t="e">
        <f ca="1">+'QTR Raw'!H56</f>
        <v>#NAME?</v>
      </c>
      <c r="AO128" s="23" t="e">
        <f t="shared" ca="1" si="1040"/>
        <v>#NAME?</v>
      </c>
      <c r="AP128" s="23" t="e">
        <f ca="1">+'QTR Raw'!J56</f>
        <v>#NAME?</v>
      </c>
      <c r="AQ128" s="23" t="e">
        <f t="shared" ca="1" si="1040"/>
        <v>#NAME?</v>
      </c>
      <c r="AR128" s="23" t="e">
        <f ca="1">+'QTR Raw'!L56</f>
        <v>#NAME?</v>
      </c>
      <c r="AS128" s="23" t="e">
        <f t="shared" ca="1" si="1040"/>
        <v>#NAME?</v>
      </c>
      <c r="AT128" s="23" t="e">
        <f ca="1">+'QTR Raw'!N56</f>
        <v>#NAME?</v>
      </c>
      <c r="AU128" s="23" t="e">
        <f t="shared" ca="1" si="1040"/>
        <v>#NAME?</v>
      </c>
      <c r="AV128" s="23" t="e">
        <f ca="1">+'QTR Raw'!P56</f>
        <v>#NAME?</v>
      </c>
      <c r="AW128" s="23" t="e">
        <f t="shared" ca="1" si="1040"/>
        <v>#NAME?</v>
      </c>
      <c r="AX128" s="23" t="e">
        <f ca="1">+'QTR Raw'!R56</f>
        <v>#NAME?</v>
      </c>
      <c r="AY128" s="23" t="e">
        <f t="shared" ca="1" si="1040"/>
        <v>#NAME?</v>
      </c>
      <c r="AZ128" s="23" t="e">
        <f ca="1">+'QTR Raw'!T56</f>
        <v>#NAME?</v>
      </c>
      <c r="BA128" s="23" t="e">
        <f t="shared" ca="1" si="1040"/>
        <v>#NAME?</v>
      </c>
      <c r="BB128" s="23" t="e">
        <f ca="1">+'QTR Raw'!V56</f>
        <v>#NAME?</v>
      </c>
      <c r="BC128" s="23" t="e">
        <f t="shared" ca="1" si="1040"/>
        <v>#NAME?</v>
      </c>
      <c r="BD128" s="23" t="e">
        <f ca="1">+'QTR Raw'!X56</f>
        <v>#NAME?</v>
      </c>
      <c r="BE128" s="23" t="e">
        <f t="shared" ca="1" si="1040"/>
        <v>#NAME?</v>
      </c>
      <c r="BF128" s="23" t="e">
        <f ca="1">+'QTR Raw'!Z56</f>
        <v>#NAME?</v>
      </c>
      <c r="BG128" s="23" t="e">
        <f t="shared" ca="1" si="1040"/>
        <v>#NAME?</v>
      </c>
      <c r="BH128" s="23" t="e">
        <f ca="1">+'QTR Raw'!AB56</f>
        <v>#NAME?</v>
      </c>
      <c r="BI128" s="23" t="e">
        <f t="shared" ca="1" si="1040"/>
        <v>#NAME?</v>
      </c>
      <c r="BJ128" s="23" t="e">
        <f ca="1">+'QTR Raw'!AD56</f>
        <v>#NAME?</v>
      </c>
      <c r="BK128" s="23" t="e">
        <f t="shared" ca="1" si="1040"/>
        <v>#NAME?</v>
      </c>
      <c r="BL128" s="23" t="e">
        <f ca="1">+'QTR Raw'!AF56</f>
        <v>#NAME?</v>
      </c>
      <c r="BM128" s="23" t="e">
        <f t="shared" ca="1" si="1040"/>
        <v>#NAME?</v>
      </c>
      <c r="BN128" s="23" t="e">
        <f ca="1">+'QTR Raw'!AH56</f>
        <v>#NAME?</v>
      </c>
      <c r="BO128" s="23" t="e">
        <f t="shared" ca="1" si="1040"/>
        <v>#NAME?</v>
      </c>
      <c r="BP128" s="23" t="e">
        <f ca="1">+'QTR Raw'!AJ56</f>
        <v>#NAME?</v>
      </c>
      <c r="BQ128" s="23" t="e">
        <f t="shared" ca="1" si="1040"/>
        <v>#NAME?</v>
      </c>
      <c r="BR128" s="23" t="e">
        <f ca="1">+'QTR Raw'!AL56</f>
        <v>#NAME?</v>
      </c>
      <c r="BS128" s="23" t="e">
        <f t="shared" ca="1" si="1040"/>
        <v>#NAME?</v>
      </c>
      <c r="BT128" s="23" t="e">
        <f ca="1">+'QTR Raw'!AN56</f>
        <v>#NAME?</v>
      </c>
      <c r="BU128" s="23" t="e">
        <f t="shared" ca="1" si="1040"/>
        <v>#NAME?</v>
      </c>
      <c r="BV128" s="23" t="e">
        <f ca="1">+'QTR Raw'!AP56</f>
        <v>#NAME?</v>
      </c>
      <c r="BW128" s="23" t="e">
        <f t="shared" ca="1" si="1040"/>
        <v>#NAME?</v>
      </c>
      <c r="BX128" s="23" t="e">
        <f ca="1">+'QTR Raw'!AR56</f>
        <v>#NAME?</v>
      </c>
      <c r="BY128" s="23" t="e">
        <f t="shared" ca="1" si="1040"/>
        <v>#NAME?</v>
      </c>
      <c r="BZ128" s="23" t="e">
        <f ca="1">+'QTR Raw'!AT56</f>
        <v>#NAME?</v>
      </c>
      <c r="CA128" s="23" t="e">
        <f t="shared" ca="1" si="1040"/>
        <v>#NAME?</v>
      </c>
      <c r="CB128" s="23" t="e">
        <f ca="1">+'QTR Raw'!AV56</f>
        <v>#NAME?</v>
      </c>
      <c r="CC128" s="23" t="e">
        <f t="shared" ca="1" si="1040"/>
        <v>#NAME?</v>
      </c>
      <c r="CD128" s="23" t="e">
        <f ca="1">+'QTR Raw'!AX56</f>
        <v>#NAME?</v>
      </c>
      <c r="CE128" s="23" t="e">
        <f t="shared" ca="1" si="1040"/>
        <v>#NAME?</v>
      </c>
      <c r="CF128" s="23" t="e">
        <f ca="1">+'QTR Raw'!AZ56</f>
        <v>#NAME?</v>
      </c>
      <c r="CG128" s="23" t="e">
        <f t="shared" ref="CG128:CG129" ca="1" si="1041">+CF128</f>
        <v>#NAME?</v>
      </c>
      <c r="CH128" s="23" t="e">
        <f ca="1">Z128</f>
        <v>#NAME?</v>
      </c>
      <c r="CI128" s="23" t="e">
        <f ca="1">CH128</f>
        <v>#NAME?</v>
      </c>
      <c r="CJ128" s="23" t="e">
        <f ca="1">+'QTR Raw'!BD56</f>
        <v>#NAME?</v>
      </c>
      <c r="CK128" s="23" t="e">
        <f t="shared" ref="CK128:DB128" ca="1" si="1042">CJ128</f>
        <v>#NAME?</v>
      </c>
      <c r="CL128" s="23" t="e">
        <f ca="1">+'QTR Raw'!BF56</f>
        <v>#NAME?</v>
      </c>
      <c r="CM128" s="24" t="e">
        <f t="shared" ca="1" si="1042"/>
        <v>#NAME?</v>
      </c>
      <c r="CN128" s="24" t="e">
        <f t="shared" ca="1" si="1042"/>
        <v>#NAME?</v>
      </c>
      <c r="CO128" s="24" t="e">
        <f t="shared" ca="1" si="1042"/>
        <v>#NAME?</v>
      </c>
      <c r="CP128" s="24" t="e">
        <f t="shared" ca="1" si="1042"/>
        <v>#NAME?</v>
      </c>
      <c r="CQ128" s="24" t="e">
        <f t="shared" ca="1" si="1042"/>
        <v>#NAME?</v>
      </c>
      <c r="CR128" s="24" t="e">
        <f t="shared" ca="1" si="1042"/>
        <v>#NAME?</v>
      </c>
      <c r="CS128" s="24" t="e">
        <f t="shared" ca="1" si="1042"/>
        <v>#NAME?</v>
      </c>
      <c r="CT128" s="24" t="e">
        <f t="shared" ca="1" si="1042"/>
        <v>#NAME?</v>
      </c>
      <c r="CU128" s="24" t="e">
        <f t="shared" ca="1" si="1042"/>
        <v>#NAME?</v>
      </c>
      <c r="CV128" s="24" t="e">
        <f t="shared" ca="1" si="1042"/>
        <v>#NAME?</v>
      </c>
      <c r="CW128" s="24" t="e">
        <f t="shared" ca="1" si="1042"/>
        <v>#NAME?</v>
      </c>
      <c r="CX128" s="24" t="e">
        <f t="shared" ca="1" si="1042"/>
        <v>#NAME?</v>
      </c>
      <c r="CY128" s="24" t="e">
        <f t="shared" ca="1" si="1042"/>
        <v>#NAME?</v>
      </c>
      <c r="CZ128" s="24" t="e">
        <f t="shared" ca="1" si="1042"/>
        <v>#NAME?</v>
      </c>
      <c r="DA128" s="24" t="e">
        <f t="shared" ca="1" si="1042"/>
        <v>#NAME?</v>
      </c>
      <c r="DB128" s="24" t="e">
        <f t="shared" ca="1" si="1042"/>
        <v>#NAME?</v>
      </c>
      <c r="DE128" s="123"/>
      <c r="DF128" s="23">
        <v>5.4729999999999999</v>
      </c>
    </row>
    <row r="129" spans="1:110" s="23" customFormat="1" outlineLevel="1" x14ac:dyDescent="0.2">
      <c r="A129" s="23" t="s">
        <v>42</v>
      </c>
      <c r="B129" s="23" t="e">
        <f ca="1">'Annual Raw'!C42</f>
        <v>#NAME?</v>
      </c>
      <c r="C129" s="23" t="e">
        <f ca="1">'Annual Raw'!D42</f>
        <v>#NAME?</v>
      </c>
      <c r="D129" s="23" t="e">
        <f ca="1">'Annual Raw'!E42</f>
        <v>#NAME?</v>
      </c>
      <c r="E129" s="23" t="e">
        <f ca="1">'Annual Raw'!F42</f>
        <v>#NAME?</v>
      </c>
      <c r="F129" s="23" t="e">
        <f ca="1">'Annual Raw'!G42</f>
        <v>#NAME?</v>
      </c>
      <c r="G129" s="23" t="e">
        <f ca="1">'Annual Raw'!H42</f>
        <v>#NAME?</v>
      </c>
      <c r="H129" s="23" t="e">
        <f ca="1">'Annual Raw'!I42</f>
        <v>#NAME?</v>
      </c>
      <c r="I129" s="23" t="e">
        <f ca="1">'Annual Raw'!J42</f>
        <v>#NAME?</v>
      </c>
      <c r="J129" s="23" t="e">
        <f ca="1">'Annual Raw'!K42</f>
        <v>#NAME?</v>
      </c>
      <c r="K129" s="23" t="e">
        <f ca="1">'Annual Raw'!L42</f>
        <v>#NAME?</v>
      </c>
      <c r="L129" s="23" t="e">
        <f ca="1">'Annual Raw'!M42</f>
        <v>#NAME?</v>
      </c>
      <c r="M129" s="23" t="e">
        <f ca="1">'Annual Raw'!N42</f>
        <v>#NAME?</v>
      </c>
      <c r="N129" s="23" t="e">
        <f ca="1">'Annual Raw'!O42</f>
        <v>#NAME?</v>
      </c>
      <c r="O129" s="23" t="e">
        <f ca="1">'Annual Raw'!P42</f>
        <v>#NAME?</v>
      </c>
      <c r="P129" s="23" t="e">
        <f ca="1">'Annual Raw'!Q42</f>
        <v>#NAME?</v>
      </c>
      <c r="Q129" s="23" t="e">
        <f ca="1">'Annual Raw'!R42</f>
        <v>#NAME?</v>
      </c>
      <c r="R129" s="23" t="e">
        <f ca="1">'Annual Raw'!S42</f>
        <v>#NAME?</v>
      </c>
      <c r="S129" s="23" t="e">
        <f ca="1">'Annual Raw'!T42</f>
        <v>#NAME?</v>
      </c>
      <c r="T129" s="23" t="e">
        <f ca="1">'Annual Raw'!U42</f>
        <v>#NAME?</v>
      </c>
      <c r="U129" s="23" t="e">
        <f ca="1">'Annual Raw'!V42</f>
        <v>#NAME?</v>
      </c>
      <c r="V129" s="23" t="e">
        <f ca="1">'Annual Raw'!W42</f>
        <v>#NAME?</v>
      </c>
      <c r="W129" s="23" t="e">
        <f ca="1">'Annual Raw'!X42</f>
        <v>#NAME?</v>
      </c>
      <c r="X129" s="23" t="e">
        <f ca="1">'Annual Raw'!Y42</f>
        <v>#NAME?</v>
      </c>
      <c r="Y129" s="23" t="e">
        <f ca="1">'Annual Raw'!Z42</f>
        <v>#NAME?</v>
      </c>
      <c r="Z129" s="23" t="e">
        <f ca="1">'Annual Raw'!AA42</f>
        <v>#NAME?</v>
      </c>
      <c r="AA129" s="23" t="e">
        <f ca="1">'Annual Raw'!AB42</f>
        <v>#NAME?</v>
      </c>
      <c r="AB129" s="24" t="e">
        <f t="shared" ref="AB129:AB130" ca="1" si="1043">+CP129</f>
        <v>#NAME?</v>
      </c>
      <c r="AC129" s="24" t="e">
        <f t="shared" ref="AC129:AC130" ca="1" si="1044">+CT129</f>
        <v>#NAME?</v>
      </c>
      <c r="AD129" s="24" t="e">
        <f t="shared" ref="AD129:AD130" ca="1" si="1045">+CX129</f>
        <v>#NAME?</v>
      </c>
      <c r="AE129" s="24" t="e">
        <f t="shared" ref="AE129:AE130" ca="1" si="1046">+DB129</f>
        <v>#NAME?</v>
      </c>
      <c r="AJ129" s="23" t="e">
        <f ca="1">+'QTR Raw'!D57</f>
        <v>#NAME?</v>
      </c>
      <c r="AK129" s="23" t="e">
        <f t="shared" ref="AK129:CE129" ca="1" si="1047">+AJ129</f>
        <v>#NAME?</v>
      </c>
      <c r="AL129" s="23" t="e">
        <f ca="1">+'QTR Raw'!F57</f>
        <v>#NAME?</v>
      </c>
      <c r="AM129" s="23" t="e">
        <f t="shared" ca="1" si="1047"/>
        <v>#NAME?</v>
      </c>
      <c r="AN129" s="23" t="e">
        <f ca="1">+'QTR Raw'!H57</f>
        <v>#NAME?</v>
      </c>
      <c r="AO129" s="23" t="e">
        <f t="shared" ca="1" si="1047"/>
        <v>#NAME?</v>
      </c>
      <c r="AP129" s="23" t="e">
        <f ca="1">+'QTR Raw'!J57</f>
        <v>#NAME?</v>
      </c>
      <c r="AQ129" s="23" t="e">
        <f t="shared" ca="1" si="1047"/>
        <v>#NAME?</v>
      </c>
      <c r="AR129" s="23" t="e">
        <f ca="1">+'QTR Raw'!L57</f>
        <v>#NAME?</v>
      </c>
      <c r="AS129" s="23" t="e">
        <f t="shared" ca="1" si="1047"/>
        <v>#NAME?</v>
      </c>
      <c r="AT129" s="23" t="e">
        <f ca="1">+'QTR Raw'!N57</f>
        <v>#NAME?</v>
      </c>
      <c r="AU129" s="23" t="e">
        <f t="shared" ca="1" si="1047"/>
        <v>#NAME?</v>
      </c>
      <c r="AV129" s="23" t="e">
        <f ca="1">+'QTR Raw'!P57</f>
        <v>#NAME?</v>
      </c>
      <c r="AW129" s="23" t="e">
        <f t="shared" ca="1" si="1047"/>
        <v>#NAME?</v>
      </c>
      <c r="AX129" s="23" t="e">
        <f ca="1">+'QTR Raw'!R57</f>
        <v>#NAME?</v>
      </c>
      <c r="AY129" s="23" t="e">
        <f t="shared" ca="1" si="1047"/>
        <v>#NAME?</v>
      </c>
      <c r="AZ129" s="23" t="e">
        <f ca="1">+'QTR Raw'!T57</f>
        <v>#NAME?</v>
      </c>
      <c r="BA129" s="23" t="e">
        <f t="shared" ca="1" si="1047"/>
        <v>#NAME?</v>
      </c>
      <c r="BB129" s="23" t="e">
        <f ca="1">+'QTR Raw'!V57</f>
        <v>#NAME?</v>
      </c>
      <c r="BC129" s="23" t="e">
        <f t="shared" ca="1" si="1047"/>
        <v>#NAME?</v>
      </c>
      <c r="BD129" s="23" t="e">
        <f ca="1">+'QTR Raw'!X57</f>
        <v>#NAME?</v>
      </c>
      <c r="BE129" s="23" t="e">
        <f t="shared" ca="1" si="1047"/>
        <v>#NAME?</v>
      </c>
      <c r="BF129" s="23" t="e">
        <f ca="1">+'QTR Raw'!Z57</f>
        <v>#NAME?</v>
      </c>
      <c r="BG129" s="23" t="e">
        <f t="shared" ca="1" si="1047"/>
        <v>#NAME?</v>
      </c>
      <c r="BH129" s="23" t="e">
        <f ca="1">+'QTR Raw'!AB57</f>
        <v>#NAME?</v>
      </c>
      <c r="BI129" s="23" t="e">
        <f t="shared" ca="1" si="1047"/>
        <v>#NAME?</v>
      </c>
      <c r="BJ129" s="23" t="e">
        <f ca="1">+'QTR Raw'!AD57</f>
        <v>#NAME?</v>
      </c>
      <c r="BK129" s="23" t="e">
        <f t="shared" ca="1" si="1047"/>
        <v>#NAME?</v>
      </c>
      <c r="BL129" s="23" t="e">
        <f ca="1">+'QTR Raw'!AF57</f>
        <v>#NAME?</v>
      </c>
      <c r="BM129" s="23" t="e">
        <f t="shared" ca="1" si="1047"/>
        <v>#NAME?</v>
      </c>
      <c r="BN129" s="23" t="e">
        <f ca="1">+'QTR Raw'!AH57</f>
        <v>#NAME?</v>
      </c>
      <c r="BO129" s="23" t="e">
        <f t="shared" ca="1" si="1047"/>
        <v>#NAME?</v>
      </c>
      <c r="BP129" s="23" t="e">
        <f ca="1">+'QTR Raw'!AJ57</f>
        <v>#NAME?</v>
      </c>
      <c r="BQ129" s="23" t="e">
        <f t="shared" ca="1" si="1047"/>
        <v>#NAME?</v>
      </c>
      <c r="BR129" s="23" t="e">
        <f ca="1">+'QTR Raw'!AL57</f>
        <v>#NAME?</v>
      </c>
      <c r="BS129" s="23" t="e">
        <f t="shared" ca="1" si="1047"/>
        <v>#NAME?</v>
      </c>
      <c r="BT129" s="23" t="e">
        <f ca="1">+'QTR Raw'!AN57</f>
        <v>#NAME?</v>
      </c>
      <c r="BU129" s="23" t="e">
        <f t="shared" ca="1" si="1047"/>
        <v>#NAME?</v>
      </c>
      <c r="BV129" s="23" t="e">
        <f ca="1">+'QTR Raw'!AP57</f>
        <v>#NAME?</v>
      </c>
      <c r="BW129" s="23" t="e">
        <f t="shared" ca="1" si="1047"/>
        <v>#NAME?</v>
      </c>
      <c r="BX129" s="23" t="e">
        <f ca="1">+'QTR Raw'!AR57</f>
        <v>#NAME?</v>
      </c>
      <c r="BY129" s="23" t="e">
        <f t="shared" ca="1" si="1047"/>
        <v>#NAME?</v>
      </c>
      <c r="BZ129" s="23" t="e">
        <f ca="1">+'QTR Raw'!AT57</f>
        <v>#NAME?</v>
      </c>
      <c r="CA129" s="23" t="e">
        <f t="shared" ca="1" si="1047"/>
        <v>#NAME?</v>
      </c>
      <c r="CB129" s="23" t="e">
        <f ca="1">+'QTR Raw'!AV57</f>
        <v>#NAME?</v>
      </c>
      <c r="CC129" s="23" t="e">
        <f t="shared" ca="1" si="1047"/>
        <v>#NAME?</v>
      </c>
      <c r="CD129" s="23" t="e">
        <f ca="1">+'QTR Raw'!AX57</f>
        <v>#NAME?</v>
      </c>
      <c r="CE129" s="23" t="e">
        <f t="shared" ca="1" si="1047"/>
        <v>#NAME?</v>
      </c>
      <c r="CF129" s="23" t="e">
        <f ca="1">+'QTR Raw'!AZ57</f>
        <v>#NAME?</v>
      </c>
      <c r="CG129" s="23" t="e">
        <f t="shared" ca="1" si="1041"/>
        <v>#NAME?</v>
      </c>
      <c r="CH129" s="23" t="e">
        <f t="shared" ref="CH129:CH130" ca="1" si="1048">Z129</f>
        <v>#NAME?</v>
      </c>
      <c r="CI129" s="23" t="e">
        <f ca="1">CH129</f>
        <v>#NAME?</v>
      </c>
      <c r="CJ129" s="23" t="e">
        <f ca="1">+'QTR Raw'!BD57</f>
        <v>#NAME?</v>
      </c>
      <c r="CK129" s="23" t="e">
        <f t="shared" ref="CK129:DB129" ca="1" si="1049">CJ129</f>
        <v>#NAME?</v>
      </c>
      <c r="CL129" s="23" t="e">
        <f ca="1">+'QTR Raw'!BF57</f>
        <v>#NAME?</v>
      </c>
      <c r="CM129" s="24" t="e">
        <f t="shared" ca="1" si="1049"/>
        <v>#NAME?</v>
      </c>
      <c r="CN129" s="24" t="e">
        <f t="shared" ca="1" si="1049"/>
        <v>#NAME?</v>
      </c>
      <c r="CO129" s="24" t="e">
        <f t="shared" ca="1" si="1049"/>
        <v>#NAME?</v>
      </c>
      <c r="CP129" s="24" t="e">
        <f t="shared" ca="1" si="1049"/>
        <v>#NAME?</v>
      </c>
      <c r="CQ129" s="24" t="e">
        <f t="shared" ca="1" si="1049"/>
        <v>#NAME?</v>
      </c>
      <c r="CR129" s="24" t="e">
        <f t="shared" ca="1" si="1049"/>
        <v>#NAME?</v>
      </c>
      <c r="CS129" s="24" t="e">
        <f t="shared" ca="1" si="1049"/>
        <v>#NAME?</v>
      </c>
      <c r="CT129" s="24" t="e">
        <f t="shared" ca="1" si="1049"/>
        <v>#NAME?</v>
      </c>
      <c r="CU129" s="24" t="e">
        <f t="shared" ca="1" si="1049"/>
        <v>#NAME?</v>
      </c>
      <c r="CV129" s="24" t="e">
        <f t="shared" ca="1" si="1049"/>
        <v>#NAME?</v>
      </c>
      <c r="CW129" s="24" t="e">
        <f t="shared" ca="1" si="1049"/>
        <v>#NAME?</v>
      </c>
      <c r="CX129" s="24" t="e">
        <f t="shared" ca="1" si="1049"/>
        <v>#NAME?</v>
      </c>
      <c r="CY129" s="24" t="e">
        <f t="shared" ca="1" si="1049"/>
        <v>#NAME?</v>
      </c>
      <c r="CZ129" s="24" t="e">
        <f t="shared" ca="1" si="1049"/>
        <v>#NAME?</v>
      </c>
      <c r="DA129" s="24" t="e">
        <f t="shared" ca="1" si="1049"/>
        <v>#NAME?</v>
      </c>
      <c r="DB129" s="24" t="e">
        <f t="shared" ca="1" si="1049"/>
        <v>#NAME?</v>
      </c>
      <c r="DE129" s="123"/>
      <c r="DF129" s="23">
        <v>0</v>
      </c>
    </row>
    <row r="130" spans="1:110" s="23" customFormat="1" outlineLevel="1" x14ac:dyDescent="0.2">
      <c r="A130" s="23" t="s">
        <v>43</v>
      </c>
      <c r="B130" s="23" t="e">
        <f ca="1">'Annual Raw'!C43</f>
        <v>#NAME?</v>
      </c>
      <c r="C130" s="23" t="e">
        <f ca="1">'Annual Raw'!D43</f>
        <v>#NAME?</v>
      </c>
      <c r="D130" s="23" t="e">
        <f ca="1">'Annual Raw'!E43</f>
        <v>#NAME?</v>
      </c>
      <c r="E130" s="23" t="e">
        <f ca="1">'Annual Raw'!F43</f>
        <v>#NAME?</v>
      </c>
      <c r="F130" s="23" t="e">
        <f ca="1">'Annual Raw'!G43</f>
        <v>#NAME?</v>
      </c>
      <c r="G130" s="23" t="e">
        <f ca="1">'Annual Raw'!H43</f>
        <v>#NAME?</v>
      </c>
      <c r="H130" s="23" t="e">
        <f ca="1">'Annual Raw'!I43</f>
        <v>#NAME?</v>
      </c>
      <c r="I130" s="23" t="e">
        <f ca="1">'Annual Raw'!J43</f>
        <v>#NAME?</v>
      </c>
      <c r="J130" s="23" t="e">
        <f ca="1">'Annual Raw'!K43</f>
        <v>#NAME?</v>
      </c>
      <c r="K130" s="23" t="e">
        <f ca="1">'Annual Raw'!L43</f>
        <v>#NAME?</v>
      </c>
      <c r="L130" s="23" t="e">
        <f ca="1">'Annual Raw'!M43</f>
        <v>#NAME?</v>
      </c>
      <c r="M130" s="23" t="e">
        <f ca="1">'Annual Raw'!N43</f>
        <v>#NAME?</v>
      </c>
      <c r="N130" s="23" t="e">
        <f ca="1">'Annual Raw'!O43</f>
        <v>#NAME?</v>
      </c>
      <c r="O130" s="23" t="e">
        <f ca="1">'Annual Raw'!P43</f>
        <v>#NAME?</v>
      </c>
      <c r="P130" s="23" t="e">
        <f ca="1">'Annual Raw'!Q43</f>
        <v>#NAME?</v>
      </c>
      <c r="Q130" s="23" t="e">
        <f ca="1">'Annual Raw'!R43</f>
        <v>#NAME?</v>
      </c>
      <c r="R130" s="23" t="e">
        <f ca="1">'Annual Raw'!S43</f>
        <v>#NAME?</v>
      </c>
      <c r="S130" s="23" t="e">
        <f ca="1">'Annual Raw'!T43</f>
        <v>#NAME?</v>
      </c>
      <c r="T130" s="23" t="e">
        <f ca="1">'Annual Raw'!U43</f>
        <v>#NAME?</v>
      </c>
      <c r="U130" s="23" t="e">
        <f ca="1">'Annual Raw'!V43</f>
        <v>#NAME?</v>
      </c>
      <c r="V130" s="23" t="e">
        <f ca="1">'Annual Raw'!W43</f>
        <v>#NAME?</v>
      </c>
      <c r="W130" s="23" t="e">
        <f ca="1">'Annual Raw'!X43</f>
        <v>#NAME?</v>
      </c>
      <c r="X130" s="23" t="e">
        <f ca="1">'Annual Raw'!Y43</f>
        <v>#NAME?</v>
      </c>
      <c r="Y130" s="23" t="e">
        <f ca="1">'Annual Raw'!Z43</f>
        <v>#NAME?</v>
      </c>
      <c r="Z130" s="23" t="e">
        <f ca="1">'Annual Raw'!AA43</f>
        <v>#NAME?</v>
      </c>
      <c r="AA130" s="23" t="e">
        <f ca="1">'Annual Raw'!AB43</f>
        <v>#NAME?</v>
      </c>
      <c r="AB130" s="24" t="e">
        <f t="shared" ca="1" si="1043"/>
        <v>#NAME?</v>
      </c>
      <c r="AC130" s="24" t="e">
        <f t="shared" ca="1" si="1044"/>
        <v>#NAME?</v>
      </c>
      <c r="AD130" s="24" t="e">
        <f t="shared" ca="1" si="1045"/>
        <v>#NAME?</v>
      </c>
      <c r="AE130" s="24" t="e">
        <f t="shared" ca="1" si="1046"/>
        <v>#NAME?</v>
      </c>
      <c r="AJ130" s="23" t="e">
        <f ca="1">+'QTR Raw'!D58</f>
        <v>#NAME?</v>
      </c>
      <c r="AK130" s="23" t="e">
        <f ca="1">+AJ130+AK59</f>
        <v>#NAME?</v>
      </c>
      <c r="AL130" s="23" t="e">
        <f ca="1">+'QTR Raw'!F58</f>
        <v>#NAME?</v>
      </c>
      <c r="AM130" s="23" t="e">
        <f ca="1">+AL130+AM59</f>
        <v>#NAME?</v>
      </c>
      <c r="AN130" s="23" t="e">
        <f ca="1">+'QTR Raw'!H58</f>
        <v>#NAME?</v>
      </c>
      <c r="AO130" s="23" t="e">
        <f ca="1">+AN130+AO59</f>
        <v>#NAME?</v>
      </c>
      <c r="AP130" s="23" t="e">
        <f ca="1">+'QTR Raw'!J58</f>
        <v>#NAME?</v>
      </c>
      <c r="AQ130" s="23" t="e">
        <f ca="1">+AP130+AQ59</f>
        <v>#NAME?</v>
      </c>
      <c r="AR130" s="23" t="e">
        <f ca="1">+'QTR Raw'!L58</f>
        <v>#NAME?</v>
      </c>
      <c r="AS130" s="23" t="e">
        <f ca="1">+AR130+AS59</f>
        <v>#NAME?</v>
      </c>
      <c r="AT130" s="23" t="e">
        <f ca="1">+'QTR Raw'!N58</f>
        <v>#NAME?</v>
      </c>
      <c r="AU130" s="23" t="e">
        <f ca="1">+AT130+AU59</f>
        <v>#NAME?</v>
      </c>
      <c r="AV130" s="23" t="e">
        <f ca="1">+'QTR Raw'!P58</f>
        <v>#NAME?</v>
      </c>
      <c r="AW130" s="23" t="e">
        <f ca="1">+AV130+AW59</f>
        <v>#NAME?</v>
      </c>
      <c r="AX130" s="23" t="e">
        <f ca="1">+'QTR Raw'!R58</f>
        <v>#NAME?</v>
      </c>
      <c r="AY130" s="23" t="e">
        <f ca="1">+AX130+AY59</f>
        <v>#NAME?</v>
      </c>
      <c r="AZ130" s="23" t="e">
        <f ca="1">+'QTR Raw'!T58</f>
        <v>#NAME?</v>
      </c>
      <c r="BA130" s="23" t="e">
        <f ca="1">+AZ130+BA59</f>
        <v>#NAME?</v>
      </c>
      <c r="BB130" s="23" t="e">
        <f ca="1">+'QTR Raw'!V58</f>
        <v>#NAME?</v>
      </c>
      <c r="BC130" s="23" t="e">
        <f ca="1">+BB130+BC59</f>
        <v>#NAME?</v>
      </c>
      <c r="BD130" s="23" t="e">
        <f ca="1">+'QTR Raw'!X58</f>
        <v>#NAME?</v>
      </c>
      <c r="BE130" s="23" t="e">
        <f ca="1">+BD130+BE59</f>
        <v>#NAME?</v>
      </c>
      <c r="BF130" s="23" t="e">
        <f ca="1">+'QTR Raw'!Z58</f>
        <v>#NAME?</v>
      </c>
      <c r="BG130" s="23" t="e">
        <f ca="1">+BF130+BG59</f>
        <v>#NAME?</v>
      </c>
      <c r="BH130" s="23" t="e">
        <f ca="1">+'QTR Raw'!AB58</f>
        <v>#NAME?</v>
      </c>
      <c r="BI130" s="23" t="e">
        <f ca="1">+BH130+BI59</f>
        <v>#NAME?</v>
      </c>
      <c r="BJ130" s="23" t="e">
        <f ca="1">+'QTR Raw'!AD58</f>
        <v>#NAME?</v>
      </c>
      <c r="BK130" s="23" t="e">
        <f ca="1">+BJ130+BK59</f>
        <v>#NAME?</v>
      </c>
      <c r="BL130" s="23" t="e">
        <f ca="1">+'QTR Raw'!AF58</f>
        <v>#NAME?</v>
      </c>
      <c r="BM130" s="23" t="e">
        <f ca="1">+BL130+BM59</f>
        <v>#NAME?</v>
      </c>
      <c r="BN130" s="23" t="e">
        <f ca="1">+'QTR Raw'!AH58</f>
        <v>#NAME?</v>
      </c>
      <c r="BO130" s="23" t="e">
        <f ca="1">+BN130+BO59</f>
        <v>#NAME?</v>
      </c>
      <c r="BP130" s="23" t="e">
        <f ca="1">+'QTR Raw'!AJ58</f>
        <v>#NAME?</v>
      </c>
      <c r="BQ130" s="23" t="e">
        <f ca="1">+BP130+BQ59</f>
        <v>#NAME?</v>
      </c>
      <c r="BR130" s="23" t="e">
        <f ca="1">+'QTR Raw'!AL58</f>
        <v>#NAME?</v>
      </c>
      <c r="BS130" s="23" t="e">
        <f ca="1">+BR130+BS59</f>
        <v>#NAME?</v>
      </c>
      <c r="BT130" s="23" t="e">
        <f ca="1">+'QTR Raw'!AN58</f>
        <v>#NAME?</v>
      </c>
      <c r="BU130" s="23" t="e">
        <f ca="1">+BT130+BU59</f>
        <v>#NAME?</v>
      </c>
      <c r="BV130" s="23" t="e">
        <f ca="1">+'QTR Raw'!AP58</f>
        <v>#NAME?</v>
      </c>
      <c r="BW130" s="23" t="e">
        <f ca="1">+BV130+BW59</f>
        <v>#NAME?</v>
      </c>
      <c r="BX130" s="23" t="e">
        <f ca="1">+'QTR Raw'!AR58</f>
        <v>#NAME?</v>
      </c>
      <c r="BY130" s="23" t="e">
        <f ca="1">+BX130+BY59</f>
        <v>#NAME?</v>
      </c>
      <c r="BZ130" s="23" t="e">
        <f ca="1">+'QTR Raw'!AT58</f>
        <v>#NAME?</v>
      </c>
      <c r="CA130" s="23" t="e">
        <f ca="1">+BZ130+CA59</f>
        <v>#NAME?</v>
      </c>
      <c r="CB130" s="23" t="e">
        <f ca="1">+'QTR Raw'!AV58</f>
        <v>#NAME?</v>
      </c>
      <c r="CC130" s="23" t="e">
        <f ca="1">+CB130+CC59</f>
        <v>#NAME?</v>
      </c>
      <c r="CD130" s="23" t="e">
        <f ca="1">+'QTR Raw'!AX58</f>
        <v>#NAME?</v>
      </c>
      <c r="CE130" s="23" t="e">
        <f ca="1">+CD130+CE59</f>
        <v>#NAME?</v>
      </c>
      <c r="CF130" s="23" t="e">
        <f ca="1">+'QTR Raw'!AZ58</f>
        <v>#NAME?</v>
      </c>
      <c r="CG130" s="23" t="e">
        <f ca="1">+CF130+CG59</f>
        <v>#NAME?</v>
      </c>
      <c r="CH130" s="23" t="e">
        <f t="shared" ca="1" si="1048"/>
        <v>#NAME?</v>
      </c>
      <c r="CI130" s="23" t="e">
        <f ca="1">CH130+CI59</f>
        <v>#NAME?</v>
      </c>
      <c r="CJ130" s="23" t="e">
        <f ca="1">+'QTR Raw'!BD58</f>
        <v>#NAME?</v>
      </c>
      <c r="CK130" s="23" t="e">
        <f t="shared" ref="CK130:DB130" ca="1" si="1050">CJ130+CK59</f>
        <v>#NAME?</v>
      </c>
      <c r="CL130" s="23" t="e">
        <f ca="1">+'QTR Raw'!BF58</f>
        <v>#NAME?</v>
      </c>
      <c r="CM130" s="24" t="e">
        <f t="shared" ca="1" si="1050"/>
        <v>#NAME?</v>
      </c>
      <c r="CN130" s="24" t="e">
        <f t="shared" ca="1" si="1050"/>
        <v>#NAME?</v>
      </c>
      <c r="CO130" s="24" t="e">
        <f t="shared" ca="1" si="1050"/>
        <v>#NAME?</v>
      </c>
      <c r="CP130" s="24" t="e">
        <f t="shared" ca="1" si="1050"/>
        <v>#NAME?</v>
      </c>
      <c r="CQ130" s="24" t="e">
        <f t="shared" ca="1" si="1050"/>
        <v>#NAME?</v>
      </c>
      <c r="CR130" s="24" t="e">
        <f t="shared" ca="1" si="1050"/>
        <v>#NAME?</v>
      </c>
      <c r="CS130" s="24" t="e">
        <f t="shared" ca="1" si="1050"/>
        <v>#NAME?</v>
      </c>
      <c r="CT130" s="24" t="e">
        <f t="shared" ca="1" si="1050"/>
        <v>#NAME?</v>
      </c>
      <c r="CU130" s="24" t="e">
        <f t="shared" ca="1" si="1050"/>
        <v>#NAME?</v>
      </c>
      <c r="CV130" s="24" t="e">
        <f t="shared" ca="1" si="1050"/>
        <v>#NAME?</v>
      </c>
      <c r="CW130" s="24" t="e">
        <f t="shared" ca="1" si="1050"/>
        <v>#NAME?</v>
      </c>
      <c r="CX130" s="24" t="e">
        <f t="shared" ca="1" si="1050"/>
        <v>#NAME?</v>
      </c>
      <c r="CY130" s="24" t="e">
        <f t="shared" ca="1" si="1050"/>
        <v>#NAME?</v>
      </c>
      <c r="CZ130" s="24" t="e">
        <f t="shared" ca="1" si="1050"/>
        <v>#NAME?</v>
      </c>
      <c r="DA130" s="24" t="e">
        <f t="shared" ca="1" si="1050"/>
        <v>#NAME?</v>
      </c>
      <c r="DB130" s="24" t="e">
        <f t="shared" ca="1" si="1050"/>
        <v>#NAME?</v>
      </c>
      <c r="DE130" s="123"/>
      <c r="DF130" s="23">
        <v>272.63499999999999</v>
      </c>
    </row>
    <row r="131" spans="1:110" s="22" customFormat="1" x14ac:dyDescent="0.2">
      <c r="A131" s="22" t="s">
        <v>44</v>
      </c>
      <c r="B131" s="22" t="e">
        <f ca="1">B128+B129+B130</f>
        <v>#NAME?</v>
      </c>
      <c r="C131" s="22" t="e">
        <f t="shared" ref="C131:V131" ca="1" si="1051">C128+C129+C130</f>
        <v>#NAME?</v>
      </c>
      <c r="D131" s="22" t="e">
        <f t="shared" ca="1" si="1051"/>
        <v>#NAME?</v>
      </c>
      <c r="E131" s="22" t="e">
        <f t="shared" ca="1" si="1051"/>
        <v>#NAME?</v>
      </c>
      <c r="F131" s="22" t="e">
        <f t="shared" ca="1" si="1051"/>
        <v>#NAME?</v>
      </c>
      <c r="G131" s="22" t="e">
        <f t="shared" ca="1" si="1051"/>
        <v>#NAME?</v>
      </c>
      <c r="H131" s="22" t="e">
        <f t="shared" ca="1" si="1051"/>
        <v>#NAME?</v>
      </c>
      <c r="I131" s="22" t="e">
        <f t="shared" ca="1" si="1051"/>
        <v>#NAME?</v>
      </c>
      <c r="J131" s="22" t="e">
        <f t="shared" ca="1" si="1051"/>
        <v>#NAME?</v>
      </c>
      <c r="K131" s="22" t="e">
        <f t="shared" ca="1" si="1051"/>
        <v>#NAME?</v>
      </c>
      <c r="L131" s="22" t="e">
        <f t="shared" ca="1" si="1051"/>
        <v>#NAME?</v>
      </c>
      <c r="M131" s="22" t="e">
        <f ca="1">M128+M129+M130</f>
        <v>#NAME?</v>
      </c>
      <c r="N131" s="22" t="e">
        <f t="shared" ca="1" si="1051"/>
        <v>#NAME?</v>
      </c>
      <c r="O131" s="22" t="e">
        <f t="shared" ca="1" si="1051"/>
        <v>#NAME?</v>
      </c>
      <c r="P131" s="22" t="e">
        <f t="shared" ca="1" si="1051"/>
        <v>#NAME?</v>
      </c>
      <c r="Q131" s="22" t="e">
        <f t="shared" ca="1" si="1051"/>
        <v>#NAME?</v>
      </c>
      <c r="R131" s="22" t="e">
        <f t="shared" ca="1" si="1051"/>
        <v>#NAME?</v>
      </c>
      <c r="S131" s="22" t="e">
        <f t="shared" ca="1" si="1051"/>
        <v>#NAME?</v>
      </c>
      <c r="T131" s="22" t="e">
        <f t="shared" ca="1" si="1051"/>
        <v>#NAME?</v>
      </c>
      <c r="U131" s="22" t="e">
        <f t="shared" ca="1" si="1051"/>
        <v>#NAME?</v>
      </c>
      <c r="V131" s="22" t="e">
        <f t="shared" ca="1" si="1051"/>
        <v>#NAME?</v>
      </c>
      <c r="W131" s="22" t="e">
        <f t="shared" ref="W131" ca="1" si="1052">W128+W129+W130</f>
        <v>#NAME?</v>
      </c>
      <c r="X131" s="22" t="e">
        <f t="shared" ref="X131:Y131" ca="1" si="1053">X128+X129+X130</f>
        <v>#NAME?</v>
      </c>
      <c r="Y131" s="22" t="e">
        <f t="shared" ca="1" si="1053"/>
        <v>#NAME?</v>
      </c>
      <c r="Z131" s="22" t="e">
        <f t="shared" ref="Z131:AA131" ca="1" si="1054">Z128+Z129+Z130</f>
        <v>#NAME?</v>
      </c>
      <c r="AA131" s="22" t="e">
        <f t="shared" ca="1" si="1054"/>
        <v>#NAME?</v>
      </c>
      <c r="AB131" s="21" t="e">
        <f t="shared" ref="AA131:AD131" ca="1" si="1055">AB128+AB129+AB130</f>
        <v>#NAME?</v>
      </c>
      <c r="AC131" s="21" t="e">
        <f t="shared" ca="1" si="1055"/>
        <v>#NAME?</v>
      </c>
      <c r="AD131" s="21" t="e">
        <f t="shared" ca="1" si="1055"/>
        <v>#NAME?</v>
      </c>
      <c r="AE131" s="21" t="e">
        <f t="shared" ref="AE131" ca="1" si="1056">AE128+AE129+AE130</f>
        <v>#NAME?</v>
      </c>
      <c r="AJ131" s="22" t="e">
        <f t="shared" ref="AJ131" ca="1" si="1057">AJ128+AJ129+AJ130</f>
        <v>#NAME?</v>
      </c>
      <c r="AK131" s="22" t="e">
        <f t="shared" ref="AK131" ca="1" si="1058">AK128+AK129+AK130</f>
        <v>#NAME?</v>
      </c>
      <c r="AL131" s="22" t="e">
        <f t="shared" ref="AL131:AM131" ca="1" si="1059">AL128+AL129+AL130</f>
        <v>#NAME?</v>
      </c>
      <c r="AM131" s="22" t="e">
        <f t="shared" ca="1" si="1059"/>
        <v>#NAME?</v>
      </c>
      <c r="AN131" s="22" t="e">
        <f t="shared" ref="AN131:AO131" ca="1" si="1060">AN128+AN129+AN130</f>
        <v>#NAME?</v>
      </c>
      <c r="AO131" s="22" t="e">
        <f t="shared" ca="1" si="1060"/>
        <v>#NAME?</v>
      </c>
      <c r="AP131" s="22" t="e">
        <f t="shared" ref="AP131:CE131" ca="1" si="1061">AP128+AP129+AP130</f>
        <v>#NAME?</v>
      </c>
      <c r="AQ131" s="22" t="e">
        <f t="shared" ca="1" si="1061"/>
        <v>#NAME?</v>
      </c>
      <c r="AR131" s="22" t="e">
        <f t="shared" ca="1" si="1061"/>
        <v>#NAME?</v>
      </c>
      <c r="AS131" s="22" t="e">
        <f t="shared" ca="1" si="1061"/>
        <v>#NAME?</v>
      </c>
      <c r="AT131" s="22" t="e">
        <f t="shared" ca="1" si="1061"/>
        <v>#NAME?</v>
      </c>
      <c r="AU131" s="22" t="e">
        <f t="shared" ca="1" si="1061"/>
        <v>#NAME?</v>
      </c>
      <c r="AV131" s="22" t="e">
        <f t="shared" ca="1" si="1061"/>
        <v>#NAME?</v>
      </c>
      <c r="AW131" s="22" t="e">
        <f t="shared" ca="1" si="1061"/>
        <v>#NAME?</v>
      </c>
      <c r="AX131" s="22" t="e">
        <f t="shared" ca="1" si="1061"/>
        <v>#NAME?</v>
      </c>
      <c r="AY131" s="22" t="e">
        <f t="shared" ca="1" si="1061"/>
        <v>#NAME?</v>
      </c>
      <c r="AZ131" s="22" t="e">
        <f t="shared" ca="1" si="1061"/>
        <v>#NAME?</v>
      </c>
      <c r="BA131" s="22" t="e">
        <f t="shared" ca="1" si="1061"/>
        <v>#NAME?</v>
      </c>
      <c r="BB131" s="22" t="e">
        <f t="shared" ca="1" si="1061"/>
        <v>#NAME?</v>
      </c>
      <c r="BC131" s="22" t="e">
        <f t="shared" ca="1" si="1061"/>
        <v>#NAME?</v>
      </c>
      <c r="BD131" s="22" t="e">
        <f t="shared" ca="1" si="1061"/>
        <v>#NAME?</v>
      </c>
      <c r="BE131" s="22" t="e">
        <f t="shared" ca="1" si="1061"/>
        <v>#NAME?</v>
      </c>
      <c r="BF131" s="22" t="e">
        <f t="shared" ca="1" si="1061"/>
        <v>#NAME?</v>
      </c>
      <c r="BG131" s="22" t="e">
        <f t="shared" ca="1" si="1061"/>
        <v>#NAME?</v>
      </c>
      <c r="BH131" s="22" t="e">
        <f t="shared" ca="1" si="1061"/>
        <v>#NAME?</v>
      </c>
      <c r="BI131" s="22" t="e">
        <f t="shared" ca="1" si="1061"/>
        <v>#NAME?</v>
      </c>
      <c r="BJ131" s="22" t="e">
        <f t="shared" ca="1" si="1061"/>
        <v>#NAME?</v>
      </c>
      <c r="BK131" s="22" t="e">
        <f t="shared" ca="1" si="1061"/>
        <v>#NAME?</v>
      </c>
      <c r="BL131" s="22" t="e">
        <f t="shared" ca="1" si="1061"/>
        <v>#NAME?</v>
      </c>
      <c r="BM131" s="22" t="e">
        <f t="shared" ca="1" si="1061"/>
        <v>#NAME?</v>
      </c>
      <c r="BN131" s="22" t="e">
        <f t="shared" ca="1" si="1061"/>
        <v>#NAME?</v>
      </c>
      <c r="BO131" s="22" t="e">
        <f t="shared" ca="1" si="1061"/>
        <v>#NAME?</v>
      </c>
      <c r="BP131" s="22" t="e">
        <f t="shared" ca="1" si="1061"/>
        <v>#NAME?</v>
      </c>
      <c r="BQ131" s="22" t="e">
        <f t="shared" ca="1" si="1061"/>
        <v>#NAME?</v>
      </c>
      <c r="BR131" s="22" t="e">
        <f t="shared" ca="1" si="1061"/>
        <v>#NAME?</v>
      </c>
      <c r="BS131" s="22" t="e">
        <f t="shared" ca="1" si="1061"/>
        <v>#NAME?</v>
      </c>
      <c r="BT131" s="22" t="e">
        <f t="shared" ca="1" si="1061"/>
        <v>#NAME?</v>
      </c>
      <c r="BU131" s="22" t="e">
        <f t="shared" ca="1" si="1061"/>
        <v>#NAME?</v>
      </c>
      <c r="BV131" s="22" t="e">
        <f t="shared" ca="1" si="1061"/>
        <v>#NAME?</v>
      </c>
      <c r="BW131" s="22" t="e">
        <f t="shared" ca="1" si="1061"/>
        <v>#NAME?</v>
      </c>
      <c r="BX131" s="22" t="e">
        <f t="shared" ca="1" si="1061"/>
        <v>#NAME?</v>
      </c>
      <c r="BY131" s="22" t="e">
        <f t="shared" ca="1" si="1061"/>
        <v>#NAME?</v>
      </c>
      <c r="BZ131" s="22" t="e">
        <f t="shared" ca="1" si="1061"/>
        <v>#NAME?</v>
      </c>
      <c r="CA131" s="22" t="e">
        <f t="shared" ca="1" si="1061"/>
        <v>#NAME?</v>
      </c>
      <c r="CB131" s="22" t="e">
        <f t="shared" ca="1" si="1061"/>
        <v>#NAME?</v>
      </c>
      <c r="CC131" s="22" t="e">
        <f t="shared" ca="1" si="1061"/>
        <v>#NAME?</v>
      </c>
      <c r="CD131" s="22" t="e">
        <f t="shared" ca="1" si="1061"/>
        <v>#NAME?</v>
      </c>
      <c r="CE131" s="22" t="e">
        <f t="shared" ca="1" si="1061"/>
        <v>#NAME?</v>
      </c>
      <c r="CF131" s="22" t="e">
        <f t="shared" ref="CF131:CG131" ca="1" si="1062">CF128+CF129+CF130</f>
        <v>#NAME?</v>
      </c>
      <c r="CG131" s="22" t="e">
        <f t="shared" ca="1" si="1062"/>
        <v>#NAME?</v>
      </c>
      <c r="CH131" s="22" t="e">
        <f t="shared" ref="CH131:CI131" ca="1" si="1063">CH128+CH129+CH130</f>
        <v>#NAME?</v>
      </c>
      <c r="CI131" s="22" t="e">
        <f t="shared" ca="1" si="1063"/>
        <v>#NAME?</v>
      </c>
      <c r="CJ131" s="22" t="e">
        <f t="shared" ref="CJ131:DB131" ca="1" si="1064">CJ128+CJ129+CJ130</f>
        <v>#NAME?</v>
      </c>
      <c r="CK131" s="22" t="e">
        <f t="shared" ca="1" si="1064"/>
        <v>#NAME?</v>
      </c>
      <c r="CL131" s="22" t="e">
        <f t="shared" ref="CL131" ca="1" si="1065">CL128+CL129+CL130</f>
        <v>#NAME?</v>
      </c>
      <c r="CM131" s="21" t="e">
        <f t="shared" ca="1" si="1064"/>
        <v>#NAME?</v>
      </c>
      <c r="CN131" s="21" t="e">
        <f t="shared" ca="1" si="1064"/>
        <v>#NAME?</v>
      </c>
      <c r="CO131" s="21" t="e">
        <f t="shared" ca="1" si="1064"/>
        <v>#NAME?</v>
      </c>
      <c r="CP131" s="21" t="e">
        <f t="shared" ca="1" si="1064"/>
        <v>#NAME?</v>
      </c>
      <c r="CQ131" s="21" t="e">
        <f t="shared" ca="1" si="1064"/>
        <v>#NAME?</v>
      </c>
      <c r="CR131" s="21" t="e">
        <f t="shared" ca="1" si="1064"/>
        <v>#NAME?</v>
      </c>
      <c r="CS131" s="21" t="e">
        <f t="shared" ca="1" si="1064"/>
        <v>#NAME?</v>
      </c>
      <c r="CT131" s="21" t="e">
        <f t="shared" ca="1" si="1064"/>
        <v>#NAME?</v>
      </c>
      <c r="CU131" s="21" t="e">
        <f t="shared" ca="1" si="1064"/>
        <v>#NAME?</v>
      </c>
      <c r="CV131" s="21" t="e">
        <f t="shared" ca="1" si="1064"/>
        <v>#NAME?</v>
      </c>
      <c r="CW131" s="21" t="e">
        <f t="shared" ca="1" si="1064"/>
        <v>#NAME?</v>
      </c>
      <c r="CX131" s="21" t="e">
        <f t="shared" ca="1" si="1064"/>
        <v>#NAME?</v>
      </c>
      <c r="CY131" s="21" t="e">
        <f t="shared" ca="1" si="1064"/>
        <v>#NAME?</v>
      </c>
      <c r="CZ131" s="21" t="e">
        <f t="shared" ca="1" si="1064"/>
        <v>#NAME?</v>
      </c>
      <c r="DA131" s="21" t="e">
        <f t="shared" ca="1" si="1064"/>
        <v>#NAME?</v>
      </c>
      <c r="DB131" s="21" t="e">
        <f t="shared" ca="1" si="1064"/>
        <v>#NAME?</v>
      </c>
      <c r="DE131" s="126"/>
      <c r="DF131" s="22">
        <v>278.108</v>
      </c>
    </row>
    <row r="132" spans="1:110" s="22" customFormat="1" x14ac:dyDescent="0.2">
      <c r="AB132" s="21"/>
      <c r="AC132" s="21"/>
      <c r="AD132" s="21"/>
      <c r="AE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E132" s="126"/>
    </row>
    <row r="133" spans="1:110" s="23" customFormat="1" x14ac:dyDescent="0.2">
      <c r="A133" s="23" t="s">
        <v>23</v>
      </c>
      <c r="B133" s="23" t="e">
        <f ca="1">'Annual Raw'!C45</f>
        <v>#NAME?</v>
      </c>
      <c r="C133" s="23" t="e">
        <f ca="1">'Annual Raw'!D45</f>
        <v>#NAME?</v>
      </c>
      <c r="D133" s="23" t="e">
        <f ca="1">'Annual Raw'!E45</f>
        <v>#NAME?</v>
      </c>
      <c r="E133" s="23" t="e">
        <f ca="1">'Annual Raw'!F45</f>
        <v>#NAME?</v>
      </c>
      <c r="F133" s="23" t="e">
        <f ca="1">'Annual Raw'!G45</f>
        <v>#NAME?</v>
      </c>
      <c r="G133" s="23" t="e">
        <f ca="1">'Annual Raw'!H45</f>
        <v>#NAME?</v>
      </c>
      <c r="H133" s="23" t="e">
        <f ca="1">'Annual Raw'!I45</f>
        <v>#NAME?</v>
      </c>
      <c r="I133" s="23" t="e">
        <f ca="1">'Annual Raw'!J45</f>
        <v>#NAME?</v>
      </c>
      <c r="J133" s="23" t="e">
        <f ca="1">'Annual Raw'!K45</f>
        <v>#NAME?</v>
      </c>
      <c r="K133" s="23" t="e">
        <f ca="1">'Annual Raw'!L45</f>
        <v>#NAME?</v>
      </c>
      <c r="L133" s="23" t="e">
        <f ca="1">'Annual Raw'!M45</f>
        <v>#NAME?</v>
      </c>
      <c r="M133" s="23" t="e">
        <f ca="1">'Annual Raw'!N45</f>
        <v>#NAME?</v>
      </c>
      <c r="N133" s="23" t="e">
        <f ca="1">'Annual Raw'!O45</f>
        <v>#NAME?</v>
      </c>
      <c r="O133" s="23" t="e">
        <f ca="1">'Annual Raw'!P45</f>
        <v>#NAME?</v>
      </c>
      <c r="P133" s="23" t="e">
        <f ca="1">'Annual Raw'!Q45</f>
        <v>#NAME?</v>
      </c>
      <c r="Q133" s="23" t="e">
        <f ca="1">'Annual Raw'!R45</f>
        <v>#NAME?</v>
      </c>
      <c r="R133" s="23" t="e">
        <f ca="1">'Annual Raw'!S45</f>
        <v>#NAME?</v>
      </c>
      <c r="S133" s="23" t="e">
        <f ca="1">'Annual Raw'!T45</f>
        <v>#NAME?</v>
      </c>
      <c r="T133" s="23" t="e">
        <f ca="1">'Annual Raw'!U45</f>
        <v>#NAME?</v>
      </c>
      <c r="U133" s="23" t="e">
        <f ca="1">'Annual Raw'!V45</f>
        <v>#NAME?</v>
      </c>
      <c r="V133" s="23" t="e">
        <f ca="1">'Annual Raw'!W45</f>
        <v>#NAME?</v>
      </c>
      <c r="W133" s="23" t="e">
        <f ca="1">'Annual Raw'!X45</f>
        <v>#NAME?</v>
      </c>
      <c r="X133" s="23" t="e">
        <f ca="1">'Annual Raw'!Y45</f>
        <v>#NAME?</v>
      </c>
      <c r="Y133" s="23" t="e">
        <f ca="1">'Annual Raw'!Z45</f>
        <v>#NAME?</v>
      </c>
      <c r="Z133" s="23" t="e">
        <f ca="1">'Annual Raw'!AA45</f>
        <v>#NAME?</v>
      </c>
      <c r="AA133" s="23" t="e">
        <f ca="1">'Annual Raw'!AB45</f>
        <v>#NAME?</v>
      </c>
      <c r="AB133" s="24" t="e">
        <f ca="1">+CP133</f>
        <v>#NAME?</v>
      </c>
      <c r="AC133" s="24" t="e">
        <f ca="1">+CT133</f>
        <v>#NAME?</v>
      </c>
      <c r="AD133" s="24" t="e">
        <f ca="1">+CX133</f>
        <v>#NAME?</v>
      </c>
      <c r="AE133" s="24" t="e">
        <f ca="1">+DB133</f>
        <v>#NAME?</v>
      </c>
      <c r="AJ133" s="23" t="e">
        <f ca="1">+'QTR Raw'!D60</f>
        <v>#NAME?</v>
      </c>
      <c r="AK133" s="23" t="e">
        <f t="shared" ref="AK133:CE133" ca="1" si="1066">+AJ133</f>
        <v>#NAME?</v>
      </c>
      <c r="AL133" s="23" t="e">
        <f ca="1">+'QTR Raw'!F60</f>
        <v>#NAME?</v>
      </c>
      <c r="AM133" s="23" t="e">
        <f t="shared" ca="1" si="1066"/>
        <v>#NAME?</v>
      </c>
      <c r="AN133" s="23" t="e">
        <f ca="1">+'QTR Raw'!H60</f>
        <v>#NAME?</v>
      </c>
      <c r="AO133" s="23" t="e">
        <f t="shared" ca="1" si="1066"/>
        <v>#NAME?</v>
      </c>
      <c r="AP133" s="23" t="e">
        <f ca="1">+'QTR Raw'!J60</f>
        <v>#NAME?</v>
      </c>
      <c r="AQ133" s="23" t="e">
        <f t="shared" ca="1" si="1066"/>
        <v>#NAME?</v>
      </c>
      <c r="AR133" s="23" t="e">
        <f ca="1">+'QTR Raw'!L60</f>
        <v>#NAME?</v>
      </c>
      <c r="AS133" s="23" t="e">
        <f t="shared" ca="1" si="1066"/>
        <v>#NAME?</v>
      </c>
      <c r="AT133" s="23" t="e">
        <f ca="1">+'QTR Raw'!N60</f>
        <v>#NAME?</v>
      </c>
      <c r="AU133" s="23" t="e">
        <f t="shared" ca="1" si="1066"/>
        <v>#NAME?</v>
      </c>
      <c r="AV133" s="23" t="e">
        <f ca="1">+'QTR Raw'!P60</f>
        <v>#NAME?</v>
      </c>
      <c r="AW133" s="23" t="e">
        <f t="shared" ca="1" si="1066"/>
        <v>#NAME?</v>
      </c>
      <c r="AX133" s="23" t="e">
        <f ca="1">+'QTR Raw'!R60</f>
        <v>#NAME?</v>
      </c>
      <c r="AY133" s="23" t="e">
        <f t="shared" ca="1" si="1066"/>
        <v>#NAME?</v>
      </c>
      <c r="AZ133" s="23" t="e">
        <f ca="1">+'QTR Raw'!T60</f>
        <v>#NAME?</v>
      </c>
      <c r="BA133" s="23" t="e">
        <f t="shared" ca="1" si="1066"/>
        <v>#NAME?</v>
      </c>
      <c r="BB133" s="23" t="e">
        <f ca="1">+'QTR Raw'!V60</f>
        <v>#NAME?</v>
      </c>
      <c r="BC133" s="23" t="e">
        <f t="shared" ca="1" si="1066"/>
        <v>#NAME?</v>
      </c>
      <c r="BD133" s="23" t="e">
        <f ca="1">+'QTR Raw'!X60</f>
        <v>#NAME?</v>
      </c>
      <c r="BE133" s="23" t="e">
        <f t="shared" ca="1" si="1066"/>
        <v>#NAME?</v>
      </c>
      <c r="BF133" s="23" t="e">
        <f ca="1">+'QTR Raw'!Z60</f>
        <v>#NAME?</v>
      </c>
      <c r="BG133" s="23" t="e">
        <f t="shared" ca="1" si="1066"/>
        <v>#NAME?</v>
      </c>
      <c r="BH133" s="22" t="e">
        <f ca="1">+'QTR Raw'!AB60</f>
        <v>#NAME?</v>
      </c>
      <c r="BI133" s="23" t="e">
        <f t="shared" ca="1" si="1066"/>
        <v>#NAME?</v>
      </c>
      <c r="BJ133" s="23" t="e">
        <f ca="1">+'QTR Raw'!AD60</f>
        <v>#NAME?</v>
      </c>
      <c r="BK133" s="23" t="e">
        <f t="shared" ca="1" si="1066"/>
        <v>#NAME?</v>
      </c>
      <c r="BL133" s="23" t="e">
        <f ca="1">+'QTR Raw'!AF60</f>
        <v>#NAME?</v>
      </c>
      <c r="BM133" s="23" t="e">
        <f t="shared" ca="1" si="1066"/>
        <v>#NAME?</v>
      </c>
      <c r="BN133" s="23" t="e">
        <f ca="1">+'QTR Raw'!AH60</f>
        <v>#NAME?</v>
      </c>
      <c r="BO133" s="23" t="e">
        <f t="shared" ca="1" si="1066"/>
        <v>#NAME?</v>
      </c>
      <c r="BP133" s="23" t="e">
        <f ca="1">+'QTR Raw'!AJ60</f>
        <v>#NAME?</v>
      </c>
      <c r="BQ133" s="23" t="e">
        <f t="shared" ca="1" si="1066"/>
        <v>#NAME?</v>
      </c>
      <c r="BR133" s="23" t="e">
        <f ca="1">+'QTR Raw'!AL60</f>
        <v>#NAME?</v>
      </c>
      <c r="BS133" s="23" t="e">
        <f t="shared" ca="1" si="1066"/>
        <v>#NAME?</v>
      </c>
      <c r="BT133" s="23" t="e">
        <f ca="1">+'QTR Raw'!AN60</f>
        <v>#NAME?</v>
      </c>
      <c r="BU133" s="23" t="e">
        <f t="shared" ca="1" si="1066"/>
        <v>#NAME?</v>
      </c>
      <c r="BV133" s="23" t="e">
        <f ca="1">+'QTR Raw'!AP60</f>
        <v>#NAME?</v>
      </c>
      <c r="BW133" s="23" t="e">
        <f t="shared" ca="1" si="1066"/>
        <v>#NAME?</v>
      </c>
      <c r="BX133" s="23" t="e">
        <f ca="1">+'QTR Raw'!AR60</f>
        <v>#NAME?</v>
      </c>
      <c r="BY133" s="23" t="e">
        <f t="shared" ca="1" si="1066"/>
        <v>#NAME?</v>
      </c>
      <c r="BZ133" s="23" t="e">
        <f ca="1">+'QTR Raw'!AT60</f>
        <v>#NAME?</v>
      </c>
      <c r="CA133" s="23" t="e">
        <f t="shared" ca="1" si="1066"/>
        <v>#NAME?</v>
      </c>
      <c r="CB133" s="23" t="e">
        <f ca="1">+'QTR Raw'!AV60</f>
        <v>#NAME?</v>
      </c>
      <c r="CC133" s="23" t="e">
        <f t="shared" ca="1" si="1066"/>
        <v>#NAME?</v>
      </c>
      <c r="CD133" s="23" t="e">
        <f ca="1">+'QTR Raw'!AX60</f>
        <v>#NAME?</v>
      </c>
      <c r="CE133" s="23" t="e">
        <f t="shared" ca="1" si="1066"/>
        <v>#NAME?</v>
      </c>
      <c r="CF133" s="23" t="e">
        <f ca="1">+'QTR Raw'!AZ60</f>
        <v>#NAME?</v>
      </c>
      <c r="CG133" s="23" t="e">
        <f t="shared" ref="CG133:CI133" ca="1" si="1067">+CF133</f>
        <v>#NAME?</v>
      </c>
      <c r="CH133" s="23" t="e">
        <f t="shared" ref="CH133:CH138" ca="1" si="1068">Z133</f>
        <v>#NAME?</v>
      </c>
      <c r="CI133" s="23" t="e">
        <f t="shared" ca="1" si="1067"/>
        <v>#NAME?</v>
      </c>
      <c r="CJ133" s="23" t="e">
        <f ca="1">+'QTR Raw'!BD60</f>
        <v>#NAME?</v>
      </c>
      <c r="CK133" s="23" t="e">
        <f t="shared" ref="CK133" ca="1" si="1069">+CJ133</f>
        <v>#NAME?</v>
      </c>
      <c r="CL133" s="23" t="e">
        <f ca="1">+'QTR Raw'!BF60</f>
        <v>#NAME?</v>
      </c>
      <c r="CM133" s="24" t="e">
        <f t="shared" ref="CM133" ca="1" si="1070">+CL133</f>
        <v>#NAME?</v>
      </c>
      <c r="CN133" s="24" t="e">
        <f t="shared" ref="CN133" ca="1" si="1071">+CM133</f>
        <v>#NAME?</v>
      </c>
      <c r="CO133" s="24" t="e">
        <f t="shared" ref="CO133" ca="1" si="1072">+CN133</f>
        <v>#NAME?</v>
      </c>
      <c r="CP133" s="24" t="e">
        <f t="shared" ref="CP133" ca="1" si="1073">+CO133</f>
        <v>#NAME?</v>
      </c>
      <c r="CQ133" s="24" t="e">
        <f t="shared" ref="CQ133" ca="1" si="1074">+CP133</f>
        <v>#NAME?</v>
      </c>
      <c r="CR133" s="24" t="e">
        <f t="shared" ref="CR133" ca="1" si="1075">+CQ133</f>
        <v>#NAME?</v>
      </c>
      <c r="CS133" s="24" t="e">
        <f t="shared" ref="CS133" ca="1" si="1076">+CR133</f>
        <v>#NAME?</v>
      </c>
      <c r="CT133" s="24" t="e">
        <f t="shared" ref="CT133" ca="1" si="1077">+CS133</f>
        <v>#NAME?</v>
      </c>
      <c r="CU133" s="24" t="e">
        <f t="shared" ref="CU133" ca="1" si="1078">+CT133</f>
        <v>#NAME?</v>
      </c>
      <c r="CV133" s="24" t="e">
        <f t="shared" ref="CV133" ca="1" si="1079">+CU133</f>
        <v>#NAME?</v>
      </c>
      <c r="CW133" s="24" t="e">
        <f t="shared" ref="CW133" ca="1" si="1080">+CV133</f>
        <v>#NAME?</v>
      </c>
      <c r="CX133" s="24" t="e">
        <f t="shared" ref="CX133" ca="1" si="1081">+CW133</f>
        <v>#NAME?</v>
      </c>
      <c r="CY133" s="24" t="e">
        <f t="shared" ref="CY133" ca="1" si="1082">+CX133</f>
        <v>#NAME?</v>
      </c>
      <c r="CZ133" s="24" t="e">
        <f t="shared" ref="CZ133" ca="1" si="1083">+CY133</f>
        <v>#NAME?</v>
      </c>
      <c r="DA133" s="24" t="e">
        <f t="shared" ref="DA133" ca="1" si="1084">+CZ133</f>
        <v>#NAME?</v>
      </c>
      <c r="DB133" s="24" t="e">
        <f t="shared" ref="DB133" ca="1" si="1085">+DA133</f>
        <v>#NAME?</v>
      </c>
      <c r="DE133" s="123"/>
      <c r="DF133" s="23">
        <v>0</v>
      </c>
    </row>
    <row r="134" spans="1:110" s="23" customFormat="1" x14ac:dyDescent="0.2">
      <c r="AB134" s="24"/>
      <c r="AC134" s="24"/>
      <c r="AD134" s="24"/>
      <c r="AE134" s="24"/>
      <c r="BH134" s="22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E134" s="123"/>
    </row>
    <row r="135" spans="1:110" s="23" customFormat="1" outlineLevel="1" x14ac:dyDescent="0.2">
      <c r="A135" s="23" t="s">
        <v>45</v>
      </c>
      <c r="B135" s="23" t="e">
        <f ca="1">'Annual Raw'!C47</f>
        <v>#NAME?</v>
      </c>
      <c r="C135" s="23" t="e">
        <f ca="1">'Annual Raw'!D47</f>
        <v>#NAME?</v>
      </c>
      <c r="D135" s="23" t="e">
        <f ca="1">'Annual Raw'!E47</f>
        <v>#NAME?</v>
      </c>
      <c r="E135" s="23" t="e">
        <f ca="1">'Annual Raw'!F47</f>
        <v>#NAME?</v>
      </c>
      <c r="F135" s="23" t="e">
        <f ca="1">'Annual Raw'!G47</f>
        <v>#NAME?</v>
      </c>
      <c r="G135" s="23" t="e">
        <f ca="1">'Annual Raw'!H47</f>
        <v>#NAME?</v>
      </c>
      <c r="H135" s="23" t="e">
        <f ca="1">'Annual Raw'!I47</f>
        <v>#NAME?</v>
      </c>
      <c r="I135" s="23" t="e">
        <f ca="1">'Annual Raw'!J47</f>
        <v>#NAME?</v>
      </c>
      <c r="J135" s="23" t="e">
        <f ca="1">'Annual Raw'!K47</f>
        <v>#NAME?</v>
      </c>
      <c r="K135" s="23" t="e">
        <f ca="1">'Annual Raw'!L47</f>
        <v>#NAME?</v>
      </c>
      <c r="L135" s="23" t="e">
        <f ca="1">'Annual Raw'!M47</f>
        <v>#NAME?</v>
      </c>
      <c r="M135" s="23" t="e">
        <f ca="1">'Annual Raw'!N47</f>
        <v>#NAME?</v>
      </c>
      <c r="N135" s="23" t="e">
        <f ca="1">'Annual Raw'!O47</f>
        <v>#NAME?</v>
      </c>
      <c r="O135" s="23" t="e">
        <f ca="1">'Annual Raw'!P47</f>
        <v>#NAME?</v>
      </c>
      <c r="P135" s="23" t="e">
        <f ca="1">'Annual Raw'!Q47</f>
        <v>#NAME?</v>
      </c>
      <c r="Q135" s="23" t="e">
        <f ca="1">'Annual Raw'!R47</f>
        <v>#NAME?</v>
      </c>
      <c r="R135" s="23" t="e">
        <f ca="1">'Annual Raw'!S47</f>
        <v>#NAME?</v>
      </c>
      <c r="S135" s="23" t="e">
        <f ca="1">'Annual Raw'!T47</f>
        <v>#NAME?</v>
      </c>
      <c r="T135" s="23" t="e">
        <f ca="1">'Annual Raw'!U47</f>
        <v>#NAME?</v>
      </c>
      <c r="U135" s="23" t="e">
        <f ca="1">'Annual Raw'!V47</f>
        <v>#NAME?</v>
      </c>
      <c r="V135" s="23" t="e">
        <f ca="1">'Annual Raw'!W47</f>
        <v>#NAME?</v>
      </c>
      <c r="W135" s="23" t="e">
        <f ca="1">'Annual Raw'!X47</f>
        <v>#NAME?</v>
      </c>
      <c r="X135" s="23" t="e">
        <f ca="1">'Annual Raw'!Y47</f>
        <v>#NAME?</v>
      </c>
      <c r="Y135" s="23" t="e">
        <f ca="1">'Annual Raw'!Z47</f>
        <v>#NAME?</v>
      </c>
      <c r="Z135" s="23" t="e">
        <f ca="1">'Annual Raw'!AA47</f>
        <v>#NAME?</v>
      </c>
      <c r="AA135" s="23" t="e">
        <f ca="1">'Annual Raw'!AB47</f>
        <v>#NAME?</v>
      </c>
      <c r="AB135" s="24" t="e">
        <f t="shared" ref="AB135:AB138" ca="1" si="1086">+CP135</f>
        <v>#NAME?</v>
      </c>
      <c r="AC135" s="24" t="e">
        <f t="shared" ref="AC135:AC138" ca="1" si="1087">+CT135</f>
        <v>#NAME?</v>
      </c>
      <c r="AD135" s="24" t="e">
        <f t="shared" ref="AD135:AD138" ca="1" si="1088">+CX135</f>
        <v>#NAME?</v>
      </c>
      <c r="AE135" s="24" t="e">
        <f t="shared" ref="AE135:AE138" ca="1" si="1089">+DB135</f>
        <v>#NAME?</v>
      </c>
      <c r="AJ135" s="23" t="e">
        <f ca="1">+'QTR Raw'!D62</f>
        <v>#NAME?</v>
      </c>
      <c r="AK135" s="23" t="e">
        <f t="shared" ref="AK135:CC138" ca="1" si="1090">+AJ135</f>
        <v>#NAME?</v>
      </c>
      <c r="AL135" s="23" t="e">
        <f ca="1">+'QTR Raw'!F62</f>
        <v>#NAME?</v>
      </c>
      <c r="AM135" s="23" t="e">
        <f t="shared" ca="1" si="1090"/>
        <v>#NAME?</v>
      </c>
      <c r="AN135" s="23" t="e">
        <f ca="1">+'QTR Raw'!H62</f>
        <v>#NAME?</v>
      </c>
      <c r="AO135" s="23" t="e">
        <f t="shared" ca="1" si="1090"/>
        <v>#NAME?</v>
      </c>
      <c r="AP135" s="23" t="e">
        <f ca="1">+'QTR Raw'!J62</f>
        <v>#NAME?</v>
      </c>
      <c r="AQ135" s="23" t="e">
        <f t="shared" ca="1" si="1090"/>
        <v>#NAME?</v>
      </c>
      <c r="AR135" s="23" t="e">
        <f ca="1">+'QTR Raw'!L62</f>
        <v>#NAME?</v>
      </c>
      <c r="AS135" s="23" t="e">
        <f t="shared" ca="1" si="1090"/>
        <v>#NAME?</v>
      </c>
      <c r="AT135" s="23" t="e">
        <f ca="1">+'QTR Raw'!N62</f>
        <v>#NAME?</v>
      </c>
      <c r="AU135" s="23" t="e">
        <f t="shared" ca="1" si="1090"/>
        <v>#NAME?</v>
      </c>
      <c r="AV135" s="23" t="e">
        <f ca="1">+'QTR Raw'!P62</f>
        <v>#NAME?</v>
      </c>
      <c r="AW135" s="23" t="e">
        <f t="shared" ca="1" si="1090"/>
        <v>#NAME?</v>
      </c>
      <c r="AX135" s="23" t="e">
        <f ca="1">+'QTR Raw'!R62</f>
        <v>#NAME?</v>
      </c>
      <c r="AY135" s="23" t="e">
        <f t="shared" ca="1" si="1090"/>
        <v>#NAME?</v>
      </c>
      <c r="AZ135" s="23" t="e">
        <f ca="1">+'QTR Raw'!T62</f>
        <v>#NAME?</v>
      </c>
      <c r="BA135" s="23" t="e">
        <f t="shared" ca="1" si="1090"/>
        <v>#NAME?</v>
      </c>
      <c r="BB135" s="23" t="e">
        <f ca="1">+'QTR Raw'!V62</f>
        <v>#NAME?</v>
      </c>
      <c r="BC135" s="23" t="e">
        <f t="shared" ca="1" si="1090"/>
        <v>#NAME?</v>
      </c>
      <c r="BD135" s="23" t="e">
        <f ca="1">+'QTR Raw'!X62</f>
        <v>#NAME?</v>
      </c>
      <c r="BE135" s="23" t="e">
        <f t="shared" ca="1" si="1090"/>
        <v>#NAME?</v>
      </c>
      <c r="BF135" s="23" t="e">
        <f ca="1">+'QTR Raw'!Z62</f>
        <v>#NAME?</v>
      </c>
      <c r="BG135" s="23" t="e">
        <f t="shared" ca="1" si="1090"/>
        <v>#NAME?</v>
      </c>
      <c r="BH135" s="22" t="e">
        <f ca="1">+'QTR Raw'!AB62</f>
        <v>#NAME?</v>
      </c>
      <c r="BI135" s="23" t="e">
        <f t="shared" ca="1" si="1090"/>
        <v>#NAME?</v>
      </c>
      <c r="BJ135" s="23" t="e">
        <f ca="1">+'QTR Raw'!AD62</f>
        <v>#NAME?</v>
      </c>
      <c r="BK135" s="23" t="e">
        <f t="shared" ca="1" si="1090"/>
        <v>#NAME?</v>
      </c>
      <c r="BL135" s="23" t="e">
        <f ca="1">+'QTR Raw'!AF62</f>
        <v>#NAME?</v>
      </c>
      <c r="BM135" s="23" t="e">
        <f t="shared" ca="1" si="1090"/>
        <v>#NAME?</v>
      </c>
      <c r="BN135" s="23" t="e">
        <f ca="1">+'QTR Raw'!AH62</f>
        <v>#NAME?</v>
      </c>
      <c r="BO135" s="23" t="e">
        <f t="shared" ca="1" si="1090"/>
        <v>#NAME?</v>
      </c>
      <c r="BP135" s="23" t="e">
        <f ca="1">+'QTR Raw'!AJ62</f>
        <v>#NAME?</v>
      </c>
      <c r="BQ135" s="23" t="e">
        <f t="shared" ca="1" si="1090"/>
        <v>#NAME?</v>
      </c>
      <c r="BR135" s="23" t="e">
        <f ca="1">+'QTR Raw'!AL62</f>
        <v>#NAME?</v>
      </c>
      <c r="BS135" s="23" t="e">
        <f t="shared" ca="1" si="1090"/>
        <v>#NAME?</v>
      </c>
      <c r="BT135" s="23" t="e">
        <f ca="1">+'QTR Raw'!AN62</f>
        <v>#NAME?</v>
      </c>
      <c r="BU135" s="23" t="e">
        <f t="shared" ca="1" si="1090"/>
        <v>#NAME?</v>
      </c>
      <c r="BV135" s="23" t="e">
        <f ca="1">+'QTR Raw'!AP62</f>
        <v>#NAME?</v>
      </c>
      <c r="BW135" s="23" t="e">
        <f t="shared" ca="1" si="1090"/>
        <v>#NAME?</v>
      </c>
      <c r="BX135" s="23" t="e">
        <f ca="1">+'QTR Raw'!AR62</f>
        <v>#NAME?</v>
      </c>
      <c r="BY135" s="23" t="e">
        <f t="shared" ca="1" si="1090"/>
        <v>#NAME?</v>
      </c>
      <c r="BZ135" s="23" t="e">
        <f ca="1">+'QTR Raw'!AT62</f>
        <v>#NAME?</v>
      </c>
      <c r="CA135" s="23" t="e">
        <f t="shared" ca="1" si="1090"/>
        <v>#NAME?</v>
      </c>
      <c r="CB135" s="23" t="e">
        <f ca="1">+'QTR Raw'!AV62</f>
        <v>#NAME?</v>
      </c>
      <c r="CC135" s="23" t="e">
        <f t="shared" ca="1" si="1090"/>
        <v>#NAME?</v>
      </c>
      <c r="CD135" s="23" t="e">
        <f ca="1">+'QTR Raw'!AX62</f>
        <v>#NAME?</v>
      </c>
      <c r="CE135" s="23" t="e">
        <f t="shared" ref="CE135:CE138" ca="1" si="1091">+CD135</f>
        <v>#NAME?</v>
      </c>
      <c r="CF135" s="23" t="e">
        <f ca="1">+'QTR Raw'!AZ62</f>
        <v>#NAME?</v>
      </c>
      <c r="CG135" s="23" t="e">
        <f t="shared" ref="CG135:CI138" ca="1" si="1092">+CF135</f>
        <v>#NAME?</v>
      </c>
      <c r="CH135" s="23" t="e">
        <f t="shared" ca="1" si="1068"/>
        <v>#NAME?</v>
      </c>
      <c r="CI135" s="23" t="e">
        <f t="shared" ca="1" si="1092"/>
        <v>#NAME?</v>
      </c>
      <c r="CJ135" s="23" t="e">
        <f ca="1">+'QTR Raw'!BD62</f>
        <v>#NAME?</v>
      </c>
      <c r="CK135" s="23" t="e">
        <f t="shared" ref="CK135:CK138" ca="1" si="1093">+CJ135</f>
        <v>#NAME?</v>
      </c>
      <c r="CL135" s="23" t="e">
        <f ca="1">+'QTR Raw'!BF62</f>
        <v>#NAME?</v>
      </c>
      <c r="CM135" s="24" t="e">
        <f t="shared" ref="CM135:CM138" ca="1" si="1094">+CL135</f>
        <v>#NAME?</v>
      </c>
      <c r="CN135" s="24" t="e">
        <f t="shared" ref="CN135:CN138" ca="1" si="1095">+CM135</f>
        <v>#NAME?</v>
      </c>
      <c r="CO135" s="24" t="e">
        <f t="shared" ref="CO135:CO138" ca="1" si="1096">+CN135</f>
        <v>#NAME?</v>
      </c>
      <c r="CP135" s="24" t="e">
        <f t="shared" ref="CP135:CP138" ca="1" si="1097">+CO135</f>
        <v>#NAME?</v>
      </c>
      <c r="CQ135" s="24" t="e">
        <f t="shared" ref="CQ135:CQ138" ca="1" si="1098">+CP135</f>
        <v>#NAME?</v>
      </c>
      <c r="CR135" s="24" t="e">
        <f t="shared" ref="CR135:CR138" ca="1" si="1099">+CQ135</f>
        <v>#NAME?</v>
      </c>
      <c r="CS135" s="24" t="e">
        <f t="shared" ref="CS135:CS138" ca="1" si="1100">+CR135</f>
        <v>#NAME?</v>
      </c>
      <c r="CT135" s="24" t="e">
        <f t="shared" ref="CT135:CT138" ca="1" si="1101">+CS135</f>
        <v>#NAME?</v>
      </c>
      <c r="CU135" s="24" t="e">
        <f t="shared" ref="CU135:CU138" ca="1" si="1102">+CT135</f>
        <v>#NAME?</v>
      </c>
      <c r="CV135" s="24" t="e">
        <f t="shared" ref="CV135:CV138" ca="1" si="1103">+CU135</f>
        <v>#NAME?</v>
      </c>
      <c r="CW135" s="24" t="e">
        <f t="shared" ref="CW135:CW138" ca="1" si="1104">+CV135</f>
        <v>#NAME?</v>
      </c>
      <c r="CX135" s="24" t="e">
        <f t="shared" ref="CX135:CX138" ca="1" si="1105">+CW135</f>
        <v>#NAME?</v>
      </c>
      <c r="CY135" s="24" t="e">
        <f t="shared" ref="CY135:CY138" ca="1" si="1106">+CX135</f>
        <v>#NAME?</v>
      </c>
      <c r="CZ135" s="24" t="e">
        <f t="shared" ref="CZ135:CZ138" ca="1" si="1107">+CY135</f>
        <v>#NAME?</v>
      </c>
      <c r="DA135" s="24" t="e">
        <f t="shared" ref="DA135:DA138" ca="1" si="1108">+CZ135</f>
        <v>#NAME?</v>
      </c>
      <c r="DB135" s="24" t="e">
        <f t="shared" ref="DB135:DB138" ca="1" si="1109">+DA135</f>
        <v>#NAME?</v>
      </c>
      <c r="DE135" s="123"/>
      <c r="DF135" s="23">
        <v>0</v>
      </c>
    </row>
    <row r="136" spans="1:110" s="23" customFormat="1" outlineLevel="1" x14ac:dyDescent="0.2">
      <c r="A136" s="23" t="s">
        <v>46</v>
      </c>
      <c r="B136" s="23" t="e">
        <f ca="1">'Annual Raw'!C48</f>
        <v>#NAME?</v>
      </c>
      <c r="C136" s="23" t="e">
        <f ca="1">'Annual Raw'!D48</f>
        <v>#NAME?</v>
      </c>
      <c r="D136" s="23" t="e">
        <f ca="1">'Annual Raw'!E48</f>
        <v>#NAME?</v>
      </c>
      <c r="E136" s="23" t="e">
        <f ca="1">'Annual Raw'!F48</f>
        <v>#NAME?</v>
      </c>
      <c r="F136" s="23" t="e">
        <f ca="1">'Annual Raw'!G48</f>
        <v>#NAME?</v>
      </c>
      <c r="G136" s="23" t="e">
        <f ca="1">'Annual Raw'!H48</f>
        <v>#NAME?</v>
      </c>
      <c r="H136" s="23" t="e">
        <f ca="1">'Annual Raw'!I48</f>
        <v>#NAME?</v>
      </c>
      <c r="I136" s="23" t="e">
        <f ca="1">'Annual Raw'!J48</f>
        <v>#NAME?</v>
      </c>
      <c r="J136" s="23" t="e">
        <f ca="1">'Annual Raw'!K48</f>
        <v>#NAME?</v>
      </c>
      <c r="K136" s="23" t="e">
        <f ca="1">'Annual Raw'!L48</f>
        <v>#NAME?</v>
      </c>
      <c r="L136" s="23" t="e">
        <f ca="1">'Annual Raw'!M48</f>
        <v>#NAME?</v>
      </c>
      <c r="M136" s="23" t="e">
        <f ca="1">'Annual Raw'!N48</f>
        <v>#NAME?</v>
      </c>
      <c r="N136" s="23" t="e">
        <f ca="1">'Annual Raw'!O48</f>
        <v>#NAME?</v>
      </c>
      <c r="O136" s="23" t="e">
        <f ca="1">'Annual Raw'!P48</f>
        <v>#NAME?</v>
      </c>
      <c r="P136" s="23" t="e">
        <f ca="1">'Annual Raw'!Q48</f>
        <v>#NAME?</v>
      </c>
      <c r="Q136" s="23" t="e">
        <f ca="1">'Annual Raw'!R48</f>
        <v>#NAME?</v>
      </c>
      <c r="R136" s="23" t="e">
        <f ca="1">'Annual Raw'!S48</f>
        <v>#NAME?</v>
      </c>
      <c r="S136" s="23" t="e">
        <f ca="1">'Annual Raw'!T48</f>
        <v>#NAME?</v>
      </c>
      <c r="T136" s="23" t="e">
        <f ca="1">'Annual Raw'!U48</f>
        <v>#NAME?</v>
      </c>
      <c r="U136" s="23" t="e">
        <f ca="1">'Annual Raw'!V48</f>
        <v>#NAME?</v>
      </c>
      <c r="V136" s="23" t="e">
        <f ca="1">'Annual Raw'!W48</f>
        <v>#NAME?</v>
      </c>
      <c r="W136" s="23" t="e">
        <f ca="1">'Annual Raw'!X48</f>
        <v>#NAME?</v>
      </c>
      <c r="X136" s="23" t="e">
        <f ca="1">'Annual Raw'!Y48</f>
        <v>#NAME?</v>
      </c>
      <c r="Y136" s="23" t="e">
        <f ca="1">'Annual Raw'!Z48</f>
        <v>#NAME?</v>
      </c>
      <c r="Z136" s="23" t="e">
        <f ca="1">'Annual Raw'!AA48</f>
        <v>#NAME?</v>
      </c>
      <c r="AA136" s="23" t="e">
        <f ca="1">'Annual Raw'!AB48</f>
        <v>#NAME?</v>
      </c>
      <c r="AB136" s="24" t="e">
        <f t="shared" ca="1" si="1086"/>
        <v>#NAME?</v>
      </c>
      <c r="AC136" s="24" t="e">
        <f t="shared" ca="1" si="1087"/>
        <v>#NAME?</v>
      </c>
      <c r="AD136" s="24" t="e">
        <f t="shared" ca="1" si="1088"/>
        <v>#NAME?</v>
      </c>
      <c r="AE136" s="24" t="e">
        <f t="shared" ca="1" si="1089"/>
        <v>#NAME?</v>
      </c>
      <c r="AJ136" s="23" t="e">
        <f ca="1">+'QTR Raw'!D63</f>
        <v>#NAME?</v>
      </c>
      <c r="AK136" s="23" t="e">
        <f t="shared" ca="1" si="1090"/>
        <v>#NAME?</v>
      </c>
      <c r="AL136" s="23" t="e">
        <f ca="1">+'QTR Raw'!F63</f>
        <v>#NAME?</v>
      </c>
      <c r="AM136" s="23" t="e">
        <f t="shared" ca="1" si="1090"/>
        <v>#NAME?</v>
      </c>
      <c r="AN136" s="23" t="e">
        <f ca="1">+'QTR Raw'!H63</f>
        <v>#NAME?</v>
      </c>
      <c r="AO136" s="23" t="e">
        <f t="shared" ca="1" si="1090"/>
        <v>#NAME?</v>
      </c>
      <c r="AP136" s="23" t="e">
        <f ca="1">+'QTR Raw'!J63</f>
        <v>#NAME?</v>
      </c>
      <c r="AQ136" s="23" t="e">
        <f t="shared" ca="1" si="1090"/>
        <v>#NAME?</v>
      </c>
      <c r="AR136" s="23" t="e">
        <f ca="1">+'QTR Raw'!L63</f>
        <v>#NAME?</v>
      </c>
      <c r="AS136" s="23" t="e">
        <f t="shared" ca="1" si="1090"/>
        <v>#NAME?</v>
      </c>
      <c r="AT136" s="23" t="e">
        <f ca="1">+'QTR Raw'!N63</f>
        <v>#NAME?</v>
      </c>
      <c r="AU136" s="23" t="e">
        <f t="shared" ca="1" si="1090"/>
        <v>#NAME?</v>
      </c>
      <c r="AV136" s="23" t="e">
        <f ca="1">+'QTR Raw'!P63</f>
        <v>#NAME?</v>
      </c>
      <c r="AW136" s="23" t="e">
        <f t="shared" ca="1" si="1090"/>
        <v>#NAME?</v>
      </c>
      <c r="AX136" s="23" t="e">
        <f ca="1">+'QTR Raw'!R63</f>
        <v>#NAME?</v>
      </c>
      <c r="AY136" s="23" t="e">
        <f t="shared" ca="1" si="1090"/>
        <v>#NAME?</v>
      </c>
      <c r="AZ136" s="23" t="e">
        <f ca="1">+'QTR Raw'!T63</f>
        <v>#NAME?</v>
      </c>
      <c r="BA136" s="23" t="e">
        <f t="shared" ca="1" si="1090"/>
        <v>#NAME?</v>
      </c>
      <c r="BB136" s="23" t="e">
        <f ca="1">+'QTR Raw'!V63</f>
        <v>#NAME?</v>
      </c>
      <c r="BC136" s="23" t="e">
        <f t="shared" ca="1" si="1090"/>
        <v>#NAME?</v>
      </c>
      <c r="BD136" s="23" t="e">
        <f ca="1">+'QTR Raw'!X63</f>
        <v>#NAME?</v>
      </c>
      <c r="BE136" s="23" t="e">
        <f t="shared" ca="1" si="1090"/>
        <v>#NAME?</v>
      </c>
      <c r="BF136" s="23" t="e">
        <f ca="1">+'QTR Raw'!Z63</f>
        <v>#NAME?</v>
      </c>
      <c r="BG136" s="23" t="e">
        <f t="shared" ca="1" si="1090"/>
        <v>#NAME?</v>
      </c>
      <c r="BH136" s="23" t="e">
        <f ca="1">+'QTR Raw'!AB63</f>
        <v>#NAME?</v>
      </c>
      <c r="BI136" s="23" t="e">
        <f t="shared" ca="1" si="1090"/>
        <v>#NAME?</v>
      </c>
      <c r="BJ136" s="23" t="e">
        <f ca="1">+'QTR Raw'!AD63</f>
        <v>#NAME?</v>
      </c>
      <c r="BK136" s="23" t="e">
        <f t="shared" ca="1" si="1090"/>
        <v>#NAME?</v>
      </c>
      <c r="BL136" s="23" t="e">
        <f ca="1">+'QTR Raw'!AF63</f>
        <v>#NAME?</v>
      </c>
      <c r="BM136" s="23" t="e">
        <f t="shared" ca="1" si="1090"/>
        <v>#NAME?</v>
      </c>
      <c r="BN136" s="23" t="e">
        <f ca="1">+'QTR Raw'!AH63</f>
        <v>#NAME?</v>
      </c>
      <c r="BO136" s="23" t="e">
        <f t="shared" ca="1" si="1090"/>
        <v>#NAME?</v>
      </c>
      <c r="BP136" s="23" t="e">
        <f ca="1">+'QTR Raw'!AJ63</f>
        <v>#NAME?</v>
      </c>
      <c r="BQ136" s="23" t="e">
        <f t="shared" ca="1" si="1090"/>
        <v>#NAME?</v>
      </c>
      <c r="BR136" s="23" t="e">
        <f ca="1">+'QTR Raw'!AL63</f>
        <v>#NAME?</v>
      </c>
      <c r="BS136" s="23" t="e">
        <f t="shared" ca="1" si="1090"/>
        <v>#NAME?</v>
      </c>
      <c r="BT136" s="23" t="e">
        <f ca="1">+'QTR Raw'!AN63</f>
        <v>#NAME?</v>
      </c>
      <c r="BU136" s="23" t="e">
        <f t="shared" ca="1" si="1090"/>
        <v>#NAME?</v>
      </c>
      <c r="BV136" s="23" t="e">
        <f ca="1">+'QTR Raw'!AP63</f>
        <v>#NAME?</v>
      </c>
      <c r="BW136" s="23" t="e">
        <f t="shared" ca="1" si="1090"/>
        <v>#NAME?</v>
      </c>
      <c r="BX136" s="23" t="e">
        <f ca="1">+'QTR Raw'!AR63</f>
        <v>#NAME?</v>
      </c>
      <c r="BY136" s="23" t="e">
        <f t="shared" ca="1" si="1090"/>
        <v>#NAME?</v>
      </c>
      <c r="BZ136" s="23" t="e">
        <f ca="1">+'QTR Raw'!AT63</f>
        <v>#NAME?</v>
      </c>
      <c r="CA136" s="23" t="e">
        <f t="shared" ca="1" si="1090"/>
        <v>#NAME?</v>
      </c>
      <c r="CB136" s="23" t="e">
        <f ca="1">+'QTR Raw'!AV63</f>
        <v>#NAME?</v>
      </c>
      <c r="CC136" s="23" t="e">
        <f t="shared" ca="1" si="1090"/>
        <v>#NAME?</v>
      </c>
      <c r="CD136" s="23" t="e">
        <f ca="1">+'QTR Raw'!AX63</f>
        <v>#NAME?</v>
      </c>
      <c r="CE136" s="23" t="e">
        <f t="shared" ca="1" si="1091"/>
        <v>#NAME?</v>
      </c>
      <c r="CF136" s="23" t="e">
        <f ca="1">+'QTR Raw'!AZ63</f>
        <v>#NAME?</v>
      </c>
      <c r="CG136" s="23" t="e">
        <f t="shared" ca="1" si="1092"/>
        <v>#NAME?</v>
      </c>
      <c r="CH136" s="23" t="e">
        <f t="shared" ca="1" si="1068"/>
        <v>#NAME?</v>
      </c>
      <c r="CI136" s="23" t="e">
        <f t="shared" ca="1" si="1092"/>
        <v>#NAME?</v>
      </c>
      <c r="CJ136" s="23" t="e">
        <f ca="1">+'QTR Raw'!BD63</f>
        <v>#NAME?</v>
      </c>
      <c r="CK136" s="23" t="e">
        <f t="shared" ca="1" si="1093"/>
        <v>#NAME?</v>
      </c>
      <c r="CL136" s="23" t="e">
        <f ca="1">+'QTR Raw'!BF63</f>
        <v>#NAME?</v>
      </c>
      <c r="CM136" s="24" t="e">
        <f t="shared" ca="1" si="1094"/>
        <v>#NAME?</v>
      </c>
      <c r="CN136" s="24" t="e">
        <f t="shared" ca="1" si="1095"/>
        <v>#NAME?</v>
      </c>
      <c r="CO136" s="24" t="e">
        <f t="shared" ca="1" si="1096"/>
        <v>#NAME?</v>
      </c>
      <c r="CP136" s="24" t="e">
        <f t="shared" ca="1" si="1097"/>
        <v>#NAME?</v>
      </c>
      <c r="CQ136" s="24" t="e">
        <f t="shared" ca="1" si="1098"/>
        <v>#NAME?</v>
      </c>
      <c r="CR136" s="24" t="e">
        <f t="shared" ca="1" si="1099"/>
        <v>#NAME?</v>
      </c>
      <c r="CS136" s="24" t="e">
        <f t="shared" ca="1" si="1100"/>
        <v>#NAME?</v>
      </c>
      <c r="CT136" s="24" t="e">
        <f t="shared" ca="1" si="1101"/>
        <v>#NAME?</v>
      </c>
      <c r="CU136" s="24" t="e">
        <f t="shared" ca="1" si="1102"/>
        <v>#NAME?</v>
      </c>
      <c r="CV136" s="24" t="e">
        <f t="shared" ca="1" si="1103"/>
        <v>#NAME?</v>
      </c>
      <c r="CW136" s="24" t="e">
        <f t="shared" ca="1" si="1104"/>
        <v>#NAME?</v>
      </c>
      <c r="CX136" s="24" t="e">
        <f t="shared" ca="1" si="1105"/>
        <v>#NAME?</v>
      </c>
      <c r="CY136" s="24" t="e">
        <f t="shared" ca="1" si="1106"/>
        <v>#NAME?</v>
      </c>
      <c r="CZ136" s="24" t="e">
        <f t="shared" ca="1" si="1107"/>
        <v>#NAME?</v>
      </c>
      <c r="DA136" s="24" t="e">
        <f t="shared" ca="1" si="1108"/>
        <v>#NAME?</v>
      </c>
      <c r="DB136" s="24" t="e">
        <f t="shared" ca="1" si="1109"/>
        <v>#NAME?</v>
      </c>
      <c r="DE136" s="123"/>
      <c r="DF136" s="23">
        <v>56.31</v>
      </c>
    </row>
    <row r="137" spans="1:110" s="23" customFormat="1" outlineLevel="1" x14ac:dyDescent="0.2">
      <c r="A137" s="23" t="s">
        <v>47</v>
      </c>
      <c r="B137" s="23" t="e">
        <f ca="1">'Annual Raw'!C87+'Annual Raw'!C88+'Annual Raw'!C89+'Annual Raw'!C90</f>
        <v>#NAME?</v>
      </c>
      <c r="C137" s="23" t="e">
        <f ca="1">'Annual Raw'!D87+'Annual Raw'!D88+'Annual Raw'!D89+'Annual Raw'!D90</f>
        <v>#NAME?</v>
      </c>
      <c r="D137" s="23" t="e">
        <f ca="1">'Annual Raw'!E87+'Annual Raw'!E88+'Annual Raw'!E89+'Annual Raw'!E90</f>
        <v>#NAME?</v>
      </c>
      <c r="E137" s="23" t="e">
        <f ca="1">'Annual Raw'!F87+'Annual Raw'!F88+'Annual Raw'!F89+'Annual Raw'!F90</f>
        <v>#NAME?</v>
      </c>
      <c r="F137" s="23" t="e">
        <f ca="1">'Annual Raw'!G87+'Annual Raw'!G88+'Annual Raw'!G89+'Annual Raw'!G90</f>
        <v>#NAME?</v>
      </c>
      <c r="G137" s="23" t="e">
        <f ca="1">'Annual Raw'!H87+'Annual Raw'!H88+'Annual Raw'!H89+'Annual Raw'!H90</f>
        <v>#NAME?</v>
      </c>
      <c r="H137" s="23" t="e">
        <f ca="1">'Annual Raw'!I87+'Annual Raw'!I88+'Annual Raw'!I89+'Annual Raw'!I90</f>
        <v>#NAME?</v>
      </c>
      <c r="I137" s="23" t="e">
        <f ca="1">'Annual Raw'!J87+'Annual Raw'!J88+'Annual Raw'!J89+'Annual Raw'!J90</f>
        <v>#NAME?</v>
      </c>
      <c r="J137" s="23" t="e">
        <f ca="1">'Annual Raw'!K87+'Annual Raw'!K88+'Annual Raw'!K89+'Annual Raw'!K90</f>
        <v>#NAME?</v>
      </c>
      <c r="K137" s="23" t="e">
        <f ca="1">'Annual Raw'!L87+'Annual Raw'!L88+'Annual Raw'!L89+'Annual Raw'!L90</f>
        <v>#NAME?</v>
      </c>
      <c r="L137" s="23" t="e">
        <f ca="1">'Annual Raw'!M87+'Annual Raw'!M88+'Annual Raw'!M89+'Annual Raw'!M90</f>
        <v>#NAME?</v>
      </c>
      <c r="M137" s="23" t="e">
        <f ca="1">'Annual Raw'!N87+'Annual Raw'!N88+'Annual Raw'!N89+'Annual Raw'!N90</f>
        <v>#NAME?</v>
      </c>
      <c r="N137" s="23" t="e">
        <f ca="1">'Annual Raw'!O87+'Annual Raw'!O88+'Annual Raw'!O89+'Annual Raw'!O90</f>
        <v>#NAME?</v>
      </c>
      <c r="O137" s="23" t="e">
        <f ca="1">'Annual Raw'!P87+'Annual Raw'!P88+'Annual Raw'!P89+'Annual Raw'!P90</f>
        <v>#NAME?</v>
      </c>
      <c r="P137" s="23" t="e">
        <f ca="1">'Annual Raw'!Q87+'Annual Raw'!Q88+'Annual Raw'!Q89+'Annual Raw'!Q90</f>
        <v>#NAME?</v>
      </c>
      <c r="Q137" s="23" t="e">
        <f ca="1">'Annual Raw'!R87+'Annual Raw'!R88+'Annual Raw'!R89+'Annual Raw'!R90</f>
        <v>#NAME?</v>
      </c>
      <c r="R137" s="23" t="e">
        <f ca="1">'Annual Raw'!S87+'Annual Raw'!S88+'Annual Raw'!S89+'Annual Raw'!S90</f>
        <v>#NAME?</v>
      </c>
      <c r="S137" s="23" t="e">
        <f ca="1">'Annual Raw'!T87+'Annual Raw'!T88+'Annual Raw'!T89+'Annual Raw'!T90</f>
        <v>#NAME?</v>
      </c>
      <c r="T137" s="23" t="e">
        <f ca="1">'Annual Raw'!U87+'Annual Raw'!U88+'Annual Raw'!U89+'Annual Raw'!U90</f>
        <v>#NAME?</v>
      </c>
      <c r="U137" s="23" t="e">
        <f ca="1">'Annual Raw'!V87+'Annual Raw'!V88+'Annual Raw'!V89+'Annual Raw'!V90</f>
        <v>#NAME?</v>
      </c>
      <c r="V137" s="23" t="e">
        <f ca="1">'Annual Raw'!W87+'Annual Raw'!W88+'Annual Raw'!W89+'Annual Raw'!W90</f>
        <v>#NAME?</v>
      </c>
      <c r="W137" s="23" t="e">
        <f ca="1">'Annual Raw'!X87+'Annual Raw'!X88+'Annual Raw'!X89+'Annual Raw'!X90</f>
        <v>#NAME?</v>
      </c>
      <c r="X137" s="23" t="e">
        <f ca="1">'Annual Raw'!Y87+'Annual Raw'!Y88+'Annual Raw'!Y89+'Annual Raw'!Y90</f>
        <v>#NAME?</v>
      </c>
      <c r="Y137" s="23" t="e">
        <f ca="1">'Annual Raw'!Z87+'Annual Raw'!Z88+'Annual Raw'!Z89+'Annual Raw'!Z90</f>
        <v>#NAME?</v>
      </c>
      <c r="Z137" s="23" t="e">
        <f ca="1">'Annual Raw'!AA87+'Annual Raw'!AA88+'Annual Raw'!AA89+'Annual Raw'!AA90</f>
        <v>#NAME?</v>
      </c>
      <c r="AA137" s="23" t="e">
        <f ca="1">'Annual Raw'!AB87+'Annual Raw'!AB88+'Annual Raw'!AB89+'Annual Raw'!AB90</f>
        <v>#NAME?</v>
      </c>
      <c r="AB137" s="24" t="e">
        <f t="shared" ca="1" si="1086"/>
        <v>#NAME?</v>
      </c>
      <c r="AC137" s="24" t="e">
        <f t="shared" ca="1" si="1087"/>
        <v>#NAME?</v>
      </c>
      <c r="AD137" s="24" t="e">
        <f t="shared" ca="1" si="1088"/>
        <v>#NAME?</v>
      </c>
      <c r="AE137" s="24" t="e">
        <f t="shared" ca="1" si="1089"/>
        <v>#NAME?</v>
      </c>
      <c r="AJ137" s="23" t="e">
        <f ca="1">+'QTR Raw'!D90</f>
        <v>#NAME?</v>
      </c>
      <c r="AK137" s="23" t="e">
        <f t="shared" ca="1" si="1090"/>
        <v>#NAME?</v>
      </c>
      <c r="AL137" s="23" t="e">
        <f ca="1">+'QTR Raw'!F90</f>
        <v>#NAME?</v>
      </c>
      <c r="AM137" s="23" t="e">
        <f t="shared" ca="1" si="1090"/>
        <v>#NAME?</v>
      </c>
      <c r="AN137" s="23" t="e">
        <f ca="1">+'QTR Raw'!H90</f>
        <v>#NAME?</v>
      </c>
      <c r="AO137" s="23" t="e">
        <f t="shared" ca="1" si="1090"/>
        <v>#NAME?</v>
      </c>
      <c r="AP137" s="23" t="e">
        <f ca="1">+'QTR Raw'!J90</f>
        <v>#NAME?</v>
      </c>
      <c r="AQ137" s="23" t="e">
        <f t="shared" ca="1" si="1090"/>
        <v>#NAME?</v>
      </c>
      <c r="AR137" s="23" t="e">
        <f ca="1">+'QTR Raw'!L90</f>
        <v>#NAME?</v>
      </c>
      <c r="AS137" s="23" t="e">
        <f t="shared" ca="1" si="1090"/>
        <v>#NAME?</v>
      </c>
      <c r="AT137" s="23" t="e">
        <f ca="1">+'QTR Raw'!N90</f>
        <v>#NAME?</v>
      </c>
      <c r="AU137" s="23" t="e">
        <f t="shared" ca="1" si="1090"/>
        <v>#NAME?</v>
      </c>
      <c r="AV137" s="23" t="e">
        <f ca="1">+'QTR Raw'!P90</f>
        <v>#NAME?</v>
      </c>
      <c r="AW137" s="23" t="e">
        <f t="shared" ca="1" si="1090"/>
        <v>#NAME?</v>
      </c>
      <c r="AX137" s="23" t="e">
        <f ca="1">+'QTR Raw'!R90</f>
        <v>#NAME?</v>
      </c>
      <c r="AY137" s="23" t="e">
        <f t="shared" ca="1" si="1090"/>
        <v>#NAME?</v>
      </c>
      <c r="AZ137" s="23" t="e">
        <f ca="1">+'QTR Raw'!T90</f>
        <v>#NAME?</v>
      </c>
      <c r="BA137" s="23" t="e">
        <f t="shared" ca="1" si="1090"/>
        <v>#NAME?</v>
      </c>
      <c r="BB137" s="23" t="e">
        <f ca="1">+'QTR Raw'!V90</f>
        <v>#NAME?</v>
      </c>
      <c r="BC137" s="23" t="e">
        <f t="shared" ca="1" si="1090"/>
        <v>#NAME?</v>
      </c>
      <c r="BD137" s="23" t="e">
        <f ca="1">+'QTR Raw'!X90</f>
        <v>#NAME?</v>
      </c>
      <c r="BE137" s="23" t="e">
        <f t="shared" ca="1" si="1090"/>
        <v>#NAME?</v>
      </c>
      <c r="BF137" s="23" t="e">
        <f ca="1">+'QTR Raw'!Z90</f>
        <v>#NAME?</v>
      </c>
      <c r="BG137" s="23" t="e">
        <f t="shared" ca="1" si="1090"/>
        <v>#NAME?</v>
      </c>
      <c r="BH137" s="22" t="e">
        <f ca="1">+'QTR Raw'!AB90</f>
        <v>#NAME?</v>
      </c>
      <c r="BI137" s="23" t="e">
        <f t="shared" ca="1" si="1090"/>
        <v>#NAME?</v>
      </c>
      <c r="BJ137" s="23" t="e">
        <f ca="1">+'QTR Raw'!AD90</f>
        <v>#NAME?</v>
      </c>
      <c r="BK137" s="23" t="e">
        <f t="shared" ca="1" si="1090"/>
        <v>#NAME?</v>
      </c>
      <c r="BL137" s="23" t="e">
        <f ca="1">+'QTR Raw'!AF90</f>
        <v>#NAME?</v>
      </c>
      <c r="BM137" s="23" t="e">
        <f t="shared" ca="1" si="1090"/>
        <v>#NAME?</v>
      </c>
      <c r="BN137" s="23" t="e">
        <f ca="1">+'QTR Raw'!AH90</f>
        <v>#NAME?</v>
      </c>
      <c r="BO137" s="23" t="e">
        <f t="shared" ca="1" si="1090"/>
        <v>#NAME?</v>
      </c>
      <c r="BP137" s="23" t="e">
        <f ca="1">+'QTR Raw'!AJ90</f>
        <v>#NAME?</v>
      </c>
      <c r="BQ137" s="23" t="e">
        <f t="shared" ca="1" si="1090"/>
        <v>#NAME?</v>
      </c>
      <c r="BR137" s="23" t="e">
        <f ca="1">+'QTR Raw'!AL90</f>
        <v>#NAME?</v>
      </c>
      <c r="BS137" s="23" t="e">
        <f t="shared" ca="1" si="1090"/>
        <v>#NAME?</v>
      </c>
      <c r="BT137" s="23" t="e">
        <f ca="1">+'QTR Raw'!AN90</f>
        <v>#NAME?</v>
      </c>
      <c r="BU137" s="23" t="e">
        <f t="shared" ca="1" si="1090"/>
        <v>#NAME?</v>
      </c>
      <c r="BV137" s="23" t="e">
        <f ca="1">+'QTR Raw'!AP90</f>
        <v>#NAME?</v>
      </c>
      <c r="BW137" s="23" t="e">
        <f t="shared" ca="1" si="1090"/>
        <v>#NAME?</v>
      </c>
      <c r="BX137" s="23" t="e">
        <f ca="1">+'QTR Raw'!AR90</f>
        <v>#NAME?</v>
      </c>
      <c r="BY137" s="23" t="e">
        <f t="shared" ca="1" si="1090"/>
        <v>#NAME?</v>
      </c>
      <c r="BZ137" s="23" t="e">
        <f ca="1">+'QTR Raw'!AT90</f>
        <v>#NAME?</v>
      </c>
      <c r="CA137" s="23" t="e">
        <f t="shared" ca="1" si="1090"/>
        <v>#NAME?</v>
      </c>
      <c r="CB137" s="23" t="e">
        <f ca="1">+'QTR Raw'!AV90</f>
        <v>#NAME?</v>
      </c>
      <c r="CC137" s="23" t="e">
        <f t="shared" ca="1" si="1090"/>
        <v>#NAME?</v>
      </c>
      <c r="CD137" s="23" t="e">
        <f ca="1">+'QTR Raw'!AX90</f>
        <v>#NAME?</v>
      </c>
      <c r="CE137" s="23" t="e">
        <f t="shared" ca="1" si="1091"/>
        <v>#NAME?</v>
      </c>
      <c r="CF137" s="23" t="e">
        <f ca="1">+'QTR Raw'!AZ90</f>
        <v>#NAME?</v>
      </c>
      <c r="CG137" s="23" t="e">
        <f t="shared" ca="1" si="1092"/>
        <v>#NAME?</v>
      </c>
      <c r="CH137" s="23" t="e">
        <f ca="1">+Z137</f>
        <v>#NAME?</v>
      </c>
      <c r="CI137" s="23" t="e">
        <f t="shared" ca="1" si="1092"/>
        <v>#NAME?</v>
      </c>
      <c r="CJ137" s="23" t="e">
        <f ca="1">+'QTR Raw'!BD90</f>
        <v>#NAME?</v>
      </c>
      <c r="CK137" s="23" t="e">
        <f t="shared" ca="1" si="1093"/>
        <v>#NAME?</v>
      </c>
      <c r="CL137" s="23" t="e">
        <f ca="1">+'QTR Raw'!BF90</f>
        <v>#NAME?</v>
      </c>
      <c r="CM137" s="24" t="e">
        <f t="shared" ca="1" si="1094"/>
        <v>#NAME?</v>
      </c>
      <c r="CN137" s="24" t="e">
        <f t="shared" ca="1" si="1095"/>
        <v>#NAME?</v>
      </c>
      <c r="CO137" s="24" t="e">
        <f t="shared" ca="1" si="1096"/>
        <v>#NAME?</v>
      </c>
      <c r="CP137" s="24" t="e">
        <f t="shared" ca="1" si="1097"/>
        <v>#NAME?</v>
      </c>
      <c r="CQ137" s="24" t="e">
        <f t="shared" ca="1" si="1098"/>
        <v>#NAME?</v>
      </c>
      <c r="CR137" s="24" t="e">
        <f t="shared" ca="1" si="1099"/>
        <v>#NAME?</v>
      </c>
      <c r="CS137" s="24" t="e">
        <f t="shared" ca="1" si="1100"/>
        <v>#NAME?</v>
      </c>
      <c r="CT137" s="24" t="e">
        <f t="shared" ca="1" si="1101"/>
        <v>#NAME?</v>
      </c>
      <c r="CU137" s="24" t="e">
        <f t="shared" ca="1" si="1102"/>
        <v>#NAME?</v>
      </c>
      <c r="CV137" s="24" t="e">
        <f t="shared" ca="1" si="1103"/>
        <v>#NAME?</v>
      </c>
      <c r="CW137" s="24" t="e">
        <f t="shared" ca="1" si="1104"/>
        <v>#NAME?</v>
      </c>
      <c r="CX137" s="24" t="e">
        <f t="shared" ca="1" si="1105"/>
        <v>#NAME?</v>
      </c>
      <c r="CY137" s="24" t="e">
        <f t="shared" ca="1" si="1106"/>
        <v>#NAME?</v>
      </c>
      <c r="CZ137" s="24" t="e">
        <f t="shared" ca="1" si="1107"/>
        <v>#NAME?</v>
      </c>
      <c r="DA137" s="24" t="e">
        <f t="shared" ca="1" si="1108"/>
        <v>#NAME?</v>
      </c>
      <c r="DB137" s="24" t="e">
        <f t="shared" ca="1" si="1109"/>
        <v>#NAME?</v>
      </c>
      <c r="DE137" s="123"/>
      <c r="DF137" s="23">
        <v>0</v>
      </c>
    </row>
    <row r="138" spans="1:110" s="23" customFormat="1" outlineLevel="1" x14ac:dyDescent="0.2">
      <c r="A138" s="23" t="s">
        <v>48</v>
      </c>
      <c r="B138" s="23" t="e">
        <f ca="1">'Annual Raw'!C56</f>
        <v>#NAME?</v>
      </c>
      <c r="C138" s="23" t="e">
        <f ca="1">'Annual Raw'!D56</f>
        <v>#NAME?</v>
      </c>
      <c r="D138" s="23" t="e">
        <f ca="1">'Annual Raw'!E56</f>
        <v>#NAME?</v>
      </c>
      <c r="E138" s="23" t="e">
        <f ca="1">'Annual Raw'!F56</f>
        <v>#NAME?</v>
      </c>
      <c r="F138" s="23" t="e">
        <f ca="1">'Annual Raw'!G56</f>
        <v>#NAME?</v>
      </c>
      <c r="G138" s="23" t="e">
        <f ca="1">'Annual Raw'!H56</f>
        <v>#NAME?</v>
      </c>
      <c r="H138" s="23" t="e">
        <f ca="1">'Annual Raw'!I56</f>
        <v>#NAME?</v>
      </c>
      <c r="I138" s="23" t="e">
        <f ca="1">'Annual Raw'!J56</f>
        <v>#NAME?</v>
      </c>
      <c r="J138" s="23" t="e">
        <f ca="1">'Annual Raw'!K56</f>
        <v>#NAME?</v>
      </c>
      <c r="K138" s="23" t="e">
        <f ca="1">'Annual Raw'!L56</f>
        <v>#NAME?</v>
      </c>
      <c r="L138" s="23" t="e">
        <f ca="1">'Annual Raw'!M56</f>
        <v>#NAME?</v>
      </c>
      <c r="M138" s="23" t="e">
        <f ca="1">'Annual Raw'!N56</f>
        <v>#NAME?</v>
      </c>
      <c r="N138" s="23" t="e">
        <f ca="1">'Annual Raw'!O56</f>
        <v>#NAME?</v>
      </c>
      <c r="O138" s="23" t="e">
        <f ca="1">'Annual Raw'!P56</f>
        <v>#NAME?</v>
      </c>
      <c r="P138" s="23" t="e">
        <f ca="1">'Annual Raw'!Q56</f>
        <v>#NAME?</v>
      </c>
      <c r="Q138" s="23" t="e">
        <f ca="1">'Annual Raw'!R56</f>
        <v>#NAME?</v>
      </c>
      <c r="R138" s="23" t="e">
        <f ca="1">'Annual Raw'!S56</f>
        <v>#NAME?</v>
      </c>
      <c r="S138" s="23" t="e">
        <f ca="1">'Annual Raw'!T56</f>
        <v>#NAME?</v>
      </c>
      <c r="T138" s="23" t="e">
        <f ca="1">'Annual Raw'!U56</f>
        <v>#NAME?</v>
      </c>
      <c r="U138" s="23" t="e">
        <f ca="1">'Annual Raw'!V56</f>
        <v>#NAME?</v>
      </c>
      <c r="V138" s="23" t="e">
        <f ca="1">'Annual Raw'!W56</f>
        <v>#NAME?</v>
      </c>
      <c r="W138" s="23" t="e">
        <f ca="1">'Annual Raw'!X56</f>
        <v>#NAME?</v>
      </c>
      <c r="X138" s="23" t="e">
        <f ca="1">'Annual Raw'!Y56</f>
        <v>#NAME?</v>
      </c>
      <c r="Y138" s="23" t="e">
        <f ca="1">'Annual Raw'!Z56</f>
        <v>#NAME?</v>
      </c>
      <c r="Z138" s="23" t="e">
        <f ca="1">'Annual Raw'!AA56</f>
        <v>#NAME?</v>
      </c>
      <c r="AA138" s="23" t="e">
        <f ca="1">'Annual Raw'!AB56</f>
        <v>#NAME?</v>
      </c>
      <c r="AB138" s="24" t="e">
        <f t="shared" ca="1" si="1086"/>
        <v>#NAME?</v>
      </c>
      <c r="AC138" s="24" t="e">
        <f t="shared" ca="1" si="1087"/>
        <v>#NAME?</v>
      </c>
      <c r="AD138" s="24" t="e">
        <f t="shared" ca="1" si="1088"/>
        <v>#NAME?</v>
      </c>
      <c r="AE138" s="24" t="e">
        <f t="shared" ca="1" si="1089"/>
        <v>#NAME?</v>
      </c>
      <c r="AJ138" s="23" t="e">
        <f ca="1">+'QTR Raw'!D88</f>
        <v>#NAME?</v>
      </c>
      <c r="AK138" s="23" t="e">
        <f t="shared" ca="1" si="1090"/>
        <v>#NAME?</v>
      </c>
      <c r="AL138" s="23" t="e">
        <f ca="1">+'QTR Raw'!F88</f>
        <v>#NAME?</v>
      </c>
      <c r="AM138" s="23" t="e">
        <f t="shared" ca="1" si="1090"/>
        <v>#NAME?</v>
      </c>
      <c r="AN138" s="23" t="e">
        <f ca="1">+'QTR Raw'!H88</f>
        <v>#NAME?</v>
      </c>
      <c r="AO138" s="23" t="e">
        <f t="shared" ca="1" si="1090"/>
        <v>#NAME?</v>
      </c>
      <c r="AP138" s="23" t="e">
        <f ca="1">+'QTR Raw'!J88</f>
        <v>#NAME?</v>
      </c>
      <c r="AQ138" s="23" t="e">
        <f t="shared" ca="1" si="1090"/>
        <v>#NAME?</v>
      </c>
      <c r="AR138" s="23" t="e">
        <f ca="1">+'QTR Raw'!L88</f>
        <v>#NAME?</v>
      </c>
      <c r="AS138" s="23" t="e">
        <f t="shared" ca="1" si="1090"/>
        <v>#NAME?</v>
      </c>
      <c r="AT138" s="23" t="e">
        <f ca="1">+'QTR Raw'!N88</f>
        <v>#NAME?</v>
      </c>
      <c r="AU138" s="23" t="e">
        <f t="shared" ca="1" si="1090"/>
        <v>#NAME?</v>
      </c>
      <c r="AV138" s="23" t="e">
        <f ca="1">+'QTR Raw'!P88</f>
        <v>#NAME?</v>
      </c>
      <c r="AW138" s="23" t="e">
        <f t="shared" ca="1" si="1090"/>
        <v>#NAME?</v>
      </c>
      <c r="AX138" s="23" t="e">
        <f ca="1">+'QTR Raw'!R88</f>
        <v>#NAME?</v>
      </c>
      <c r="AY138" s="23" t="e">
        <f t="shared" ca="1" si="1090"/>
        <v>#NAME?</v>
      </c>
      <c r="AZ138" s="23" t="e">
        <f ca="1">+'QTR Raw'!T88</f>
        <v>#NAME?</v>
      </c>
      <c r="BA138" s="23" t="e">
        <f t="shared" ca="1" si="1090"/>
        <v>#NAME?</v>
      </c>
      <c r="BB138" s="23" t="e">
        <f ca="1">+'QTR Raw'!V88</f>
        <v>#NAME?</v>
      </c>
      <c r="BC138" s="23" t="e">
        <f t="shared" ca="1" si="1090"/>
        <v>#NAME?</v>
      </c>
      <c r="BD138" s="23" t="e">
        <f ca="1">+'QTR Raw'!X88</f>
        <v>#NAME?</v>
      </c>
      <c r="BE138" s="23" t="e">
        <f t="shared" ca="1" si="1090"/>
        <v>#NAME?</v>
      </c>
      <c r="BF138" s="23" t="e">
        <f ca="1">+'QTR Raw'!Z88</f>
        <v>#NAME?</v>
      </c>
      <c r="BG138" s="23" t="e">
        <f t="shared" ca="1" si="1090"/>
        <v>#NAME?</v>
      </c>
      <c r="BH138" s="23" t="e">
        <f ca="1">+'QTR Raw'!AB88</f>
        <v>#NAME?</v>
      </c>
      <c r="BI138" s="23" t="e">
        <f t="shared" ca="1" si="1090"/>
        <v>#NAME?</v>
      </c>
      <c r="BJ138" s="23" t="e">
        <f ca="1">+'QTR Raw'!AD88</f>
        <v>#NAME?</v>
      </c>
      <c r="BK138" s="23" t="e">
        <f t="shared" ca="1" si="1090"/>
        <v>#NAME?</v>
      </c>
      <c r="BL138" s="23" t="e">
        <f ca="1">+'QTR Raw'!AF88</f>
        <v>#NAME?</v>
      </c>
      <c r="BM138" s="23" t="e">
        <f t="shared" ca="1" si="1090"/>
        <v>#NAME?</v>
      </c>
      <c r="BN138" s="23" t="e">
        <f ca="1">+'QTR Raw'!AH88</f>
        <v>#NAME?</v>
      </c>
      <c r="BO138" s="23" t="e">
        <f t="shared" ca="1" si="1090"/>
        <v>#NAME?</v>
      </c>
      <c r="BP138" s="23" t="e">
        <f ca="1">+'QTR Raw'!AJ88</f>
        <v>#NAME?</v>
      </c>
      <c r="BQ138" s="23" t="e">
        <f t="shared" ca="1" si="1090"/>
        <v>#NAME?</v>
      </c>
      <c r="BR138" s="23" t="e">
        <f ca="1">+'QTR Raw'!AL88</f>
        <v>#NAME?</v>
      </c>
      <c r="BS138" s="23" t="e">
        <f t="shared" ca="1" si="1090"/>
        <v>#NAME?</v>
      </c>
      <c r="BT138" s="23" t="e">
        <f ca="1">+'QTR Raw'!AN88</f>
        <v>#NAME?</v>
      </c>
      <c r="BU138" s="23" t="e">
        <f t="shared" ca="1" si="1090"/>
        <v>#NAME?</v>
      </c>
      <c r="BV138" s="23" t="e">
        <f ca="1">+'QTR Raw'!AP88</f>
        <v>#NAME?</v>
      </c>
      <c r="BW138" s="23" t="e">
        <f t="shared" ca="1" si="1090"/>
        <v>#NAME?</v>
      </c>
      <c r="BX138" s="23" t="e">
        <f ca="1">+'QTR Raw'!AR88</f>
        <v>#NAME?</v>
      </c>
      <c r="BY138" s="23" t="e">
        <f t="shared" ca="1" si="1090"/>
        <v>#NAME?</v>
      </c>
      <c r="BZ138" s="23" t="e">
        <f ca="1">+'QTR Raw'!AT88</f>
        <v>#NAME?</v>
      </c>
      <c r="CA138" s="23" t="e">
        <f t="shared" ca="1" si="1090"/>
        <v>#NAME?</v>
      </c>
      <c r="CB138" s="23" t="e">
        <f ca="1">+'QTR Raw'!AV88</f>
        <v>#NAME?</v>
      </c>
      <c r="CC138" s="23" t="e">
        <f t="shared" ca="1" si="1090"/>
        <v>#NAME?</v>
      </c>
      <c r="CD138" s="23" t="e">
        <f ca="1">+'QTR Raw'!AX88</f>
        <v>#NAME?</v>
      </c>
      <c r="CE138" s="23" t="e">
        <f t="shared" ca="1" si="1091"/>
        <v>#NAME?</v>
      </c>
      <c r="CF138" s="23" t="e">
        <f ca="1">+'QTR Raw'!AZ88</f>
        <v>#NAME?</v>
      </c>
      <c r="CG138" s="23" t="e">
        <f t="shared" ca="1" si="1092"/>
        <v>#NAME?</v>
      </c>
      <c r="CH138" s="23" t="e">
        <f t="shared" ca="1" si="1068"/>
        <v>#NAME?</v>
      </c>
      <c r="CI138" s="23" t="e">
        <f t="shared" ca="1" si="1092"/>
        <v>#NAME?</v>
      </c>
      <c r="CJ138" s="23" t="e">
        <f ca="1">+'QTR Raw'!BD88</f>
        <v>#NAME?</v>
      </c>
      <c r="CK138" s="23" t="e">
        <f t="shared" ca="1" si="1093"/>
        <v>#NAME?</v>
      </c>
      <c r="CL138" s="23" t="e">
        <f ca="1">+'QTR Raw'!BF88</f>
        <v>#NAME?</v>
      </c>
      <c r="CM138" s="24" t="e">
        <f t="shared" ca="1" si="1094"/>
        <v>#NAME?</v>
      </c>
      <c r="CN138" s="24" t="e">
        <f t="shared" ca="1" si="1095"/>
        <v>#NAME?</v>
      </c>
      <c r="CO138" s="24" t="e">
        <f t="shared" ca="1" si="1096"/>
        <v>#NAME?</v>
      </c>
      <c r="CP138" s="24" t="e">
        <f t="shared" ca="1" si="1097"/>
        <v>#NAME?</v>
      </c>
      <c r="CQ138" s="24" t="e">
        <f t="shared" ca="1" si="1098"/>
        <v>#NAME?</v>
      </c>
      <c r="CR138" s="24" t="e">
        <f t="shared" ca="1" si="1099"/>
        <v>#NAME?</v>
      </c>
      <c r="CS138" s="24" t="e">
        <f t="shared" ca="1" si="1100"/>
        <v>#NAME?</v>
      </c>
      <c r="CT138" s="24" t="e">
        <f t="shared" ca="1" si="1101"/>
        <v>#NAME?</v>
      </c>
      <c r="CU138" s="24" t="e">
        <f t="shared" ca="1" si="1102"/>
        <v>#NAME?</v>
      </c>
      <c r="CV138" s="24" t="e">
        <f t="shared" ca="1" si="1103"/>
        <v>#NAME?</v>
      </c>
      <c r="CW138" s="24" t="e">
        <f t="shared" ca="1" si="1104"/>
        <v>#NAME?</v>
      </c>
      <c r="CX138" s="24" t="e">
        <f t="shared" ca="1" si="1105"/>
        <v>#NAME?</v>
      </c>
      <c r="CY138" s="24" t="e">
        <f t="shared" ca="1" si="1106"/>
        <v>#NAME?</v>
      </c>
      <c r="CZ138" s="24" t="e">
        <f t="shared" ca="1" si="1107"/>
        <v>#NAME?</v>
      </c>
      <c r="DA138" s="24" t="e">
        <f t="shared" ca="1" si="1108"/>
        <v>#NAME?</v>
      </c>
      <c r="DB138" s="24" t="e">
        <f t="shared" ca="1" si="1109"/>
        <v>#NAME?</v>
      </c>
      <c r="DE138" s="123"/>
      <c r="DF138" s="23">
        <v>166.09</v>
      </c>
    </row>
    <row r="139" spans="1:110" s="22" customFormat="1" x14ac:dyDescent="0.2">
      <c r="A139" s="22" t="s">
        <v>49</v>
      </c>
      <c r="B139" s="22" t="e">
        <f ca="1">SUM(B135:B138)</f>
        <v>#NAME?</v>
      </c>
      <c r="C139" s="22" t="e">
        <f t="shared" ref="C139:V139" ca="1" si="1110">SUM(C135:C138)</f>
        <v>#NAME?</v>
      </c>
      <c r="D139" s="22" t="e">
        <f t="shared" ca="1" si="1110"/>
        <v>#NAME?</v>
      </c>
      <c r="E139" s="22" t="e">
        <f t="shared" ca="1" si="1110"/>
        <v>#NAME?</v>
      </c>
      <c r="F139" s="22" t="e">
        <f t="shared" ca="1" si="1110"/>
        <v>#NAME?</v>
      </c>
      <c r="G139" s="22" t="e">
        <f t="shared" ca="1" si="1110"/>
        <v>#NAME?</v>
      </c>
      <c r="H139" s="22" t="e">
        <f t="shared" ca="1" si="1110"/>
        <v>#NAME?</v>
      </c>
      <c r="I139" s="22" t="e">
        <f t="shared" ca="1" si="1110"/>
        <v>#NAME?</v>
      </c>
      <c r="J139" s="22" t="e">
        <f t="shared" ca="1" si="1110"/>
        <v>#NAME?</v>
      </c>
      <c r="K139" s="22" t="e">
        <f t="shared" ca="1" si="1110"/>
        <v>#NAME?</v>
      </c>
      <c r="L139" s="22" t="e">
        <f t="shared" ca="1" si="1110"/>
        <v>#NAME?</v>
      </c>
      <c r="M139" s="22" t="e">
        <f t="shared" ca="1" si="1110"/>
        <v>#NAME?</v>
      </c>
      <c r="N139" s="22" t="e">
        <f t="shared" ca="1" si="1110"/>
        <v>#NAME?</v>
      </c>
      <c r="O139" s="22" t="e">
        <f t="shared" ca="1" si="1110"/>
        <v>#NAME?</v>
      </c>
      <c r="P139" s="22" t="e">
        <f t="shared" ca="1" si="1110"/>
        <v>#NAME?</v>
      </c>
      <c r="Q139" s="22" t="e">
        <f t="shared" ca="1" si="1110"/>
        <v>#NAME?</v>
      </c>
      <c r="R139" s="22" t="e">
        <f t="shared" ca="1" si="1110"/>
        <v>#NAME?</v>
      </c>
      <c r="S139" s="22" t="e">
        <f t="shared" ca="1" si="1110"/>
        <v>#NAME?</v>
      </c>
      <c r="T139" s="22" t="e">
        <f t="shared" ca="1" si="1110"/>
        <v>#NAME?</v>
      </c>
      <c r="U139" s="22" t="e">
        <f t="shared" ca="1" si="1110"/>
        <v>#NAME?</v>
      </c>
      <c r="V139" s="22" t="e">
        <f t="shared" ca="1" si="1110"/>
        <v>#NAME?</v>
      </c>
      <c r="W139" s="22" t="e">
        <f t="shared" ref="W139" ca="1" si="1111">SUM(W135:W138)</f>
        <v>#NAME?</v>
      </c>
      <c r="X139" s="22" t="e">
        <f t="shared" ref="X139:Y139" ca="1" si="1112">SUM(X135:X138)</f>
        <v>#NAME?</v>
      </c>
      <c r="Y139" s="22" t="e">
        <f t="shared" ca="1" si="1112"/>
        <v>#NAME?</v>
      </c>
      <c r="Z139" s="22" t="e">
        <f t="shared" ref="Z139:AA139" ca="1" si="1113">SUM(Z135:Z138)</f>
        <v>#NAME?</v>
      </c>
      <c r="AA139" s="22" t="e">
        <f t="shared" ca="1" si="1113"/>
        <v>#NAME?</v>
      </c>
      <c r="AB139" s="21" t="e">
        <f t="shared" ref="AA139:AD139" ca="1" si="1114">SUM(AB135:AB138)</f>
        <v>#NAME?</v>
      </c>
      <c r="AC139" s="21" t="e">
        <f t="shared" ca="1" si="1114"/>
        <v>#NAME?</v>
      </c>
      <c r="AD139" s="21" t="e">
        <f t="shared" ca="1" si="1114"/>
        <v>#NAME?</v>
      </c>
      <c r="AE139" s="21" t="e">
        <f t="shared" ref="AE139" ca="1" si="1115">SUM(AE135:AE138)</f>
        <v>#NAME?</v>
      </c>
      <c r="AJ139" s="22" t="e">
        <f t="shared" ref="AJ139" ca="1" si="1116">SUM(AJ135:AJ138)</f>
        <v>#NAME?</v>
      </c>
      <c r="AK139" s="22" t="e">
        <f t="shared" ref="AK139" ca="1" si="1117">SUM(AK135:AK138)</f>
        <v>#NAME?</v>
      </c>
      <c r="AL139" s="22" t="e">
        <f t="shared" ref="AL139:AM139" ca="1" si="1118">SUM(AL135:AL138)</f>
        <v>#NAME?</v>
      </c>
      <c r="AM139" s="22" t="e">
        <f t="shared" ca="1" si="1118"/>
        <v>#NAME?</v>
      </c>
      <c r="AN139" s="22" t="e">
        <f t="shared" ref="AN139:AO139" ca="1" si="1119">SUM(AN135:AN138)</f>
        <v>#NAME?</v>
      </c>
      <c r="AO139" s="22" t="e">
        <f t="shared" ca="1" si="1119"/>
        <v>#NAME?</v>
      </c>
      <c r="AP139" s="22" t="e">
        <f t="shared" ref="AP139:CE139" ca="1" si="1120">SUM(AP135:AP138)</f>
        <v>#NAME?</v>
      </c>
      <c r="AQ139" s="22" t="e">
        <f t="shared" ca="1" si="1120"/>
        <v>#NAME?</v>
      </c>
      <c r="AR139" s="22" t="e">
        <f t="shared" ca="1" si="1120"/>
        <v>#NAME?</v>
      </c>
      <c r="AS139" s="22" t="e">
        <f t="shared" ca="1" si="1120"/>
        <v>#NAME?</v>
      </c>
      <c r="AT139" s="22" t="e">
        <f t="shared" ca="1" si="1120"/>
        <v>#NAME?</v>
      </c>
      <c r="AU139" s="22" t="e">
        <f t="shared" ca="1" si="1120"/>
        <v>#NAME?</v>
      </c>
      <c r="AV139" s="22" t="e">
        <f t="shared" ca="1" si="1120"/>
        <v>#NAME?</v>
      </c>
      <c r="AW139" s="22" t="e">
        <f t="shared" ca="1" si="1120"/>
        <v>#NAME?</v>
      </c>
      <c r="AX139" s="22" t="e">
        <f t="shared" ca="1" si="1120"/>
        <v>#NAME?</v>
      </c>
      <c r="AY139" s="22" t="e">
        <f t="shared" ca="1" si="1120"/>
        <v>#NAME?</v>
      </c>
      <c r="AZ139" s="22" t="e">
        <f t="shared" ca="1" si="1120"/>
        <v>#NAME?</v>
      </c>
      <c r="BA139" s="22" t="e">
        <f t="shared" ca="1" si="1120"/>
        <v>#NAME?</v>
      </c>
      <c r="BB139" s="22" t="e">
        <f t="shared" ca="1" si="1120"/>
        <v>#NAME?</v>
      </c>
      <c r="BC139" s="22" t="e">
        <f t="shared" ca="1" si="1120"/>
        <v>#NAME?</v>
      </c>
      <c r="BD139" s="22" t="e">
        <f t="shared" ca="1" si="1120"/>
        <v>#NAME?</v>
      </c>
      <c r="BE139" s="22" t="e">
        <f t="shared" ca="1" si="1120"/>
        <v>#NAME?</v>
      </c>
      <c r="BF139" s="22" t="e">
        <f t="shared" ca="1" si="1120"/>
        <v>#NAME?</v>
      </c>
      <c r="BG139" s="22" t="e">
        <f t="shared" ca="1" si="1120"/>
        <v>#NAME?</v>
      </c>
      <c r="BH139" s="22" t="e">
        <f t="shared" ref="BH139" ca="1" si="1121">SUM(BH135:BH138)</f>
        <v>#NAME?</v>
      </c>
      <c r="BI139" s="22" t="e">
        <f t="shared" ca="1" si="1120"/>
        <v>#NAME?</v>
      </c>
      <c r="BJ139" s="22" t="e">
        <f t="shared" ca="1" si="1120"/>
        <v>#NAME?</v>
      </c>
      <c r="BK139" s="22" t="e">
        <f t="shared" ca="1" si="1120"/>
        <v>#NAME?</v>
      </c>
      <c r="BL139" s="22" t="e">
        <f t="shared" ca="1" si="1120"/>
        <v>#NAME?</v>
      </c>
      <c r="BM139" s="22" t="e">
        <f t="shared" ca="1" si="1120"/>
        <v>#NAME?</v>
      </c>
      <c r="BN139" s="22" t="e">
        <f t="shared" ca="1" si="1120"/>
        <v>#NAME?</v>
      </c>
      <c r="BO139" s="22" t="e">
        <f t="shared" ca="1" si="1120"/>
        <v>#NAME?</v>
      </c>
      <c r="BP139" s="22" t="e">
        <f t="shared" ca="1" si="1120"/>
        <v>#NAME?</v>
      </c>
      <c r="BQ139" s="22" t="e">
        <f t="shared" ca="1" si="1120"/>
        <v>#NAME?</v>
      </c>
      <c r="BR139" s="22" t="e">
        <f t="shared" ca="1" si="1120"/>
        <v>#NAME?</v>
      </c>
      <c r="BS139" s="22" t="e">
        <f t="shared" ca="1" si="1120"/>
        <v>#NAME?</v>
      </c>
      <c r="BT139" s="22" t="e">
        <f t="shared" ca="1" si="1120"/>
        <v>#NAME?</v>
      </c>
      <c r="BU139" s="22" t="e">
        <f t="shared" ca="1" si="1120"/>
        <v>#NAME?</v>
      </c>
      <c r="BV139" s="22" t="e">
        <f t="shared" ca="1" si="1120"/>
        <v>#NAME?</v>
      </c>
      <c r="BW139" s="22" t="e">
        <f t="shared" ca="1" si="1120"/>
        <v>#NAME?</v>
      </c>
      <c r="BX139" s="22" t="e">
        <f t="shared" ca="1" si="1120"/>
        <v>#NAME?</v>
      </c>
      <c r="BY139" s="22" t="e">
        <f t="shared" ca="1" si="1120"/>
        <v>#NAME?</v>
      </c>
      <c r="BZ139" s="22" t="e">
        <f t="shared" ca="1" si="1120"/>
        <v>#NAME?</v>
      </c>
      <c r="CA139" s="22" t="e">
        <f t="shared" ca="1" si="1120"/>
        <v>#NAME?</v>
      </c>
      <c r="CB139" s="22" t="e">
        <f t="shared" ca="1" si="1120"/>
        <v>#NAME?</v>
      </c>
      <c r="CC139" s="22" t="e">
        <f t="shared" ca="1" si="1120"/>
        <v>#NAME?</v>
      </c>
      <c r="CD139" s="22" t="e">
        <f t="shared" ca="1" si="1120"/>
        <v>#NAME?</v>
      </c>
      <c r="CE139" s="22" t="e">
        <f t="shared" ca="1" si="1120"/>
        <v>#NAME?</v>
      </c>
      <c r="CF139" s="22" t="e">
        <f t="shared" ref="CF139:CG139" ca="1" si="1122">SUM(CF135:CF138)</f>
        <v>#NAME?</v>
      </c>
      <c r="CG139" s="22" t="e">
        <f t="shared" ca="1" si="1122"/>
        <v>#NAME?</v>
      </c>
      <c r="CH139" s="22" t="e">
        <f t="shared" ref="CH139:CI139" ca="1" si="1123">SUM(CH135:CH138)</f>
        <v>#NAME?</v>
      </c>
      <c r="CI139" s="22" t="e">
        <f t="shared" ca="1" si="1123"/>
        <v>#NAME?</v>
      </c>
      <c r="CJ139" s="22" t="e">
        <f t="shared" ref="CJ139:DB139" ca="1" si="1124">SUM(CJ135:CJ138)</f>
        <v>#NAME?</v>
      </c>
      <c r="CK139" s="22" t="e">
        <f t="shared" ca="1" si="1124"/>
        <v>#NAME?</v>
      </c>
      <c r="CL139" s="22" t="e">
        <f t="shared" ref="CL139" ca="1" si="1125">SUM(CL135:CL138)</f>
        <v>#NAME?</v>
      </c>
      <c r="CM139" s="21" t="e">
        <f t="shared" ca="1" si="1124"/>
        <v>#NAME?</v>
      </c>
      <c r="CN139" s="21" t="e">
        <f t="shared" ca="1" si="1124"/>
        <v>#NAME?</v>
      </c>
      <c r="CO139" s="21" t="e">
        <f t="shared" ca="1" si="1124"/>
        <v>#NAME?</v>
      </c>
      <c r="CP139" s="21" t="e">
        <f t="shared" ca="1" si="1124"/>
        <v>#NAME?</v>
      </c>
      <c r="CQ139" s="21" t="e">
        <f t="shared" ca="1" si="1124"/>
        <v>#NAME?</v>
      </c>
      <c r="CR139" s="21" t="e">
        <f t="shared" ca="1" si="1124"/>
        <v>#NAME?</v>
      </c>
      <c r="CS139" s="21" t="e">
        <f t="shared" ca="1" si="1124"/>
        <v>#NAME?</v>
      </c>
      <c r="CT139" s="21" t="e">
        <f t="shared" ca="1" si="1124"/>
        <v>#NAME?</v>
      </c>
      <c r="CU139" s="21" t="e">
        <f t="shared" ca="1" si="1124"/>
        <v>#NAME?</v>
      </c>
      <c r="CV139" s="21" t="e">
        <f t="shared" ca="1" si="1124"/>
        <v>#NAME?</v>
      </c>
      <c r="CW139" s="21" t="e">
        <f t="shared" ca="1" si="1124"/>
        <v>#NAME?</v>
      </c>
      <c r="CX139" s="21" t="e">
        <f t="shared" ca="1" si="1124"/>
        <v>#NAME?</v>
      </c>
      <c r="CY139" s="21" t="e">
        <f t="shared" ca="1" si="1124"/>
        <v>#NAME?</v>
      </c>
      <c r="CZ139" s="21" t="e">
        <f t="shared" ca="1" si="1124"/>
        <v>#NAME?</v>
      </c>
      <c r="DA139" s="21" t="e">
        <f t="shared" ca="1" si="1124"/>
        <v>#NAME?</v>
      </c>
      <c r="DB139" s="21" t="e">
        <f t="shared" ca="1" si="1124"/>
        <v>#NAME?</v>
      </c>
      <c r="DE139" s="126"/>
      <c r="DF139" s="22">
        <v>222.4</v>
      </c>
    </row>
    <row r="140" spans="1:110" s="26" customFormat="1" x14ac:dyDescent="0.2">
      <c r="A140" s="26" t="s">
        <v>437</v>
      </c>
      <c r="B140" s="26" t="e">
        <f ca="1">B139+B131+B133</f>
        <v>#NAME?</v>
      </c>
      <c r="C140" s="26" t="e">
        <f t="shared" ref="C140:V140" ca="1" si="1126">C139+C131+C133</f>
        <v>#NAME?</v>
      </c>
      <c r="D140" s="26" t="e">
        <f ca="1">D139+D131+D133</f>
        <v>#NAME?</v>
      </c>
      <c r="E140" s="26" t="e">
        <f t="shared" ca="1" si="1126"/>
        <v>#NAME?</v>
      </c>
      <c r="F140" s="26" t="e">
        <f t="shared" ca="1" si="1126"/>
        <v>#NAME?</v>
      </c>
      <c r="G140" s="26" t="e">
        <f t="shared" ca="1" si="1126"/>
        <v>#NAME?</v>
      </c>
      <c r="H140" s="26" t="e">
        <f t="shared" ca="1" si="1126"/>
        <v>#NAME?</v>
      </c>
      <c r="I140" s="26" t="e">
        <f t="shared" ca="1" si="1126"/>
        <v>#NAME?</v>
      </c>
      <c r="J140" s="26" t="e">
        <f t="shared" ca="1" si="1126"/>
        <v>#NAME?</v>
      </c>
      <c r="K140" s="26" t="e">
        <f t="shared" ca="1" si="1126"/>
        <v>#NAME?</v>
      </c>
      <c r="L140" s="26" t="e">
        <f t="shared" ca="1" si="1126"/>
        <v>#NAME?</v>
      </c>
      <c r="M140" s="26" t="e">
        <f t="shared" ca="1" si="1126"/>
        <v>#NAME?</v>
      </c>
      <c r="N140" s="26" t="e">
        <f t="shared" ca="1" si="1126"/>
        <v>#NAME?</v>
      </c>
      <c r="O140" s="26" t="e">
        <f t="shared" ca="1" si="1126"/>
        <v>#NAME?</v>
      </c>
      <c r="P140" s="26" t="e">
        <f t="shared" ca="1" si="1126"/>
        <v>#NAME?</v>
      </c>
      <c r="Q140" s="26" t="e">
        <f t="shared" ca="1" si="1126"/>
        <v>#NAME?</v>
      </c>
      <c r="R140" s="26" t="e">
        <f t="shared" ca="1" si="1126"/>
        <v>#NAME?</v>
      </c>
      <c r="S140" s="26" t="e">
        <f t="shared" ca="1" si="1126"/>
        <v>#NAME?</v>
      </c>
      <c r="T140" s="26" t="e">
        <f t="shared" ca="1" si="1126"/>
        <v>#NAME?</v>
      </c>
      <c r="U140" s="26" t="e">
        <f t="shared" ca="1" si="1126"/>
        <v>#NAME?</v>
      </c>
      <c r="V140" s="26" t="e">
        <f t="shared" ca="1" si="1126"/>
        <v>#NAME?</v>
      </c>
      <c r="W140" s="26" t="e">
        <f t="shared" ref="W140" ca="1" si="1127">W139+W131+W133</f>
        <v>#NAME?</v>
      </c>
      <c r="X140" s="26" t="e">
        <f t="shared" ref="X140:Y140" ca="1" si="1128">X139+X131+X133</f>
        <v>#NAME?</v>
      </c>
      <c r="Y140" s="26" t="e">
        <f t="shared" ca="1" si="1128"/>
        <v>#NAME?</v>
      </c>
      <c r="Z140" s="26" t="e">
        <f t="shared" ref="Z140:AA140" ca="1" si="1129">Z139+Z131+Z133</f>
        <v>#NAME?</v>
      </c>
      <c r="AA140" s="26" t="e">
        <f t="shared" ca="1" si="1129"/>
        <v>#NAME?</v>
      </c>
      <c r="AB140" s="27" t="e">
        <f t="shared" ref="AA140:AD140" ca="1" si="1130">AB139+AB131+AB133</f>
        <v>#NAME?</v>
      </c>
      <c r="AC140" s="27" t="e">
        <f t="shared" ca="1" si="1130"/>
        <v>#NAME?</v>
      </c>
      <c r="AD140" s="27" t="e">
        <f t="shared" ca="1" si="1130"/>
        <v>#NAME?</v>
      </c>
      <c r="AE140" s="27" t="e">
        <f t="shared" ref="AE140" ca="1" si="1131">AE139+AE131+AE133</f>
        <v>#NAME?</v>
      </c>
      <c r="AJ140" s="26" t="e">
        <f t="shared" ref="AJ140" ca="1" si="1132">AJ139+AJ131+AJ133</f>
        <v>#NAME?</v>
      </c>
      <c r="AK140" s="26" t="e">
        <f t="shared" ref="AK140" ca="1" si="1133">AK139+AK131+AK133</f>
        <v>#NAME?</v>
      </c>
      <c r="AL140" s="26" t="e">
        <f t="shared" ref="AL140" ca="1" si="1134">AL139+AL131+AL133</f>
        <v>#NAME?</v>
      </c>
      <c r="AM140" s="26" t="e">
        <f t="shared" ref="AM140:AO140" ca="1" si="1135">AM139+AM131+AM133</f>
        <v>#NAME?</v>
      </c>
      <c r="AN140" s="26" t="e">
        <f t="shared" ca="1" si="1135"/>
        <v>#NAME?</v>
      </c>
      <c r="AO140" s="26" t="e">
        <f t="shared" ca="1" si="1135"/>
        <v>#NAME?</v>
      </c>
      <c r="AP140" s="26" t="e">
        <f t="shared" ref="AP140:CE140" ca="1" si="1136">AP139+AP131+AP133</f>
        <v>#NAME?</v>
      </c>
      <c r="AQ140" s="26" t="e">
        <f t="shared" ca="1" si="1136"/>
        <v>#NAME?</v>
      </c>
      <c r="AR140" s="26" t="e">
        <f t="shared" ca="1" si="1136"/>
        <v>#NAME?</v>
      </c>
      <c r="AS140" s="26" t="e">
        <f t="shared" ca="1" si="1136"/>
        <v>#NAME?</v>
      </c>
      <c r="AT140" s="26" t="e">
        <f t="shared" ca="1" si="1136"/>
        <v>#NAME?</v>
      </c>
      <c r="AU140" s="26" t="e">
        <f t="shared" ca="1" si="1136"/>
        <v>#NAME?</v>
      </c>
      <c r="AV140" s="26" t="e">
        <f t="shared" ca="1" si="1136"/>
        <v>#NAME?</v>
      </c>
      <c r="AW140" s="26" t="e">
        <f t="shared" ca="1" si="1136"/>
        <v>#NAME?</v>
      </c>
      <c r="AX140" s="26" t="e">
        <f t="shared" ca="1" si="1136"/>
        <v>#NAME?</v>
      </c>
      <c r="AY140" s="26" t="e">
        <f t="shared" ca="1" si="1136"/>
        <v>#NAME?</v>
      </c>
      <c r="AZ140" s="26" t="e">
        <f t="shared" ca="1" si="1136"/>
        <v>#NAME?</v>
      </c>
      <c r="BA140" s="26" t="e">
        <f t="shared" ca="1" si="1136"/>
        <v>#NAME?</v>
      </c>
      <c r="BB140" s="26" t="e">
        <f t="shared" ca="1" si="1136"/>
        <v>#NAME?</v>
      </c>
      <c r="BC140" s="26" t="e">
        <f t="shared" ca="1" si="1136"/>
        <v>#NAME?</v>
      </c>
      <c r="BD140" s="26" t="e">
        <f t="shared" ca="1" si="1136"/>
        <v>#NAME?</v>
      </c>
      <c r="BE140" s="26" t="e">
        <f t="shared" ca="1" si="1136"/>
        <v>#NAME?</v>
      </c>
      <c r="BF140" s="26" t="e">
        <f t="shared" ca="1" si="1136"/>
        <v>#NAME?</v>
      </c>
      <c r="BG140" s="26" t="e">
        <f t="shared" ca="1" si="1136"/>
        <v>#NAME?</v>
      </c>
      <c r="BH140" s="26" t="e">
        <f t="shared" ref="BH140" ca="1" si="1137">BH139+BH131+BH133</f>
        <v>#NAME?</v>
      </c>
      <c r="BI140" s="26" t="e">
        <f t="shared" ca="1" si="1136"/>
        <v>#NAME?</v>
      </c>
      <c r="BJ140" s="26" t="e">
        <f t="shared" ca="1" si="1136"/>
        <v>#NAME?</v>
      </c>
      <c r="BK140" s="26" t="e">
        <f t="shared" ca="1" si="1136"/>
        <v>#NAME?</v>
      </c>
      <c r="BL140" s="26" t="e">
        <f t="shared" ca="1" si="1136"/>
        <v>#NAME?</v>
      </c>
      <c r="BM140" s="26" t="e">
        <f t="shared" ca="1" si="1136"/>
        <v>#NAME?</v>
      </c>
      <c r="BN140" s="26" t="e">
        <f t="shared" ca="1" si="1136"/>
        <v>#NAME?</v>
      </c>
      <c r="BO140" s="26" t="e">
        <f t="shared" ca="1" si="1136"/>
        <v>#NAME?</v>
      </c>
      <c r="BP140" s="26" t="e">
        <f t="shared" ca="1" si="1136"/>
        <v>#NAME?</v>
      </c>
      <c r="BQ140" s="26" t="e">
        <f t="shared" ca="1" si="1136"/>
        <v>#NAME?</v>
      </c>
      <c r="BR140" s="26" t="e">
        <f t="shared" ca="1" si="1136"/>
        <v>#NAME?</v>
      </c>
      <c r="BS140" s="26" t="e">
        <f t="shared" ca="1" si="1136"/>
        <v>#NAME?</v>
      </c>
      <c r="BT140" s="26" t="e">
        <f t="shared" ca="1" si="1136"/>
        <v>#NAME?</v>
      </c>
      <c r="BU140" s="26" t="e">
        <f t="shared" ca="1" si="1136"/>
        <v>#NAME?</v>
      </c>
      <c r="BV140" s="26" t="e">
        <f t="shared" ca="1" si="1136"/>
        <v>#NAME?</v>
      </c>
      <c r="BW140" s="26" t="e">
        <f t="shared" ca="1" si="1136"/>
        <v>#NAME?</v>
      </c>
      <c r="BX140" s="26" t="e">
        <f t="shared" ca="1" si="1136"/>
        <v>#NAME?</v>
      </c>
      <c r="BY140" s="26" t="e">
        <f t="shared" ca="1" si="1136"/>
        <v>#NAME?</v>
      </c>
      <c r="BZ140" s="26" t="e">
        <f t="shared" ca="1" si="1136"/>
        <v>#NAME?</v>
      </c>
      <c r="CA140" s="26" t="e">
        <f t="shared" ca="1" si="1136"/>
        <v>#NAME?</v>
      </c>
      <c r="CB140" s="26" t="e">
        <f t="shared" ca="1" si="1136"/>
        <v>#NAME?</v>
      </c>
      <c r="CC140" s="26" t="e">
        <f t="shared" ca="1" si="1136"/>
        <v>#NAME?</v>
      </c>
      <c r="CD140" s="26" t="e">
        <f t="shared" ca="1" si="1136"/>
        <v>#NAME?</v>
      </c>
      <c r="CE140" s="26" t="e">
        <f t="shared" ca="1" si="1136"/>
        <v>#NAME?</v>
      </c>
      <c r="CF140" s="26" t="e">
        <f t="shared" ref="CF140:CG140" ca="1" si="1138">CF139+CF131+CF133</f>
        <v>#NAME?</v>
      </c>
      <c r="CG140" s="26" t="e">
        <f t="shared" ca="1" si="1138"/>
        <v>#NAME?</v>
      </c>
      <c r="CH140" s="26" t="e">
        <f t="shared" ref="CH140:CI140" ca="1" si="1139">CH139+CH131+CH133</f>
        <v>#NAME?</v>
      </c>
      <c r="CI140" s="26" t="e">
        <f t="shared" ca="1" si="1139"/>
        <v>#NAME?</v>
      </c>
      <c r="CJ140" s="26" t="e">
        <f t="shared" ref="CJ140:DB140" ca="1" si="1140">CJ139+CJ131+CJ133</f>
        <v>#NAME?</v>
      </c>
      <c r="CK140" s="26" t="e">
        <f t="shared" ca="1" si="1140"/>
        <v>#NAME?</v>
      </c>
      <c r="CL140" s="26" t="e">
        <f t="shared" ref="CL140" ca="1" si="1141">CL139+CL131+CL133</f>
        <v>#NAME?</v>
      </c>
      <c r="CM140" s="27" t="e">
        <f t="shared" ca="1" si="1140"/>
        <v>#NAME?</v>
      </c>
      <c r="CN140" s="27" t="e">
        <f t="shared" ca="1" si="1140"/>
        <v>#NAME?</v>
      </c>
      <c r="CO140" s="27" t="e">
        <f t="shared" ca="1" si="1140"/>
        <v>#NAME?</v>
      </c>
      <c r="CP140" s="27" t="e">
        <f t="shared" ca="1" si="1140"/>
        <v>#NAME?</v>
      </c>
      <c r="CQ140" s="27" t="e">
        <f t="shared" ca="1" si="1140"/>
        <v>#NAME?</v>
      </c>
      <c r="CR140" s="27" t="e">
        <f t="shared" ca="1" si="1140"/>
        <v>#NAME?</v>
      </c>
      <c r="CS140" s="27" t="e">
        <f t="shared" ca="1" si="1140"/>
        <v>#NAME?</v>
      </c>
      <c r="CT140" s="27" t="e">
        <f t="shared" ca="1" si="1140"/>
        <v>#NAME?</v>
      </c>
      <c r="CU140" s="27" t="e">
        <f t="shared" ca="1" si="1140"/>
        <v>#NAME?</v>
      </c>
      <c r="CV140" s="27" t="e">
        <f t="shared" ca="1" si="1140"/>
        <v>#NAME?</v>
      </c>
      <c r="CW140" s="27" t="e">
        <f t="shared" ca="1" si="1140"/>
        <v>#NAME?</v>
      </c>
      <c r="CX140" s="27" t="e">
        <f t="shared" ca="1" si="1140"/>
        <v>#NAME?</v>
      </c>
      <c r="CY140" s="27" t="e">
        <f t="shared" ca="1" si="1140"/>
        <v>#NAME?</v>
      </c>
      <c r="CZ140" s="27" t="e">
        <f t="shared" ca="1" si="1140"/>
        <v>#NAME?</v>
      </c>
      <c r="DA140" s="27" t="e">
        <f t="shared" ca="1" si="1140"/>
        <v>#NAME?</v>
      </c>
      <c r="DB140" s="27" t="e">
        <f t="shared" ca="1" si="1140"/>
        <v>#NAME?</v>
      </c>
      <c r="DE140" s="121"/>
      <c r="DF140" s="26">
        <v>500.50800000000004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50</v>
      </c>
      <c r="B142" s="23" t="e">
        <f ca="1">'Annual Raw'!C62</f>
        <v>#NAME?</v>
      </c>
      <c r="C142" s="23" t="e">
        <f ca="1">'Annual Raw'!D62</f>
        <v>#NAME?</v>
      </c>
      <c r="D142" s="23" t="e">
        <f ca="1">'Annual Raw'!E62</f>
        <v>#NAME?</v>
      </c>
      <c r="E142" s="23" t="e">
        <f ca="1">'Annual Raw'!F62-E146</f>
        <v>#NAME?</v>
      </c>
      <c r="F142" s="23" t="e">
        <f ca="1">'Annual Raw'!G62-F146</f>
        <v>#NAME?</v>
      </c>
      <c r="G142" s="23" t="e">
        <f ca="1">'Annual Raw'!H62-G146</f>
        <v>#NAME?</v>
      </c>
      <c r="H142" s="23" t="e">
        <f ca="1">'Annual Raw'!I62-H146</f>
        <v>#NAME?</v>
      </c>
      <c r="I142" s="23" t="e">
        <f ca="1">'Annual Raw'!J62-I146</f>
        <v>#NAME?</v>
      </c>
      <c r="J142" s="23" t="e">
        <f ca="1">'Annual Raw'!K62-J146</f>
        <v>#NAME?</v>
      </c>
      <c r="K142" s="23" t="e">
        <f ca="1">'Annual Raw'!L62-K146</f>
        <v>#NAME?</v>
      </c>
      <c r="L142" s="23" t="e">
        <f ca="1">'Annual Raw'!M62-L146</f>
        <v>#NAME?</v>
      </c>
      <c r="M142" s="23" t="e">
        <f ca="1">'Annual Raw'!N62-M146</f>
        <v>#NAME?</v>
      </c>
      <c r="N142" s="23" t="e">
        <f ca="1">'Annual Raw'!O62-N146</f>
        <v>#NAME?</v>
      </c>
      <c r="O142" s="23" t="e">
        <f ca="1">'Annual Raw'!P62-O146</f>
        <v>#NAME?</v>
      </c>
      <c r="P142" s="23" t="e">
        <f ca="1">'Annual Raw'!Q62-P146</f>
        <v>#NAME?</v>
      </c>
      <c r="Q142" s="23" t="e">
        <f ca="1">'Annual Raw'!R62-Q146</f>
        <v>#NAME?</v>
      </c>
      <c r="R142" s="23" t="e">
        <f ca="1">'Annual Raw'!S62-R146</f>
        <v>#NAME?</v>
      </c>
      <c r="S142" s="23" t="e">
        <f ca="1">'Annual Raw'!T62-S146</f>
        <v>#NAME?</v>
      </c>
      <c r="T142" s="23" t="e">
        <f ca="1">'Annual Raw'!U62-T146</f>
        <v>#NAME?</v>
      </c>
      <c r="U142" s="23" t="e">
        <f ca="1">'Annual Raw'!V62-U146</f>
        <v>#NAME?</v>
      </c>
      <c r="V142" s="23" t="e">
        <f ca="1">'Annual Raw'!W62-V146</f>
        <v>#NAME?</v>
      </c>
      <c r="W142" s="23" t="e">
        <f ca="1">'Annual Raw'!X62-W146</f>
        <v>#NAME?</v>
      </c>
      <c r="X142" s="23" t="e">
        <f ca="1">'Annual Raw'!Y62-X146</f>
        <v>#NAME?</v>
      </c>
      <c r="Y142" s="23" t="e">
        <f ca="1">'Annual Raw'!Z62-Y146</f>
        <v>#NAME?</v>
      </c>
      <c r="Z142" s="23" t="e">
        <f ca="1">'Annual Raw'!AA62-Z146</f>
        <v>#NAME?</v>
      </c>
      <c r="AA142" s="23" t="e">
        <f ca="1">'Annual Raw'!AB62-AA146</f>
        <v>#NAME?</v>
      </c>
      <c r="AB142" s="24" t="e">
        <f t="shared" ref="AB142:AB148" ca="1" si="1142">+CP142</f>
        <v>#NAME?</v>
      </c>
      <c r="AC142" s="24" t="e">
        <f t="shared" ref="AC142:AC148" ca="1" si="1143">+CT142</f>
        <v>#NAME?</v>
      </c>
      <c r="AD142" s="24" t="e">
        <f t="shared" ref="AD142:AD148" ca="1" si="1144">+CX142</f>
        <v>#NAME?</v>
      </c>
      <c r="AE142" s="24" t="e">
        <f t="shared" ref="AE142:AE148" ca="1" si="1145">+DB142</f>
        <v>#NAME?</v>
      </c>
      <c r="AJ142" s="23" t="e">
        <f ca="1">+'QTR Raw'!D68</f>
        <v>#NAME?</v>
      </c>
      <c r="AL142" s="23" t="e">
        <f ca="1">+'QTR Raw'!F68</f>
        <v>#NAME?</v>
      </c>
      <c r="AN142" s="23" t="e">
        <f ca="1">+'QTR Raw'!H68</f>
        <v>#NAME?</v>
      </c>
      <c r="AP142" s="23" t="e">
        <f ca="1">+'QTR Raw'!J68</f>
        <v>#NAME?</v>
      </c>
      <c r="AR142" s="23" t="e">
        <f ca="1">+'QTR Raw'!L68</f>
        <v>#NAME?</v>
      </c>
      <c r="AT142" s="23" t="e">
        <f ca="1">+'QTR Raw'!N68</f>
        <v>#NAME?</v>
      </c>
      <c r="AV142" s="23" t="e">
        <f ca="1">+'QTR Raw'!P68</f>
        <v>#NAME?</v>
      </c>
      <c r="AX142" s="23" t="e">
        <f ca="1">+'QTR Raw'!R68</f>
        <v>#NAME?</v>
      </c>
      <c r="AZ142" s="23" t="e">
        <f ca="1">+'QTR Raw'!T68</f>
        <v>#NAME?</v>
      </c>
      <c r="BB142" s="23" t="e">
        <f ca="1">+'QTR Raw'!V68</f>
        <v>#NAME?</v>
      </c>
      <c r="BD142" s="23" t="e">
        <f ca="1">+'QTR Raw'!X68</f>
        <v>#NAME?</v>
      </c>
      <c r="BF142" s="23" t="e">
        <f ca="1">+'QTR Raw'!Z68</f>
        <v>#NAME?</v>
      </c>
      <c r="BH142" s="23" t="e">
        <f ca="1">+'QTR Raw'!AB68</f>
        <v>#NAME?</v>
      </c>
      <c r="BJ142" s="23" t="e">
        <f ca="1">+'QTR Raw'!AD68</f>
        <v>#NAME?</v>
      </c>
      <c r="BL142" s="23" t="e">
        <f ca="1">+'QTR Raw'!AF68</f>
        <v>#NAME?</v>
      </c>
      <c r="BN142" s="23" t="e">
        <f ca="1">+'QTR Raw'!AH68</f>
        <v>#NAME?</v>
      </c>
      <c r="BP142" s="23" t="e">
        <f ca="1">+'QTR Raw'!AJ68</f>
        <v>#NAME?</v>
      </c>
      <c r="BR142" s="23" t="e">
        <f ca="1">+'QTR Raw'!AL68</f>
        <v>#NAME?</v>
      </c>
      <c r="BT142" s="23" t="e">
        <f ca="1">+'QTR Raw'!AN68</f>
        <v>#NAME?</v>
      </c>
      <c r="BV142" s="23" t="e">
        <f ca="1">+'QTR Raw'!AP68</f>
        <v>#NAME?</v>
      </c>
      <c r="BX142" s="23" t="e">
        <f ca="1">+'QTR Raw'!AR68</f>
        <v>#NAME?</v>
      </c>
      <c r="BZ142" s="23" t="e">
        <f ca="1">+'QTR Raw'!AT68</f>
        <v>#NAME?</v>
      </c>
      <c r="CB142" s="23" t="e">
        <f ca="1">+'QTR Raw'!AV68</f>
        <v>#NAME?</v>
      </c>
      <c r="CD142" s="23" t="e">
        <f ca="1">+'QTR Raw'!AX68</f>
        <v>#NAME?</v>
      </c>
      <c r="CF142" s="23" t="e">
        <f ca="1">+'QTR Raw'!AZ68</f>
        <v>#NAME?</v>
      </c>
      <c r="CH142" s="23" t="e">
        <f t="shared" ref="CH142:CH148" ca="1" si="1146">Z142</f>
        <v>#NAME?</v>
      </c>
      <c r="CI142" s="23" t="e">
        <f ca="1">CH142</f>
        <v>#NAME?</v>
      </c>
      <c r="CJ142" s="23" t="e">
        <f ca="1">+CJ143+CJ145</f>
        <v>#NAME?</v>
      </c>
      <c r="CK142" s="23" t="e">
        <f t="shared" ref="CK142:DB142" ca="1" si="1147">+CK143+CK145</f>
        <v>#NAME?</v>
      </c>
      <c r="CL142" s="23" t="e">
        <f ca="1">+CL143+CL145</f>
        <v>#NAME?</v>
      </c>
      <c r="CM142" s="24" t="e">
        <f t="shared" ca="1" si="1147"/>
        <v>#NAME?</v>
      </c>
      <c r="CN142" s="24" t="e">
        <f t="shared" ca="1" si="1147"/>
        <v>#NAME?</v>
      </c>
      <c r="CO142" s="24" t="e">
        <f t="shared" ca="1" si="1147"/>
        <v>#NAME?</v>
      </c>
      <c r="CP142" s="24" t="e">
        <f t="shared" ca="1" si="1147"/>
        <v>#NAME?</v>
      </c>
      <c r="CQ142" s="24" t="e">
        <f t="shared" ca="1" si="1147"/>
        <v>#NAME?</v>
      </c>
      <c r="CR142" s="24" t="e">
        <f t="shared" ca="1" si="1147"/>
        <v>#NAME?</v>
      </c>
      <c r="CS142" s="24" t="e">
        <f t="shared" ca="1" si="1147"/>
        <v>#NAME?</v>
      </c>
      <c r="CT142" s="24" t="e">
        <f t="shared" ca="1" si="1147"/>
        <v>#NAME?</v>
      </c>
      <c r="CU142" s="24" t="e">
        <f t="shared" ca="1" si="1147"/>
        <v>#NAME?</v>
      </c>
      <c r="CV142" s="24" t="e">
        <f t="shared" ca="1" si="1147"/>
        <v>#NAME?</v>
      </c>
      <c r="CW142" s="24" t="e">
        <f t="shared" ca="1" si="1147"/>
        <v>#NAME?</v>
      </c>
      <c r="CX142" s="24" t="e">
        <f t="shared" ca="1" si="1147"/>
        <v>#NAME?</v>
      </c>
      <c r="CY142" s="24" t="e">
        <f t="shared" ca="1" si="1147"/>
        <v>#NAME?</v>
      </c>
      <c r="CZ142" s="24" t="e">
        <f t="shared" ca="1" si="1147"/>
        <v>#NAME?</v>
      </c>
      <c r="DA142" s="24" t="e">
        <f t="shared" ca="1" si="1147"/>
        <v>#NAME?</v>
      </c>
      <c r="DB142" s="24" t="e">
        <f t="shared" ca="1" si="1147"/>
        <v>#NAME?</v>
      </c>
      <c r="DE142" s="123"/>
      <c r="DF142" s="23">
        <v>154.23689999999999</v>
      </c>
    </row>
    <row r="143" spans="1:110" s="23" customFormat="1" outlineLevel="1" x14ac:dyDescent="0.2">
      <c r="A143" s="23" t="s">
        <v>51</v>
      </c>
      <c r="B143" s="23" t="e">
        <f ca="1">'Annual Raw'!C63</f>
        <v>#NAME?</v>
      </c>
      <c r="C143" s="23" t="e">
        <f ca="1">'Annual Raw'!D63</f>
        <v>#NAME?</v>
      </c>
      <c r="D143" s="23" t="e">
        <f ca="1">'Annual Raw'!E63</f>
        <v>#NAME?</v>
      </c>
      <c r="E143" s="23" t="e">
        <f ca="1">'Annual Raw'!F63</f>
        <v>#NAME?</v>
      </c>
      <c r="F143" s="23" t="e">
        <f ca="1">'Annual Raw'!G63</f>
        <v>#NAME?</v>
      </c>
      <c r="G143" s="23" t="e">
        <f ca="1">'Annual Raw'!H63</f>
        <v>#NAME?</v>
      </c>
      <c r="H143" s="23" t="e">
        <f ca="1">'Annual Raw'!I63</f>
        <v>#NAME?</v>
      </c>
      <c r="I143" s="23" t="e">
        <f ca="1">'Annual Raw'!J63</f>
        <v>#NAME?</v>
      </c>
      <c r="J143" s="23" t="e">
        <f ca="1">'Annual Raw'!K63</f>
        <v>#NAME?</v>
      </c>
      <c r="K143" s="23" t="e">
        <f ca="1">'Annual Raw'!L63</f>
        <v>#NAME?</v>
      </c>
      <c r="L143" s="23" t="e">
        <f ca="1">'Annual Raw'!M63</f>
        <v>#NAME?</v>
      </c>
      <c r="M143" s="23" t="e">
        <f ca="1">'Annual Raw'!N63</f>
        <v>#NAME?</v>
      </c>
      <c r="N143" s="23" t="e">
        <f ca="1">'Annual Raw'!O63</f>
        <v>#NAME?</v>
      </c>
      <c r="O143" s="23" t="e">
        <f ca="1">'Annual Raw'!P63</f>
        <v>#NAME?</v>
      </c>
      <c r="P143" s="23" t="e">
        <f ca="1">'Annual Raw'!Q63</f>
        <v>#NAME?</v>
      </c>
      <c r="Q143" s="23" t="e">
        <f ca="1">'Annual Raw'!R63</f>
        <v>#NAME?</v>
      </c>
      <c r="R143" s="23" t="e">
        <f ca="1">'Annual Raw'!S63</f>
        <v>#NAME?</v>
      </c>
      <c r="S143" s="23" t="e">
        <f ca="1">'Annual Raw'!T63</f>
        <v>#NAME?</v>
      </c>
      <c r="T143" s="23" t="e">
        <f ca="1">'Annual Raw'!U63</f>
        <v>#NAME?</v>
      </c>
      <c r="U143" s="23" t="e">
        <f ca="1">'Annual Raw'!V63</f>
        <v>#NAME?</v>
      </c>
      <c r="V143" s="23" t="e">
        <f ca="1">'Annual Raw'!W63</f>
        <v>#NAME?</v>
      </c>
      <c r="W143" s="23" t="e">
        <f ca="1">'Annual Raw'!X63</f>
        <v>#NAME?</v>
      </c>
      <c r="X143" s="23" t="e">
        <f ca="1">'Annual Raw'!Y63</f>
        <v>#NAME?</v>
      </c>
      <c r="Y143" s="23" t="e">
        <f ca="1">'Annual Raw'!Z63</f>
        <v>#NAME?</v>
      </c>
      <c r="Z143" s="23" t="e">
        <f ca="1">'Annual Raw'!AA63</f>
        <v>#NAME?</v>
      </c>
      <c r="AA143" s="23" t="e">
        <f ca="1">'Annual Raw'!AB63</f>
        <v>#NAME?</v>
      </c>
      <c r="AB143" s="24" t="e">
        <f t="shared" ca="1" si="1142"/>
        <v>#NAME?</v>
      </c>
      <c r="AC143" s="24" t="e">
        <f t="shared" ca="1" si="1143"/>
        <v>#NAME?</v>
      </c>
      <c r="AD143" s="24" t="e">
        <f t="shared" ca="1" si="1144"/>
        <v>#NAME?</v>
      </c>
      <c r="AE143" s="24" t="e">
        <f t="shared" ca="1" si="1145"/>
        <v>#NAME?</v>
      </c>
      <c r="AJ143" s="23" t="e">
        <f ca="1">+'QTR Raw'!D69</f>
        <v>#NAME?</v>
      </c>
      <c r="AL143" s="23" t="e">
        <f ca="1">+'QTR Raw'!F69</f>
        <v>#NAME?</v>
      </c>
      <c r="AN143" s="23" t="e">
        <f ca="1">+'QTR Raw'!H69</f>
        <v>#NAME?</v>
      </c>
      <c r="AP143" s="23" t="e">
        <f ca="1">+'QTR Raw'!J69</f>
        <v>#NAME?</v>
      </c>
      <c r="AR143" s="23" t="e">
        <f ca="1">+'QTR Raw'!L69</f>
        <v>#NAME?</v>
      </c>
      <c r="AT143" s="23" t="e">
        <f ca="1">+'QTR Raw'!N69</f>
        <v>#NAME?</v>
      </c>
      <c r="AV143" s="23" t="e">
        <f ca="1">+'QTR Raw'!P69</f>
        <v>#NAME?</v>
      </c>
      <c r="AX143" s="23" t="e">
        <f ca="1">+'QTR Raw'!R69</f>
        <v>#NAME?</v>
      </c>
      <c r="AZ143" s="23" t="e">
        <f ca="1">+'QTR Raw'!T69</f>
        <v>#NAME?</v>
      </c>
      <c r="BB143" s="23" t="e">
        <f ca="1">+'QTR Raw'!V69</f>
        <v>#NAME?</v>
      </c>
      <c r="BD143" s="23" t="e">
        <f ca="1">+'QTR Raw'!X69</f>
        <v>#NAME?</v>
      </c>
      <c r="BF143" s="23" t="e">
        <f ca="1">+'QTR Raw'!Z69</f>
        <v>#NAME?</v>
      </c>
      <c r="BH143" s="23" t="e">
        <f ca="1">+'QTR Raw'!AB69</f>
        <v>#NAME?</v>
      </c>
      <c r="BJ143" s="23" t="e">
        <f ca="1">+'QTR Raw'!AD69</f>
        <v>#NAME?</v>
      </c>
      <c r="BL143" s="23" t="e">
        <f ca="1">+'QTR Raw'!AF69</f>
        <v>#NAME?</v>
      </c>
      <c r="BN143" s="23" t="e">
        <f ca="1">+'QTR Raw'!AH69</f>
        <v>#NAME?</v>
      </c>
      <c r="BP143" s="23" t="e">
        <f ca="1">+'QTR Raw'!AJ69</f>
        <v>#NAME?</v>
      </c>
      <c r="BR143" s="23" t="e">
        <f ca="1">+'QTR Raw'!AL69</f>
        <v>#NAME?</v>
      </c>
      <c r="BT143" s="23" t="e">
        <f ca="1">+'QTR Raw'!AN69</f>
        <v>#NAME?</v>
      </c>
      <c r="BV143" s="23" t="e">
        <f ca="1">+'QTR Raw'!AP69</f>
        <v>#NAME?</v>
      </c>
      <c r="BX143" s="23" t="e">
        <f ca="1">+'QTR Raw'!AR69</f>
        <v>#NAME?</v>
      </c>
      <c r="BZ143" s="23" t="e">
        <f ca="1">+'QTR Raw'!AT69</f>
        <v>#NAME?</v>
      </c>
      <c r="CB143" s="23" t="e">
        <f ca="1">+'QTR Raw'!AV69</f>
        <v>#NAME?</v>
      </c>
      <c r="CD143" s="23" t="e">
        <f ca="1">+'QTR Raw'!AX69</f>
        <v>#NAME?</v>
      </c>
      <c r="CF143" s="23" t="e">
        <f ca="1">+'QTR Raw'!AZ69</f>
        <v>#NAME?</v>
      </c>
      <c r="CH143" s="23" t="e">
        <f t="shared" ca="1" si="1146"/>
        <v>#NAME?</v>
      </c>
      <c r="CI143" s="23" t="e">
        <f t="shared" ref="CI143:DB143" ca="1" si="1148">CH143+CI43</f>
        <v>#NAME?</v>
      </c>
      <c r="CJ143" s="23" t="e">
        <f t="shared" ca="1" si="1148"/>
        <v>#NAME?</v>
      </c>
      <c r="CK143" s="23" t="e">
        <f t="shared" ca="1" si="1148"/>
        <v>#NAME?</v>
      </c>
      <c r="CL143" s="23" t="e">
        <f t="shared" ca="1" si="1148"/>
        <v>#NAME?</v>
      </c>
      <c r="CM143" s="24" t="e">
        <f t="shared" ca="1" si="1148"/>
        <v>#NAME?</v>
      </c>
      <c r="CN143" s="24" t="e">
        <f t="shared" ca="1" si="1148"/>
        <v>#NAME?</v>
      </c>
      <c r="CO143" s="24" t="e">
        <f t="shared" ca="1" si="1148"/>
        <v>#NAME?</v>
      </c>
      <c r="CP143" s="24" t="e">
        <f t="shared" ca="1" si="1148"/>
        <v>#NAME?</v>
      </c>
      <c r="CQ143" s="24" t="e">
        <f t="shared" ca="1" si="1148"/>
        <v>#NAME?</v>
      </c>
      <c r="CR143" s="24" t="e">
        <f t="shared" ca="1" si="1148"/>
        <v>#NAME?</v>
      </c>
      <c r="CS143" s="24" t="e">
        <f t="shared" ca="1" si="1148"/>
        <v>#NAME?</v>
      </c>
      <c r="CT143" s="24" t="e">
        <f t="shared" ca="1" si="1148"/>
        <v>#NAME?</v>
      </c>
      <c r="CU143" s="24" t="e">
        <f t="shared" ca="1" si="1148"/>
        <v>#NAME?</v>
      </c>
      <c r="CV143" s="24" t="e">
        <f t="shared" ca="1" si="1148"/>
        <v>#NAME?</v>
      </c>
      <c r="CW143" s="24" t="e">
        <f t="shared" ca="1" si="1148"/>
        <v>#NAME?</v>
      </c>
      <c r="CX143" s="24" t="e">
        <f t="shared" ca="1" si="1148"/>
        <v>#NAME?</v>
      </c>
      <c r="CY143" s="24" t="e">
        <f t="shared" ca="1" si="1148"/>
        <v>#NAME?</v>
      </c>
      <c r="CZ143" s="24" t="e">
        <f t="shared" ca="1" si="1148"/>
        <v>#NAME?</v>
      </c>
      <c r="DA143" s="24" t="e">
        <f t="shared" ca="1" si="1148"/>
        <v>#NAME?</v>
      </c>
      <c r="DB143" s="24" t="e">
        <f t="shared" ca="1" si="1148"/>
        <v>#NAME?</v>
      </c>
      <c r="DE143" s="123"/>
      <c r="DF143" s="23">
        <v>35.975899999999996</v>
      </c>
    </row>
    <row r="144" spans="1:110" s="23" customFormat="1" outlineLevel="1" x14ac:dyDescent="0.2">
      <c r="A144" s="23" t="s">
        <v>52</v>
      </c>
      <c r="B144" s="23" t="e">
        <f ca="1">'Annual Raw'!C64</f>
        <v>#NAME?</v>
      </c>
      <c r="C144" s="23" t="e">
        <f ca="1">'Annual Raw'!D64</f>
        <v>#NAME?</v>
      </c>
      <c r="D144" s="23" t="e">
        <f ca="1">'Annual Raw'!E64</f>
        <v>#NAME?</v>
      </c>
      <c r="E144" s="23" t="e">
        <f ca="1">'Annual Raw'!F64</f>
        <v>#NAME?</v>
      </c>
      <c r="F144" s="23" t="e">
        <f ca="1">'Annual Raw'!G64</f>
        <v>#NAME?</v>
      </c>
      <c r="G144" s="23" t="e">
        <f ca="1">'Annual Raw'!H64</f>
        <v>#NAME?</v>
      </c>
      <c r="H144" s="23" t="e">
        <f ca="1">'Annual Raw'!I64</f>
        <v>#NAME?</v>
      </c>
      <c r="I144" s="23" t="e">
        <f ca="1">'Annual Raw'!J64</f>
        <v>#NAME?</v>
      </c>
      <c r="J144" s="23" t="e">
        <f ca="1">'Annual Raw'!K64</f>
        <v>#NAME?</v>
      </c>
      <c r="K144" s="23" t="e">
        <f ca="1">'Annual Raw'!L64</f>
        <v>#NAME?</v>
      </c>
      <c r="L144" s="23" t="e">
        <f ca="1">'Annual Raw'!M64</f>
        <v>#NAME?</v>
      </c>
      <c r="M144" s="23" t="e">
        <f ca="1">'Annual Raw'!N64</f>
        <v>#NAME?</v>
      </c>
      <c r="N144" s="23" t="e">
        <f ca="1">'Annual Raw'!O64</f>
        <v>#NAME?</v>
      </c>
      <c r="O144" s="23" t="e">
        <f ca="1">'Annual Raw'!P64</f>
        <v>#NAME?</v>
      </c>
      <c r="P144" s="23" t="e">
        <f ca="1">'Annual Raw'!Q64</f>
        <v>#NAME?</v>
      </c>
      <c r="Q144" s="23" t="e">
        <f ca="1">'Annual Raw'!R64</f>
        <v>#NAME?</v>
      </c>
      <c r="R144" s="23" t="e">
        <f ca="1">'Annual Raw'!S64</f>
        <v>#NAME?</v>
      </c>
      <c r="S144" s="23" t="e">
        <f ca="1">'Annual Raw'!T64</f>
        <v>#NAME?</v>
      </c>
      <c r="T144" s="23" t="e">
        <f ca="1">'Annual Raw'!U64</f>
        <v>#NAME?</v>
      </c>
      <c r="U144" s="23" t="e">
        <f ca="1">'Annual Raw'!V64</f>
        <v>#NAME?</v>
      </c>
      <c r="V144" s="23" t="e">
        <f ca="1">'Annual Raw'!W64</f>
        <v>#NAME?</v>
      </c>
      <c r="W144" s="23" t="e">
        <f ca="1">'Annual Raw'!X64</f>
        <v>#NAME?</v>
      </c>
      <c r="X144" s="23" t="e">
        <f ca="1">'Annual Raw'!Y64</f>
        <v>#NAME?</v>
      </c>
      <c r="Y144" s="23" t="e">
        <f ca="1">'Annual Raw'!Z64</f>
        <v>#NAME?</v>
      </c>
      <c r="Z144" s="23" t="e">
        <f ca="1">'Annual Raw'!AA64</f>
        <v>#NAME?</v>
      </c>
      <c r="AA144" s="23" t="e">
        <f ca="1">'Annual Raw'!AB64</f>
        <v>#NAME?</v>
      </c>
      <c r="AB144" s="24" t="e">
        <f t="shared" ca="1" si="1142"/>
        <v>#NAME?</v>
      </c>
      <c r="AC144" s="24" t="e">
        <f t="shared" ca="1" si="1143"/>
        <v>#NAME?</v>
      </c>
      <c r="AD144" s="24" t="e">
        <f t="shared" ca="1" si="1144"/>
        <v>#NAME?</v>
      </c>
      <c r="AE144" s="24" t="e">
        <f t="shared" ca="1" si="1145"/>
        <v>#NAME?</v>
      </c>
      <c r="AJ144" s="23" t="e">
        <f ca="1">+'QTR Raw'!D70</f>
        <v>#NAME?</v>
      </c>
      <c r="AL144" s="23" t="e">
        <f ca="1">+'QTR Raw'!F70</f>
        <v>#NAME?</v>
      </c>
      <c r="AN144" s="23" t="e">
        <f ca="1">+'QTR Raw'!H70</f>
        <v>#NAME?</v>
      </c>
      <c r="AP144" s="23" t="e">
        <f ca="1">+'QTR Raw'!J70</f>
        <v>#NAME?</v>
      </c>
      <c r="AR144" s="23" t="e">
        <f ca="1">+'QTR Raw'!L70</f>
        <v>#NAME?</v>
      </c>
      <c r="AT144" s="23" t="e">
        <f ca="1">+'QTR Raw'!N70</f>
        <v>#NAME?</v>
      </c>
      <c r="AV144" s="23" t="e">
        <f ca="1">+'QTR Raw'!P70</f>
        <v>#NAME?</v>
      </c>
      <c r="AX144" s="23" t="e">
        <f ca="1">+'QTR Raw'!R70</f>
        <v>#NAME?</v>
      </c>
      <c r="AZ144" s="23" t="e">
        <f ca="1">+'QTR Raw'!T70</f>
        <v>#NAME?</v>
      </c>
      <c r="BB144" s="23" t="e">
        <f ca="1">+'QTR Raw'!V70</f>
        <v>#NAME?</v>
      </c>
      <c r="BD144" s="23" t="e">
        <f ca="1">+'QTR Raw'!X70</f>
        <v>#NAME?</v>
      </c>
      <c r="BF144" s="23" t="e">
        <f ca="1">+'QTR Raw'!Z70</f>
        <v>#NAME?</v>
      </c>
      <c r="BH144" s="23" t="e">
        <f ca="1">+'QTR Raw'!AB70</f>
        <v>#NAME?</v>
      </c>
      <c r="BJ144" s="23" t="e">
        <f ca="1">+'QTR Raw'!AD70</f>
        <v>#NAME?</v>
      </c>
      <c r="BL144" s="23" t="e">
        <f ca="1">+'QTR Raw'!AF70</f>
        <v>#NAME?</v>
      </c>
      <c r="BN144" s="23" t="e">
        <f ca="1">+'QTR Raw'!AH70</f>
        <v>#NAME?</v>
      </c>
      <c r="BP144" s="23" t="e">
        <f ca="1">+'QTR Raw'!AJ70</f>
        <v>#NAME?</v>
      </c>
      <c r="BR144" s="23" t="e">
        <f ca="1">+'QTR Raw'!AL70</f>
        <v>#NAME?</v>
      </c>
      <c r="BT144" s="23" t="e">
        <f ca="1">+'QTR Raw'!AN70</f>
        <v>#NAME?</v>
      </c>
      <c r="BV144" s="23" t="e">
        <f ca="1">+'QTR Raw'!AP70</f>
        <v>#NAME?</v>
      </c>
      <c r="BX144" s="23" t="e">
        <f ca="1">+'QTR Raw'!AR70</f>
        <v>#NAME?</v>
      </c>
      <c r="BZ144" s="23" t="e">
        <f ca="1">+'QTR Raw'!AT70</f>
        <v>#NAME?</v>
      </c>
      <c r="CB144" s="23" t="e">
        <f ca="1">+'QTR Raw'!AV70</f>
        <v>#NAME?</v>
      </c>
      <c r="CD144" s="23" t="e">
        <f ca="1">+'QTR Raw'!AX70</f>
        <v>#NAME?</v>
      </c>
      <c r="CF144" s="23" t="e">
        <f ca="1">+'QTR Raw'!AZ70</f>
        <v>#NAME?</v>
      </c>
      <c r="CH144" s="23" t="e">
        <f t="shared" ca="1" si="1146"/>
        <v>#NAME?</v>
      </c>
      <c r="CI144" s="23" t="e">
        <f ca="1">CH144</f>
        <v>#NAME?</v>
      </c>
      <c r="CJ144" s="23" t="e">
        <f ca="1">+'QTR Raw'!BD70</f>
        <v>#NAME?</v>
      </c>
      <c r="CK144" s="23" t="e">
        <f t="shared" ref="CK144:DB144" ca="1" si="1149">CJ144</f>
        <v>#NAME?</v>
      </c>
      <c r="CL144" s="23" t="e">
        <f ca="1">+'QTR Raw'!BF70</f>
        <v>#NAME?</v>
      </c>
      <c r="CM144" s="24" t="e">
        <f t="shared" ca="1" si="1149"/>
        <v>#NAME?</v>
      </c>
      <c r="CN144" s="24" t="e">
        <f t="shared" ca="1" si="1149"/>
        <v>#NAME?</v>
      </c>
      <c r="CO144" s="24" t="e">
        <f t="shared" ca="1" si="1149"/>
        <v>#NAME?</v>
      </c>
      <c r="CP144" s="24" t="e">
        <f t="shared" ca="1" si="1149"/>
        <v>#NAME?</v>
      </c>
      <c r="CQ144" s="24" t="e">
        <f t="shared" ca="1" si="1149"/>
        <v>#NAME?</v>
      </c>
      <c r="CR144" s="24" t="e">
        <f t="shared" ca="1" si="1149"/>
        <v>#NAME?</v>
      </c>
      <c r="CS144" s="24" t="e">
        <f t="shared" ca="1" si="1149"/>
        <v>#NAME?</v>
      </c>
      <c r="CT144" s="24" t="e">
        <f t="shared" ca="1" si="1149"/>
        <v>#NAME?</v>
      </c>
      <c r="CU144" s="24" t="e">
        <f t="shared" ca="1" si="1149"/>
        <v>#NAME?</v>
      </c>
      <c r="CV144" s="24" t="e">
        <f t="shared" ca="1" si="1149"/>
        <v>#NAME?</v>
      </c>
      <c r="CW144" s="24" t="e">
        <f t="shared" ca="1" si="1149"/>
        <v>#NAME?</v>
      </c>
      <c r="CX144" s="24" t="e">
        <f t="shared" ca="1" si="1149"/>
        <v>#NAME?</v>
      </c>
      <c r="CY144" s="24" t="e">
        <f t="shared" ca="1" si="1149"/>
        <v>#NAME?</v>
      </c>
      <c r="CZ144" s="24" t="e">
        <f t="shared" ca="1" si="1149"/>
        <v>#NAME?</v>
      </c>
      <c r="DA144" s="24" t="e">
        <f t="shared" ca="1" si="1149"/>
        <v>#NAME?</v>
      </c>
      <c r="DB144" s="24" t="e">
        <f t="shared" ca="1" si="1149"/>
        <v>#NAME?</v>
      </c>
      <c r="DE144" s="123"/>
      <c r="DF144" s="23">
        <v>0</v>
      </c>
    </row>
    <row r="145" spans="1:110" s="22" customFormat="1" outlineLevel="1" x14ac:dyDescent="0.2">
      <c r="A145" s="22" t="s">
        <v>53</v>
      </c>
      <c r="B145" s="22" t="e">
        <f ca="1">+B142-B143-B144</f>
        <v>#NAME?</v>
      </c>
      <c r="C145" s="22" t="e">
        <f t="shared" ref="C145:W145" ca="1" si="1150">+C142-C143-C144</f>
        <v>#NAME?</v>
      </c>
      <c r="D145" s="22" t="e">
        <f t="shared" ca="1" si="1150"/>
        <v>#NAME?</v>
      </c>
      <c r="E145" s="22" t="e">
        <f t="shared" ca="1" si="1150"/>
        <v>#NAME?</v>
      </c>
      <c r="F145" s="22" t="e">
        <f t="shared" ca="1" si="1150"/>
        <v>#NAME?</v>
      </c>
      <c r="G145" s="22" t="e">
        <f t="shared" ca="1" si="1150"/>
        <v>#NAME?</v>
      </c>
      <c r="H145" s="22" t="e">
        <f t="shared" ca="1" si="1150"/>
        <v>#NAME?</v>
      </c>
      <c r="I145" s="22" t="e">
        <f t="shared" ca="1" si="1150"/>
        <v>#NAME?</v>
      </c>
      <c r="J145" s="22" t="e">
        <f t="shared" ca="1" si="1150"/>
        <v>#NAME?</v>
      </c>
      <c r="K145" s="22" t="e">
        <f t="shared" ca="1" si="1150"/>
        <v>#NAME?</v>
      </c>
      <c r="L145" s="22" t="e">
        <f t="shared" ca="1" si="1150"/>
        <v>#NAME?</v>
      </c>
      <c r="M145" s="22" t="e">
        <f t="shared" ca="1" si="1150"/>
        <v>#NAME?</v>
      </c>
      <c r="N145" s="22" t="e">
        <f t="shared" ca="1" si="1150"/>
        <v>#NAME?</v>
      </c>
      <c r="O145" s="22" t="e">
        <f t="shared" ca="1" si="1150"/>
        <v>#NAME?</v>
      </c>
      <c r="P145" s="22" t="e">
        <f t="shared" ca="1" si="1150"/>
        <v>#NAME?</v>
      </c>
      <c r="Q145" s="22" t="e">
        <f t="shared" ca="1" si="1150"/>
        <v>#NAME?</v>
      </c>
      <c r="R145" s="22" t="e">
        <f t="shared" ca="1" si="1150"/>
        <v>#NAME?</v>
      </c>
      <c r="S145" s="22" t="e">
        <f t="shared" ca="1" si="1150"/>
        <v>#NAME?</v>
      </c>
      <c r="T145" s="22" t="e">
        <f t="shared" ca="1" si="1150"/>
        <v>#NAME?</v>
      </c>
      <c r="U145" s="22" t="e">
        <f t="shared" ca="1" si="1150"/>
        <v>#NAME?</v>
      </c>
      <c r="V145" s="22" t="e">
        <f t="shared" ca="1" si="1150"/>
        <v>#NAME?</v>
      </c>
      <c r="W145" s="22" t="e">
        <f t="shared" ca="1" si="1150"/>
        <v>#NAME?</v>
      </c>
      <c r="X145" s="22" t="e">
        <f t="shared" ref="X145:Y145" ca="1" si="1151">+X142-X143-X144</f>
        <v>#NAME?</v>
      </c>
      <c r="Y145" s="22" t="e">
        <f t="shared" ca="1" si="1151"/>
        <v>#NAME?</v>
      </c>
      <c r="Z145" s="22" t="e">
        <f t="shared" ref="Z145:AE145" ca="1" si="1152">+Z142-Z143-Z144</f>
        <v>#NAME?</v>
      </c>
      <c r="AA145" s="22" t="e">
        <f t="shared" ref="AA145" ca="1" si="1153">+AA142-AA143-AA144</f>
        <v>#NAME?</v>
      </c>
      <c r="AB145" s="21" t="e">
        <f t="shared" ca="1" si="1152"/>
        <v>#NAME?</v>
      </c>
      <c r="AC145" s="21" t="e">
        <f t="shared" ca="1" si="1152"/>
        <v>#NAME?</v>
      </c>
      <c r="AD145" s="21" t="e">
        <f t="shared" ca="1" si="1152"/>
        <v>#NAME?</v>
      </c>
      <c r="AE145" s="21" t="e">
        <f t="shared" ca="1" si="1152"/>
        <v>#NAME?</v>
      </c>
      <c r="AJ145" s="22" t="e">
        <f t="shared" ref="AJ145:AL145" ca="1" si="1154">+AJ142-AJ143-AJ144</f>
        <v>#NAME?</v>
      </c>
      <c r="AK145" s="22" t="e">
        <f t="shared" ref="AK145:CE145" ca="1" si="1155">+AJ145</f>
        <v>#NAME?</v>
      </c>
      <c r="AL145" s="22" t="e">
        <f t="shared" ca="1" si="1154"/>
        <v>#NAME?</v>
      </c>
      <c r="AM145" s="22" t="e">
        <f t="shared" ca="1" si="1155"/>
        <v>#NAME?</v>
      </c>
      <c r="AN145" s="22" t="e">
        <f t="shared" ref="AN145" ca="1" si="1156">+AN142-AN143-AN144</f>
        <v>#NAME?</v>
      </c>
      <c r="AO145" s="22" t="e">
        <f t="shared" ca="1" si="1155"/>
        <v>#NAME?</v>
      </c>
      <c r="AP145" s="22" t="e">
        <f t="shared" ref="AP145:CD145" ca="1" si="1157">+AP142-AP143-AP144</f>
        <v>#NAME?</v>
      </c>
      <c r="AQ145" s="22" t="e">
        <f t="shared" ca="1" si="1155"/>
        <v>#NAME?</v>
      </c>
      <c r="AR145" s="22" t="e">
        <f t="shared" ca="1" si="1157"/>
        <v>#NAME?</v>
      </c>
      <c r="AS145" s="22" t="e">
        <f t="shared" ca="1" si="1155"/>
        <v>#NAME?</v>
      </c>
      <c r="AT145" s="22" t="e">
        <f t="shared" ca="1" si="1157"/>
        <v>#NAME?</v>
      </c>
      <c r="AU145" s="22" t="e">
        <f t="shared" ca="1" si="1155"/>
        <v>#NAME?</v>
      </c>
      <c r="AV145" s="22" t="e">
        <f t="shared" ca="1" si="1157"/>
        <v>#NAME?</v>
      </c>
      <c r="AW145" s="22" t="e">
        <f t="shared" ca="1" si="1155"/>
        <v>#NAME?</v>
      </c>
      <c r="AX145" s="22" t="e">
        <f t="shared" ca="1" si="1157"/>
        <v>#NAME?</v>
      </c>
      <c r="AY145" s="22" t="e">
        <f t="shared" ca="1" si="1155"/>
        <v>#NAME?</v>
      </c>
      <c r="AZ145" s="22" t="e">
        <f t="shared" ca="1" si="1157"/>
        <v>#NAME?</v>
      </c>
      <c r="BA145" s="22" t="e">
        <f t="shared" ca="1" si="1155"/>
        <v>#NAME?</v>
      </c>
      <c r="BB145" s="22" t="e">
        <f t="shared" ca="1" si="1157"/>
        <v>#NAME?</v>
      </c>
      <c r="BC145" s="22" t="e">
        <f t="shared" ca="1" si="1155"/>
        <v>#NAME?</v>
      </c>
      <c r="BD145" s="22" t="e">
        <f t="shared" ca="1" si="1157"/>
        <v>#NAME?</v>
      </c>
      <c r="BE145" s="22" t="e">
        <f t="shared" ca="1" si="1155"/>
        <v>#NAME?</v>
      </c>
      <c r="BF145" s="22" t="e">
        <f t="shared" ca="1" si="1157"/>
        <v>#NAME?</v>
      </c>
      <c r="BG145" s="22" t="e">
        <f t="shared" ca="1" si="1155"/>
        <v>#NAME?</v>
      </c>
      <c r="BH145" s="22" t="e">
        <f t="shared" ca="1" si="1157"/>
        <v>#NAME?</v>
      </c>
      <c r="BI145" s="22" t="e">
        <f t="shared" ca="1" si="1155"/>
        <v>#NAME?</v>
      </c>
      <c r="BJ145" s="22" t="e">
        <f t="shared" ca="1" si="1157"/>
        <v>#NAME?</v>
      </c>
      <c r="BK145" s="22" t="e">
        <f t="shared" ca="1" si="1155"/>
        <v>#NAME?</v>
      </c>
      <c r="BL145" s="22" t="e">
        <f t="shared" ca="1" si="1157"/>
        <v>#NAME?</v>
      </c>
      <c r="BM145" s="22" t="e">
        <f t="shared" ca="1" si="1155"/>
        <v>#NAME?</v>
      </c>
      <c r="BN145" s="22" t="e">
        <f t="shared" ca="1" si="1157"/>
        <v>#NAME?</v>
      </c>
      <c r="BO145" s="22" t="e">
        <f t="shared" ca="1" si="1155"/>
        <v>#NAME?</v>
      </c>
      <c r="BP145" s="22" t="e">
        <f t="shared" ca="1" si="1157"/>
        <v>#NAME?</v>
      </c>
      <c r="BQ145" s="22" t="e">
        <f t="shared" ca="1" si="1155"/>
        <v>#NAME?</v>
      </c>
      <c r="BR145" s="22" t="e">
        <f t="shared" ca="1" si="1157"/>
        <v>#NAME?</v>
      </c>
      <c r="BS145" s="22" t="e">
        <f t="shared" ca="1" si="1155"/>
        <v>#NAME?</v>
      </c>
      <c r="BT145" s="22" t="e">
        <f t="shared" ca="1" si="1157"/>
        <v>#NAME?</v>
      </c>
      <c r="BU145" s="22" t="e">
        <f t="shared" ca="1" si="1155"/>
        <v>#NAME?</v>
      </c>
      <c r="BV145" s="22" t="e">
        <f t="shared" ca="1" si="1157"/>
        <v>#NAME?</v>
      </c>
      <c r="BW145" s="22" t="e">
        <f t="shared" ca="1" si="1155"/>
        <v>#NAME?</v>
      </c>
      <c r="BX145" s="22" t="e">
        <f t="shared" ca="1" si="1157"/>
        <v>#NAME?</v>
      </c>
      <c r="BY145" s="22" t="e">
        <f t="shared" ca="1" si="1155"/>
        <v>#NAME?</v>
      </c>
      <c r="BZ145" s="22" t="e">
        <f t="shared" ca="1" si="1157"/>
        <v>#NAME?</v>
      </c>
      <c r="CA145" s="22" t="e">
        <f t="shared" ca="1" si="1155"/>
        <v>#NAME?</v>
      </c>
      <c r="CB145" s="22" t="e">
        <f t="shared" ca="1" si="1157"/>
        <v>#NAME?</v>
      </c>
      <c r="CC145" s="22" t="e">
        <f t="shared" ca="1" si="1155"/>
        <v>#NAME?</v>
      </c>
      <c r="CD145" s="22" t="e">
        <f t="shared" ca="1" si="1157"/>
        <v>#NAME?</v>
      </c>
      <c r="CE145" s="22" t="e">
        <f t="shared" ca="1" si="1155"/>
        <v>#NAME?</v>
      </c>
      <c r="CF145" s="22" t="e">
        <f t="shared" ref="CF145:CI145" ca="1" si="1158">+CF142-CF143-CF144</f>
        <v>#NAME?</v>
      </c>
      <c r="CG145" s="22" t="e">
        <f t="shared" ref="CG145:CI148" ca="1" si="1159">+CF145</f>
        <v>#NAME?</v>
      </c>
      <c r="CH145" s="22" t="e">
        <f t="shared" ca="1" si="1158"/>
        <v>#NAME?</v>
      </c>
      <c r="CI145" s="22" t="e">
        <f t="shared" ca="1" si="1158"/>
        <v>#NAME?</v>
      </c>
      <c r="CJ145" s="23" t="e">
        <f ca="1">+'QTR Raw'!BD68</f>
        <v>#NAME?</v>
      </c>
      <c r="CK145" s="23" t="e">
        <f ca="1">+CJ145</f>
        <v>#NAME?</v>
      </c>
      <c r="CL145" s="23" t="e">
        <f ca="1">+'QTR Raw'!BF68</f>
        <v>#NAME?</v>
      </c>
      <c r="CM145" s="21" t="e">
        <f t="shared" ref="CM145:DB145" ca="1" si="1160">+CL145</f>
        <v>#NAME?</v>
      </c>
      <c r="CN145" s="21" t="e">
        <f t="shared" ca="1" si="1160"/>
        <v>#NAME?</v>
      </c>
      <c r="CO145" s="21" t="e">
        <f t="shared" ca="1" si="1160"/>
        <v>#NAME?</v>
      </c>
      <c r="CP145" s="21" t="e">
        <f t="shared" ca="1" si="1160"/>
        <v>#NAME?</v>
      </c>
      <c r="CQ145" s="21" t="e">
        <f t="shared" ca="1" si="1160"/>
        <v>#NAME?</v>
      </c>
      <c r="CR145" s="21" t="e">
        <f t="shared" ca="1" si="1160"/>
        <v>#NAME?</v>
      </c>
      <c r="CS145" s="21" t="e">
        <f t="shared" ca="1" si="1160"/>
        <v>#NAME?</v>
      </c>
      <c r="CT145" s="21" t="e">
        <f t="shared" ca="1" si="1160"/>
        <v>#NAME?</v>
      </c>
      <c r="CU145" s="21" t="e">
        <f t="shared" ca="1" si="1160"/>
        <v>#NAME?</v>
      </c>
      <c r="CV145" s="21" t="e">
        <f t="shared" ca="1" si="1160"/>
        <v>#NAME?</v>
      </c>
      <c r="CW145" s="21" t="e">
        <f t="shared" ca="1" si="1160"/>
        <v>#NAME?</v>
      </c>
      <c r="CX145" s="21" t="e">
        <f t="shared" ca="1" si="1160"/>
        <v>#NAME?</v>
      </c>
      <c r="CY145" s="21" t="e">
        <f t="shared" ca="1" si="1160"/>
        <v>#NAME?</v>
      </c>
      <c r="CZ145" s="21" t="e">
        <f t="shared" ca="1" si="1160"/>
        <v>#NAME?</v>
      </c>
      <c r="DA145" s="21" t="e">
        <f t="shared" ca="1" si="1160"/>
        <v>#NAME?</v>
      </c>
      <c r="DB145" s="21" t="e">
        <f t="shared" ca="1" si="1160"/>
        <v>#NAME?</v>
      </c>
      <c r="DE145" s="126"/>
      <c r="DF145" s="22">
        <v>118.261</v>
      </c>
    </row>
    <row r="146" spans="1:110" s="23" customFormat="1" outlineLevel="1" x14ac:dyDescent="0.2">
      <c r="A146" s="23" t="s">
        <v>54</v>
      </c>
      <c r="B146" s="23" t="e">
        <f ca="1">'Annual Raw'!C86</f>
        <v>#NAME?</v>
      </c>
      <c r="C146" s="23" t="e">
        <f ca="1">'Annual Raw'!D86</f>
        <v>#NAME?</v>
      </c>
      <c r="D146" s="23" t="e">
        <f ca="1">'Annual Raw'!E86</f>
        <v>#NAME?</v>
      </c>
      <c r="E146" s="23" t="e">
        <f ca="1">'Annual Raw'!F86</f>
        <v>#NAME?</v>
      </c>
      <c r="F146" s="23" t="e">
        <f ca="1">'Annual Raw'!G86</f>
        <v>#NAME?</v>
      </c>
      <c r="G146" s="23" t="e">
        <f ca="1">'Annual Raw'!H86</f>
        <v>#NAME?</v>
      </c>
      <c r="H146" s="23" t="e">
        <f ca="1">'Annual Raw'!I86</f>
        <v>#NAME?</v>
      </c>
      <c r="I146" s="23" t="e">
        <f ca="1">'Annual Raw'!J86</f>
        <v>#NAME?</v>
      </c>
      <c r="J146" s="23" t="e">
        <f ca="1">'Annual Raw'!K86</f>
        <v>#NAME?</v>
      </c>
      <c r="K146" s="23" t="e">
        <f ca="1">'Annual Raw'!L86</f>
        <v>#NAME?</v>
      </c>
      <c r="L146" s="23" t="e">
        <f ca="1">'Annual Raw'!M86</f>
        <v>#NAME?</v>
      </c>
      <c r="M146" s="23" t="e">
        <f ca="1">'Annual Raw'!N86</f>
        <v>#NAME?</v>
      </c>
      <c r="N146" s="23" t="e">
        <f ca="1">'Annual Raw'!O86</f>
        <v>#NAME?</v>
      </c>
      <c r="O146" s="23" t="e">
        <f ca="1">'Annual Raw'!P86</f>
        <v>#NAME?</v>
      </c>
      <c r="P146" s="23" t="e">
        <f ca="1">'Annual Raw'!Q86</f>
        <v>#NAME?</v>
      </c>
      <c r="Q146" s="23" t="e">
        <f ca="1">'Annual Raw'!R86</f>
        <v>#NAME?</v>
      </c>
      <c r="R146" s="23" t="e">
        <f ca="1">'Annual Raw'!S86</f>
        <v>#NAME?</v>
      </c>
      <c r="S146" s="23" t="e">
        <f ca="1">'Annual Raw'!T86</f>
        <v>#NAME?</v>
      </c>
      <c r="T146" s="23" t="e">
        <f ca="1">'Annual Raw'!U86</f>
        <v>#NAME?</v>
      </c>
      <c r="U146" s="23" t="e">
        <f ca="1">'Annual Raw'!V86</f>
        <v>#NAME?</v>
      </c>
      <c r="V146" s="23" t="e">
        <f ca="1">'Annual Raw'!W86</f>
        <v>#NAME?</v>
      </c>
      <c r="W146" s="23" t="e">
        <f ca="1">'Annual Raw'!X86</f>
        <v>#NAME?</v>
      </c>
      <c r="X146" s="23" t="e">
        <f ca="1">'Annual Raw'!Y86</f>
        <v>#NAME?</v>
      </c>
      <c r="Y146" s="23" t="e">
        <f ca="1">'Annual Raw'!Z86</f>
        <v>#NAME?</v>
      </c>
      <c r="Z146" s="23" t="e">
        <f ca="1">'Annual Raw'!AA86</f>
        <v>#NAME?</v>
      </c>
      <c r="AA146" s="23" t="e">
        <f ca="1">'Annual Raw'!AB86</f>
        <v>#NAME?</v>
      </c>
      <c r="AB146" s="24" t="e">
        <f t="shared" ca="1" si="1142"/>
        <v>#NAME?</v>
      </c>
      <c r="AC146" s="24" t="e">
        <f t="shared" ca="1" si="1143"/>
        <v>#NAME?</v>
      </c>
      <c r="AD146" s="24" t="e">
        <f t="shared" ca="1" si="1144"/>
        <v>#NAME?</v>
      </c>
      <c r="AE146" s="24" t="e">
        <f t="shared" ca="1" si="1145"/>
        <v>#NAME?</v>
      </c>
      <c r="AJ146" s="23" t="e">
        <f ca="1">+'QTR Raw'!D72</f>
        <v>#NAME?</v>
      </c>
      <c r="AK146" s="23" t="e">
        <f ca="1">+AJ146</f>
        <v>#NAME?</v>
      </c>
      <c r="AL146" s="23" t="e">
        <f ca="1">+'QTR Raw'!F72</f>
        <v>#NAME?</v>
      </c>
      <c r="AM146" s="23" t="e">
        <f t="shared" ref="AK146:CE148" ca="1" si="1161">+AL146</f>
        <v>#NAME?</v>
      </c>
      <c r="AN146" s="23" t="e">
        <f ca="1">+'QTR Raw'!H72</f>
        <v>#NAME?</v>
      </c>
      <c r="AO146" s="23" t="e">
        <f t="shared" ca="1" si="1161"/>
        <v>#NAME?</v>
      </c>
      <c r="AP146" s="23" t="e">
        <f ca="1">+'QTR Raw'!J72</f>
        <v>#NAME?</v>
      </c>
      <c r="AQ146" s="23" t="e">
        <f t="shared" ca="1" si="1161"/>
        <v>#NAME?</v>
      </c>
      <c r="AR146" s="23" t="e">
        <f ca="1">+'QTR Raw'!L72</f>
        <v>#NAME?</v>
      </c>
      <c r="AS146" s="23" t="e">
        <f t="shared" ca="1" si="1161"/>
        <v>#NAME?</v>
      </c>
      <c r="AT146" s="23" t="e">
        <f ca="1">+'QTR Raw'!N72</f>
        <v>#NAME?</v>
      </c>
      <c r="AU146" s="23" t="e">
        <f t="shared" ca="1" si="1161"/>
        <v>#NAME?</v>
      </c>
      <c r="AV146" s="23" t="e">
        <f ca="1">+'QTR Raw'!P72</f>
        <v>#NAME?</v>
      </c>
      <c r="AW146" s="23" t="e">
        <f t="shared" ca="1" si="1161"/>
        <v>#NAME?</v>
      </c>
      <c r="AX146" s="23" t="e">
        <f ca="1">+'QTR Raw'!R72</f>
        <v>#NAME?</v>
      </c>
      <c r="AY146" s="23" t="e">
        <f t="shared" ca="1" si="1161"/>
        <v>#NAME?</v>
      </c>
      <c r="AZ146" s="23" t="e">
        <f ca="1">+'QTR Raw'!T72</f>
        <v>#NAME?</v>
      </c>
      <c r="BA146" s="23" t="e">
        <f t="shared" ca="1" si="1161"/>
        <v>#NAME?</v>
      </c>
      <c r="BB146" s="23" t="e">
        <f ca="1">+'QTR Raw'!V72</f>
        <v>#NAME?</v>
      </c>
      <c r="BC146" s="23" t="e">
        <f t="shared" ca="1" si="1161"/>
        <v>#NAME?</v>
      </c>
      <c r="BD146" s="23" t="e">
        <f ca="1">+'QTR Raw'!X72</f>
        <v>#NAME?</v>
      </c>
      <c r="BE146" s="23" t="e">
        <f t="shared" ca="1" si="1161"/>
        <v>#NAME?</v>
      </c>
      <c r="BF146" s="23" t="e">
        <f ca="1">+'QTR Raw'!Z72</f>
        <v>#NAME?</v>
      </c>
      <c r="BG146" s="23" t="e">
        <f t="shared" ca="1" si="1161"/>
        <v>#NAME?</v>
      </c>
      <c r="BH146" s="23" t="e">
        <f ca="1">+'QTR Raw'!AB72</f>
        <v>#NAME?</v>
      </c>
      <c r="BI146" s="23" t="e">
        <f t="shared" ca="1" si="1161"/>
        <v>#NAME?</v>
      </c>
      <c r="BJ146" s="23" t="e">
        <f ca="1">+'QTR Raw'!AD72</f>
        <v>#NAME?</v>
      </c>
      <c r="BK146" s="23" t="e">
        <f t="shared" ca="1" si="1161"/>
        <v>#NAME?</v>
      </c>
      <c r="BL146" s="23" t="e">
        <f ca="1">+'QTR Raw'!AF72</f>
        <v>#NAME?</v>
      </c>
      <c r="BM146" s="23" t="e">
        <f t="shared" ca="1" si="1161"/>
        <v>#NAME?</v>
      </c>
      <c r="BN146" s="23" t="e">
        <f ca="1">+'QTR Raw'!AH72</f>
        <v>#NAME?</v>
      </c>
      <c r="BO146" s="23" t="e">
        <f t="shared" ca="1" si="1161"/>
        <v>#NAME?</v>
      </c>
      <c r="BP146" s="23" t="e">
        <f ca="1">+'QTR Raw'!AJ72</f>
        <v>#NAME?</v>
      </c>
      <c r="BQ146" s="23" t="e">
        <f t="shared" ca="1" si="1161"/>
        <v>#NAME?</v>
      </c>
      <c r="BR146" s="23" t="e">
        <f ca="1">+'QTR Raw'!AL72</f>
        <v>#NAME?</v>
      </c>
      <c r="BS146" s="23" t="e">
        <f t="shared" ca="1" si="1161"/>
        <v>#NAME?</v>
      </c>
      <c r="BT146" s="23" t="e">
        <f ca="1">+'QTR Raw'!AN72</f>
        <v>#NAME?</v>
      </c>
      <c r="BU146" s="23" t="e">
        <f t="shared" ca="1" si="1161"/>
        <v>#NAME?</v>
      </c>
      <c r="BV146" s="23" t="e">
        <f ca="1">+'QTR Raw'!AP72</f>
        <v>#NAME?</v>
      </c>
      <c r="BW146" s="23" t="e">
        <f t="shared" ca="1" si="1161"/>
        <v>#NAME?</v>
      </c>
      <c r="BX146" s="23" t="e">
        <f ca="1">+'QTR Raw'!AR72</f>
        <v>#NAME?</v>
      </c>
      <c r="BY146" s="23" t="e">
        <f t="shared" ca="1" si="1161"/>
        <v>#NAME?</v>
      </c>
      <c r="BZ146" s="23" t="e">
        <f ca="1">+'QTR Raw'!AT72</f>
        <v>#NAME?</v>
      </c>
      <c r="CA146" s="23" t="e">
        <f t="shared" ca="1" si="1161"/>
        <v>#NAME?</v>
      </c>
      <c r="CB146" s="23" t="e">
        <f ca="1">+'QTR Raw'!AV72</f>
        <v>#NAME?</v>
      </c>
      <c r="CC146" s="23" t="e">
        <f t="shared" ca="1" si="1161"/>
        <v>#NAME?</v>
      </c>
      <c r="CD146" s="23" t="e">
        <f ca="1">+'QTR Raw'!AX72</f>
        <v>#NAME?</v>
      </c>
      <c r="CE146" s="23" t="e">
        <f t="shared" ca="1" si="1161"/>
        <v>#NAME?</v>
      </c>
      <c r="CF146" s="23" t="e">
        <f ca="1">+'QTR Raw'!AZ72</f>
        <v>#NAME?</v>
      </c>
      <c r="CG146" s="23" t="e">
        <f t="shared" ca="1" si="1159"/>
        <v>#NAME?</v>
      </c>
      <c r="CH146" s="23" t="e">
        <f t="shared" ca="1" si="1146"/>
        <v>#NAME?</v>
      </c>
      <c r="CI146" s="23" t="e">
        <f t="shared" ca="1" si="1159"/>
        <v>#NAME?</v>
      </c>
      <c r="CJ146" s="23" t="e">
        <f ca="1">+'QTR Raw'!BD72</f>
        <v>#NAME?</v>
      </c>
      <c r="CK146" s="23" t="e">
        <f t="shared" ref="CK146:CK148" ca="1" si="1162">+CJ146</f>
        <v>#NAME?</v>
      </c>
      <c r="CL146" s="23" t="e">
        <f ca="1">+'QTR Raw'!BF72</f>
        <v>#NAME?</v>
      </c>
      <c r="CM146" s="24" t="e">
        <f t="shared" ref="CM146:CM148" ca="1" si="1163">+CL146</f>
        <v>#NAME?</v>
      </c>
      <c r="CN146" s="24" t="e">
        <f t="shared" ref="CN146:CN148" ca="1" si="1164">+CM146</f>
        <v>#NAME?</v>
      </c>
      <c r="CO146" s="24" t="e">
        <f t="shared" ref="CO146:CO148" ca="1" si="1165">+CN146</f>
        <v>#NAME?</v>
      </c>
      <c r="CP146" s="24" t="e">
        <f t="shared" ref="CP146:CP148" ca="1" si="1166">+CO146</f>
        <v>#NAME?</v>
      </c>
      <c r="CQ146" s="24" t="e">
        <f t="shared" ref="CQ146:CQ148" ca="1" si="1167">+CP146</f>
        <v>#NAME?</v>
      </c>
      <c r="CR146" s="24" t="e">
        <f t="shared" ref="CR146:CR148" ca="1" si="1168">+CQ146</f>
        <v>#NAME?</v>
      </c>
      <c r="CS146" s="24" t="e">
        <f t="shared" ref="CS146:CS148" ca="1" si="1169">+CR146</f>
        <v>#NAME?</v>
      </c>
      <c r="CT146" s="24" t="e">
        <f t="shared" ref="CT146:CT148" ca="1" si="1170">+CS146</f>
        <v>#NAME?</v>
      </c>
      <c r="CU146" s="24" t="e">
        <f t="shared" ref="CU146:CU148" ca="1" si="1171">+CT146</f>
        <v>#NAME?</v>
      </c>
      <c r="CV146" s="24" t="e">
        <f t="shared" ref="CV146:CV148" ca="1" si="1172">+CU146</f>
        <v>#NAME?</v>
      </c>
      <c r="CW146" s="24" t="e">
        <f t="shared" ref="CW146:CW148" ca="1" si="1173">+CV146</f>
        <v>#NAME?</v>
      </c>
      <c r="CX146" s="24" t="e">
        <f t="shared" ref="CX146:CX148" ca="1" si="1174">+CW146</f>
        <v>#NAME?</v>
      </c>
      <c r="CY146" s="24" t="e">
        <f t="shared" ref="CY146:CY148" ca="1" si="1175">+CX146</f>
        <v>#NAME?</v>
      </c>
      <c r="CZ146" s="24" t="e">
        <f t="shared" ref="CZ146:CZ148" ca="1" si="1176">+CY146</f>
        <v>#NAME?</v>
      </c>
      <c r="DA146" s="24" t="e">
        <f t="shared" ref="DA146:DA148" ca="1" si="1177">+CZ146</f>
        <v>#NAME?</v>
      </c>
      <c r="DB146" s="24" t="e">
        <f t="shared" ref="DB146:DB148" ca="1" si="1178">+DA146</f>
        <v>#NAME?</v>
      </c>
      <c r="DE146" s="123"/>
      <c r="DF146" s="23">
        <v>0</v>
      </c>
    </row>
    <row r="147" spans="1:110" s="23" customFormat="1" outlineLevel="1" x14ac:dyDescent="0.2">
      <c r="A147" s="23" t="s">
        <v>55</v>
      </c>
      <c r="B147" s="23" t="e">
        <f ca="1">'Annual Raw'!C68</f>
        <v>#NAME?</v>
      </c>
      <c r="C147" s="23" t="e">
        <f ca="1">'Annual Raw'!D68</f>
        <v>#NAME?</v>
      </c>
      <c r="D147" s="23" t="e">
        <f ca="1">'Annual Raw'!E68</f>
        <v>#NAME?</v>
      </c>
      <c r="E147" s="23" t="e">
        <f ca="1">'Annual Raw'!F68</f>
        <v>#NAME?</v>
      </c>
      <c r="F147" s="23" t="e">
        <f ca="1">'Annual Raw'!G68</f>
        <v>#NAME?</v>
      </c>
      <c r="G147" s="23" t="e">
        <f ca="1">'Annual Raw'!H68</f>
        <v>#NAME?</v>
      </c>
      <c r="H147" s="23" t="e">
        <f ca="1">'Annual Raw'!I68</f>
        <v>#NAME?</v>
      </c>
      <c r="I147" s="23" t="e">
        <f ca="1">'Annual Raw'!J68</f>
        <v>#NAME?</v>
      </c>
      <c r="J147" s="23" t="e">
        <f ca="1">'Annual Raw'!K68</f>
        <v>#NAME?</v>
      </c>
      <c r="K147" s="23" t="e">
        <f ca="1">'Annual Raw'!L68</f>
        <v>#NAME?</v>
      </c>
      <c r="L147" s="23" t="e">
        <f ca="1">'Annual Raw'!M68</f>
        <v>#NAME?</v>
      </c>
      <c r="M147" s="23" t="e">
        <f ca="1">'Annual Raw'!N68</f>
        <v>#NAME?</v>
      </c>
      <c r="N147" s="23" t="e">
        <f ca="1">'Annual Raw'!O68</f>
        <v>#NAME?</v>
      </c>
      <c r="O147" s="23" t="e">
        <f ca="1">'Annual Raw'!P68</f>
        <v>#NAME?</v>
      </c>
      <c r="P147" s="23" t="e">
        <f ca="1">'Annual Raw'!Q68</f>
        <v>#NAME?</v>
      </c>
      <c r="Q147" s="23" t="e">
        <f ca="1">'Annual Raw'!R68</f>
        <v>#NAME?</v>
      </c>
      <c r="R147" s="23" t="e">
        <f ca="1">'Annual Raw'!S68</f>
        <v>#NAME?</v>
      </c>
      <c r="S147" s="23" t="e">
        <f ca="1">'Annual Raw'!T68</f>
        <v>#NAME?</v>
      </c>
      <c r="T147" s="23" t="e">
        <f ca="1">'Annual Raw'!U68</f>
        <v>#NAME?</v>
      </c>
      <c r="U147" s="23" t="e">
        <f ca="1">'Annual Raw'!V68</f>
        <v>#NAME?</v>
      </c>
      <c r="V147" s="23" t="e">
        <f ca="1">'Annual Raw'!W68</f>
        <v>#NAME?</v>
      </c>
      <c r="W147" s="23" t="e">
        <f ca="1">'Annual Raw'!X68</f>
        <v>#NAME?</v>
      </c>
      <c r="X147" s="23" t="e">
        <f ca="1">'Annual Raw'!Y68</f>
        <v>#NAME?</v>
      </c>
      <c r="Y147" s="23" t="e">
        <f ca="1">'Annual Raw'!Z68</f>
        <v>#NAME?</v>
      </c>
      <c r="Z147" s="23" t="e">
        <f ca="1">'Annual Raw'!AA68</f>
        <v>#NAME?</v>
      </c>
      <c r="AA147" s="23" t="e">
        <f ca="1">'Annual Raw'!AB68</f>
        <v>#NAME?</v>
      </c>
      <c r="AB147" s="24">
        <f t="shared" si="1142"/>
        <v>0</v>
      </c>
      <c r="AC147" s="24">
        <f t="shared" si="1143"/>
        <v>0</v>
      </c>
      <c r="AD147" s="24">
        <f t="shared" si="1144"/>
        <v>0</v>
      </c>
      <c r="AE147" s="24">
        <f t="shared" si="1145"/>
        <v>0</v>
      </c>
      <c r="AK147" s="23">
        <f t="shared" si="1161"/>
        <v>0</v>
      </c>
      <c r="AM147" s="23">
        <f t="shared" si="1161"/>
        <v>0</v>
      </c>
      <c r="AO147" s="23">
        <f t="shared" si="1161"/>
        <v>0</v>
      </c>
      <c r="AQ147" s="23">
        <f t="shared" si="1161"/>
        <v>0</v>
      </c>
      <c r="AS147" s="23">
        <f t="shared" si="1161"/>
        <v>0</v>
      </c>
      <c r="AU147" s="23">
        <f t="shared" si="1161"/>
        <v>0</v>
      </c>
      <c r="AW147" s="23">
        <f t="shared" si="1161"/>
        <v>0</v>
      </c>
      <c r="AY147" s="23">
        <f t="shared" si="1161"/>
        <v>0</v>
      </c>
      <c r="BA147" s="23">
        <f t="shared" si="1161"/>
        <v>0</v>
      </c>
      <c r="BC147" s="23">
        <f t="shared" si="1161"/>
        <v>0</v>
      </c>
      <c r="BE147" s="23">
        <f t="shared" si="1161"/>
        <v>0</v>
      </c>
      <c r="BG147" s="23">
        <f t="shared" si="1161"/>
        <v>0</v>
      </c>
      <c r="BI147" s="23">
        <f t="shared" si="1161"/>
        <v>0</v>
      </c>
      <c r="BK147" s="23">
        <f t="shared" si="1161"/>
        <v>0</v>
      </c>
      <c r="BM147" s="23">
        <f t="shared" si="1161"/>
        <v>0</v>
      </c>
      <c r="BO147" s="23">
        <f t="shared" si="1161"/>
        <v>0</v>
      </c>
      <c r="BQ147" s="23">
        <f t="shared" si="1161"/>
        <v>0</v>
      </c>
      <c r="BS147" s="23">
        <f t="shared" si="1161"/>
        <v>0</v>
      </c>
      <c r="BU147" s="23">
        <f t="shared" si="1161"/>
        <v>0</v>
      </c>
      <c r="BW147" s="23">
        <f t="shared" si="1161"/>
        <v>0</v>
      </c>
      <c r="BY147" s="23">
        <f t="shared" si="1161"/>
        <v>0</v>
      </c>
      <c r="CA147" s="23">
        <f t="shared" si="1161"/>
        <v>0</v>
      </c>
      <c r="CC147" s="23">
        <f t="shared" si="1161"/>
        <v>0</v>
      </c>
      <c r="CE147" s="23">
        <f t="shared" si="1161"/>
        <v>0</v>
      </c>
      <c r="CG147" s="23">
        <f t="shared" si="1159"/>
        <v>0</v>
      </c>
      <c r="CH147" s="23" t="e">
        <f t="shared" ca="1" si="1146"/>
        <v>#NAME?</v>
      </c>
      <c r="CI147" s="23" t="e">
        <f t="shared" ca="1" si="1159"/>
        <v>#NAME?</v>
      </c>
      <c r="CK147" s="23">
        <f t="shared" si="1162"/>
        <v>0</v>
      </c>
      <c r="CM147" s="24">
        <f t="shared" si="1163"/>
        <v>0</v>
      </c>
      <c r="CN147" s="24">
        <f t="shared" si="1164"/>
        <v>0</v>
      </c>
      <c r="CO147" s="24">
        <f t="shared" si="1165"/>
        <v>0</v>
      </c>
      <c r="CP147" s="24">
        <f t="shared" si="1166"/>
        <v>0</v>
      </c>
      <c r="CQ147" s="24">
        <f t="shared" si="1167"/>
        <v>0</v>
      </c>
      <c r="CR147" s="24">
        <f t="shared" si="1168"/>
        <v>0</v>
      </c>
      <c r="CS147" s="24">
        <f t="shared" si="1169"/>
        <v>0</v>
      </c>
      <c r="CT147" s="24">
        <f t="shared" si="1170"/>
        <v>0</v>
      </c>
      <c r="CU147" s="24">
        <f t="shared" si="1171"/>
        <v>0</v>
      </c>
      <c r="CV147" s="24">
        <f t="shared" si="1172"/>
        <v>0</v>
      </c>
      <c r="CW147" s="24">
        <f t="shared" si="1173"/>
        <v>0</v>
      </c>
      <c r="CX147" s="24">
        <f t="shared" si="1174"/>
        <v>0</v>
      </c>
      <c r="CY147" s="24">
        <f t="shared" si="1175"/>
        <v>0</v>
      </c>
      <c r="CZ147" s="24">
        <f t="shared" si="1176"/>
        <v>0</v>
      </c>
      <c r="DA147" s="24">
        <f t="shared" si="1177"/>
        <v>0</v>
      </c>
      <c r="DB147" s="24">
        <f t="shared" si="1178"/>
        <v>0</v>
      </c>
      <c r="DE147" s="123"/>
      <c r="DF147" s="23">
        <v>0</v>
      </c>
    </row>
    <row r="148" spans="1:110" s="23" customFormat="1" outlineLevel="1" x14ac:dyDescent="0.2">
      <c r="A148" s="23" t="s">
        <v>56</v>
      </c>
      <c r="B148" s="23" t="e">
        <f ca="1">'Annual Raw'!C67+'Annual Raw'!C66+'Annual Raw'!C69+'Annual Raw'!C70</f>
        <v>#NAME?</v>
      </c>
      <c r="C148" s="23" t="e">
        <f ca="1">'Annual Raw'!D67+'Annual Raw'!D66+'Annual Raw'!D69+'Annual Raw'!D70</f>
        <v>#NAME?</v>
      </c>
      <c r="D148" s="23" t="e">
        <f ca="1">'Annual Raw'!E67+'Annual Raw'!E66+'Annual Raw'!E69+'Annual Raw'!E70</f>
        <v>#NAME?</v>
      </c>
      <c r="E148" s="23" t="e">
        <f ca="1">'Annual Raw'!F67+'Annual Raw'!F66+'Annual Raw'!F69+'Annual Raw'!F70</f>
        <v>#NAME?</v>
      </c>
      <c r="F148" s="23" t="e">
        <f ca="1">'Annual Raw'!G67+'Annual Raw'!G66+'Annual Raw'!G69+'Annual Raw'!G70</f>
        <v>#NAME?</v>
      </c>
      <c r="G148" s="23" t="e">
        <f ca="1">'Annual Raw'!H67+'Annual Raw'!H66+'Annual Raw'!H69+'Annual Raw'!H70</f>
        <v>#NAME?</v>
      </c>
      <c r="H148" s="23" t="e">
        <f ca="1">'Annual Raw'!I67+'Annual Raw'!I66+'Annual Raw'!I69+'Annual Raw'!I70</f>
        <v>#NAME?</v>
      </c>
      <c r="I148" s="23" t="e">
        <f ca="1">'Annual Raw'!J67+'Annual Raw'!J66+'Annual Raw'!J69+'Annual Raw'!J70</f>
        <v>#NAME?</v>
      </c>
      <c r="J148" s="23" t="e">
        <f ca="1">'Annual Raw'!K67+'Annual Raw'!K66+'Annual Raw'!K69+'Annual Raw'!K70</f>
        <v>#NAME?</v>
      </c>
      <c r="K148" s="23" t="e">
        <f ca="1">'Annual Raw'!L67+'Annual Raw'!L66+'Annual Raw'!L69+'Annual Raw'!L70</f>
        <v>#NAME?</v>
      </c>
      <c r="L148" s="23" t="e">
        <f ca="1">'Annual Raw'!M67+'Annual Raw'!M66+'Annual Raw'!M69+'Annual Raw'!M70</f>
        <v>#NAME?</v>
      </c>
      <c r="M148" s="23" t="e">
        <f ca="1">'Annual Raw'!N67+'Annual Raw'!N66+'Annual Raw'!N69+'Annual Raw'!N70</f>
        <v>#NAME?</v>
      </c>
      <c r="N148" s="23" t="e">
        <f ca="1">'Annual Raw'!O67+'Annual Raw'!O66+'Annual Raw'!O69+'Annual Raw'!O70</f>
        <v>#NAME?</v>
      </c>
      <c r="O148" s="23" t="e">
        <f ca="1">'Annual Raw'!P67+'Annual Raw'!P66+'Annual Raw'!P69+'Annual Raw'!P70</f>
        <v>#NAME?</v>
      </c>
      <c r="P148" s="23" t="e">
        <f ca="1">'Annual Raw'!Q67+'Annual Raw'!Q66+'Annual Raw'!Q69+'Annual Raw'!Q70</f>
        <v>#NAME?</v>
      </c>
      <c r="Q148" s="23" t="e">
        <f ca="1">'Annual Raw'!R67+'Annual Raw'!R66+'Annual Raw'!R69+'Annual Raw'!R70</f>
        <v>#NAME?</v>
      </c>
      <c r="R148" s="23" t="e">
        <f ca="1">'Annual Raw'!S67+'Annual Raw'!S66+'Annual Raw'!S69+'Annual Raw'!S70</f>
        <v>#NAME?</v>
      </c>
      <c r="S148" s="23" t="e">
        <f ca="1">'Annual Raw'!T67+'Annual Raw'!T66+'Annual Raw'!T69+'Annual Raw'!T70</f>
        <v>#NAME?</v>
      </c>
      <c r="T148" s="23" t="e">
        <f ca="1">'Annual Raw'!U67+'Annual Raw'!U66+'Annual Raw'!U69+'Annual Raw'!U70</f>
        <v>#NAME?</v>
      </c>
      <c r="U148" s="23" t="e">
        <f ca="1">'Annual Raw'!V67+'Annual Raw'!V66+'Annual Raw'!V69+'Annual Raw'!V70</f>
        <v>#NAME?</v>
      </c>
      <c r="V148" s="23" t="e">
        <f ca="1">'Annual Raw'!W67+'Annual Raw'!W66+'Annual Raw'!W69+'Annual Raw'!W70</f>
        <v>#NAME?</v>
      </c>
      <c r="W148" s="23" t="e">
        <f ca="1">'Annual Raw'!X67+'Annual Raw'!X66+'Annual Raw'!X69+'Annual Raw'!X70</f>
        <v>#NAME?</v>
      </c>
      <c r="X148" s="23" t="e">
        <f ca="1">'Annual Raw'!Y67+'Annual Raw'!Y66+'Annual Raw'!Y69+'Annual Raw'!Y70</f>
        <v>#NAME?</v>
      </c>
      <c r="Y148" s="23" t="e">
        <f ca="1">'Annual Raw'!Z67+'Annual Raw'!Z66+'Annual Raw'!Z69+'Annual Raw'!Z70</f>
        <v>#NAME?</v>
      </c>
      <c r="Z148" s="23" t="e">
        <f ca="1">'Annual Raw'!AA67+'Annual Raw'!AA66+'Annual Raw'!AA69+'Annual Raw'!AA70</f>
        <v>#NAME?</v>
      </c>
      <c r="AA148" s="23" t="e">
        <f ca="1">'Annual Raw'!AB67+'Annual Raw'!AB66+'Annual Raw'!AB69+'Annual Raw'!AB70</f>
        <v>#NAME?</v>
      </c>
      <c r="AB148" s="24" t="e">
        <f t="shared" ca="1" si="1142"/>
        <v>#NAME?</v>
      </c>
      <c r="AC148" s="24" t="e">
        <f t="shared" ca="1" si="1143"/>
        <v>#NAME?</v>
      </c>
      <c r="AD148" s="24" t="e">
        <f t="shared" ca="1" si="1144"/>
        <v>#NAME?</v>
      </c>
      <c r="AE148" s="24" t="e">
        <f t="shared" ca="1" si="1145"/>
        <v>#NAME?</v>
      </c>
      <c r="AJ148" s="23" t="e">
        <f ca="1">+'QTR Raw'!D74+'QTR Raw'!D75</f>
        <v>#NAME?</v>
      </c>
      <c r="AK148" s="23" t="e">
        <f t="shared" ca="1" si="1161"/>
        <v>#NAME?</v>
      </c>
      <c r="AL148" s="23" t="e">
        <f ca="1">+'QTR Raw'!F74+'QTR Raw'!F75</f>
        <v>#NAME?</v>
      </c>
      <c r="AM148" s="23" t="e">
        <f t="shared" ca="1" si="1161"/>
        <v>#NAME?</v>
      </c>
      <c r="AN148" s="23" t="e">
        <f ca="1">+'QTR Raw'!H74+'QTR Raw'!H75</f>
        <v>#NAME?</v>
      </c>
      <c r="AO148" s="23" t="e">
        <f t="shared" ca="1" si="1161"/>
        <v>#NAME?</v>
      </c>
      <c r="AP148" s="23" t="e">
        <f ca="1">+'QTR Raw'!J74+'QTR Raw'!J75</f>
        <v>#NAME?</v>
      </c>
      <c r="AQ148" s="23" t="e">
        <f t="shared" ca="1" si="1161"/>
        <v>#NAME?</v>
      </c>
      <c r="AR148" s="23" t="e">
        <f ca="1">+'QTR Raw'!L74+'QTR Raw'!L75</f>
        <v>#NAME?</v>
      </c>
      <c r="AS148" s="23" t="e">
        <f t="shared" ca="1" si="1161"/>
        <v>#NAME?</v>
      </c>
      <c r="AT148" s="23" t="e">
        <f ca="1">+'QTR Raw'!N74+'QTR Raw'!N75</f>
        <v>#NAME?</v>
      </c>
      <c r="AU148" s="23" t="e">
        <f t="shared" ca="1" si="1161"/>
        <v>#NAME?</v>
      </c>
      <c r="AV148" s="23" t="e">
        <f ca="1">+'QTR Raw'!P74+'QTR Raw'!P75</f>
        <v>#NAME?</v>
      </c>
      <c r="AW148" s="23" t="e">
        <f t="shared" ca="1" si="1161"/>
        <v>#NAME?</v>
      </c>
      <c r="AX148" s="23" t="e">
        <f ca="1">+'QTR Raw'!R74+'QTR Raw'!R75</f>
        <v>#NAME?</v>
      </c>
      <c r="AY148" s="23" t="e">
        <f t="shared" ca="1" si="1161"/>
        <v>#NAME?</v>
      </c>
      <c r="AZ148" s="23" t="e">
        <f ca="1">+'QTR Raw'!T74+'QTR Raw'!T75</f>
        <v>#NAME?</v>
      </c>
      <c r="BA148" s="23" t="e">
        <f t="shared" ca="1" si="1161"/>
        <v>#NAME?</v>
      </c>
      <c r="BB148" s="23" t="e">
        <f ca="1">+'QTR Raw'!V74+'QTR Raw'!V75</f>
        <v>#NAME?</v>
      </c>
      <c r="BC148" s="23" t="e">
        <f t="shared" ca="1" si="1161"/>
        <v>#NAME?</v>
      </c>
      <c r="BD148" s="23" t="e">
        <f ca="1">+'QTR Raw'!X74+'QTR Raw'!X75</f>
        <v>#NAME?</v>
      </c>
      <c r="BE148" s="23" t="e">
        <f t="shared" ca="1" si="1161"/>
        <v>#NAME?</v>
      </c>
      <c r="BF148" s="23" t="e">
        <f ca="1">+'QTR Raw'!Z74+'QTR Raw'!Z75</f>
        <v>#NAME?</v>
      </c>
      <c r="BG148" s="23" t="e">
        <f t="shared" ca="1" si="1161"/>
        <v>#NAME?</v>
      </c>
      <c r="BH148" s="23" t="e">
        <f ca="1">+'QTR Raw'!AB74+'QTR Raw'!AB75</f>
        <v>#NAME?</v>
      </c>
      <c r="BI148" s="23" t="e">
        <f t="shared" ca="1" si="1161"/>
        <v>#NAME?</v>
      </c>
      <c r="BJ148" s="23" t="e">
        <f ca="1">+'QTR Raw'!AD74+'QTR Raw'!AD75</f>
        <v>#NAME?</v>
      </c>
      <c r="BK148" s="23" t="e">
        <f t="shared" ca="1" si="1161"/>
        <v>#NAME?</v>
      </c>
      <c r="BL148" s="23" t="e">
        <f ca="1">+'QTR Raw'!AF74+'QTR Raw'!AF75</f>
        <v>#NAME?</v>
      </c>
      <c r="BM148" s="23" t="e">
        <f t="shared" ca="1" si="1161"/>
        <v>#NAME?</v>
      </c>
      <c r="BN148" s="23" t="e">
        <f ca="1">+'QTR Raw'!AH74+'QTR Raw'!AH75</f>
        <v>#NAME?</v>
      </c>
      <c r="BO148" s="23" t="e">
        <f t="shared" ca="1" si="1161"/>
        <v>#NAME?</v>
      </c>
      <c r="BP148" s="23" t="e">
        <f ca="1">+'QTR Raw'!AJ74+'QTR Raw'!AJ75</f>
        <v>#NAME?</v>
      </c>
      <c r="BQ148" s="23" t="e">
        <f t="shared" ca="1" si="1161"/>
        <v>#NAME?</v>
      </c>
      <c r="BR148" s="23" t="e">
        <f ca="1">+'QTR Raw'!AL74+'QTR Raw'!AL75</f>
        <v>#NAME?</v>
      </c>
      <c r="BS148" s="23" t="e">
        <f t="shared" ca="1" si="1161"/>
        <v>#NAME?</v>
      </c>
      <c r="BT148" s="23" t="e">
        <f ca="1">+'QTR Raw'!AN74+'QTR Raw'!AN75</f>
        <v>#NAME?</v>
      </c>
      <c r="BU148" s="23" t="e">
        <f t="shared" ca="1" si="1161"/>
        <v>#NAME?</v>
      </c>
      <c r="BV148" s="23" t="e">
        <f ca="1">+'QTR Raw'!AP74+'QTR Raw'!AP75</f>
        <v>#NAME?</v>
      </c>
      <c r="BW148" s="23" t="e">
        <f t="shared" ca="1" si="1161"/>
        <v>#NAME?</v>
      </c>
      <c r="BX148" s="23" t="e">
        <f ca="1">+'QTR Raw'!AR74+'QTR Raw'!AR75</f>
        <v>#NAME?</v>
      </c>
      <c r="BY148" s="23" t="e">
        <f t="shared" ca="1" si="1161"/>
        <v>#NAME?</v>
      </c>
      <c r="BZ148" s="23" t="e">
        <f ca="1">+'QTR Raw'!AT74+'QTR Raw'!AT75</f>
        <v>#NAME?</v>
      </c>
      <c r="CA148" s="23" t="e">
        <f t="shared" ca="1" si="1161"/>
        <v>#NAME?</v>
      </c>
      <c r="CB148" s="23" t="e">
        <f ca="1">+'QTR Raw'!AV74+'QTR Raw'!AV75</f>
        <v>#NAME?</v>
      </c>
      <c r="CC148" s="23" t="e">
        <f t="shared" ca="1" si="1161"/>
        <v>#NAME?</v>
      </c>
      <c r="CD148" s="23" t="e">
        <f ca="1">+'QTR Raw'!AX74+'QTR Raw'!AX75</f>
        <v>#NAME?</v>
      </c>
      <c r="CE148" s="23" t="e">
        <f t="shared" ca="1" si="1161"/>
        <v>#NAME?</v>
      </c>
      <c r="CF148" s="23" t="e">
        <f ca="1">+'QTR Raw'!AZ74+'QTR Raw'!AZ75</f>
        <v>#NAME?</v>
      </c>
      <c r="CG148" s="23" t="e">
        <f t="shared" ca="1" si="1159"/>
        <v>#NAME?</v>
      </c>
      <c r="CH148" s="23" t="e">
        <f t="shared" ca="1" si="1146"/>
        <v>#NAME?</v>
      </c>
      <c r="CI148" s="23" t="e">
        <f t="shared" ca="1" si="1159"/>
        <v>#NAME?</v>
      </c>
      <c r="CJ148" s="23" t="e">
        <f ca="1">+'QTR Raw'!BD74+'QTR Raw'!BD75</f>
        <v>#NAME?</v>
      </c>
      <c r="CK148" s="23" t="e">
        <f t="shared" ca="1" si="1162"/>
        <v>#NAME?</v>
      </c>
      <c r="CL148" s="23" t="e">
        <f ca="1">+'QTR Raw'!BF74+'QTR Raw'!BF75</f>
        <v>#NAME?</v>
      </c>
      <c r="CM148" s="24" t="e">
        <f t="shared" ca="1" si="1163"/>
        <v>#NAME?</v>
      </c>
      <c r="CN148" s="24" t="e">
        <f t="shared" ca="1" si="1164"/>
        <v>#NAME?</v>
      </c>
      <c r="CO148" s="24" t="e">
        <f t="shared" ca="1" si="1165"/>
        <v>#NAME?</v>
      </c>
      <c r="CP148" s="24" t="e">
        <f t="shared" ca="1" si="1166"/>
        <v>#NAME?</v>
      </c>
      <c r="CQ148" s="24" t="e">
        <f t="shared" ca="1" si="1167"/>
        <v>#NAME?</v>
      </c>
      <c r="CR148" s="24" t="e">
        <f t="shared" ca="1" si="1168"/>
        <v>#NAME?</v>
      </c>
      <c r="CS148" s="24" t="e">
        <f t="shared" ca="1" si="1169"/>
        <v>#NAME?</v>
      </c>
      <c r="CT148" s="24" t="e">
        <f t="shared" ca="1" si="1170"/>
        <v>#NAME?</v>
      </c>
      <c r="CU148" s="24" t="e">
        <f t="shared" ca="1" si="1171"/>
        <v>#NAME?</v>
      </c>
      <c r="CV148" s="24" t="e">
        <f t="shared" ca="1" si="1172"/>
        <v>#NAME?</v>
      </c>
      <c r="CW148" s="24" t="e">
        <f t="shared" ca="1" si="1173"/>
        <v>#NAME?</v>
      </c>
      <c r="CX148" s="24" t="e">
        <f t="shared" ca="1" si="1174"/>
        <v>#NAME?</v>
      </c>
      <c r="CY148" s="24" t="e">
        <f t="shared" ca="1" si="1175"/>
        <v>#NAME?</v>
      </c>
      <c r="CZ148" s="24" t="e">
        <f t="shared" ca="1" si="1176"/>
        <v>#NAME?</v>
      </c>
      <c r="DA148" s="24" t="e">
        <f t="shared" ca="1" si="1177"/>
        <v>#NAME?</v>
      </c>
      <c r="DB148" s="24" t="e">
        <f t="shared" ca="1" si="1178"/>
        <v>#NAME?</v>
      </c>
      <c r="DE148" s="123"/>
      <c r="DF148" s="23">
        <v>0</v>
      </c>
    </row>
    <row r="149" spans="1:110" s="22" customFormat="1" x14ac:dyDescent="0.2">
      <c r="A149" s="22" t="s">
        <v>57</v>
      </c>
      <c r="B149" s="22" t="e">
        <f ca="1">B145+B148+B147</f>
        <v>#NAME?</v>
      </c>
      <c r="C149" s="22" t="e">
        <f t="shared" ref="C149:D149" ca="1" si="1179">C145+C148+C147</f>
        <v>#NAME?</v>
      </c>
      <c r="D149" s="22" t="e">
        <f t="shared" ca="1" si="1179"/>
        <v>#NAME?</v>
      </c>
      <c r="E149" s="22" t="e">
        <f t="shared" ref="E149:Y149" ca="1" si="1180">E145+E148+E147+E146</f>
        <v>#NAME?</v>
      </c>
      <c r="F149" s="22" t="e">
        <f t="shared" ca="1" si="1180"/>
        <v>#NAME?</v>
      </c>
      <c r="G149" s="22" t="e">
        <f t="shared" ca="1" si="1180"/>
        <v>#NAME?</v>
      </c>
      <c r="H149" s="22" t="e">
        <f t="shared" ca="1" si="1180"/>
        <v>#NAME?</v>
      </c>
      <c r="I149" s="22" t="e">
        <f t="shared" ca="1" si="1180"/>
        <v>#NAME?</v>
      </c>
      <c r="J149" s="22" t="e">
        <f t="shared" ca="1" si="1180"/>
        <v>#NAME?</v>
      </c>
      <c r="K149" s="22" t="e">
        <f t="shared" ca="1" si="1180"/>
        <v>#NAME?</v>
      </c>
      <c r="L149" s="22" t="e">
        <f t="shared" ca="1" si="1180"/>
        <v>#NAME?</v>
      </c>
      <c r="M149" s="22" t="e">
        <f t="shared" ca="1" si="1180"/>
        <v>#NAME?</v>
      </c>
      <c r="N149" s="22" t="e">
        <f t="shared" ca="1" si="1180"/>
        <v>#NAME?</v>
      </c>
      <c r="O149" s="22" t="e">
        <f t="shared" ca="1" si="1180"/>
        <v>#NAME?</v>
      </c>
      <c r="P149" s="22" t="e">
        <f t="shared" ca="1" si="1180"/>
        <v>#NAME?</v>
      </c>
      <c r="Q149" s="22" t="e">
        <f t="shared" ca="1" si="1180"/>
        <v>#NAME?</v>
      </c>
      <c r="R149" s="22" t="e">
        <f t="shared" ca="1" si="1180"/>
        <v>#NAME?</v>
      </c>
      <c r="S149" s="22" t="e">
        <f t="shared" ca="1" si="1180"/>
        <v>#NAME?</v>
      </c>
      <c r="T149" s="22" t="e">
        <f t="shared" ca="1" si="1180"/>
        <v>#NAME?</v>
      </c>
      <c r="U149" s="22" t="e">
        <f t="shared" ca="1" si="1180"/>
        <v>#NAME?</v>
      </c>
      <c r="V149" s="22" t="e">
        <f t="shared" ca="1" si="1180"/>
        <v>#NAME?</v>
      </c>
      <c r="W149" s="22" t="e">
        <f t="shared" ca="1" si="1180"/>
        <v>#NAME?</v>
      </c>
      <c r="X149" s="22" t="e">
        <f t="shared" ca="1" si="1180"/>
        <v>#NAME?</v>
      </c>
      <c r="Y149" s="22" t="e">
        <f t="shared" ca="1" si="1180"/>
        <v>#NAME?</v>
      </c>
      <c r="Z149" s="22" t="e">
        <f ca="1">Z145+Z148+Z147+Z146</f>
        <v>#NAME?</v>
      </c>
      <c r="AA149" s="22" t="e">
        <f ca="1">AA145+AA148+AA147+AA146</f>
        <v>#NAME?</v>
      </c>
      <c r="AB149" s="161" t="e">
        <f t="shared" ref="AB149:AE149" ca="1" si="1181">AB145+AB148+AB147+AB146</f>
        <v>#NAME?</v>
      </c>
      <c r="AC149" s="161" t="e">
        <f t="shared" ca="1" si="1181"/>
        <v>#NAME?</v>
      </c>
      <c r="AD149" s="161" t="e">
        <f t="shared" ca="1" si="1181"/>
        <v>#NAME?</v>
      </c>
      <c r="AE149" s="161" t="e">
        <f t="shared" ca="1" si="1181"/>
        <v>#NAME?</v>
      </c>
      <c r="AJ149" s="22" t="e">
        <f t="shared" ref="AJ149" ca="1" si="1182">AJ145+AJ148+AJ146+AJ147</f>
        <v>#NAME?</v>
      </c>
      <c r="AK149" s="22" t="e">
        <f t="shared" ref="AK149" ca="1" si="1183">AK145+AK148+AK146+AK147</f>
        <v>#NAME?</v>
      </c>
      <c r="AL149" s="22" t="e">
        <f t="shared" ref="AL149:AM149" ca="1" si="1184">AL145+AL148+AL146+AL147</f>
        <v>#NAME?</v>
      </c>
      <c r="AM149" s="22" t="e">
        <f t="shared" ca="1" si="1184"/>
        <v>#NAME?</v>
      </c>
      <c r="AN149" s="22" t="e">
        <f t="shared" ref="AN149:AO149" ca="1" si="1185">AN145+AN148+AN146+AN147</f>
        <v>#NAME?</v>
      </c>
      <c r="AO149" s="22" t="e">
        <f t="shared" ca="1" si="1185"/>
        <v>#NAME?</v>
      </c>
      <c r="AP149" s="22" t="e">
        <f t="shared" ref="AP149:CE149" ca="1" si="1186">AP145+AP148+AP146+AP147</f>
        <v>#NAME?</v>
      </c>
      <c r="AQ149" s="22" t="e">
        <f t="shared" ca="1" si="1186"/>
        <v>#NAME?</v>
      </c>
      <c r="AR149" s="22" t="e">
        <f t="shared" ca="1" si="1186"/>
        <v>#NAME?</v>
      </c>
      <c r="AS149" s="22" t="e">
        <f t="shared" ca="1" si="1186"/>
        <v>#NAME?</v>
      </c>
      <c r="AT149" s="22" t="e">
        <f t="shared" ca="1" si="1186"/>
        <v>#NAME?</v>
      </c>
      <c r="AU149" s="22" t="e">
        <f t="shared" ca="1" si="1186"/>
        <v>#NAME?</v>
      </c>
      <c r="AV149" s="22" t="e">
        <f t="shared" ca="1" si="1186"/>
        <v>#NAME?</v>
      </c>
      <c r="AW149" s="22" t="e">
        <f t="shared" ca="1" si="1186"/>
        <v>#NAME?</v>
      </c>
      <c r="AX149" s="22" t="e">
        <f t="shared" ca="1" si="1186"/>
        <v>#NAME?</v>
      </c>
      <c r="AY149" s="22" t="e">
        <f t="shared" ca="1" si="1186"/>
        <v>#NAME?</v>
      </c>
      <c r="AZ149" s="22" t="e">
        <f t="shared" ca="1" si="1186"/>
        <v>#NAME?</v>
      </c>
      <c r="BA149" s="22" t="e">
        <f t="shared" ca="1" si="1186"/>
        <v>#NAME?</v>
      </c>
      <c r="BB149" s="22" t="e">
        <f t="shared" ca="1" si="1186"/>
        <v>#NAME?</v>
      </c>
      <c r="BC149" s="22" t="e">
        <f t="shared" ca="1" si="1186"/>
        <v>#NAME?</v>
      </c>
      <c r="BD149" s="22" t="e">
        <f t="shared" ca="1" si="1186"/>
        <v>#NAME?</v>
      </c>
      <c r="BE149" s="22" t="e">
        <f t="shared" ca="1" si="1186"/>
        <v>#NAME?</v>
      </c>
      <c r="BF149" s="22" t="e">
        <f t="shared" ca="1" si="1186"/>
        <v>#NAME?</v>
      </c>
      <c r="BG149" s="22" t="e">
        <f t="shared" ca="1" si="1186"/>
        <v>#NAME?</v>
      </c>
      <c r="BH149" s="22" t="e">
        <f t="shared" ca="1" si="1186"/>
        <v>#NAME?</v>
      </c>
      <c r="BI149" s="22" t="e">
        <f t="shared" ca="1" si="1186"/>
        <v>#NAME?</v>
      </c>
      <c r="BJ149" s="22" t="e">
        <f t="shared" ca="1" si="1186"/>
        <v>#NAME?</v>
      </c>
      <c r="BK149" s="22" t="e">
        <f t="shared" ca="1" si="1186"/>
        <v>#NAME?</v>
      </c>
      <c r="BL149" s="22" t="e">
        <f t="shared" ca="1" si="1186"/>
        <v>#NAME?</v>
      </c>
      <c r="BM149" s="22" t="e">
        <f t="shared" ca="1" si="1186"/>
        <v>#NAME?</v>
      </c>
      <c r="BN149" s="22" t="e">
        <f t="shared" ca="1" si="1186"/>
        <v>#NAME?</v>
      </c>
      <c r="BO149" s="22" t="e">
        <f t="shared" ca="1" si="1186"/>
        <v>#NAME?</v>
      </c>
      <c r="BP149" s="22" t="e">
        <f t="shared" ca="1" si="1186"/>
        <v>#NAME?</v>
      </c>
      <c r="BQ149" s="22" t="e">
        <f t="shared" ca="1" si="1186"/>
        <v>#NAME?</v>
      </c>
      <c r="BR149" s="22" t="e">
        <f t="shared" ca="1" si="1186"/>
        <v>#NAME?</v>
      </c>
      <c r="BS149" s="22" t="e">
        <f t="shared" ca="1" si="1186"/>
        <v>#NAME?</v>
      </c>
      <c r="BT149" s="22" t="e">
        <f t="shared" ca="1" si="1186"/>
        <v>#NAME?</v>
      </c>
      <c r="BU149" s="22" t="e">
        <f t="shared" ca="1" si="1186"/>
        <v>#NAME?</v>
      </c>
      <c r="BV149" s="22" t="e">
        <f t="shared" ca="1" si="1186"/>
        <v>#NAME?</v>
      </c>
      <c r="BW149" s="22" t="e">
        <f t="shared" ca="1" si="1186"/>
        <v>#NAME?</v>
      </c>
      <c r="BX149" s="22" t="e">
        <f t="shared" ca="1" si="1186"/>
        <v>#NAME?</v>
      </c>
      <c r="BY149" s="22" t="e">
        <f t="shared" ca="1" si="1186"/>
        <v>#NAME?</v>
      </c>
      <c r="BZ149" s="22" t="e">
        <f t="shared" ca="1" si="1186"/>
        <v>#NAME?</v>
      </c>
      <c r="CA149" s="22" t="e">
        <f t="shared" ca="1" si="1186"/>
        <v>#NAME?</v>
      </c>
      <c r="CB149" s="22" t="e">
        <f t="shared" ca="1" si="1186"/>
        <v>#NAME?</v>
      </c>
      <c r="CC149" s="22" t="e">
        <f t="shared" ca="1" si="1186"/>
        <v>#NAME?</v>
      </c>
      <c r="CD149" s="22" t="e">
        <f t="shared" ca="1" si="1186"/>
        <v>#NAME?</v>
      </c>
      <c r="CE149" s="22" t="e">
        <f t="shared" ca="1" si="1186"/>
        <v>#NAME?</v>
      </c>
      <c r="CF149" s="22" t="e">
        <f t="shared" ref="CF149:CG149" ca="1" si="1187">CF145+CF148+CF146+CF147</f>
        <v>#NAME?</v>
      </c>
      <c r="CG149" s="22" t="e">
        <f t="shared" ca="1" si="1187"/>
        <v>#NAME?</v>
      </c>
      <c r="CH149" s="22" t="e">
        <f t="shared" ref="CH149:CJ149" ca="1" si="1188">CH145+CH148+CH146+CH147</f>
        <v>#NAME?</v>
      </c>
      <c r="CI149" s="22" t="e">
        <f t="shared" ca="1" si="1188"/>
        <v>#NAME?</v>
      </c>
      <c r="CJ149" s="22" t="e">
        <f t="shared" ca="1" si="1188"/>
        <v>#NAME?</v>
      </c>
      <c r="CK149" s="22" t="e">
        <f t="shared" ref="CK149:DB149" ca="1" si="1189">CK145+CK148+CK146+CK147</f>
        <v>#NAME?</v>
      </c>
      <c r="CL149" s="22" t="e">
        <f t="shared" ca="1" si="1189"/>
        <v>#NAME?</v>
      </c>
      <c r="CM149" s="21" t="e">
        <f t="shared" ca="1" si="1189"/>
        <v>#NAME?</v>
      </c>
      <c r="CN149" s="21" t="e">
        <f t="shared" ca="1" si="1189"/>
        <v>#NAME?</v>
      </c>
      <c r="CO149" s="21" t="e">
        <f t="shared" ca="1" si="1189"/>
        <v>#NAME?</v>
      </c>
      <c r="CP149" s="21" t="e">
        <f t="shared" ca="1" si="1189"/>
        <v>#NAME?</v>
      </c>
      <c r="CQ149" s="21" t="e">
        <f t="shared" ca="1" si="1189"/>
        <v>#NAME?</v>
      </c>
      <c r="CR149" s="21" t="e">
        <f t="shared" ca="1" si="1189"/>
        <v>#NAME?</v>
      </c>
      <c r="CS149" s="21" t="e">
        <f t="shared" ca="1" si="1189"/>
        <v>#NAME?</v>
      </c>
      <c r="CT149" s="21" t="e">
        <f t="shared" ca="1" si="1189"/>
        <v>#NAME?</v>
      </c>
      <c r="CU149" s="21" t="e">
        <f t="shared" ca="1" si="1189"/>
        <v>#NAME?</v>
      </c>
      <c r="CV149" s="21" t="e">
        <f t="shared" ca="1" si="1189"/>
        <v>#NAME?</v>
      </c>
      <c r="CW149" s="21" t="e">
        <f t="shared" ca="1" si="1189"/>
        <v>#NAME?</v>
      </c>
      <c r="CX149" s="21" t="e">
        <f t="shared" ca="1" si="1189"/>
        <v>#NAME?</v>
      </c>
      <c r="CY149" s="21" t="e">
        <f t="shared" ca="1" si="1189"/>
        <v>#NAME?</v>
      </c>
      <c r="CZ149" s="21" t="e">
        <f t="shared" ca="1" si="1189"/>
        <v>#NAME?</v>
      </c>
      <c r="DA149" s="21" t="e">
        <f t="shared" ca="1" si="1189"/>
        <v>#NAME?</v>
      </c>
      <c r="DB149" s="21" t="e">
        <f t="shared" ca="1" si="1189"/>
        <v>#NAME?</v>
      </c>
      <c r="DE149" s="126"/>
      <c r="DF149" s="22">
        <v>118.261</v>
      </c>
    </row>
    <row r="150" spans="1:110" s="23" customFormat="1" x14ac:dyDescent="0.2">
      <c r="AB150" s="24"/>
      <c r="AC150" s="24"/>
      <c r="AD150" s="24"/>
      <c r="AE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x14ac:dyDescent="0.2">
      <c r="A151" s="23" t="s">
        <v>58</v>
      </c>
      <c r="B151" s="23" t="e">
        <f ca="1">'Annual Raw'!C71</f>
        <v>#NAME?</v>
      </c>
      <c r="C151" s="23" t="e">
        <f ca="1">'Annual Raw'!D71</f>
        <v>#NAME?</v>
      </c>
      <c r="D151" s="23" t="e">
        <f ca="1">'Annual Raw'!E71</f>
        <v>#NAME?</v>
      </c>
      <c r="E151" s="23" t="e">
        <f ca="1">'Annual Raw'!F71</f>
        <v>#NAME?</v>
      </c>
      <c r="F151" s="23" t="e">
        <f ca="1">'Annual Raw'!G71</f>
        <v>#NAME?</v>
      </c>
      <c r="G151" s="23" t="e">
        <f ca="1">'Annual Raw'!H71</f>
        <v>#NAME?</v>
      </c>
      <c r="H151" s="23" t="e">
        <f ca="1">'Annual Raw'!I71</f>
        <v>#NAME?</v>
      </c>
      <c r="I151" s="23" t="e">
        <f ca="1">'Annual Raw'!J71</f>
        <v>#NAME?</v>
      </c>
      <c r="J151" s="23" t="e">
        <f ca="1">'Annual Raw'!K71</f>
        <v>#NAME?</v>
      </c>
      <c r="K151" s="23" t="e">
        <f ca="1">'Annual Raw'!L71</f>
        <v>#NAME?</v>
      </c>
      <c r="L151" s="23" t="e">
        <f ca="1">'Annual Raw'!M71</f>
        <v>#NAME?</v>
      </c>
      <c r="M151" s="23" t="e">
        <f ca="1">'Annual Raw'!N71</f>
        <v>#NAME?</v>
      </c>
      <c r="N151" s="23" t="e">
        <f ca="1">'Annual Raw'!O71</f>
        <v>#NAME?</v>
      </c>
      <c r="O151" s="23" t="e">
        <f ca="1">'Annual Raw'!P71</f>
        <v>#NAME?</v>
      </c>
      <c r="P151" s="23" t="e">
        <f ca="1">'Annual Raw'!Q71</f>
        <v>#NAME?</v>
      </c>
      <c r="Q151" s="23" t="e">
        <f ca="1">'Annual Raw'!R71</f>
        <v>#NAME?</v>
      </c>
      <c r="R151" s="23" t="e">
        <f ca="1">'Annual Raw'!S71</f>
        <v>#NAME?</v>
      </c>
      <c r="S151" s="23" t="e">
        <f ca="1">'Annual Raw'!T71</f>
        <v>#NAME?</v>
      </c>
      <c r="T151" s="23" t="e">
        <f ca="1">'Annual Raw'!U71</f>
        <v>#NAME?</v>
      </c>
      <c r="U151" s="23" t="e">
        <f ca="1">'Annual Raw'!V71</f>
        <v>#NAME?</v>
      </c>
      <c r="V151" s="23" t="e">
        <f ca="1">'Annual Raw'!W71</f>
        <v>#NAME?</v>
      </c>
      <c r="W151" s="23" t="e">
        <f ca="1">'Annual Raw'!X71</f>
        <v>#NAME?</v>
      </c>
      <c r="X151" s="23" t="e">
        <f ca="1">'Annual Raw'!Y71</f>
        <v>#NAME?</v>
      </c>
      <c r="Y151" s="23" t="e">
        <f ca="1">'Annual Raw'!Z71</f>
        <v>#NAME?</v>
      </c>
      <c r="Z151" s="23" t="e">
        <f ca="1">'Annual Raw'!AA71</f>
        <v>#NAME?</v>
      </c>
      <c r="AA151" s="23" t="e">
        <f ca="1">'Annual Raw'!AB71</f>
        <v>#NAME?</v>
      </c>
      <c r="AB151" s="24" t="e">
        <f ca="1">+CP151</f>
        <v>#NAME?</v>
      </c>
      <c r="AC151" s="24" t="e">
        <f ca="1">+CT151</f>
        <v>#NAME?</v>
      </c>
      <c r="AD151" s="24" t="e">
        <f ca="1">+CX151</f>
        <v>#NAME?</v>
      </c>
      <c r="AE151" s="24" t="e">
        <f ca="1">+DB151</f>
        <v>#NAME?</v>
      </c>
      <c r="AJ151" s="23" t="e">
        <f ca="1">+'QTR Raw'!D77</f>
        <v>#NAME?</v>
      </c>
      <c r="AK151" s="23" t="e">
        <f t="shared" ref="AK151:CE151" ca="1" si="1190">+AJ151</f>
        <v>#NAME?</v>
      </c>
      <c r="AL151" s="23" t="e">
        <f ca="1">+'QTR Raw'!F77</f>
        <v>#NAME?</v>
      </c>
      <c r="AM151" s="23" t="e">
        <f t="shared" ca="1" si="1190"/>
        <v>#NAME?</v>
      </c>
      <c r="AN151" s="23" t="e">
        <f ca="1">+'QTR Raw'!H77</f>
        <v>#NAME?</v>
      </c>
      <c r="AO151" s="23" t="e">
        <f t="shared" ca="1" si="1190"/>
        <v>#NAME?</v>
      </c>
      <c r="AP151" s="23" t="e">
        <f ca="1">+'QTR Raw'!J77</f>
        <v>#NAME?</v>
      </c>
      <c r="AQ151" s="23" t="e">
        <f t="shared" ca="1" si="1190"/>
        <v>#NAME?</v>
      </c>
      <c r="AR151" s="23" t="e">
        <f ca="1">+'QTR Raw'!L77</f>
        <v>#NAME?</v>
      </c>
      <c r="AS151" s="23" t="e">
        <f t="shared" ca="1" si="1190"/>
        <v>#NAME?</v>
      </c>
      <c r="AT151" s="23" t="e">
        <f ca="1">+'QTR Raw'!N77</f>
        <v>#NAME?</v>
      </c>
      <c r="AU151" s="23" t="e">
        <f t="shared" ca="1" si="1190"/>
        <v>#NAME?</v>
      </c>
      <c r="AV151" s="23" t="e">
        <f ca="1">+'QTR Raw'!P77</f>
        <v>#NAME?</v>
      </c>
      <c r="AW151" s="23" t="e">
        <f t="shared" ca="1" si="1190"/>
        <v>#NAME?</v>
      </c>
      <c r="AX151" s="23" t="e">
        <f ca="1">+'QTR Raw'!R77</f>
        <v>#NAME?</v>
      </c>
      <c r="AY151" s="23" t="e">
        <f t="shared" ca="1" si="1190"/>
        <v>#NAME?</v>
      </c>
      <c r="AZ151" s="23" t="e">
        <f ca="1">+'QTR Raw'!T77</f>
        <v>#NAME?</v>
      </c>
      <c r="BA151" s="23" t="e">
        <f t="shared" ca="1" si="1190"/>
        <v>#NAME?</v>
      </c>
      <c r="BB151" s="23" t="e">
        <f ca="1">+'QTR Raw'!V77</f>
        <v>#NAME?</v>
      </c>
      <c r="BC151" s="23" t="e">
        <f t="shared" ca="1" si="1190"/>
        <v>#NAME?</v>
      </c>
      <c r="BD151" s="23" t="e">
        <f ca="1">+'QTR Raw'!X77</f>
        <v>#NAME?</v>
      </c>
      <c r="BE151" s="23" t="e">
        <f t="shared" ca="1" si="1190"/>
        <v>#NAME?</v>
      </c>
      <c r="BF151" s="23" t="e">
        <f ca="1">+'QTR Raw'!Z77</f>
        <v>#NAME?</v>
      </c>
      <c r="BG151" s="23" t="e">
        <f t="shared" ca="1" si="1190"/>
        <v>#NAME?</v>
      </c>
      <c r="BH151" s="23" t="e">
        <f ca="1">+'QTR Raw'!AB77</f>
        <v>#NAME?</v>
      </c>
      <c r="BI151" s="23" t="e">
        <f t="shared" ca="1" si="1190"/>
        <v>#NAME?</v>
      </c>
      <c r="BJ151" s="23" t="e">
        <f ca="1">+'QTR Raw'!AD77</f>
        <v>#NAME?</v>
      </c>
      <c r="BK151" s="23" t="e">
        <f t="shared" ca="1" si="1190"/>
        <v>#NAME?</v>
      </c>
      <c r="BL151" s="23" t="e">
        <f ca="1">+'QTR Raw'!AF77</f>
        <v>#NAME?</v>
      </c>
      <c r="BM151" s="23" t="e">
        <f t="shared" ca="1" si="1190"/>
        <v>#NAME?</v>
      </c>
      <c r="BN151" s="23" t="e">
        <f ca="1">+'QTR Raw'!AH77</f>
        <v>#NAME?</v>
      </c>
      <c r="BO151" s="23" t="e">
        <f t="shared" ca="1" si="1190"/>
        <v>#NAME?</v>
      </c>
      <c r="BP151" s="23" t="e">
        <f ca="1">+'QTR Raw'!AJ77</f>
        <v>#NAME?</v>
      </c>
      <c r="BQ151" s="23" t="e">
        <f t="shared" ca="1" si="1190"/>
        <v>#NAME?</v>
      </c>
      <c r="BR151" s="23" t="e">
        <f ca="1">+'QTR Raw'!AL77</f>
        <v>#NAME?</v>
      </c>
      <c r="BS151" s="23" t="e">
        <f t="shared" ca="1" si="1190"/>
        <v>#NAME?</v>
      </c>
      <c r="BT151" s="23" t="e">
        <f ca="1">+'QTR Raw'!AN77</f>
        <v>#NAME?</v>
      </c>
      <c r="BU151" s="23" t="e">
        <f t="shared" ca="1" si="1190"/>
        <v>#NAME?</v>
      </c>
      <c r="BV151" s="23" t="e">
        <f ca="1">+'QTR Raw'!AP77</f>
        <v>#NAME?</v>
      </c>
      <c r="BW151" s="23" t="e">
        <f t="shared" ca="1" si="1190"/>
        <v>#NAME?</v>
      </c>
      <c r="BX151" s="23" t="e">
        <f ca="1">+'QTR Raw'!AR77</f>
        <v>#NAME?</v>
      </c>
      <c r="BY151" s="23" t="e">
        <f t="shared" ca="1" si="1190"/>
        <v>#NAME?</v>
      </c>
      <c r="BZ151" s="23" t="e">
        <f ca="1">+'QTR Raw'!AT77</f>
        <v>#NAME?</v>
      </c>
      <c r="CA151" s="23" t="e">
        <f t="shared" ca="1" si="1190"/>
        <v>#NAME?</v>
      </c>
      <c r="CB151" s="23" t="e">
        <f ca="1">+'QTR Raw'!AV77</f>
        <v>#NAME?</v>
      </c>
      <c r="CC151" s="23" t="e">
        <f t="shared" ca="1" si="1190"/>
        <v>#NAME?</v>
      </c>
      <c r="CD151" s="23" t="e">
        <f ca="1">+'QTR Raw'!AX77</f>
        <v>#NAME?</v>
      </c>
      <c r="CE151" s="23" t="e">
        <f t="shared" ca="1" si="1190"/>
        <v>#NAME?</v>
      </c>
      <c r="CF151" s="23" t="e">
        <f ca="1">+'QTR Raw'!AZ77</f>
        <v>#NAME?</v>
      </c>
      <c r="CG151" s="23" t="e">
        <f t="shared" ref="CG151:CI154" ca="1" si="1191">+CF151</f>
        <v>#NAME?</v>
      </c>
      <c r="CH151" s="23" t="e">
        <f t="shared" ref="CH151:CH166" ca="1" si="1192">Z151</f>
        <v>#NAME?</v>
      </c>
      <c r="CI151" s="23" t="e">
        <f t="shared" ca="1" si="1191"/>
        <v>#NAME?</v>
      </c>
      <c r="CJ151" s="23" t="e">
        <f ca="1">+'QTR Raw'!BD77</f>
        <v>#NAME?</v>
      </c>
      <c r="CK151" s="23" t="e">
        <f t="shared" ref="CK151" ca="1" si="1193">+CJ151</f>
        <v>#NAME?</v>
      </c>
      <c r="CL151" s="23" t="e">
        <f ca="1">+'QTR Raw'!BF77</f>
        <v>#NAME?</v>
      </c>
      <c r="CM151" s="24" t="e">
        <f t="shared" ref="CM151" ca="1" si="1194">+CL151</f>
        <v>#NAME?</v>
      </c>
      <c r="CN151" s="24" t="e">
        <f t="shared" ref="CN151" ca="1" si="1195">+CM151</f>
        <v>#NAME?</v>
      </c>
      <c r="CO151" s="24" t="e">
        <f t="shared" ref="CO151" ca="1" si="1196">+CN151</f>
        <v>#NAME?</v>
      </c>
      <c r="CP151" s="24" t="e">
        <f t="shared" ref="CP151" ca="1" si="1197">+CO151</f>
        <v>#NAME?</v>
      </c>
      <c r="CQ151" s="24" t="e">
        <f t="shared" ref="CQ151" ca="1" si="1198">+CP151</f>
        <v>#NAME?</v>
      </c>
      <c r="CR151" s="24" t="e">
        <f t="shared" ref="CR151" ca="1" si="1199">+CQ151</f>
        <v>#NAME?</v>
      </c>
      <c r="CS151" s="24" t="e">
        <f t="shared" ref="CS151" ca="1" si="1200">+CR151</f>
        <v>#NAME?</v>
      </c>
      <c r="CT151" s="24" t="e">
        <f t="shared" ref="CT151" ca="1" si="1201">+CS151</f>
        <v>#NAME?</v>
      </c>
      <c r="CU151" s="24" t="e">
        <f t="shared" ref="CU151" ca="1" si="1202">+CT151</f>
        <v>#NAME?</v>
      </c>
      <c r="CV151" s="24" t="e">
        <f t="shared" ref="CV151" ca="1" si="1203">+CU151</f>
        <v>#NAME?</v>
      </c>
      <c r="CW151" s="24" t="e">
        <f t="shared" ref="CW151" ca="1" si="1204">+CV151</f>
        <v>#NAME?</v>
      </c>
      <c r="CX151" s="24" t="e">
        <f t="shared" ref="CX151" ca="1" si="1205">+CW151</f>
        <v>#NAME?</v>
      </c>
      <c r="CY151" s="24" t="e">
        <f t="shared" ref="CY151" ca="1" si="1206">+CX151</f>
        <v>#NAME?</v>
      </c>
      <c r="CZ151" s="24" t="e">
        <f t="shared" ref="CZ151" ca="1" si="1207">+CY151</f>
        <v>#NAME?</v>
      </c>
      <c r="DA151" s="24" t="e">
        <f t="shared" ref="DA151" ca="1" si="1208">+CZ151</f>
        <v>#NAME?</v>
      </c>
      <c r="DB151" s="24" t="e">
        <f t="shared" ref="DB151" ca="1" si="1209">+DA151</f>
        <v>#NAME?</v>
      </c>
      <c r="DE151" s="123"/>
      <c r="DF151" s="23">
        <v>2.0070000000000001</v>
      </c>
    </row>
    <row r="152" spans="1:110" s="23" customFormat="1" x14ac:dyDescent="0.2">
      <c r="AB152" s="24"/>
      <c r="AC152" s="24"/>
      <c r="AD152" s="24"/>
      <c r="AE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E152" s="123"/>
    </row>
    <row r="153" spans="1:110" s="23" customFormat="1" outlineLevel="1" x14ac:dyDescent="0.2">
      <c r="A153" s="23" t="s">
        <v>59</v>
      </c>
      <c r="B153" s="23" t="e">
        <f ca="1">'Annual Raw'!C72</f>
        <v>#NAME?</v>
      </c>
      <c r="C153" s="23" t="e">
        <f ca="1">'Annual Raw'!D72</f>
        <v>#NAME?</v>
      </c>
      <c r="D153" s="23" t="e">
        <f ca="1">'Annual Raw'!E72</f>
        <v>#NAME?</v>
      </c>
      <c r="E153" s="23" t="e">
        <f ca="1">'Annual Raw'!F72+'Annual Raw'!F61</f>
        <v>#NAME?</v>
      </c>
      <c r="F153" s="23" t="e">
        <f ca="1">'Annual Raw'!G72+'Annual Raw'!G61</f>
        <v>#NAME?</v>
      </c>
      <c r="G153" s="23" t="e">
        <f ca="1">'Annual Raw'!H72+'Annual Raw'!H61</f>
        <v>#NAME?</v>
      </c>
      <c r="H153" s="23" t="e">
        <f ca="1">'Annual Raw'!I72+'Annual Raw'!I61</f>
        <v>#NAME?</v>
      </c>
      <c r="I153" s="23" t="e">
        <f ca="1">'Annual Raw'!J72+'Annual Raw'!J61</f>
        <v>#NAME?</v>
      </c>
      <c r="J153" s="23" t="e">
        <f ca="1">'Annual Raw'!K72+'Annual Raw'!K61</f>
        <v>#NAME?</v>
      </c>
      <c r="K153" s="23" t="e">
        <f ca="1">'Annual Raw'!L72+'Annual Raw'!L61</f>
        <v>#NAME?</v>
      </c>
      <c r="L153" s="23" t="e">
        <f ca="1">'Annual Raw'!M72+'Annual Raw'!M61</f>
        <v>#NAME?</v>
      </c>
      <c r="M153" s="23" t="e">
        <f ca="1">'Annual Raw'!N72+'Annual Raw'!N61</f>
        <v>#NAME?</v>
      </c>
      <c r="N153" s="23" t="e">
        <f ca="1">'Annual Raw'!O72+'Annual Raw'!O61</f>
        <v>#NAME?</v>
      </c>
      <c r="O153" s="23" t="e">
        <f ca="1">'Annual Raw'!P72+'Annual Raw'!P61</f>
        <v>#NAME?</v>
      </c>
      <c r="P153" s="23" t="e">
        <f ca="1">'Annual Raw'!Q72+'Annual Raw'!Q61</f>
        <v>#NAME?</v>
      </c>
      <c r="Q153" s="23" t="e">
        <f ca="1">'Annual Raw'!R72+'Annual Raw'!R61</f>
        <v>#NAME?</v>
      </c>
      <c r="R153" s="23" t="e">
        <f ca="1">'Annual Raw'!S72+'Annual Raw'!S61</f>
        <v>#NAME?</v>
      </c>
      <c r="S153" s="23" t="e">
        <f ca="1">'Annual Raw'!T72+'Annual Raw'!T61</f>
        <v>#NAME?</v>
      </c>
      <c r="T153" s="23" t="e">
        <f ca="1">'Annual Raw'!U72+'Annual Raw'!U61</f>
        <v>#NAME?</v>
      </c>
      <c r="U153" s="23" t="e">
        <f ca="1">'Annual Raw'!V72+'Annual Raw'!V61</f>
        <v>#NAME?</v>
      </c>
      <c r="V153" s="23" t="e">
        <f ca="1">'Annual Raw'!W72+'Annual Raw'!W61</f>
        <v>#NAME?</v>
      </c>
      <c r="W153" s="23" t="e">
        <f ca="1">'Annual Raw'!X72+'Annual Raw'!X61</f>
        <v>#NAME?</v>
      </c>
      <c r="X153" s="23" t="e">
        <f ca="1">'Annual Raw'!Y72+'Annual Raw'!Y61</f>
        <v>#NAME?</v>
      </c>
      <c r="Y153" s="23" t="e">
        <f ca="1">'Annual Raw'!Z72+'Annual Raw'!Z61</f>
        <v>#NAME?</v>
      </c>
      <c r="Z153" s="23" t="e">
        <f ca="1">'Annual Raw'!AA72+'Annual Raw'!AA61</f>
        <v>#NAME?</v>
      </c>
      <c r="AA153" s="23" t="e">
        <f ca="1">'Annual Raw'!AB72+'Annual Raw'!AB61</f>
        <v>#NAME?</v>
      </c>
      <c r="AB153" s="24">
        <f t="shared" ref="AB153:AB158" si="1210">+CP153</f>
        <v>0</v>
      </c>
      <c r="AC153" s="24">
        <f t="shared" ref="AC153:AC158" si="1211">+CT153</f>
        <v>0</v>
      </c>
      <c r="AD153" s="24">
        <f t="shared" ref="AD153:AD158" si="1212">+CX153</f>
        <v>0</v>
      </c>
      <c r="AE153" s="24">
        <f t="shared" ref="AE153:AE158" si="1213">+DB153</f>
        <v>0</v>
      </c>
      <c r="AJ153" s="23" t="e">
        <f ca="1">+'QTR Raw'!D78</f>
        <v>#NAME?</v>
      </c>
      <c r="AK153" s="23" t="e">
        <f t="shared" ref="AK153:CE158" ca="1" si="1214">+AJ153</f>
        <v>#NAME?</v>
      </c>
      <c r="AL153" s="23" t="e">
        <f ca="1">+'QTR Raw'!F78</f>
        <v>#NAME?</v>
      </c>
      <c r="AM153" s="23" t="e">
        <f t="shared" ca="1" si="1214"/>
        <v>#NAME?</v>
      </c>
      <c r="AN153" s="23" t="e">
        <f ca="1">+'QTR Raw'!H78</f>
        <v>#NAME?</v>
      </c>
      <c r="AO153" s="23" t="e">
        <f t="shared" ca="1" si="1214"/>
        <v>#NAME?</v>
      </c>
      <c r="AP153" s="23" t="e">
        <f ca="1">+'QTR Raw'!J78</f>
        <v>#NAME?</v>
      </c>
      <c r="AQ153" s="23" t="e">
        <f t="shared" ca="1" si="1214"/>
        <v>#NAME?</v>
      </c>
      <c r="AR153" s="23" t="e">
        <f ca="1">+'QTR Raw'!L78</f>
        <v>#NAME?</v>
      </c>
      <c r="AS153" s="23" t="e">
        <f t="shared" ca="1" si="1214"/>
        <v>#NAME?</v>
      </c>
      <c r="AT153" s="23" t="e">
        <f ca="1">+'QTR Raw'!N78</f>
        <v>#NAME?</v>
      </c>
      <c r="AU153" s="23" t="e">
        <f t="shared" ca="1" si="1214"/>
        <v>#NAME?</v>
      </c>
      <c r="AV153" s="23" t="e">
        <f ca="1">+'QTR Raw'!P78</f>
        <v>#NAME?</v>
      </c>
      <c r="AW153" s="23" t="e">
        <f t="shared" ca="1" si="1214"/>
        <v>#NAME?</v>
      </c>
      <c r="AX153" s="23" t="e">
        <f ca="1">+'QTR Raw'!R78</f>
        <v>#NAME?</v>
      </c>
      <c r="AY153" s="23" t="e">
        <f t="shared" ca="1" si="1214"/>
        <v>#NAME?</v>
      </c>
      <c r="AZ153" s="23" t="e">
        <f ca="1">+'QTR Raw'!T78</f>
        <v>#NAME?</v>
      </c>
      <c r="BA153" s="23" t="e">
        <f t="shared" ca="1" si="1214"/>
        <v>#NAME?</v>
      </c>
      <c r="BB153" s="23" t="e">
        <f ca="1">+'QTR Raw'!V78</f>
        <v>#NAME?</v>
      </c>
      <c r="BC153" s="23" t="e">
        <f t="shared" ca="1" si="1214"/>
        <v>#NAME?</v>
      </c>
      <c r="BD153" s="23" t="e">
        <f ca="1">+'QTR Raw'!X78</f>
        <v>#NAME?</v>
      </c>
      <c r="BE153" s="23" t="e">
        <f t="shared" ca="1" si="1214"/>
        <v>#NAME?</v>
      </c>
      <c r="BF153" s="23" t="e">
        <f ca="1">+'QTR Raw'!Z78</f>
        <v>#NAME?</v>
      </c>
      <c r="BG153" s="23" t="e">
        <f t="shared" ca="1" si="1214"/>
        <v>#NAME?</v>
      </c>
      <c r="BH153" s="23" t="e">
        <f ca="1">+'QTR Raw'!AB78</f>
        <v>#NAME?</v>
      </c>
      <c r="BI153" s="23" t="e">
        <f t="shared" ca="1" si="1214"/>
        <v>#NAME?</v>
      </c>
      <c r="BJ153" s="23" t="e">
        <f ca="1">+'QTR Raw'!AD78</f>
        <v>#NAME?</v>
      </c>
      <c r="BK153" s="23" t="e">
        <f t="shared" ca="1" si="1214"/>
        <v>#NAME?</v>
      </c>
      <c r="BL153" s="23" t="e">
        <f ca="1">+'QTR Raw'!AF78</f>
        <v>#NAME?</v>
      </c>
      <c r="BM153" s="23" t="e">
        <f t="shared" ca="1" si="1214"/>
        <v>#NAME?</v>
      </c>
      <c r="BN153" s="23" t="e">
        <f ca="1">+'QTR Raw'!AH78</f>
        <v>#NAME?</v>
      </c>
      <c r="BO153" s="23" t="e">
        <f t="shared" ca="1" si="1214"/>
        <v>#NAME?</v>
      </c>
      <c r="BP153" s="23" t="e">
        <f ca="1">+'QTR Raw'!AJ78</f>
        <v>#NAME?</v>
      </c>
      <c r="BQ153" s="23" t="e">
        <f t="shared" ca="1" si="1214"/>
        <v>#NAME?</v>
      </c>
      <c r="BR153" s="23" t="e">
        <f ca="1">+'QTR Raw'!AL78</f>
        <v>#NAME?</v>
      </c>
      <c r="BS153" s="23" t="e">
        <f t="shared" ca="1" si="1214"/>
        <v>#NAME?</v>
      </c>
      <c r="BT153" s="23" t="e">
        <f ca="1">+'QTR Raw'!AN78</f>
        <v>#NAME?</v>
      </c>
      <c r="BU153" s="23" t="e">
        <f t="shared" ca="1" si="1214"/>
        <v>#NAME?</v>
      </c>
      <c r="BV153" s="23" t="e">
        <f ca="1">+'QTR Raw'!AP78</f>
        <v>#NAME?</v>
      </c>
      <c r="BW153" s="23" t="e">
        <f t="shared" ca="1" si="1214"/>
        <v>#NAME?</v>
      </c>
      <c r="BX153" s="23" t="e">
        <f ca="1">+'QTR Raw'!AR78</f>
        <v>#NAME?</v>
      </c>
      <c r="BY153" s="23" t="e">
        <f t="shared" ca="1" si="1214"/>
        <v>#NAME?</v>
      </c>
      <c r="BZ153" s="23" t="e">
        <f ca="1">+'QTR Raw'!AT78</f>
        <v>#NAME?</v>
      </c>
      <c r="CA153" s="23" t="e">
        <f t="shared" ca="1" si="1214"/>
        <v>#NAME?</v>
      </c>
      <c r="CB153" s="23" t="e">
        <f ca="1">+'QTR Raw'!AV78</f>
        <v>#NAME?</v>
      </c>
      <c r="CC153" s="23" t="e">
        <f t="shared" ca="1" si="1214"/>
        <v>#NAME?</v>
      </c>
      <c r="CD153" s="23" t="e">
        <f ca="1">+'QTR Raw'!AX78</f>
        <v>#NAME?</v>
      </c>
      <c r="CE153" s="23" t="e">
        <f t="shared" ca="1" si="1214"/>
        <v>#NAME?</v>
      </c>
      <c r="CF153" s="23" t="e">
        <f ca="1">+'QTR Raw'!AZ78</f>
        <v>#NAME?</v>
      </c>
      <c r="CG153" s="23" t="e">
        <f t="shared" ca="1" si="1191"/>
        <v>#NAME?</v>
      </c>
      <c r="CH153" s="23" t="e">
        <f t="shared" ca="1" si="1192"/>
        <v>#NAME?</v>
      </c>
      <c r="CJ153" s="23" t="e">
        <f ca="1">+'QTR Raw'!BD78</f>
        <v>#NAME?</v>
      </c>
      <c r="CL153" s="23" t="e">
        <f ca="1">+'QTR Raw'!BF78</f>
        <v>#NAME?</v>
      </c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E153" s="123"/>
      <c r="DF153" s="23">
        <v>0</v>
      </c>
    </row>
    <row r="154" spans="1:110" s="23" customFormat="1" outlineLevel="1" x14ac:dyDescent="0.2">
      <c r="A154" s="23" t="s">
        <v>60</v>
      </c>
      <c r="B154" s="23" t="e">
        <f ca="1">'Annual Raw'!C73+'Annual Raw'!C81</f>
        <v>#NAME?</v>
      </c>
      <c r="C154" s="23" t="e">
        <f ca="1">'Annual Raw'!D73+'Annual Raw'!D81</f>
        <v>#NAME?</v>
      </c>
      <c r="D154" s="23" t="e">
        <f ca="1">'Annual Raw'!E73+'Annual Raw'!E81</f>
        <v>#NAME?</v>
      </c>
      <c r="E154" s="23" t="e">
        <f ca="1">'Annual Raw'!F73+'Annual Raw'!F81</f>
        <v>#NAME?</v>
      </c>
      <c r="F154" s="23" t="e">
        <f ca="1">'Annual Raw'!G73+'Annual Raw'!G81</f>
        <v>#NAME?</v>
      </c>
      <c r="G154" s="23" t="e">
        <f ca="1">'Annual Raw'!H73+'Annual Raw'!H81</f>
        <v>#NAME?</v>
      </c>
      <c r="H154" s="23" t="e">
        <f ca="1">'Annual Raw'!I73+'Annual Raw'!I81</f>
        <v>#NAME?</v>
      </c>
      <c r="I154" s="23" t="e">
        <f ca="1">'Annual Raw'!J73+'Annual Raw'!J81</f>
        <v>#NAME?</v>
      </c>
      <c r="J154" s="23" t="e">
        <f ca="1">'Annual Raw'!K73+'Annual Raw'!K81</f>
        <v>#NAME?</v>
      </c>
      <c r="K154" s="23" t="e">
        <f ca="1">'Annual Raw'!L73+'Annual Raw'!L81</f>
        <v>#NAME?</v>
      </c>
      <c r="L154" s="23" t="e">
        <f ca="1">'Annual Raw'!M73+'Annual Raw'!M81</f>
        <v>#NAME?</v>
      </c>
      <c r="M154" s="23" t="e">
        <f ca="1">'Annual Raw'!N73+'Annual Raw'!N81</f>
        <v>#NAME?</v>
      </c>
      <c r="N154" s="23" t="e">
        <f ca="1">'Annual Raw'!O73+'Annual Raw'!O81</f>
        <v>#NAME?</v>
      </c>
      <c r="O154" s="23" t="e">
        <f ca="1">'Annual Raw'!P73+'Annual Raw'!P81</f>
        <v>#NAME?</v>
      </c>
      <c r="P154" s="23" t="e">
        <f ca="1">'Annual Raw'!Q73+'Annual Raw'!Q81</f>
        <v>#NAME?</v>
      </c>
      <c r="Q154" s="23" t="e">
        <f ca="1">'Annual Raw'!R73+'Annual Raw'!R81</f>
        <v>#NAME?</v>
      </c>
      <c r="R154" s="23" t="e">
        <f ca="1">'Annual Raw'!S73+'Annual Raw'!S81</f>
        <v>#NAME?</v>
      </c>
      <c r="S154" s="23" t="e">
        <f ca="1">'Annual Raw'!T73+'Annual Raw'!T81</f>
        <v>#NAME?</v>
      </c>
      <c r="T154" s="23" t="e">
        <f ca="1">'Annual Raw'!U73+'Annual Raw'!U81</f>
        <v>#NAME?</v>
      </c>
      <c r="U154" s="23" t="e">
        <f ca="1">'Annual Raw'!V73+'Annual Raw'!V81</f>
        <v>#NAME?</v>
      </c>
      <c r="V154" s="23" t="e">
        <f ca="1">'Annual Raw'!W73+'Annual Raw'!W81</f>
        <v>#NAME?</v>
      </c>
      <c r="W154" s="23" t="e">
        <f ca="1">'Annual Raw'!X73+'Annual Raw'!X81</f>
        <v>#NAME?</v>
      </c>
      <c r="X154" s="23" t="e">
        <f ca="1">'Annual Raw'!Y73+'Annual Raw'!Y81</f>
        <v>#NAME?</v>
      </c>
      <c r="Y154" s="23" t="e">
        <f ca="1">'Annual Raw'!Z73+'Annual Raw'!Z81</f>
        <v>#NAME?</v>
      </c>
      <c r="Z154" s="23" t="e">
        <f ca="1">'Annual Raw'!AA73+'Annual Raw'!AA81</f>
        <v>#NAME?</v>
      </c>
      <c r="AA154" s="23" t="e">
        <f ca="1">'Annual Raw'!AB73+'Annual Raw'!AB81</f>
        <v>#NAME?</v>
      </c>
      <c r="AB154" s="24">
        <f t="shared" si="1210"/>
        <v>0</v>
      </c>
      <c r="AC154" s="24">
        <f t="shared" si="1211"/>
        <v>0</v>
      </c>
      <c r="AD154" s="24">
        <f t="shared" si="1212"/>
        <v>0</v>
      </c>
      <c r="AE154" s="24">
        <f t="shared" si="1213"/>
        <v>0</v>
      </c>
      <c r="AJ154" s="23" t="e">
        <f ca="1">+'QTR Raw'!D79+'QTR Raw'!D76</f>
        <v>#NAME?</v>
      </c>
      <c r="AK154" s="23" t="e">
        <f t="shared" ca="1" si="1214"/>
        <v>#NAME?</v>
      </c>
      <c r="AL154" s="23" t="e">
        <f ca="1">+'QTR Raw'!F79+'QTR Raw'!F76</f>
        <v>#NAME?</v>
      </c>
      <c r="AM154" s="23" t="e">
        <f t="shared" ca="1" si="1214"/>
        <v>#NAME?</v>
      </c>
      <c r="AN154" s="23" t="e">
        <f ca="1">+'QTR Raw'!H79+'QTR Raw'!H76</f>
        <v>#NAME?</v>
      </c>
      <c r="AO154" s="23" t="e">
        <f t="shared" ca="1" si="1214"/>
        <v>#NAME?</v>
      </c>
      <c r="AP154" s="23" t="e">
        <f ca="1">+'QTR Raw'!J79+'QTR Raw'!J76</f>
        <v>#NAME?</v>
      </c>
      <c r="AQ154" s="23" t="e">
        <f t="shared" ca="1" si="1214"/>
        <v>#NAME?</v>
      </c>
      <c r="AR154" s="23" t="e">
        <f ca="1">+'QTR Raw'!L79+'QTR Raw'!L76</f>
        <v>#NAME?</v>
      </c>
      <c r="AS154" s="23" t="e">
        <f t="shared" ca="1" si="1214"/>
        <v>#NAME?</v>
      </c>
      <c r="AT154" s="23" t="e">
        <f ca="1">+'QTR Raw'!N79+'QTR Raw'!N76</f>
        <v>#NAME?</v>
      </c>
      <c r="AU154" s="23" t="e">
        <f t="shared" ca="1" si="1214"/>
        <v>#NAME?</v>
      </c>
      <c r="AV154" s="23" t="e">
        <f ca="1">+'QTR Raw'!P79+'QTR Raw'!P76</f>
        <v>#NAME?</v>
      </c>
      <c r="AW154" s="23" t="e">
        <f t="shared" ca="1" si="1214"/>
        <v>#NAME?</v>
      </c>
      <c r="AX154" s="23" t="e">
        <f ca="1">+'QTR Raw'!R79+'QTR Raw'!R76</f>
        <v>#NAME?</v>
      </c>
      <c r="AY154" s="23" t="e">
        <f t="shared" ca="1" si="1214"/>
        <v>#NAME?</v>
      </c>
      <c r="AZ154" s="23" t="e">
        <f ca="1">+'QTR Raw'!T79+'QTR Raw'!T76</f>
        <v>#NAME?</v>
      </c>
      <c r="BA154" s="23" t="e">
        <f t="shared" ca="1" si="1214"/>
        <v>#NAME?</v>
      </c>
      <c r="BB154" s="23" t="e">
        <f ca="1">+'QTR Raw'!V79+'QTR Raw'!V76</f>
        <v>#NAME?</v>
      </c>
      <c r="BC154" s="23" t="e">
        <f t="shared" ca="1" si="1214"/>
        <v>#NAME?</v>
      </c>
      <c r="BD154" s="23" t="e">
        <f ca="1">+'QTR Raw'!X79+'QTR Raw'!X76</f>
        <v>#NAME?</v>
      </c>
      <c r="BE154" s="23" t="e">
        <f t="shared" ca="1" si="1214"/>
        <v>#NAME?</v>
      </c>
      <c r="BF154" s="23" t="e">
        <f ca="1">+'QTR Raw'!Z79+'QTR Raw'!Z76</f>
        <v>#NAME?</v>
      </c>
      <c r="BG154" s="23" t="e">
        <f t="shared" ca="1" si="1214"/>
        <v>#NAME?</v>
      </c>
      <c r="BH154" s="23" t="e">
        <f ca="1">+'QTR Raw'!AB79+'QTR Raw'!AB76</f>
        <v>#NAME?</v>
      </c>
      <c r="BI154" s="23" t="e">
        <f t="shared" ca="1" si="1214"/>
        <v>#NAME?</v>
      </c>
      <c r="BJ154" s="23" t="e">
        <f ca="1">+'QTR Raw'!AD79+'QTR Raw'!AD76</f>
        <v>#NAME?</v>
      </c>
      <c r="BK154" s="23" t="e">
        <f t="shared" ca="1" si="1214"/>
        <v>#NAME?</v>
      </c>
      <c r="BL154" s="23" t="e">
        <f ca="1">+'QTR Raw'!AF79+'QTR Raw'!AF76</f>
        <v>#NAME?</v>
      </c>
      <c r="BM154" s="23" t="e">
        <f t="shared" ca="1" si="1214"/>
        <v>#NAME?</v>
      </c>
      <c r="BN154" s="23" t="e">
        <f ca="1">+'QTR Raw'!AH79+'QTR Raw'!AH76</f>
        <v>#NAME?</v>
      </c>
      <c r="BO154" s="23" t="e">
        <f t="shared" ca="1" si="1214"/>
        <v>#NAME?</v>
      </c>
      <c r="BP154" s="23" t="e">
        <f ca="1">+'QTR Raw'!AJ79+'QTR Raw'!AJ76</f>
        <v>#NAME?</v>
      </c>
      <c r="BQ154" s="23" t="e">
        <f t="shared" ca="1" si="1214"/>
        <v>#NAME?</v>
      </c>
      <c r="BR154" s="23" t="e">
        <f ca="1">+'QTR Raw'!AL79+'QTR Raw'!AL76</f>
        <v>#NAME?</v>
      </c>
      <c r="BS154" s="23" t="e">
        <f t="shared" ca="1" si="1214"/>
        <v>#NAME?</v>
      </c>
      <c r="BT154" s="23" t="e">
        <f ca="1">+'QTR Raw'!AN79+'QTR Raw'!AN76</f>
        <v>#NAME?</v>
      </c>
      <c r="BU154" s="23" t="e">
        <f t="shared" ca="1" si="1214"/>
        <v>#NAME?</v>
      </c>
      <c r="BV154" s="23" t="e">
        <f ca="1">+'QTR Raw'!AP79+'QTR Raw'!AP76</f>
        <v>#NAME?</v>
      </c>
      <c r="BW154" s="23" t="e">
        <f t="shared" ca="1" si="1214"/>
        <v>#NAME?</v>
      </c>
      <c r="BX154" s="23" t="e">
        <f ca="1">+'QTR Raw'!AR79+'QTR Raw'!AR76</f>
        <v>#NAME?</v>
      </c>
      <c r="BY154" s="23" t="e">
        <f t="shared" ca="1" si="1214"/>
        <v>#NAME?</v>
      </c>
      <c r="BZ154" s="23" t="e">
        <f ca="1">+'QTR Raw'!AT79+'QTR Raw'!AT76</f>
        <v>#NAME?</v>
      </c>
      <c r="CA154" s="23" t="e">
        <f t="shared" ca="1" si="1214"/>
        <v>#NAME?</v>
      </c>
      <c r="CB154" s="23" t="e">
        <f ca="1">+'QTR Raw'!AV79+'QTR Raw'!AV76</f>
        <v>#NAME?</v>
      </c>
      <c r="CC154" s="23" t="e">
        <f t="shared" ca="1" si="1214"/>
        <v>#NAME?</v>
      </c>
      <c r="CD154" s="23" t="e">
        <f ca="1">+'QTR Raw'!AX79+'QTR Raw'!AX76</f>
        <v>#NAME?</v>
      </c>
      <c r="CE154" s="23" t="e">
        <f t="shared" ca="1" si="1214"/>
        <v>#NAME?</v>
      </c>
      <c r="CF154" s="23" t="e">
        <f ca="1">+'QTR Raw'!AZ79+'QTR Raw'!AZ76</f>
        <v>#NAME?</v>
      </c>
      <c r="CG154" s="23" t="e">
        <f t="shared" ca="1" si="1191"/>
        <v>#NAME?</v>
      </c>
      <c r="CH154" s="23" t="e">
        <f t="shared" ca="1" si="1192"/>
        <v>#NAME?</v>
      </c>
      <c r="CJ154" s="23" t="e">
        <f ca="1">+'QTR Raw'!BD79+'QTR Raw'!BD76</f>
        <v>#NAME?</v>
      </c>
      <c r="CL154" s="23" t="e">
        <f ca="1">+'QTR Raw'!BF79+'QTR Raw'!BF76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23.643000000000001</v>
      </c>
    </row>
    <row r="155" spans="1:110" s="23" customFormat="1" outlineLevel="1" x14ac:dyDescent="0.2">
      <c r="A155" s="23" t="s">
        <v>61</v>
      </c>
      <c r="B155" s="23" t="e">
        <f ca="1">'Annual Raw'!C76</f>
        <v>#NAME?</v>
      </c>
      <c r="C155" s="23" t="e">
        <f ca="1">'Annual Raw'!D76</f>
        <v>#NAME?</v>
      </c>
      <c r="D155" s="23" t="e">
        <f ca="1">'Annual Raw'!E76</f>
        <v>#NAME?</v>
      </c>
      <c r="E155" s="23" t="e">
        <f ca="1">'Annual Raw'!F76</f>
        <v>#NAME?</v>
      </c>
      <c r="F155" s="23" t="e">
        <f ca="1">'Annual Raw'!G76</f>
        <v>#NAME?</v>
      </c>
      <c r="G155" s="23" t="e">
        <f ca="1">'Annual Raw'!H76</f>
        <v>#NAME?</v>
      </c>
      <c r="H155" s="23" t="e">
        <f ca="1">'Annual Raw'!I76</f>
        <v>#NAME?</v>
      </c>
      <c r="I155" s="23" t="e">
        <f ca="1">'Annual Raw'!J76</f>
        <v>#NAME?</v>
      </c>
      <c r="J155" s="23" t="e">
        <f ca="1">'Annual Raw'!K76</f>
        <v>#NAME?</v>
      </c>
      <c r="K155" s="23" t="e">
        <f ca="1">'Annual Raw'!L76</f>
        <v>#NAME?</v>
      </c>
      <c r="L155" s="23" t="e">
        <f ca="1">'Annual Raw'!M76</f>
        <v>#NAME?</v>
      </c>
      <c r="M155" s="23" t="e">
        <f ca="1">'Annual Raw'!N76</f>
        <v>#NAME?</v>
      </c>
      <c r="N155" s="23" t="e">
        <f ca="1">'Annual Raw'!O76</f>
        <v>#NAME?</v>
      </c>
      <c r="O155" s="23" t="e">
        <f ca="1">'Annual Raw'!P76</f>
        <v>#NAME?</v>
      </c>
      <c r="P155" s="23" t="e">
        <f ca="1">'Annual Raw'!Q76</f>
        <v>#NAME?</v>
      </c>
      <c r="Q155" s="23" t="e">
        <f ca="1">'Annual Raw'!R76</f>
        <v>#NAME?</v>
      </c>
      <c r="R155" s="23" t="e">
        <f ca="1">'Annual Raw'!S76</f>
        <v>#NAME?</v>
      </c>
      <c r="S155" s="23" t="e">
        <f ca="1">'Annual Raw'!T76</f>
        <v>#NAME?</v>
      </c>
      <c r="T155" s="23" t="e">
        <f ca="1">'Annual Raw'!U76</f>
        <v>#NAME?</v>
      </c>
      <c r="U155" s="23" t="e">
        <f ca="1">'Annual Raw'!V76</f>
        <v>#NAME?</v>
      </c>
      <c r="V155" s="23" t="e">
        <f ca="1">'Annual Raw'!W76</f>
        <v>#NAME?</v>
      </c>
      <c r="W155" s="23" t="e">
        <f ca="1">'Annual Raw'!X76</f>
        <v>#NAME?</v>
      </c>
      <c r="X155" s="23" t="e">
        <f ca="1">'Annual Raw'!Y76</f>
        <v>#NAME?</v>
      </c>
      <c r="Y155" s="23" t="e">
        <f ca="1">'Annual Raw'!Z76</f>
        <v>#NAME?</v>
      </c>
      <c r="Z155" s="23" t="e">
        <f ca="1">'Annual Raw'!AA76</f>
        <v>#NAME?</v>
      </c>
      <c r="AA155" s="23" t="e">
        <f ca="1">'Annual Raw'!AB76</f>
        <v>#NAME?</v>
      </c>
      <c r="AB155" s="24" t="e">
        <f t="shared" ca="1" si="1210"/>
        <v>#NAME?</v>
      </c>
      <c r="AC155" s="24" t="e">
        <f t="shared" ca="1" si="1211"/>
        <v>#NAME?</v>
      </c>
      <c r="AD155" s="24" t="e">
        <f t="shared" ca="1" si="1212"/>
        <v>#NAME?</v>
      </c>
      <c r="AE155" s="24" t="e">
        <f t="shared" ca="1" si="1213"/>
        <v>#NAME?</v>
      </c>
      <c r="AJ155" s="23" t="e">
        <f ca="1">+'QTR Raw'!D81</f>
        <v>#NAME?</v>
      </c>
      <c r="AK155" s="23" t="e">
        <f ca="1">+AK190*AK21/90</f>
        <v>#NAME?</v>
      </c>
      <c r="AL155" s="23" t="e">
        <f ca="1">+'QTR Raw'!F81</f>
        <v>#NAME?</v>
      </c>
      <c r="AM155" s="23" t="e">
        <f ca="1">+AM190*AM21/90</f>
        <v>#NAME?</v>
      </c>
      <c r="AN155" s="23" t="e">
        <f ca="1">+'QTR Raw'!H81</f>
        <v>#NAME?</v>
      </c>
      <c r="AO155" s="23" t="e">
        <f ca="1">+AO190*AO21/90</f>
        <v>#NAME?</v>
      </c>
      <c r="AP155" s="23" t="e">
        <f ca="1">+'QTR Raw'!J81</f>
        <v>#NAME?</v>
      </c>
      <c r="AQ155" s="23" t="e">
        <f ca="1">+AQ190*AQ21/90</f>
        <v>#NAME?</v>
      </c>
      <c r="AR155" s="23" t="e">
        <f ca="1">+'QTR Raw'!L81</f>
        <v>#NAME?</v>
      </c>
      <c r="AS155" s="23" t="e">
        <f ca="1">+AS190*AS21/90</f>
        <v>#NAME?</v>
      </c>
      <c r="AT155" s="23" t="e">
        <f ca="1">+'QTR Raw'!N81</f>
        <v>#NAME?</v>
      </c>
      <c r="AU155" s="23" t="e">
        <f ca="1">+AU190*AU21/90</f>
        <v>#NAME?</v>
      </c>
      <c r="AV155" s="23" t="e">
        <f ca="1">+'QTR Raw'!P81</f>
        <v>#NAME?</v>
      </c>
      <c r="AW155" s="23" t="e">
        <f ca="1">+AW190*AW21/90</f>
        <v>#NAME?</v>
      </c>
      <c r="AX155" s="23" t="e">
        <f ca="1">+'QTR Raw'!R81</f>
        <v>#NAME?</v>
      </c>
      <c r="AY155" s="23" t="e">
        <f ca="1">+AY190*AY21/90</f>
        <v>#NAME?</v>
      </c>
      <c r="AZ155" s="23" t="e">
        <f ca="1">+'QTR Raw'!T81</f>
        <v>#NAME?</v>
      </c>
      <c r="BA155" s="23" t="e">
        <f ca="1">+BA190*BA21/90</f>
        <v>#NAME?</v>
      </c>
      <c r="BB155" s="23" t="e">
        <f ca="1">+'QTR Raw'!V81</f>
        <v>#NAME?</v>
      </c>
      <c r="BC155" s="23" t="e">
        <f ca="1">+BC190*BC21/90</f>
        <v>#NAME?</v>
      </c>
      <c r="BD155" s="23" t="e">
        <f ca="1">+'QTR Raw'!X81</f>
        <v>#NAME?</v>
      </c>
      <c r="BE155" s="23" t="e">
        <f ca="1">+BE190*BE21/90</f>
        <v>#NAME?</v>
      </c>
      <c r="BF155" s="23" t="e">
        <f ca="1">+'QTR Raw'!Z81</f>
        <v>#NAME?</v>
      </c>
      <c r="BG155" s="23" t="e">
        <f ca="1">+BG190*BG21/90</f>
        <v>#NAME?</v>
      </c>
      <c r="BH155" s="23" t="e">
        <f ca="1">+'QTR Raw'!AB81</f>
        <v>#NAME?</v>
      </c>
      <c r="BI155" s="23" t="e">
        <f ca="1">+BI190*BI21/90</f>
        <v>#NAME?</v>
      </c>
      <c r="BJ155" s="23" t="e">
        <f ca="1">+'QTR Raw'!AD81</f>
        <v>#NAME?</v>
      </c>
      <c r="BK155" s="23" t="e">
        <f ca="1">+BK190*BK21/90</f>
        <v>#NAME?</v>
      </c>
      <c r="BL155" s="23" t="e">
        <f ca="1">+'QTR Raw'!AF81</f>
        <v>#NAME?</v>
      </c>
      <c r="BM155" s="23" t="e">
        <f ca="1">+BM190*BM21/90</f>
        <v>#NAME?</v>
      </c>
      <c r="BN155" s="23" t="e">
        <f ca="1">+'QTR Raw'!AH81</f>
        <v>#NAME?</v>
      </c>
      <c r="BO155" s="23" t="e">
        <f ca="1">+BO190*BO21/90</f>
        <v>#NAME?</v>
      </c>
      <c r="BP155" s="23" t="e">
        <f ca="1">+'QTR Raw'!AJ81</f>
        <v>#NAME?</v>
      </c>
      <c r="BQ155" s="23" t="e">
        <f ca="1">+BQ190*BQ21/90</f>
        <v>#NAME?</v>
      </c>
      <c r="BR155" s="23" t="e">
        <f ca="1">+'QTR Raw'!AL81</f>
        <v>#NAME?</v>
      </c>
      <c r="BS155" s="23" t="e">
        <f ca="1">+BS190*BS21/90</f>
        <v>#NAME?</v>
      </c>
      <c r="BT155" s="23" t="e">
        <f ca="1">+'QTR Raw'!AN81</f>
        <v>#NAME?</v>
      </c>
      <c r="BU155" s="23" t="e">
        <f ca="1">+BU190*BU21/90</f>
        <v>#NAME?</v>
      </c>
      <c r="BV155" s="23" t="e">
        <f ca="1">+'QTR Raw'!AP81</f>
        <v>#NAME?</v>
      </c>
      <c r="BW155" s="23" t="e">
        <f ca="1">+BW190*BW21/90</f>
        <v>#NAME?</v>
      </c>
      <c r="BX155" s="23" t="e">
        <f ca="1">+'QTR Raw'!AR81</f>
        <v>#NAME?</v>
      </c>
      <c r="BY155" s="23" t="e">
        <f ca="1">+BY190*BY21/90</f>
        <v>#NAME?</v>
      </c>
      <c r="BZ155" s="23" t="e">
        <f ca="1">+'QTR Raw'!AT81</f>
        <v>#NAME?</v>
      </c>
      <c r="CA155" s="23" t="e">
        <f ca="1">+CA190*CA21/90</f>
        <v>#NAME?</v>
      </c>
      <c r="CB155" s="23" t="e">
        <f ca="1">+'QTR Raw'!AV81</f>
        <v>#NAME?</v>
      </c>
      <c r="CC155" s="23" t="e">
        <f ca="1">+CC190*CC21/90</f>
        <v>#NAME?</v>
      </c>
      <c r="CD155" s="23" t="e">
        <f ca="1">+'QTR Raw'!AX81</f>
        <v>#NAME?</v>
      </c>
      <c r="CE155" s="23" t="e">
        <f ca="1">+CE190*CE21/90</f>
        <v>#NAME?</v>
      </c>
      <c r="CF155" s="23" t="e">
        <f ca="1">+'QTR Raw'!AZ81</f>
        <v>#NAME?</v>
      </c>
      <c r="CG155" s="23" t="e">
        <f ca="1">+CG190*CG21/90</f>
        <v>#NAME?</v>
      </c>
      <c r="CH155" s="23" t="e">
        <f t="shared" ca="1" si="1192"/>
        <v>#NAME?</v>
      </c>
      <c r="CI155" s="23" t="e">
        <f ca="1">+CI190*CI21/90</f>
        <v>#NAME?</v>
      </c>
      <c r="CJ155" s="23" t="e">
        <f ca="1">+'QTR Raw'!BD81</f>
        <v>#NAME?</v>
      </c>
      <c r="CK155" s="23" t="e">
        <f t="shared" ref="CK155:DB155" ca="1" si="1215">+CK190*CK21/90</f>
        <v>#NAME?</v>
      </c>
      <c r="CL155" s="23" t="e">
        <f ca="1">+'QTR Raw'!BF81</f>
        <v>#NAME?</v>
      </c>
      <c r="CM155" s="24" t="e">
        <f t="shared" ca="1" si="1215"/>
        <v>#NAME?</v>
      </c>
      <c r="CN155" s="24" t="e">
        <f t="shared" ca="1" si="1215"/>
        <v>#NAME?</v>
      </c>
      <c r="CO155" s="24" t="e">
        <f t="shared" ca="1" si="1215"/>
        <v>#NAME?</v>
      </c>
      <c r="CP155" s="24" t="e">
        <f t="shared" ca="1" si="1215"/>
        <v>#NAME?</v>
      </c>
      <c r="CQ155" s="24" t="e">
        <f t="shared" ca="1" si="1215"/>
        <v>#NAME?</v>
      </c>
      <c r="CR155" s="24" t="e">
        <f t="shared" ca="1" si="1215"/>
        <v>#NAME?</v>
      </c>
      <c r="CS155" s="24" t="e">
        <f t="shared" ca="1" si="1215"/>
        <v>#NAME?</v>
      </c>
      <c r="CT155" s="24" t="e">
        <f t="shared" ca="1" si="1215"/>
        <v>#NAME?</v>
      </c>
      <c r="CU155" s="24" t="e">
        <f t="shared" ca="1" si="1215"/>
        <v>#NAME?</v>
      </c>
      <c r="CV155" s="24" t="e">
        <f t="shared" ca="1" si="1215"/>
        <v>#NAME?</v>
      </c>
      <c r="CW155" s="24" t="e">
        <f t="shared" ca="1" si="1215"/>
        <v>#NAME?</v>
      </c>
      <c r="CX155" s="24" t="e">
        <f t="shared" ca="1" si="1215"/>
        <v>#NAME?</v>
      </c>
      <c r="CY155" s="24" t="e">
        <f t="shared" ca="1" si="1215"/>
        <v>#NAME?</v>
      </c>
      <c r="CZ155" s="24" t="e">
        <f t="shared" ca="1" si="1215"/>
        <v>#NAME?</v>
      </c>
      <c r="DA155" s="24" t="e">
        <f t="shared" ca="1" si="1215"/>
        <v>#NAME?</v>
      </c>
      <c r="DB155" s="24" t="e">
        <f t="shared" ca="1" si="1215"/>
        <v>#NAME?</v>
      </c>
      <c r="DE155" s="123"/>
      <c r="DF155" s="23">
        <v>269.80399999999997</v>
      </c>
    </row>
    <row r="156" spans="1:110" s="23" customFormat="1" outlineLevel="1" x14ac:dyDescent="0.2">
      <c r="A156" s="23" t="s">
        <v>62</v>
      </c>
      <c r="B156" s="23" t="e">
        <f ca="1">'Annual Raw'!C77</f>
        <v>#NAME?</v>
      </c>
      <c r="C156" s="23" t="e">
        <f ca="1">'Annual Raw'!D77</f>
        <v>#NAME?</v>
      </c>
      <c r="D156" s="23" t="e">
        <f ca="1">'Annual Raw'!E77</f>
        <v>#NAME?</v>
      </c>
      <c r="E156" s="23" t="e">
        <f ca="1">'Annual Raw'!F77</f>
        <v>#NAME?</v>
      </c>
      <c r="F156" s="23" t="e">
        <f ca="1">'Annual Raw'!G77</f>
        <v>#NAME?</v>
      </c>
      <c r="G156" s="23" t="e">
        <f ca="1">'Annual Raw'!H77</f>
        <v>#NAME?</v>
      </c>
      <c r="H156" s="23" t="e">
        <f ca="1">'Annual Raw'!I77</f>
        <v>#NAME?</v>
      </c>
      <c r="I156" s="23" t="e">
        <f ca="1">'Annual Raw'!J77</f>
        <v>#NAME?</v>
      </c>
      <c r="J156" s="23" t="e">
        <f ca="1">'Annual Raw'!K77</f>
        <v>#NAME?</v>
      </c>
      <c r="K156" s="23" t="e">
        <f ca="1">'Annual Raw'!L77</f>
        <v>#NAME?</v>
      </c>
      <c r="L156" s="23" t="e">
        <f ca="1">'Annual Raw'!M77</f>
        <v>#NAME?</v>
      </c>
      <c r="M156" s="23" t="e">
        <f ca="1">'Annual Raw'!N77</f>
        <v>#NAME?</v>
      </c>
      <c r="N156" s="23" t="e">
        <f ca="1">'Annual Raw'!O77</f>
        <v>#NAME?</v>
      </c>
      <c r="O156" s="23" t="e">
        <f ca="1">'Annual Raw'!P77</f>
        <v>#NAME?</v>
      </c>
      <c r="P156" s="23" t="e">
        <f ca="1">'Annual Raw'!Q77</f>
        <v>#NAME?</v>
      </c>
      <c r="Q156" s="23" t="e">
        <f ca="1">'Annual Raw'!R77</f>
        <v>#NAME?</v>
      </c>
      <c r="R156" s="23" t="e">
        <f ca="1">'Annual Raw'!S77</f>
        <v>#NAME?</v>
      </c>
      <c r="S156" s="23" t="e">
        <f ca="1">'Annual Raw'!T77</f>
        <v>#NAME?</v>
      </c>
      <c r="T156" s="23" t="e">
        <f ca="1">'Annual Raw'!U77</f>
        <v>#NAME?</v>
      </c>
      <c r="U156" s="23" t="e">
        <f ca="1">'Annual Raw'!V77</f>
        <v>#NAME?</v>
      </c>
      <c r="V156" s="23" t="e">
        <f ca="1">'Annual Raw'!W77</f>
        <v>#NAME?</v>
      </c>
      <c r="W156" s="23" t="e">
        <f ca="1">'Annual Raw'!X77</f>
        <v>#NAME?</v>
      </c>
      <c r="X156" s="23" t="e">
        <f ca="1">'Annual Raw'!Y77</f>
        <v>#NAME?</v>
      </c>
      <c r="Y156" s="23" t="e">
        <f ca="1">'Annual Raw'!Z77</f>
        <v>#NAME?</v>
      </c>
      <c r="Z156" s="23" t="e">
        <f ca="1">'Annual Raw'!AA77</f>
        <v>#NAME?</v>
      </c>
      <c r="AA156" s="23" t="e">
        <f ca="1">'Annual Raw'!AB77</f>
        <v>#NAME?</v>
      </c>
      <c r="AB156" s="24" t="e">
        <f t="shared" ca="1" si="1210"/>
        <v>#NAME?</v>
      </c>
      <c r="AC156" s="24" t="e">
        <f t="shared" ca="1" si="1211"/>
        <v>#NAME?</v>
      </c>
      <c r="AD156" s="24" t="e">
        <f t="shared" ca="1" si="1212"/>
        <v>#NAME?</v>
      </c>
      <c r="AE156" s="24" t="e">
        <f t="shared" ca="1" si="1213"/>
        <v>#NAME?</v>
      </c>
      <c r="AJ156" s="23" t="e">
        <f ca="1">+'QTR Raw'!D82</f>
        <v>#NAME?</v>
      </c>
      <c r="AK156" s="23" t="e">
        <f ca="1">+AK191*AK21/90</f>
        <v>#NAME?</v>
      </c>
      <c r="AL156" s="23" t="e">
        <f ca="1">+'QTR Raw'!F82</f>
        <v>#NAME?</v>
      </c>
      <c r="AM156" s="23" t="e">
        <f ca="1">+AM191*AM21/90</f>
        <v>#NAME?</v>
      </c>
      <c r="AN156" s="23" t="e">
        <f ca="1">+'QTR Raw'!H82</f>
        <v>#NAME?</v>
      </c>
      <c r="AO156" s="23" t="e">
        <f ca="1">+AO191*AO21/90</f>
        <v>#NAME?</v>
      </c>
      <c r="AP156" s="23" t="e">
        <f ca="1">+'QTR Raw'!J82</f>
        <v>#NAME?</v>
      </c>
      <c r="AQ156" s="23" t="e">
        <f ca="1">+AQ191*AQ21/90</f>
        <v>#NAME?</v>
      </c>
      <c r="AR156" s="23" t="e">
        <f ca="1">+'QTR Raw'!L82</f>
        <v>#NAME?</v>
      </c>
      <c r="AS156" s="23" t="e">
        <f ca="1">+AS191*AS21/90</f>
        <v>#NAME?</v>
      </c>
      <c r="AT156" s="23" t="e">
        <f ca="1">+'QTR Raw'!N82</f>
        <v>#NAME?</v>
      </c>
      <c r="AU156" s="23" t="e">
        <f ca="1">+AU191*AU21/90</f>
        <v>#NAME?</v>
      </c>
      <c r="AV156" s="23" t="e">
        <f ca="1">+'QTR Raw'!P82</f>
        <v>#NAME?</v>
      </c>
      <c r="AW156" s="23" t="e">
        <f ca="1">+AW191*AW21/90</f>
        <v>#NAME?</v>
      </c>
      <c r="AX156" s="23" t="e">
        <f ca="1">+'QTR Raw'!R82</f>
        <v>#NAME?</v>
      </c>
      <c r="AY156" s="23" t="e">
        <f ca="1">+AY191*AY21/90</f>
        <v>#NAME?</v>
      </c>
      <c r="AZ156" s="23" t="e">
        <f ca="1">+'QTR Raw'!T82</f>
        <v>#NAME?</v>
      </c>
      <c r="BA156" s="23" t="e">
        <f ca="1">+BA191*BA21/90</f>
        <v>#NAME?</v>
      </c>
      <c r="BB156" s="23" t="e">
        <f ca="1">+'QTR Raw'!V82</f>
        <v>#NAME?</v>
      </c>
      <c r="BC156" s="23" t="e">
        <f ca="1">+BC191*BC21/90</f>
        <v>#NAME?</v>
      </c>
      <c r="BD156" s="23" t="e">
        <f ca="1">+'QTR Raw'!X82</f>
        <v>#NAME?</v>
      </c>
      <c r="BE156" s="23" t="e">
        <f ca="1">+BE191*BE21/90</f>
        <v>#NAME?</v>
      </c>
      <c r="BF156" s="23" t="e">
        <f ca="1">+'QTR Raw'!Z82</f>
        <v>#NAME?</v>
      </c>
      <c r="BG156" s="23" t="e">
        <f ca="1">+BG191*BG21/90</f>
        <v>#NAME?</v>
      </c>
      <c r="BH156" s="23" t="e">
        <f ca="1">+'QTR Raw'!AB82</f>
        <v>#NAME?</v>
      </c>
      <c r="BI156" s="23" t="e">
        <f ca="1">+BI191*BI21/90</f>
        <v>#NAME?</v>
      </c>
      <c r="BJ156" s="23" t="e">
        <f ca="1">+'QTR Raw'!AD82</f>
        <v>#NAME?</v>
      </c>
      <c r="BK156" s="23" t="e">
        <f ca="1">+BK191*BK21/90</f>
        <v>#NAME?</v>
      </c>
      <c r="BL156" s="23" t="e">
        <f ca="1">+'QTR Raw'!AF82</f>
        <v>#NAME?</v>
      </c>
      <c r="BM156" s="23" t="e">
        <f ca="1">+BM191*BM21/90</f>
        <v>#NAME?</v>
      </c>
      <c r="BN156" s="23" t="e">
        <f ca="1">+'QTR Raw'!AH82</f>
        <v>#NAME?</v>
      </c>
      <c r="BO156" s="23" t="e">
        <f ca="1">+BO191*BO21/90</f>
        <v>#NAME?</v>
      </c>
      <c r="BP156" s="23" t="e">
        <f ca="1">+'QTR Raw'!AJ82</f>
        <v>#NAME?</v>
      </c>
      <c r="BQ156" s="23" t="e">
        <f ca="1">+BQ191*BQ21/90</f>
        <v>#NAME?</v>
      </c>
      <c r="BR156" s="23" t="e">
        <f ca="1">+'QTR Raw'!AL82</f>
        <v>#NAME?</v>
      </c>
      <c r="BS156" s="23" t="e">
        <f ca="1">+BS191*BS21/90</f>
        <v>#NAME?</v>
      </c>
      <c r="BT156" s="23" t="e">
        <f ca="1">+'QTR Raw'!AN82</f>
        <v>#NAME?</v>
      </c>
      <c r="BU156" s="23" t="e">
        <f ca="1">+BU191*BU21/90</f>
        <v>#NAME?</v>
      </c>
      <c r="BV156" s="23" t="e">
        <f ca="1">+'QTR Raw'!AP82</f>
        <v>#NAME?</v>
      </c>
      <c r="BW156" s="23" t="e">
        <f ca="1">+BW191*BW21/90</f>
        <v>#NAME?</v>
      </c>
      <c r="BX156" s="23" t="e">
        <f ca="1">+'QTR Raw'!AR82</f>
        <v>#NAME?</v>
      </c>
      <c r="BY156" s="23" t="e">
        <f ca="1">+BY191*BY21/90</f>
        <v>#NAME?</v>
      </c>
      <c r="BZ156" s="23" t="e">
        <f ca="1">+'QTR Raw'!AT82</f>
        <v>#NAME?</v>
      </c>
      <c r="CA156" s="23" t="e">
        <f ca="1">+CA191*CA21/90</f>
        <v>#NAME?</v>
      </c>
      <c r="CB156" s="23" t="e">
        <f ca="1">+'QTR Raw'!AV82</f>
        <v>#NAME?</v>
      </c>
      <c r="CC156" s="23" t="e">
        <f ca="1">+CC191*CC21/90</f>
        <v>#NAME?</v>
      </c>
      <c r="CD156" s="23" t="e">
        <f ca="1">+'QTR Raw'!AX82</f>
        <v>#NAME?</v>
      </c>
      <c r="CE156" s="23" t="e">
        <f ca="1">+CE191*CE21/90</f>
        <v>#NAME?</v>
      </c>
      <c r="CF156" s="23" t="e">
        <f ca="1">+'QTR Raw'!AZ82</f>
        <v>#NAME?</v>
      </c>
      <c r="CG156" s="23" t="e">
        <f ca="1">+CG191*CG21/90</f>
        <v>#NAME?</v>
      </c>
      <c r="CH156" s="23" t="e">
        <f t="shared" ca="1" si="1192"/>
        <v>#NAME?</v>
      </c>
      <c r="CI156" s="23" t="e">
        <f ca="1">+CI191*CI21/90</f>
        <v>#NAME?</v>
      </c>
      <c r="CJ156" s="23" t="e">
        <f ca="1">+'QTR Raw'!BD82</f>
        <v>#NAME?</v>
      </c>
      <c r="CK156" s="23" t="e">
        <f t="shared" ref="CK156:DB156" ca="1" si="1216">+CK191*CK21/90</f>
        <v>#NAME?</v>
      </c>
      <c r="CL156" s="23" t="e">
        <f ca="1">+'QTR Raw'!BF82</f>
        <v>#NAME?</v>
      </c>
      <c r="CM156" s="24" t="e">
        <f t="shared" ca="1" si="1216"/>
        <v>#NAME?</v>
      </c>
      <c r="CN156" s="24" t="e">
        <f t="shared" ca="1" si="1216"/>
        <v>#NAME?</v>
      </c>
      <c r="CO156" s="24" t="e">
        <f t="shared" ca="1" si="1216"/>
        <v>#NAME?</v>
      </c>
      <c r="CP156" s="24" t="e">
        <f t="shared" ca="1" si="1216"/>
        <v>#NAME?</v>
      </c>
      <c r="CQ156" s="24" t="e">
        <f t="shared" ca="1" si="1216"/>
        <v>#NAME?</v>
      </c>
      <c r="CR156" s="24" t="e">
        <f t="shared" ca="1" si="1216"/>
        <v>#NAME?</v>
      </c>
      <c r="CS156" s="24" t="e">
        <f t="shared" ca="1" si="1216"/>
        <v>#NAME?</v>
      </c>
      <c r="CT156" s="24" t="e">
        <f t="shared" ca="1" si="1216"/>
        <v>#NAME?</v>
      </c>
      <c r="CU156" s="24" t="e">
        <f t="shared" ca="1" si="1216"/>
        <v>#NAME?</v>
      </c>
      <c r="CV156" s="24" t="e">
        <f t="shared" ca="1" si="1216"/>
        <v>#NAME?</v>
      </c>
      <c r="CW156" s="24" t="e">
        <f t="shared" ca="1" si="1216"/>
        <v>#NAME?</v>
      </c>
      <c r="CX156" s="24" t="e">
        <f t="shared" ca="1" si="1216"/>
        <v>#NAME?</v>
      </c>
      <c r="CY156" s="24" t="e">
        <f t="shared" ca="1" si="1216"/>
        <v>#NAME?</v>
      </c>
      <c r="CZ156" s="24" t="e">
        <f t="shared" ca="1" si="1216"/>
        <v>#NAME?</v>
      </c>
      <c r="DA156" s="24" t="e">
        <f t="shared" ca="1" si="1216"/>
        <v>#NAME?</v>
      </c>
      <c r="DB156" s="24" t="e">
        <f t="shared" ca="1" si="1216"/>
        <v>#NAME?</v>
      </c>
      <c r="DE156" s="123"/>
      <c r="DF156" s="23">
        <v>92.685000000000002</v>
      </c>
    </row>
    <row r="157" spans="1:110" s="23" customFormat="1" outlineLevel="1" x14ac:dyDescent="0.2">
      <c r="A157" s="23" t="s">
        <v>63</v>
      </c>
      <c r="B157" s="23" t="e">
        <f ca="1">'Annual Raw'!C79</f>
        <v>#NAME?</v>
      </c>
      <c r="C157" s="23" t="e">
        <f ca="1">'Annual Raw'!D79</f>
        <v>#NAME?</v>
      </c>
      <c r="D157" s="23" t="e">
        <f ca="1">'Annual Raw'!E79</f>
        <v>#NAME?</v>
      </c>
      <c r="E157" s="23" t="e">
        <f ca="1">'Annual Raw'!F79</f>
        <v>#NAME?</v>
      </c>
      <c r="F157" s="23" t="e">
        <f ca="1">'Annual Raw'!G79</f>
        <v>#NAME?</v>
      </c>
      <c r="G157" s="23" t="e">
        <f ca="1">'Annual Raw'!H79</f>
        <v>#NAME?</v>
      </c>
      <c r="H157" s="23" t="e">
        <f ca="1">'Annual Raw'!I79</f>
        <v>#NAME?</v>
      </c>
      <c r="I157" s="23" t="e">
        <f ca="1">'Annual Raw'!J79</f>
        <v>#NAME?</v>
      </c>
      <c r="J157" s="23" t="e">
        <f ca="1">'Annual Raw'!K79</f>
        <v>#NAME?</v>
      </c>
      <c r="K157" s="23" t="e">
        <f ca="1">'Annual Raw'!L79</f>
        <v>#NAME?</v>
      </c>
      <c r="L157" s="23" t="e">
        <f ca="1">'Annual Raw'!M79</f>
        <v>#NAME?</v>
      </c>
      <c r="M157" s="23" t="e">
        <f ca="1">'Annual Raw'!N79</f>
        <v>#NAME?</v>
      </c>
      <c r="N157" s="23" t="e">
        <f ca="1">'Annual Raw'!O79</f>
        <v>#NAME?</v>
      </c>
      <c r="O157" s="23" t="e">
        <f ca="1">'Annual Raw'!P79</f>
        <v>#NAME?</v>
      </c>
      <c r="P157" s="23" t="e">
        <f ca="1">'Annual Raw'!Q79</f>
        <v>#NAME?</v>
      </c>
      <c r="Q157" s="23" t="e">
        <f ca="1">'Annual Raw'!R79</f>
        <v>#NAME?</v>
      </c>
      <c r="R157" s="23" t="e">
        <f ca="1">'Annual Raw'!S79</f>
        <v>#NAME?</v>
      </c>
      <c r="S157" s="23" t="e">
        <f ca="1">'Annual Raw'!T79</f>
        <v>#NAME?</v>
      </c>
      <c r="T157" s="23" t="e">
        <f ca="1">'Annual Raw'!U79</f>
        <v>#NAME?</v>
      </c>
      <c r="U157" s="23" t="e">
        <f ca="1">'Annual Raw'!V79</f>
        <v>#NAME?</v>
      </c>
      <c r="V157" s="23" t="e">
        <f ca="1">'Annual Raw'!W79</f>
        <v>#NAME?</v>
      </c>
      <c r="W157" s="23" t="e">
        <f ca="1">'Annual Raw'!X79</f>
        <v>#NAME?</v>
      </c>
      <c r="X157" s="23" t="e">
        <f ca="1">'Annual Raw'!Y79</f>
        <v>#NAME?</v>
      </c>
      <c r="Y157" s="23" t="e">
        <f ca="1">'Annual Raw'!Z79</f>
        <v>#NAME?</v>
      </c>
      <c r="Z157" s="23" t="e">
        <f ca="1">'Annual Raw'!AA79</f>
        <v>#NAME?</v>
      </c>
      <c r="AA157" s="23" t="e">
        <f ca="1">'Annual Raw'!AB79</f>
        <v>#NAME?</v>
      </c>
      <c r="AB157" s="24" t="e">
        <f t="shared" ca="1" si="1210"/>
        <v>#NAME?</v>
      </c>
      <c r="AC157" s="24" t="e">
        <f t="shared" ca="1" si="1211"/>
        <v>#NAME?</v>
      </c>
      <c r="AD157" s="24" t="e">
        <f t="shared" ca="1" si="1212"/>
        <v>#NAME?</v>
      </c>
      <c r="AE157" s="24" t="e">
        <f t="shared" ca="1" si="1213"/>
        <v>#NAME?</v>
      </c>
      <c r="AJ157" s="23" t="e">
        <f ca="1">+'QTR Raw'!D84</f>
        <v>#NAME?</v>
      </c>
      <c r="AK157" s="23" t="e">
        <f t="shared" ca="1" si="1214"/>
        <v>#NAME?</v>
      </c>
      <c r="AL157" s="23" t="e">
        <f ca="1">+'QTR Raw'!F84</f>
        <v>#NAME?</v>
      </c>
      <c r="AM157" s="23" t="e">
        <f t="shared" ca="1" si="1214"/>
        <v>#NAME?</v>
      </c>
      <c r="AN157" s="23" t="e">
        <f ca="1">+'QTR Raw'!H84</f>
        <v>#NAME?</v>
      </c>
      <c r="AO157" s="23" t="e">
        <f t="shared" ca="1" si="1214"/>
        <v>#NAME?</v>
      </c>
      <c r="AP157" s="23" t="e">
        <f ca="1">+'QTR Raw'!J84</f>
        <v>#NAME?</v>
      </c>
      <c r="AQ157" s="23" t="e">
        <f t="shared" ca="1" si="1214"/>
        <v>#NAME?</v>
      </c>
      <c r="AR157" s="23" t="e">
        <f ca="1">+'QTR Raw'!L84</f>
        <v>#NAME?</v>
      </c>
      <c r="AS157" s="23" t="e">
        <f t="shared" ca="1" si="1214"/>
        <v>#NAME?</v>
      </c>
      <c r="AT157" s="23" t="e">
        <f ca="1">+'QTR Raw'!N84</f>
        <v>#NAME?</v>
      </c>
      <c r="AU157" s="23" t="e">
        <f t="shared" ca="1" si="1214"/>
        <v>#NAME?</v>
      </c>
      <c r="AV157" s="23" t="e">
        <f ca="1">+'QTR Raw'!P84</f>
        <v>#NAME?</v>
      </c>
      <c r="AW157" s="23" t="e">
        <f t="shared" ca="1" si="1214"/>
        <v>#NAME?</v>
      </c>
      <c r="AX157" s="23" t="e">
        <f ca="1">+'QTR Raw'!R84</f>
        <v>#NAME?</v>
      </c>
      <c r="AY157" s="23" t="e">
        <f t="shared" ca="1" si="1214"/>
        <v>#NAME?</v>
      </c>
      <c r="AZ157" s="23" t="e">
        <f ca="1">+'QTR Raw'!T84</f>
        <v>#NAME?</v>
      </c>
      <c r="BA157" s="23" t="e">
        <f t="shared" ca="1" si="1214"/>
        <v>#NAME?</v>
      </c>
      <c r="BB157" s="23" t="e">
        <f ca="1">+'QTR Raw'!V84</f>
        <v>#NAME?</v>
      </c>
      <c r="BC157" s="23" t="e">
        <f t="shared" ca="1" si="1214"/>
        <v>#NAME?</v>
      </c>
      <c r="BD157" s="23" t="e">
        <f ca="1">+'QTR Raw'!X84</f>
        <v>#NAME?</v>
      </c>
      <c r="BE157" s="23" t="e">
        <f t="shared" ca="1" si="1214"/>
        <v>#NAME?</v>
      </c>
      <c r="BF157" s="23" t="e">
        <f ca="1">+'QTR Raw'!Z84</f>
        <v>#NAME?</v>
      </c>
      <c r="BG157" s="23" t="e">
        <f t="shared" ca="1" si="1214"/>
        <v>#NAME?</v>
      </c>
      <c r="BH157" s="23" t="e">
        <f ca="1">+'QTR Raw'!AB84</f>
        <v>#NAME?</v>
      </c>
      <c r="BI157" s="23" t="e">
        <f t="shared" ca="1" si="1214"/>
        <v>#NAME?</v>
      </c>
      <c r="BJ157" s="23" t="e">
        <f ca="1">+'QTR Raw'!AD84</f>
        <v>#NAME?</v>
      </c>
      <c r="BK157" s="23" t="e">
        <f t="shared" ca="1" si="1214"/>
        <v>#NAME?</v>
      </c>
      <c r="BL157" s="23" t="e">
        <f ca="1">+'QTR Raw'!AF84</f>
        <v>#NAME?</v>
      </c>
      <c r="BM157" s="23" t="e">
        <f t="shared" ca="1" si="1214"/>
        <v>#NAME?</v>
      </c>
      <c r="BN157" s="23" t="e">
        <f ca="1">+'QTR Raw'!AH84</f>
        <v>#NAME?</v>
      </c>
      <c r="BO157" s="23" t="e">
        <f t="shared" ca="1" si="1214"/>
        <v>#NAME?</v>
      </c>
      <c r="BP157" s="23" t="e">
        <f ca="1">+'QTR Raw'!AJ84</f>
        <v>#NAME?</v>
      </c>
      <c r="BQ157" s="23" t="e">
        <f t="shared" ca="1" si="1214"/>
        <v>#NAME?</v>
      </c>
      <c r="BR157" s="23" t="e">
        <f ca="1">+'QTR Raw'!AL84</f>
        <v>#NAME?</v>
      </c>
      <c r="BS157" s="23" t="e">
        <f t="shared" ca="1" si="1214"/>
        <v>#NAME?</v>
      </c>
      <c r="BT157" s="23" t="e">
        <f ca="1">+'QTR Raw'!AN84</f>
        <v>#NAME?</v>
      </c>
      <c r="BU157" s="23" t="e">
        <f t="shared" ca="1" si="1214"/>
        <v>#NAME?</v>
      </c>
      <c r="BV157" s="23" t="e">
        <f ca="1">+'QTR Raw'!AP84</f>
        <v>#NAME?</v>
      </c>
      <c r="BW157" s="23" t="e">
        <f t="shared" ca="1" si="1214"/>
        <v>#NAME?</v>
      </c>
      <c r="BX157" s="23" t="e">
        <f ca="1">+'QTR Raw'!AR84</f>
        <v>#NAME?</v>
      </c>
      <c r="BY157" s="23" t="e">
        <f t="shared" ca="1" si="1214"/>
        <v>#NAME?</v>
      </c>
      <c r="BZ157" s="23" t="e">
        <f ca="1">+'QTR Raw'!AT84</f>
        <v>#NAME?</v>
      </c>
      <c r="CA157" s="23" t="e">
        <f t="shared" ca="1" si="1214"/>
        <v>#NAME?</v>
      </c>
      <c r="CB157" s="23" t="e">
        <f ca="1">+'QTR Raw'!AV84</f>
        <v>#NAME?</v>
      </c>
      <c r="CC157" s="23" t="e">
        <f t="shared" ca="1" si="1214"/>
        <v>#NAME?</v>
      </c>
      <c r="CD157" s="23" t="e">
        <f ca="1">+'QTR Raw'!AX84</f>
        <v>#NAME?</v>
      </c>
      <c r="CE157" s="23" t="e">
        <f t="shared" ca="1" si="1214"/>
        <v>#NAME?</v>
      </c>
      <c r="CF157" s="23" t="e">
        <f ca="1">+'QTR Raw'!AZ84</f>
        <v>#NAME?</v>
      </c>
      <c r="CG157" s="23" t="e">
        <f t="shared" ref="CG157:CG158" ca="1" si="1217">+CF157</f>
        <v>#NAME?</v>
      </c>
      <c r="CH157" s="23" t="e">
        <f t="shared" ca="1" si="1192"/>
        <v>#NAME?</v>
      </c>
      <c r="CI157" s="23" t="e">
        <f ca="1">CI21/90*CI192</f>
        <v>#NAME?</v>
      </c>
      <c r="CJ157" s="23" t="e">
        <f ca="1">+'QTR Raw'!BD84</f>
        <v>#NAME?</v>
      </c>
      <c r="CK157" s="23" t="e">
        <f t="shared" ref="CK157:DB157" ca="1" si="1218">CK21/90*CK192</f>
        <v>#NAME?</v>
      </c>
      <c r="CL157" s="23" t="e">
        <f ca="1">+'QTR Raw'!BF84</f>
        <v>#NAME?</v>
      </c>
      <c r="CM157" s="24" t="e">
        <f t="shared" ca="1" si="1218"/>
        <v>#NAME?</v>
      </c>
      <c r="CN157" s="24" t="e">
        <f t="shared" ca="1" si="1218"/>
        <v>#NAME?</v>
      </c>
      <c r="CO157" s="24" t="e">
        <f t="shared" ca="1" si="1218"/>
        <v>#NAME?</v>
      </c>
      <c r="CP157" s="24" t="e">
        <f t="shared" ca="1" si="1218"/>
        <v>#NAME?</v>
      </c>
      <c r="CQ157" s="24" t="e">
        <f t="shared" ca="1" si="1218"/>
        <v>#NAME?</v>
      </c>
      <c r="CR157" s="24" t="e">
        <f t="shared" ca="1" si="1218"/>
        <v>#NAME?</v>
      </c>
      <c r="CS157" s="24" t="e">
        <f t="shared" ca="1" si="1218"/>
        <v>#NAME?</v>
      </c>
      <c r="CT157" s="24" t="e">
        <f t="shared" ca="1" si="1218"/>
        <v>#NAME?</v>
      </c>
      <c r="CU157" s="24" t="e">
        <f t="shared" ca="1" si="1218"/>
        <v>#NAME?</v>
      </c>
      <c r="CV157" s="24" t="e">
        <f t="shared" ca="1" si="1218"/>
        <v>#NAME?</v>
      </c>
      <c r="CW157" s="24" t="e">
        <f t="shared" ca="1" si="1218"/>
        <v>#NAME?</v>
      </c>
      <c r="CX157" s="24" t="e">
        <f t="shared" ca="1" si="1218"/>
        <v>#NAME?</v>
      </c>
      <c r="CY157" s="24" t="e">
        <f t="shared" ca="1" si="1218"/>
        <v>#NAME?</v>
      </c>
      <c r="CZ157" s="24" t="e">
        <f t="shared" ca="1" si="1218"/>
        <v>#NAME?</v>
      </c>
      <c r="DA157" s="24" t="e">
        <f t="shared" ca="1" si="1218"/>
        <v>#NAME?</v>
      </c>
      <c r="DB157" s="24" t="e">
        <f t="shared" ca="1" si="1218"/>
        <v>#NAME?</v>
      </c>
      <c r="DE157" s="123"/>
      <c r="DF157" s="23">
        <v>69.831000000000003</v>
      </c>
    </row>
    <row r="158" spans="1:110" s="23" customFormat="1" outlineLevel="1" x14ac:dyDescent="0.2">
      <c r="A158" s="23" t="s">
        <v>64</v>
      </c>
      <c r="B158" s="23" t="e">
        <f ca="1">'Annual Raw'!C80</f>
        <v>#NAME?</v>
      </c>
      <c r="C158" s="23" t="e">
        <f ca="1">'Annual Raw'!D80</f>
        <v>#NAME?</v>
      </c>
      <c r="D158" s="23" t="e">
        <f ca="1">'Annual Raw'!E80</f>
        <v>#NAME?</v>
      </c>
      <c r="E158" s="23" t="e">
        <f ca="1">'Annual Raw'!F80</f>
        <v>#NAME?</v>
      </c>
      <c r="F158" s="23" t="e">
        <f ca="1">'Annual Raw'!G80</f>
        <v>#NAME?</v>
      </c>
      <c r="G158" s="23" t="e">
        <f ca="1">'Annual Raw'!H80</f>
        <v>#NAME?</v>
      </c>
      <c r="H158" s="23" t="e">
        <f ca="1">'Annual Raw'!I80</f>
        <v>#NAME?</v>
      </c>
      <c r="I158" s="23" t="e">
        <f ca="1">'Annual Raw'!J80</f>
        <v>#NAME?</v>
      </c>
      <c r="J158" s="23" t="e">
        <f ca="1">'Annual Raw'!K80</f>
        <v>#NAME?</v>
      </c>
      <c r="K158" s="23" t="e">
        <f ca="1">'Annual Raw'!L80</f>
        <v>#NAME?</v>
      </c>
      <c r="L158" s="23" t="e">
        <f ca="1">'Annual Raw'!M80</f>
        <v>#NAME?</v>
      </c>
      <c r="M158" s="23" t="e">
        <f ca="1">'Annual Raw'!N80</f>
        <v>#NAME?</v>
      </c>
      <c r="N158" s="23" t="e">
        <f ca="1">'Annual Raw'!O80</f>
        <v>#NAME?</v>
      </c>
      <c r="O158" s="23" t="e">
        <f ca="1">'Annual Raw'!P80</f>
        <v>#NAME?</v>
      </c>
      <c r="P158" s="23" t="e">
        <f ca="1">'Annual Raw'!Q80</f>
        <v>#NAME?</v>
      </c>
      <c r="Q158" s="23" t="e">
        <f ca="1">'Annual Raw'!R80</f>
        <v>#NAME?</v>
      </c>
      <c r="R158" s="23" t="e">
        <f ca="1">'Annual Raw'!S80</f>
        <v>#NAME?</v>
      </c>
      <c r="S158" s="23" t="e">
        <f ca="1">'Annual Raw'!T80</f>
        <v>#NAME?</v>
      </c>
      <c r="T158" s="23" t="e">
        <f ca="1">'Annual Raw'!U80</f>
        <v>#NAME?</v>
      </c>
      <c r="U158" s="23" t="e">
        <f ca="1">'Annual Raw'!V80</f>
        <v>#NAME?</v>
      </c>
      <c r="V158" s="23" t="e">
        <f ca="1">'Annual Raw'!W80</f>
        <v>#NAME?</v>
      </c>
      <c r="W158" s="23" t="e">
        <f ca="1">'Annual Raw'!X80</f>
        <v>#NAME?</v>
      </c>
      <c r="X158" s="23" t="e">
        <f ca="1">'Annual Raw'!Y80</f>
        <v>#NAME?</v>
      </c>
      <c r="Y158" s="23" t="e">
        <f ca="1">'Annual Raw'!Z80</f>
        <v>#NAME?</v>
      </c>
      <c r="Z158" s="23" t="e">
        <f ca="1">'Annual Raw'!AA80</f>
        <v>#NAME?</v>
      </c>
      <c r="AA158" s="23" t="e">
        <f ca="1">'Annual Raw'!AB80</f>
        <v>#NAME?</v>
      </c>
      <c r="AB158" s="24">
        <f t="shared" si="1210"/>
        <v>0</v>
      </c>
      <c r="AC158" s="24">
        <f t="shared" si="1211"/>
        <v>0</v>
      </c>
      <c r="AD158" s="24">
        <f t="shared" si="1212"/>
        <v>0</v>
      </c>
      <c r="AE158" s="24">
        <f t="shared" si="1213"/>
        <v>0</v>
      </c>
      <c r="AJ158" s="23" t="e">
        <f ca="1">+'QTR Raw'!D85</f>
        <v>#NAME?</v>
      </c>
      <c r="AK158" s="23" t="e">
        <f t="shared" ca="1" si="1214"/>
        <v>#NAME?</v>
      </c>
      <c r="AL158" s="23" t="e">
        <f ca="1">+'QTR Raw'!F85</f>
        <v>#NAME?</v>
      </c>
      <c r="AM158" s="23" t="e">
        <f t="shared" ca="1" si="1214"/>
        <v>#NAME?</v>
      </c>
      <c r="AN158" s="23" t="e">
        <f ca="1">+'QTR Raw'!H85</f>
        <v>#NAME?</v>
      </c>
      <c r="AO158" s="23" t="e">
        <f t="shared" ca="1" si="1214"/>
        <v>#NAME?</v>
      </c>
      <c r="AP158" s="23" t="e">
        <f ca="1">+'QTR Raw'!J85</f>
        <v>#NAME?</v>
      </c>
      <c r="AQ158" s="23" t="e">
        <f t="shared" ca="1" si="1214"/>
        <v>#NAME?</v>
      </c>
      <c r="AR158" s="23" t="e">
        <f ca="1">+'QTR Raw'!L85</f>
        <v>#NAME?</v>
      </c>
      <c r="AS158" s="23" t="e">
        <f t="shared" ca="1" si="1214"/>
        <v>#NAME?</v>
      </c>
      <c r="AT158" s="23" t="e">
        <f ca="1">+'QTR Raw'!N85</f>
        <v>#NAME?</v>
      </c>
      <c r="AU158" s="23" t="e">
        <f t="shared" ca="1" si="1214"/>
        <v>#NAME?</v>
      </c>
      <c r="AV158" s="23" t="e">
        <f ca="1">+'QTR Raw'!P85</f>
        <v>#NAME?</v>
      </c>
      <c r="AW158" s="23" t="e">
        <f t="shared" ca="1" si="1214"/>
        <v>#NAME?</v>
      </c>
      <c r="AX158" s="23" t="e">
        <f ca="1">+'QTR Raw'!R85</f>
        <v>#NAME?</v>
      </c>
      <c r="AY158" s="23" t="e">
        <f t="shared" ca="1" si="1214"/>
        <v>#NAME?</v>
      </c>
      <c r="AZ158" s="23" t="e">
        <f ca="1">+'QTR Raw'!T85</f>
        <v>#NAME?</v>
      </c>
      <c r="BA158" s="23" t="e">
        <f t="shared" ca="1" si="1214"/>
        <v>#NAME?</v>
      </c>
      <c r="BB158" s="23" t="e">
        <f ca="1">+'QTR Raw'!V85</f>
        <v>#NAME?</v>
      </c>
      <c r="BC158" s="23" t="e">
        <f t="shared" ca="1" si="1214"/>
        <v>#NAME?</v>
      </c>
      <c r="BD158" s="23" t="e">
        <f ca="1">+'QTR Raw'!X85</f>
        <v>#NAME?</v>
      </c>
      <c r="BE158" s="23" t="e">
        <f t="shared" ca="1" si="1214"/>
        <v>#NAME?</v>
      </c>
      <c r="BF158" s="23" t="e">
        <f ca="1">+'QTR Raw'!Z85</f>
        <v>#NAME?</v>
      </c>
      <c r="BG158" s="23" t="e">
        <f t="shared" ca="1" si="1214"/>
        <v>#NAME?</v>
      </c>
      <c r="BH158" s="23" t="e">
        <f ca="1">+'QTR Raw'!AB85</f>
        <v>#NAME?</v>
      </c>
      <c r="BI158" s="23" t="e">
        <f t="shared" ca="1" si="1214"/>
        <v>#NAME?</v>
      </c>
      <c r="BJ158" s="23" t="e">
        <f ca="1">+'QTR Raw'!AD85</f>
        <v>#NAME?</v>
      </c>
      <c r="BK158" s="23" t="e">
        <f t="shared" ca="1" si="1214"/>
        <v>#NAME?</v>
      </c>
      <c r="BL158" s="23" t="e">
        <f ca="1">+'QTR Raw'!AF85</f>
        <v>#NAME?</v>
      </c>
      <c r="BM158" s="23" t="e">
        <f t="shared" ca="1" si="1214"/>
        <v>#NAME?</v>
      </c>
      <c r="BN158" s="23" t="e">
        <f ca="1">+'QTR Raw'!AH85</f>
        <v>#NAME?</v>
      </c>
      <c r="BO158" s="23" t="e">
        <f t="shared" ca="1" si="1214"/>
        <v>#NAME?</v>
      </c>
      <c r="BP158" s="23" t="e">
        <f ca="1">+'QTR Raw'!AJ85</f>
        <v>#NAME?</v>
      </c>
      <c r="BQ158" s="23" t="e">
        <f t="shared" ca="1" si="1214"/>
        <v>#NAME?</v>
      </c>
      <c r="BR158" s="23" t="e">
        <f ca="1">+'QTR Raw'!AL85</f>
        <v>#NAME?</v>
      </c>
      <c r="BS158" s="23" t="e">
        <f t="shared" ca="1" si="1214"/>
        <v>#NAME?</v>
      </c>
      <c r="BT158" s="23" t="e">
        <f ca="1">+'QTR Raw'!AN85</f>
        <v>#NAME?</v>
      </c>
      <c r="BU158" s="23" t="e">
        <f t="shared" ca="1" si="1214"/>
        <v>#NAME?</v>
      </c>
      <c r="BV158" s="23" t="e">
        <f ca="1">+'QTR Raw'!AP85</f>
        <v>#NAME?</v>
      </c>
      <c r="BW158" s="23" t="e">
        <f t="shared" ca="1" si="1214"/>
        <v>#NAME?</v>
      </c>
      <c r="BX158" s="23" t="e">
        <f ca="1">+'QTR Raw'!AR85</f>
        <v>#NAME?</v>
      </c>
      <c r="BY158" s="23" t="e">
        <f t="shared" ca="1" si="1214"/>
        <v>#NAME?</v>
      </c>
      <c r="BZ158" s="23" t="e">
        <f ca="1">+'QTR Raw'!AT85</f>
        <v>#NAME?</v>
      </c>
      <c r="CA158" s="23" t="e">
        <f t="shared" ca="1" si="1214"/>
        <v>#NAME?</v>
      </c>
      <c r="CB158" s="23" t="e">
        <f ca="1">+'QTR Raw'!AV85</f>
        <v>#NAME?</v>
      </c>
      <c r="CC158" s="23" t="e">
        <f t="shared" ca="1" si="1214"/>
        <v>#NAME?</v>
      </c>
      <c r="CD158" s="23" t="e">
        <f ca="1">+'QTR Raw'!AX85</f>
        <v>#NAME?</v>
      </c>
      <c r="CE158" s="23" t="e">
        <f t="shared" ca="1" si="1214"/>
        <v>#NAME?</v>
      </c>
      <c r="CF158" s="23" t="e">
        <f ca="1">+'QTR Raw'!AZ85</f>
        <v>#NAME?</v>
      </c>
      <c r="CG158" s="23" t="e">
        <f t="shared" ca="1" si="1217"/>
        <v>#NAME?</v>
      </c>
      <c r="CH158" s="23" t="e">
        <f t="shared" ca="1" si="1192"/>
        <v>#NAME?</v>
      </c>
      <c r="CJ158" s="23" t="e">
        <f ca="1">+'QTR Raw'!BD85</f>
        <v>#NAME?</v>
      </c>
      <c r="CL158" s="23" t="e">
        <f ca="1">+'QTR Raw'!BF85</f>
        <v>#NAME?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0.87</v>
      </c>
    </row>
    <row r="159" spans="1:110" s="22" customFormat="1" x14ac:dyDescent="0.2">
      <c r="A159" s="22" t="s">
        <v>65</v>
      </c>
      <c r="B159" s="22" t="e">
        <f ca="1">SUM(B153:B158)</f>
        <v>#NAME?</v>
      </c>
      <c r="C159" s="22" t="e">
        <f t="shared" ref="C159:V159" ca="1" si="1219">SUM(C153:C158)</f>
        <v>#NAME?</v>
      </c>
      <c r="D159" s="22" t="e">
        <f t="shared" ca="1" si="1219"/>
        <v>#NAME?</v>
      </c>
      <c r="E159" s="22" t="e">
        <f t="shared" ca="1" si="1219"/>
        <v>#NAME?</v>
      </c>
      <c r="F159" s="22" t="e">
        <f t="shared" ca="1" si="1219"/>
        <v>#NAME?</v>
      </c>
      <c r="G159" s="22" t="e">
        <f t="shared" ca="1" si="1219"/>
        <v>#NAME?</v>
      </c>
      <c r="H159" s="22" t="e">
        <f t="shared" ca="1" si="1219"/>
        <v>#NAME?</v>
      </c>
      <c r="I159" s="22" t="e">
        <f t="shared" ca="1" si="1219"/>
        <v>#NAME?</v>
      </c>
      <c r="J159" s="22" t="e">
        <f t="shared" ca="1" si="1219"/>
        <v>#NAME?</v>
      </c>
      <c r="K159" s="22" t="e">
        <f t="shared" ca="1" si="1219"/>
        <v>#NAME?</v>
      </c>
      <c r="L159" s="22" t="e">
        <f ca="1">SUM(L153:L158)</f>
        <v>#NAME?</v>
      </c>
      <c r="M159" s="22" t="e">
        <f ca="1">SUM(M153:M158)</f>
        <v>#NAME?</v>
      </c>
      <c r="N159" s="22" t="e">
        <f t="shared" ca="1" si="1219"/>
        <v>#NAME?</v>
      </c>
      <c r="O159" s="22" t="e">
        <f t="shared" ca="1" si="1219"/>
        <v>#NAME?</v>
      </c>
      <c r="P159" s="22" t="e">
        <f t="shared" ca="1" si="1219"/>
        <v>#NAME?</v>
      </c>
      <c r="Q159" s="22" t="e">
        <f t="shared" ca="1" si="1219"/>
        <v>#NAME?</v>
      </c>
      <c r="R159" s="22" t="e">
        <f t="shared" ca="1" si="1219"/>
        <v>#NAME?</v>
      </c>
      <c r="S159" s="22" t="e">
        <f t="shared" ca="1" si="1219"/>
        <v>#NAME?</v>
      </c>
      <c r="T159" s="22" t="e">
        <f t="shared" ca="1" si="1219"/>
        <v>#NAME?</v>
      </c>
      <c r="U159" s="22" t="e">
        <f t="shared" ca="1" si="1219"/>
        <v>#NAME?</v>
      </c>
      <c r="V159" s="22" t="e">
        <f t="shared" ca="1" si="1219"/>
        <v>#NAME?</v>
      </c>
      <c r="W159" s="22" t="e">
        <f t="shared" ref="W159" ca="1" si="1220">SUM(W153:W158)</f>
        <v>#NAME?</v>
      </c>
      <c r="X159" s="22" t="e">
        <f t="shared" ref="X159:Y159" ca="1" si="1221">SUM(X153:X158)</f>
        <v>#NAME?</v>
      </c>
      <c r="Y159" s="22" t="e">
        <f t="shared" ca="1" si="1221"/>
        <v>#NAME?</v>
      </c>
      <c r="Z159" s="22" t="e">
        <f t="shared" ref="Z159:AA159" ca="1" si="1222">SUM(Z153:Z158)</f>
        <v>#NAME?</v>
      </c>
      <c r="AA159" s="22" t="e">
        <f t="shared" ca="1" si="1222"/>
        <v>#NAME?</v>
      </c>
      <c r="AB159" s="21" t="e">
        <f t="shared" ref="AA159:AD159" ca="1" si="1223">SUM(AB153:AB158)</f>
        <v>#NAME?</v>
      </c>
      <c r="AC159" s="21" t="e">
        <f t="shared" ca="1" si="1223"/>
        <v>#NAME?</v>
      </c>
      <c r="AD159" s="21" t="e">
        <f t="shared" ca="1" si="1223"/>
        <v>#NAME?</v>
      </c>
      <c r="AE159" s="21" t="e">
        <f t="shared" ref="AE159" ca="1" si="1224">SUM(AE153:AE158)</f>
        <v>#NAME?</v>
      </c>
      <c r="AJ159" s="22" t="e">
        <f t="shared" ref="AJ159" ca="1" si="1225">SUM(AJ153:AJ158)</f>
        <v>#NAME?</v>
      </c>
      <c r="AK159" s="22" t="e">
        <f t="shared" ref="AK159" ca="1" si="1226">SUM(AK153:AK158)</f>
        <v>#NAME?</v>
      </c>
      <c r="AL159" s="22" t="e">
        <f t="shared" ref="AL159:AM159" ca="1" si="1227">SUM(AL153:AL158)</f>
        <v>#NAME?</v>
      </c>
      <c r="AM159" s="22" t="e">
        <f t="shared" ca="1" si="1227"/>
        <v>#NAME?</v>
      </c>
      <c r="AN159" s="22" t="e">
        <f t="shared" ref="AN159:AO159" ca="1" si="1228">SUM(AN153:AN158)</f>
        <v>#NAME?</v>
      </c>
      <c r="AO159" s="22" t="e">
        <f t="shared" ca="1" si="1228"/>
        <v>#NAME?</v>
      </c>
      <c r="AP159" s="22" t="e">
        <f t="shared" ref="AP159:CE159" ca="1" si="1229">SUM(AP153:AP158)</f>
        <v>#NAME?</v>
      </c>
      <c r="AQ159" s="22" t="e">
        <f t="shared" ca="1" si="1229"/>
        <v>#NAME?</v>
      </c>
      <c r="AR159" s="22" t="e">
        <f t="shared" ca="1" si="1229"/>
        <v>#NAME?</v>
      </c>
      <c r="AS159" s="22" t="e">
        <f t="shared" ca="1" si="1229"/>
        <v>#NAME?</v>
      </c>
      <c r="AT159" s="22" t="e">
        <f t="shared" ca="1" si="1229"/>
        <v>#NAME?</v>
      </c>
      <c r="AU159" s="22" t="e">
        <f t="shared" ca="1" si="1229"/>
        <v>#NAME?</v>
      </c>
      <c r="AV159" s="22" t="e">
        <f t="shared" ca="1" si="1229"/>
        <v>#NAME?</v>
      </c>
      <c r="AW159" s="22" t="e">
        <f t="shared" ca="1" si="1229"/>
        <v>#NAME?</v>
      </c>
      <c r="AX159" s="22" t="e">
        <f t="shared" ca="1" si="1229"/>
        <v>#NAME?</v>
      </c>
      <c r="AY159" s="22" t="e">
        <f t="shared" ca="1" si="1229"/>
        <v>#NAME?</v>
      </c>
      <c r="AZ159" s="22" t="e">
        <f t="shared" ca="1" si="1229"/>
        <v>#NAME?</v>
      </c>
      <c r="BA159" s="22" t="e">
        <f t="shared" ca="1" si="1229"/>
        <v>#NAME?</v>
      </c>
      <c r="BB159" s="22" t="e">
        <f t="shared" ca="1" si="1229"/>
        <v>#NAME?</v>
      </c>
      <c r="BC159" s="22" t="e">
        <f t="shared" ca="1" si="1229"/>
        <v>#NAME?</v>
      </c>
      <c r="BD159" s="22" t="e">
        <f t="shared" ca="1" si="1229"/>
        <v>#NAME?</v>
      </c>
      <c r="BE159" s="22" t="e">
        <f t="shared" ca="1" si="1229"/>
        <v>#NAME?</v>
      </c>
      <c r="BF159" s="22" t="e">
        <f t="shared" ca="1" si="1229"/>
        <v>#NAME?</v>
      </c>
      <c r="BG159" s="22" t="e">
        <f t="shared" ca="1" si="1229"/>
        <v>#NAME?</v>
      </c>
      <c r="BH159" s="22" t="e">
        <f t="shared" ca="1" si="1229"/>
        <v>#NAME?</v>
      </c>
      <c r="BI159" s="22" t="e">
        <f t="shared" ca="1" si="1229"/>
        <v>#NAME?</v>
      </c>
      <c r="BJ159" s="22" t="e">
        <f t="shared" ca="1" si="1229"/>
        <v>#NAME?</v>
      </c>
      <c r="BK159" s="22" t="e">
        <f t="shared" ca="1" si="1229"/>
        <v>#NAME?</v>
      </c>
      <c r="BL159" s="22" t="e">
        <f t="shared" ca="1" si="1229"/>
        <v>#NAME?</v>
      </c>
      <c r="BM159" s="22" t="e">
        <f t="shared" ca="1" si="1229"/>
        <v>#NAME?</v>
      </c>
      <c r="BN159" s="22" t="e">
        <f t="shared" ca="1" si="1229"/>
        <v>#NAME?</v>
      </c>
      <c r="BO159" s="22" t="e">
        <f t="shared" ca="1" si="1229"/>
        <v>#NAME?</v>
      </c>
      <c r="BP159" s="22" t="e">
        <f t="shared" ca="1" si="1229"/>
        <v>#NAME?</v>
      </c>
      <c r="BQ159" s="22" t="e">
        <f t="shared" ca="1" si="1229"/>
        <v>#NAME?</v>
      </c>
      <c r="BR159" s="22" t="e">
        <f t="shared" ca="1" si="1229"/>
        <v>#NAME?</v>
      </c>
      <c r="BS159" s="22" t="e">
        <f t="shared" ca="1" si="1229"/>
        <v>#NAME?</v>
      </c>
      <c r="BT159" s="22" t="e">
        <f t="shared" ca="1" si="1229"/>
        <v>#NAME?</v>
      </c>
      <c r="BU159" s="22" t="e">
        <f t="shared" ca="1" si="1229"/>
        <v>#NAME?</v>
      </c>
      <c r="BV159" s="22" t="e">
        <f t="shared" ca="1" si="1229"/>
        <v>#NAME?</v>
      </c>
      <c r="BW159" s="22" t="e">
        <f t="shared" ca="1" si="1229"/>
        <v>#NAME?</v>
      </c>
      <c r="BX159" s="22" t="e">
        <f t="shared" ca="1" si="1229"/>
        <v>#NAME?</v>
      </c>
      <c r="BY159" s="22" t="e">
        <f t="shared" ca="1" si="1229"/>
        <v>#NAME?</v>
      </c>
      <c r="BZ159" s="22" t="e">
        <f t="shared" ca="1" si="1229"/>
        <v>#NAME?</v>
      </c>
      <c r="CA159" s="22" t="e">
        <f t="shared" ca="1" si="1229"/>
        <v>#NAME?</v>
      </c>
      <c r="CB159" s="22" t="e">
        <f t="shared" ca="1" si="1229"/>
        <v>#NAME?</v>
      </c>
      <c r="CC159" s="22" t="e">
        <f t="shared" ca="1" si="1229"/>
        <v>#NAME?</v>
      </c>
      <c r="CD159" s="22" t="e">
        <f t="shared" ca="1" si="1229"/>
        <v>#NAME?</v>
      </c>
      <c r="CE159" s="22" t="e">
        <f t="shared" ca="1" si="1229"/>
        <v>#NAME?</v>
      </c>
      <c r="CF159" s="22" t="e">
        <f t="shared" ref="CF159:CG159" ca="1" si="1230">SUM(CF153:CF158)</f>
        <v>#NAME?</v>
      </c>
      <c r="CG159" s="22" t="e">
        <f t="shared" ca="1" si="1230"/>
        <v>#NAME?</v>
      </c>
      <c r="CH159" s="22" t="e">
        <f t="shared" ref="CH159:CI159" ca="1" si="1231">SUM(CH153:CH158)</f>
        <v>#NAME?</v>
      </c>
      <c r="CI159" s="22" t="e">
        <f t="shared" ca="1" si="1231"/>
        <v>#NAME?</v>
      </c>
      <c r="CJ159" s="22" t="e">
        <f t="shared" ref="CJ159:DB159" ca="1" si="1232">SUM(CJ153:CJ158)</f>
        <v>#NAME?</v>
      </c>
      <c r="CK159" s="22" t="e">
        <f t="shared" ca="1" si="1232"/>
        <v>#NAME?</v>
      </c>
      <c r="CL159" s="22" t="e">
        <f t="shared" ref="CL159" ca="1" si="1233">SUM(CL153:CL158)</f>
        <v>#NAME?</v>
      </c>
      <c r="CM159" s="21" t="e">
        <f t="shared" ca="1" si="1232"/>
        <v>#NAME?</v>
      </c>
      <c r="CN159" s="21" t="e">
        <f t="shared" ca="1" si="1232"/>
        <v>#NAME?</v>
      </c>
      <c r="CO159" s="21" t="e">
        <f t="shared" ca="1" si="1232"/>
        <v>#NAME?</v>
      </c>
      <c r="CP159" s="21" t="e">
        <f t="shared" ca="1" si="1232"/>
        <v>#NAME?</v>
      </c>
      <c r="CQ159" s="21" t="e">
        <f t="shared" ca="1" si="1232"/>
        <v>#NAME?</v>
      </c>
      <c r="CR159" s="21" t="e">
        <f t="shared" ca="1" si="1232"/>
        <v>#NAME?</v>
      </c>
      <c r="CS159" s="21" t="e">
        <f t="shared" ca="1" si="1232"/>
        <v>#NAME?</v>
      </c>
      <c r="CT159" s="21" t="e">
        <f t="shared" ca="1" si="1232"/>
        <v>#NAME?</v>
      </c>
      <c r="CU159" s="21" t="e">
        <f t="shared" ca="1" si="1232"/>
        <v>#NAME?</v>
      </c>
      <c r="CV159" s="21" t="e">
        <f t="shared" ca="1" si="1232"/>
        <v>#NAME?</v>
      </c>
      <c r="CW159" s="21" t="e">
        <f t="shared" ca="1" si="1232"/>
        <v>#NAME?</v>
      </c>
      <c r="CX159" s="21" t="e">
        <f t="shared" ca="1" si="1232"/>
        <v>#NAME?</v>
      </c>
      <c r="CY159" s="21" t="e">
        <f t="shared" ca="1" si="1232"/>
        <v>#NAME?</v>
      </c>
      <c r="CZ159" s="21" t="e">
        <f t="shared" ca="1" si="1232"/>
        <v>#NAME?</v>
      </c>
      <c r="DA159" s="21" t="e">
        <f t="shared" ca="1" si="1232"/>
        <v>#NAME?</v>
      </c>
      <c r="DB159" s="21" t="e">
        <f t="shared" ca="1" si="1232"/>
        <v>#NAME?</v>
      </c>
      <c r="DE159" s="126"/>
      <c r="DF159" s="22">
        <v>456.83300000000003</v>
      </c>
    </row>
    <row r="160" spans="1:110" s="23" customFormat="1" outlineLevel="1" x14ac:dyDescent="0.2">
      <c r="A160" s="23" t="s">
        <v>66</v>
      </c>
      <c r="B160" s="23" t="e">
        <f ca="1">'Annual Raw'!C50+'Annual Raw'!C58</f>
        <v>#NAME?</v>
      </c>
      <c r="C160" s="23" t="e">
        <f ca="1">'Annual Raw'!D50+'Annual Raw'!D58</f>
        <v>#NAME?</v>
      </c>
      <c r="D160" s="23" t="e">
        <f ca="1">'Annual Raw'!E50+'Annual Raw'!E58</f>
        <v>#NAME?</v>
      </c>
      <c r="E160" s="23" t="e">
        <f ca="1">'Annual Raw'!F50+'Annual Raw'!F58</f>
        <v>#NAME?</v>
      </c>
      <c r="F160" s="23" t="e">
        <f ca="1">'Annual Raw'!G50+'Annual Raw'!G58</f>
        <v>#NAME?</v>
      </c>
      <c r="G160" s="23" t="e">
        <f ca="1">'Annual Raw'!H50+'Annual Raw'!H58</f>
        <v>#NAME?</v>
      </c>
      <c r="H160" s="23" t="e">
        <f ca="1">'Annual Raw'!I50+'Annual Raw'!I58</f>
        <v>#NAME?</v>
      </c>
      <c r="I160" s="23" t="e">
        <f ca="1">'Annual Raw'!J50+'Annual Raw'!J58</f>
        <v>#NAME?</v>
      </c>
      <c r="J160" s="23" t="e">
        <f ca="1">'Annual Raw'!K50+'Annual Raw'!K58</f>
        <v>#NAME?</v>
      </c>
      <c r="K160" s="23" t="e">
        <f ca="1">'Annual Raw'!L50+'Annual Raw'!L58</f>
        <v>#NAME?</v>
      </c>
      <c r="L160" s="23" t="e">
        <f ca="1">'Annual Raw'!M50+'Annual Raw'!M58</f>
        <v>#NAME?</v>
      </c>
      <c r="M160" s="23" t="e">
        <f ca="1">'Annual Raw'!N50+'Annual Raw'!N58</f>
        <v>#NAME?</v>
      </c>
      <c r="N160" s="23" t="e">
        <f ca="1">'Annual Raw'!O50+'Annual Raw'!O58</f>
        <v>#NAME?</v>
      </c>
      <c r="O160" s="23" t="e">
        <f ca="1">'Annual Raw'!P50+'Annual Raw'!P58</f>
        <v>#NAME?</v>
      </c>
      <c r="P160" s="23" t="e">
        <f ca="1">'Annual Raw'!Q50+'Annual Raw'!Q58</f>
        <v>#NAME?</v>
      </c>
      <c r="Q160" s="23" t="e">
        <f ca="1">'Annual Raw'!R50+'Annual Raw'!R58</f>
        <v>#NAME?</v>
      </c>
      <c r="R160" s="23" t="e">
        <f ca="1">'Annual Raw'!S50+'Annual Raw'!S58</f>
        <v>#NAME?</v>
      </c>
      <c r="S160" s="23" t="e">
        <f ca="1">'Annual Raw'!T50+'Annual Raw'!T58</f>
        <v>#NAME?</v>
      </c>
      <c r="T160" s="23" t="e">
        <f ca="1">'Annual Raw'!U50+'Annual Raw'!U58</f>
        <v>#NAME?</v>
      </c>
      <c r="U160" s="23" t="e">
        <f ca="1">'Annual Raw'!V50+'Annual Raw'!V58</f>
        <v>#NAME?</v>
      </c>
      <c r="V160" s="23" t="e">
        <f ca="1">'Annual Raw'!W50+'Annual Raw'!W58</f>
        <v>#NAME?</v>
      </c>
      <c r="W160" s="23" t="e">
        <f ca="1">'Annual Raw'!X50+'Annual Raw'!X58</f>
        <v>#NAME?</v>
      </c>
      <c r="X160" s="23" t="e">
        <f ca="1">'Annual Raw'!Y50+'Annual Raw'!Y58</f>
        <v>#NAME?</v>
      </c>
      <c r="Y160" s="23" t="e">
        <f ca="1">'Annual Raw'!Z50+'Annual Raw'!Z58</f>
        <v>#NAME?</v>
      </c>
      <c r="Z160" s="23" t="e">
        <f ca="1">'Annual Raw'!AA50+'Annual Raw'!AA58</f>
        <v>#NAME?</v>
      </c>
      <c r="AA160" s="23" t="e">
        <f ca="1">'Annual Raw'!AB50+'Annual Raw'!AB58</f>
        <v>#NAME?</v>
      </c>
      <c r="AB160" s="24">
        <f t="shared" ref="AB160:AB166" si="1234">+CP160</f>
        <v>0</v>
      </c>
      <c r="AC160" s="24">
        <f t="shared" ref="AC160:AC166" si="1235">+CT160</f>
        <v>0</v>
      </c>
      <c r="AD160" s="24">
        <f t="shared" ref="AD160:AD166" si="1236">+CX160</f>
        <v>0</v>
      </c>
      <c r="AE160" s="24">
        <f t="shared" ref="AE160:AE166" si="1237">+DB160</f>
        <v>0</v>
      </c>
      <c r="AJ160" s="23" t="e">
        <f ca="1">+'QTR Raw'!D64</f>
        <v>#NAME?</v>
      </c>
      <c r="AK160" s="23" t="e">
        <f t="shared" ref="AK160:CE166" ca="1" si="1238">+AJ160</f>
        <v>#NAME?</v>
      </c>
      <c r="AL160" s="23" t="e">
        <f ca="1">+'QTR Raw'!F64</f>
        <v>#NAME?</v>
      </c>
      <c r="AM160" s="23" t="e">
        <f t="shared" ca="1" si="1238"/>
        <v>#NAME?</v>
      </c>
      <c r="AN160" s="23" t="e">
        <f ca="1">+'QTR Raw'!H64</f>
        <v>#NAME?</v>
      </c>
      <c r="AO160" s="23" t="e">
        <f t="shared" ca="1" si="1238"/>
        <v>#NAME?</v>
      </c>
      <c r="AP160" s="23" t="e">
        <f ca="1">+'QTR Raw'!J64</f>
        <v>#NAME?</v>
      </c>
      <c r="AQ160" s="23" t="e">
        <f t="shared" ca="1" si="1238"/>
        <v>#NAME?</v>
      </c>
      <c r="AR160" s="23" t="e">
        <f ca="1">+'QTR Raw'!L64</f>
        <v>#NAME?</v>
      </c>
      <c r="AS160" s="23" t="e">
        <f t="shared" ca="1" si="1238"/>
        <v>#NAME?</v>
      </c>
      <c r="AT160" s="23" t="e">
        <f ca="1">+'QTR Raw'!N64</f>
        <v>#NAME?</v>
      </c>
      <c r="AU160" s="23" t="e">
        <f t="shared" ca="1" si="1238"/>
        <v>#NAME?</v>
      </c>
      <c r="AV160" s="23" t="e">
        <f ca="1">+'QTR Raw'!P64</f>
        <v>#NAME?</v>
      </c>
      <c r="AW160" s="23" t="e">
        <f t="shared" ca="1" si="1238"/>
        <v>#NAME?</v>
      </c>
      <c r="AX160" s="23" t="e">
        <f ca="1">+'QTR Raw'!R64</f>
        <v>#NAME?</v>
      </c>
      <c r="AY160" s="23" t="e">
        <f t="shared" ca="1" si="1238"/>
        <v>#NAME?</v>
      </c>
      <c r="AZ160" s="23" t="e">
        <f ca="1">+'QTR Raw'!T64</f>
        <v>#NAME?</v>
      </c>
      <c r="BA160" s="23" t="e">
        <f t="shared" ca="1" si="1238"/>
        <v>#NAME?</v>
      </c>
      <c r="BB160" s="23" t="e">
        <f ca="1">+'QTR Raw'!V64</f>
        <v>#NAME?</v>
      </c>
      <c r="BC160" s="23" t="e">
        <f t="shared" ca="1" si="1238"/>
        <v>#NAME?</v>
      </c>
      <c r="BD160" s="23" t="e">
        <f ca="1">+'QTR Raw'!X64</f>
        <v>#NAME?</v>
      </c>
      <c r="BE160" s="23" t="e">
        <f t="shared" ca="1" si="1238"/>
        <v>#NAME?</v>
      </c>
      <c r="BF160" s="23" t="e">
        <f ca="1">+'QTR Raw'!Z64</f>
        <v>#NAME?</v>
      </c>
      <c r="BG160" s="23" t="e">
        <f t="shared" ca="1" si="1238"/>
        <v>#NAME?</v>
      </c>
      <c r="BH160" s="23" t="e">
        <f ca="1">+'QTR Raw'!AB64</f>
        <v>#NAME?</v>
      </c>
      <c r="BI160" s="23" t="e">
        <f t="shared" ca="1" si="1238"/>
        <v>#NAME?</v>
      </c>
      <c r="BJ160" s="23" t="e">
        <f ca="1">+'QTR Raw'!AD64</f>
        <v>#NAME?</v>
      </c>
      <c r="BK160" s="23" t="e">
        <f t="shared" ca="1" si="1238"/>
        <v>#NAME?</v>
      </c>
      <c r="BL160" s="23" t="e">
        <f ca="1">+'QTR Raw'!AF64</f>
        <v>#NAME?</v>
      </c>
      <c r="BM160" s="23" t="e">
        <f t="shared" ca="1" si="1238"/>
        <v>#NAME?</v>
      </c>
      <c r="BN160" s="23" t="e">
        <f ca="1">+'QTR Raw'!AH64</f>
        <v>#NAME?</v>
      </c>
      <c r="BO160" s="23" t="e">
        <f t="shared" ca="1" si="1238"/>
        <v>#NAME?</v>
      </c>
      <c r="BP160" s="23" t="e">
        <f ca="1">+'QTR Raw'!AJ64</f>
        <v>#NAME?</v>
      </c>
      <c r="BQ160" s="23" t="e">
        <f t="shared" ca="1" si="1238"/>
        <v>#NAME?</v>
      </c>
      <c r="BR160" s="23" t="e">
        <f ca="1">+'QTR Raw'!AL64</f>
        <v>#NAME?</v>
      </c>
      <c r="BS160" s="23" t="e">
        <f t="shared" ca="1" si="1238"/>
        <v>#NAME?</v>
      </c>
      <c r="BT160" s="23" t="e">
        <f ca="1">+'QTR Raw'!AN64</f>
        <v>#NAME?</v>
      </c>
      <c r="BU160" s="23" t="e">
        <f t="shared" ca="1" si="1238"/>
        <v>#NAME?</v>
      </c>
      <c r="BV160" s="23" t="e">
        <f ca="1">+'QTR Raw'!AP64</f>
        <v>#NAME?</v>
      </c>
      <c r="BW160" s="23" t="e">
        <f t="shared" ca="1" si="1238"/>
        <v>#NAME?</v>
      </c>
      <c r="BX160" s="23" t="e">
        <f ca="1">+'QTR Raw'!AR64</f>
        <v>#NAME?</v>
      </c>
      <c r="BY160" s="23" t="e">
        <f t="shared" ca="1" si="1238"/>
        <v>#NAME?</v>
      </c>
      <c r="BZ160" s="23" t="e">
        <f ca="1">+'QTR Raw'!AT64</f>
        <v>#NAME?</v>
      </c>
      <c r="CA160" s="23" t="e">
        <f t="shared" ca="1" si="1238"/>
        <v>#NAME?</v>
      </c>
      <c r="CB160" s="23" t="e">
        <f ca="1">+'QTR Raw'!AV64</f>
        <v>#NAME?</v>
      </c>
      <c r="CC160" s="23" t="e">
        <f t="shared" ca="1" si="1238"/>
        <v>#NAME?</v>
      </c>
      <c r="CD160" s="23" t="e">
        <f ca="1">+'QTR Raw'!AX64</f>
        <v>#NAME?</v>
      </c>
      <c r="CE160" s="23" t="e">
        <f t="shared" ca="1" si="1238"/>
        <v>#NAME?</v>
      </c>
      <c r="CF160" s="23" t="e">
        <f ca="1">+'QTR Raw'!AZ64</f>
        <v>#NAME?</v>
      </c>
      <c r="CG160" s="23" t="e">
        <f t="shared" ref="CG160:CG163" ca="1" si="1239">+CF160</f>
        <v>#NAME?</v>
      </c>
      <c r="CH160" s="23" t="e">
        <f t="shared" ca="1" si="1192"/>
        <v>#NAME?</v>
      </c>
      <c r="CJ160" s="23" t="e">
        <f ca="1">+'QTR Raw'!BD64</f>
        <v>#NAME?</v>
      </c>
      <c r="CL160" s="23" t="e">
        <f ca="1">+'QTR Raw'!BF64</f>
        <v>#NAME?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67</v>
      </c>
      <c r="B161" s="23" t="e">
        <f ca="1">'Annual Raw'!C51</f>
        <v>#NAME?</v>
      </c>
      <c r="C161" s="23" t="e">
        <f ca="1">'Annual Raw'!D51</f>
        <v>#NAME?</v>
      </c>
      <c r="D161" s="23" t="e">
        <f ca="1">'Annual Raw'!E51</f>
        <v>#NAME?</v>
      </c>
      <c r="E161" s="23" t="e">
        <f ca="1">'Annual Raw'!F51</f>
        <v>#NAME?</v>
      </c>
      <c r="F161" s="23" t="e">
        <f ca="1">'Annual Raw'!G51</f>
        <v>#NAME?</v>
      </c>
      <c r="G161" s="23" t="e">
        <f ca="1">'Annual Raw'!H51</f>
        <v>#NAME?</v>
      </c>
      <c r="H161" s="23" t="e">
        <f ca="1">'Annual Raw'!I51</f>
        <v>#NAME?</v>
      </c>
      <c r="I161" s="23" t="e">
        <f ca="1">'Annual Raw'!J51</f>
        <v>#NAME?</v>
      </c>
      <c r="J161" s="23" t="e">
        <f ca="1">'Annual Raw'!K51</f>
        <v>#NAME?</v>
      </c>
      <c r="K161" s="23" t="e">
        <f ca="1">'Annual Raw'!L51</f>
        <v>#NAME?</v>
      </c>
      <c r="L161" s="23" t="e">
        <f ca="1">'Annual Raw'!M51</f>
        <v>#NAME?</v>
      </c>
      <c r="M161" s="23" t="e">
        <f ca="1">'Annual Raw'!N51</f>
        <v>#NAME?</v>
      </c>
      <c r="N161" s="23" t="e">
        <f ca="1">'Annual Raw'!O51</f>
        <v>#NAME?</v>
      </c>
      <c r="O161" s="23" t="e">
        <f ca="1">'Annual Raw'!P51</f>
        <v>#NAME?</v>
      </c>
      <c r="P161" s="23" t="e">
        <f ca="1">'Annual Raw'!Q51</f>
        <v>#NAME?</v>
      </c>
      <c r="Q161" s="23" t="e">
        <f ca="1">'Annual Raw'!R51</f>
        <v>#NAME?</v>
      </c>
      <c r="R161" s="23" t="e">
        <f ca="1">'Annual Raw'!S51</f>
        <v>#NAME?</v>
      </c>
      <c r="S161" s="23" t="e">
        <f ca="1">'Annual Raw'!T51</f>
        <v>#NAME?</v>
      </c>
      <c r="T161" s="23" t="e">
        <f ca="1">'Annual Raw'!U51</f>
        <v>#NAME?</v>
      </c>
      <c r="U161" s="23" t="e">
        <f ca="1">'Annual Raw'!V51</f>
        <v>#NAME?</v>
      </c>
      <c r="V161" s="23" t="e">
        <f ca="1">'Annual Raw'!W51</f>
        <v>#NAME?</v>
      </c>
      <c r="W161" s="23" t="e">
        <f ca="1">'Annual Raw'!X51</f>
        <v>#NAME?</v>
      </c>
      <c r="X161" s="23" t="e">
        <f ca="1">'Annual Raw'!Y51</f>
        <v>#NAME?</v>
      </c>
      <c r="Y161" s="23" t="e">
        <f ca="1">'Annual Raw'!Z51</f>
        <v>#NAME?</v>
      </c>
      <c r="Z161" s="23" t="e">
        <f ca="1">'Annual Raw'!AA51</f>
        <v>#NAME?</v>
      </c>
      <c r="AA161" s="23" t="e">
        <f ca="1">'Annual Raw'!AB51</f>
        <v>#NAME?</v>
      </c>
      <c r="AB161" s="24">
        <f t="shared" si="1234"/>
        <v>0</v>
      </c>
      <c r="AC161" s="24">
        <f t="shared" si="1235"/>
        <v>0</v>
      </c>
      <c r="AD161" s="24">
        <f t="shared" si="1236"/>
        <v>0</v>
      </c>
      <c r="AE161" s="24">
        <f t="shared" si="1237"/>
        <v>0</v>
      </c>
      <c r="AJ161" s="23" t="e">
        <f ca="1">+'QTR Raw'!D65</f>
        <v>#NAME?</v>
      </c>
      <c r="AK161" s="23" t="e">
        <f t="shared" ca="1" si="1238"/>
        <v>#NAME?</v>
      </c>
      <c r="AL161" s="23" t="e">
        <f ca="1">+'QTR Raw'!F65</f>
        <v>#NAME?</v>
      </c>
      <c r="AM161" s="23" t="e">
        <f t="shared" ca="1" si="1238"/>
        <v>#NAME?</v>
      </c>
      <c r="AN161" s="23" t="e">
        <f ca="1">+'QTR Raw'!H65</f>
        <v>#NAME?</v>
      </c>
      <c r="AO161" s="23" t="e">
        <f t="shared" ca="1" si="1238"/>
        <v>#NAME?</v>
      </c>
      <c r="AP161" s="23" t="e">
        <f ca="1">+'QTR Raw'!J65</f>
        <v>#NAME?</v>
      </c>
      <c r="AQ161" s="23" t="e">
        <f t="shared" ca="1" si="1238"/>
        <v>#NAME?</v>
      </c>
      <c r="AR161" s="23" t="e">
        <f ca="1">+'QTR Raw'!L65</f>
        <v>#NAME?</v>
      </c>
      <c r="AS161" s="23" t="e">
        <f t="shared" ca="1" si="1238"/>
        <v>#NAME?</v>
      </c>
      <c r="AT161" s="23" t="e">
        <f ca="1">+'QTR Raw'!N65</f>
        <v>#NAME?</v>
      </c>
      <c r="AU161" s="23" t="e">
        <f t="shared" ca="1" si="1238"/>
        <v>#NAME?</v>
      </c>
      <c r="AV161" s="23" t="e">
        <f ca="1">+'QTR Raw'!P65</f>
        <v>#NAME?</v>
      </c>
      <c r="AW161" s="23" t="e">
        <f t="shared" ca="1" si="1238"/>
        <v>#NAME?</v>
      </c>
      <c r="AX161" s="23" t="e">
        <f ca="1">+'QTR Raw'!R65</f>
        <v>#NAME?</v>
      </c>
      <c r="AY161" s="23" t="e">
        <f t="shared" ca="1" si="1238"/>
        <v>#NAME?</v>
      </c>
      <c r="AZ161" s="23" t="e">
        <f ca="1">+'QTR Raw'!T65</f>
        <v>#NAME?</v>
      </c>
      <c r="BA161" s="23" t="e">
        <f t="shared" ca="1" si="1238"/>
        <v>#NAME?</v>
      </c>
      <c r="BB161" s="23" t="e">
        <f ca="1">+'QTR Raw'!V65</f>
        <v>#NAME?</v>
      </c>
      <c r="BC161" s="23" t="e">
        <f t="shared" ca="1" si="1238"/>
        <v>#NAME?</v>
      </c>
      <c r="BD161" s="23" t="e">
        <f ca="1">+'QTR Raw'!X65</f>
        <v>#NAME?</v>
      </c>
      <c r="BE161" s="23" t="e">
        <f t="shared" ca="1" si="1238"/>
        <v>#NAME?</v>
      </c>
      <c r="BF161" s="23" t="e">
        <f ca="1">+'QTR Raw'!Z65</f>
        <v>#NAME?</v>
      </c>
      <c r="BG161" s="23" t="e">
        <f t="shared" ca="1" si="1238"/>
        <v>#NAME?</v>
      </c>
      <c r="BH161" s="23" t="e">
        <f ca="1">+'QTR Raw'!AB65</f>
        <v>#NAME?</v>
      </c>
      <c r="BI161" s="23" t="e">
        <f t="shared" ca="1" si="1238"/>
        <v>#NAME?</v>
      </c>
      <c r="BJ161" s="23" t="e">
        <f ca="1">+'QTR Raw'!AD65</f>
        <v>#NAME?</v>
      </c>
      <c r="BK161" s="23" t="e">
        <f t="shared" ca="1" si="1238"/>
        <v>#NAME?</v>
      </c>
      <c r="BL161" s="23" t="e">
        <f ca="1">+'QTR Raw'!AF65</f>
        <v>#NAME?</v>
      </c>
      <c r="BM161" s="23" t="e">
        <f t="shared" ca="1" si="1238"/>
        <v>#NAME?</v>
      </c>
      <c r="BN161" s="23" t="e">
        <f ca="1">+'QTR Raw'!AH65</f>
        <v>#NAME?</v>
      </c>
      <c r="BO161" s="23" t="e">
        <f t="shared" ca="1" si="1238"/>
        <v>#NAME?</v>
      </c>
      <c r="BP161" s="23" t="e">
        <f ca="1">+'QTR Raw'!AJ65</f>
        <v>#NAME?</v>
      </c>
      <c r="BQ161" s="23" t="e">
        <f t="shared" ca="1" si="1238"/>
        <v>#NAME?</v>
      </c>
      <c r="BR161" s="23" t="e">
        <f ca="1">+'QTR Raw'!AL65</f>
        <v>#NAME?</v>
      </c>
      <c r="BS161" s="23" t="e">
        <f t="shared" ca="1" si="1238"/>
        <v>#NAME?</v>
      </c>
      <c r="BT161" s="23" t="e">
        <f ca="1">+'QTR Raw'!AN65</f>
        <v>#NAME?</v>
      </c>
      <c r="BU161" s="23" t="e">
        <f t="shared" ca="1" si="1238"/>
        <v>#NAME?</v>
      </c>
      <c r="BV161" s="23" t="e">
        <f ca="1">+'QTR Raw'!AP65</f>
        <v>#NAME?</v>
      </c>
      <c r="BW161" s="23" t="e">
        <f t="shared" ca="1" si="1238"/>
        <v>#NAME?</v>
      </c>
      <c r="BX161" s="23" t="e">
        <f ca="1">+'QTR Raw'!AR65</f>
        <v>#NAME?</v>
      </c>
      <c r="BY161" s="23" t="e">
        <f t="shared" ca="1" si="1238"/>
        <v>#NAME?</v>
      </c>
      <c r="BZ161" s="23" t="e">
        <f ca="1">+'QTR Raw'!AT65</f>
        <v>#NAME?</v>
      </c>
      <c r="CA161" s="23" t="e">
        <f t="shared" ca="1" si="1238"/>
        <v>#NAME?</v>
      </c>
      <c r="CB161" s="23" t="e">
        <f ca="1">+'QTR Raw'!AV65</f>
        <v>#NAME?</v>
      </c>
      <c r="CC161" s="23" t="e">
        <f t="shared" ca="1" si="1238"/>
        <v>#NAME?</v>
      </c>
      <c r="CD161" s="23" t="e">
        <f ca="1">+'QTR Raw'!AX65</f>
        <v>#NAME?</v>
      </c>
      <c r="CE161" s="23" t="e">
        <f t="shared" ca="1" si="1238"/>
        <v>#NAME?</v>
      </c>
      <c r="CF161" s="23" t="e">
        <f ca="1">+'QTR Raw'!AZ65</f>
        <v>#NAME?</v>
      </c>
      <c r="CG161" s="23" t="e">
        <f t="shared" ca="1" si="1239"/>
        <v>#NAME?</v>
      </c>
      <c r="CH161" s="23" t="e">
        <f t="shared" ca="1" si="1192"/>
        <v>#NAME?</v>
      </c>
      <c r="CJ161" s="23" t="e">
        <f ca="1">+'QTR Raw'!BD65</f>
        <v>#NAME?</v>
      </c>
      <c r="CL161" s="23" t="e">
        <f ca="1">+'QTR Raw'!BF65</f>
        <v>#NAME?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</v>
      </c>
    </row>
    <row r="162" spans="1:110" s="23" customFormat="1" outlineLevel="1" x14ac:dyDescent="0.2">
      <c r="A162" s="23" t="s">
        <v>68</v>
      </c>
      <c r="B162" s="23" t="e">
        <f ca="1">'Annual Raw'!C52</f>
        <v>#NAME?</v>
      </c>
      <c r="C162" s="23" t="e">
        <f ca="1">'Annual Raw'!D52</f>
        <v>#NAME?</v>
      </c>
      <c r="D162" s="23" t="e">
        <f ca="1">'Annual Raw'!E52</f>
        <v>#NAME?</v>
      </c>
      <c r="E162" s="23" t="e">
        <f ca="1">'Annual Raw'!F52</f>
        <v>#NAME?</v>
      </c>
      <c r="F162" s="23" t="e">
        <f ca="1">'Annual Raw'!G52</f>
        <v>#NAME?</v>
      </c>
      <c r="G162" s="23" t="e">
        <f ca="1">'Annual Raw'!H52</f>
        <v>#NAME?</v>
      </c>
      <c r="H162" s="23" t="e">
        <f ca="1">'Annual Raw'!I52</f>
        <v>#NAME?</v>
      </c>
      <c r="I162" s="23" t="e">
        <f ca="1">'Annual Raw'!J52</f>
        <v>#NAME?</v>
      </c>
      <c r="J162" s="23" t="e">
        <f ca="1">'Annual Raw'!K52</f>
        <v>#NAME?</v>
      </c>
      <c r="K162" s="23" t="e">
        <f ca="1">'Annual Raw'!L52</f>
        <v>#NAME?</v>
      </c>
      <c r="L162" s="23" t="e">
        <f ca="1">'Annual Raw'!M52</f>
        <v>#NAME?</v>
      </c>
      <c r="M162" s="23" t="e">
        <f ca="1">'Annual Raw'!N52</f>
        <v>#NAME?</v>
      </c>
      <c r="N162" s="23" t="e">
        <f ca="1">'Annual Raw'!O52</f>
        <v>#NAME?</v>
      </c>
      <c r="O162" s="23" t="e">
        <f ca="1">'Annual Raw'!P52</f>
        <v>#NAME?</v>
      </c>
      <c r="P162" s="23" t="e">
        <f ca="1">'Annual Raw'!Q52</f>
        <v>#NAME?</v>
      </c>
      <c r="Q162" s="23" t="e">
        <f ca="1">'Annual Raw'!R52</f>
        <v>#NAME?</v>
      </c>
      <c r="R162" s="23" t="e">
        <f ca="1">'Annual Raw'!S52</f>
        <v>#NAME?</v>
      </c>
      <c r="S162" s="23" t="e">
        <f ca="1">'Annual Raw'!T52</f>
        <v>#NAME?</v>
      </c>
      <c r="T162" s="23" t="e">
        <f ca="1">'Annual Raw'!U52</f>
        <v>#NAME?</v>
      </c>
      <c r="U162" s="23" t="e">
        <f ca="1">'Annual Raw'!V52</f>
        <v>#NAME?</v>
      </c>
      <c r="V162" s="23" t="e">
        <f ca="1">'Annual Raw'!W52</f>
        <v>#NAME?</v>
      </c>
      <c r="W162" s="23" t="e">
        <f ca="1">'Annual Raw'!X52</f>
        <v>#NAME?</v>
      </c>
      <c r="X162" s="23" t="e">
        <f ca="1">'Annual Raw'!Y52</f>
        <v>#NAME?</v>
      </c>
      <c r="Y162" s="23" t="e">
        <f ca="1">'Annual Raw'!Z52</f>
        <v>#NAME?</v>
      </c>
      <c r="Z162" s="23" t="e">
        <f ca="1">'Annual Raw'!AA52</f>
        <v>#NAME?</v>
      </c>
      <c r="AA162" s="23" t="e">
        <f ca="1">'Annual Raw'!AB52</f>
        <v>#NAME?</v>
      </c>
      <c r="AB162" s="24">
        <f t="shared" si="1234"/>
        <v>0</v>
      </c>
      <c r="AC162" s="24">
        <f t="shared" si="1235"/>
        <v>0</v>
      </c>
      <c r="AD162" s="24">
        <f t="shared" si="1236"/>
        <v>0</v>
      </c>
      <c r="AE162" s="24">
        <f t="shared" si="1237"/>
        <v>0</v>
      </c>
      <c r="AJ162" s="23" t="e">
        <f ca="1">+'QTR Raw'!D66</f>
        <v>#NAME?</v>
      </c>
      <c r="AK162" s="23" t="e">
        <f t="shared" ca="1" si="1238"/>
        <v>#NAME?</v>
      </c>
      <c r="AL162" s="23" t="e">
        <f ca="1">+'QTR Raw'!F66</f>
        <v>#NAME?</v>
      </c>
      <c r="AM162" s="23" t="e">
        <f t="shared" ca="1" si="1238"/>
        <v>#NAME?</v>
      </c>
      <c r="AN162" s="23" t="e">
        <f ca="1">+'QTR Raw'!H66</f>
        <v>#NAME?</v>
      </c>
      <c r="AO162" s="23" t="e">
        <f t="shared" ca="1" si="1238"/>
        <v>#NAME?</v>
      </c>
      <c r="AP162" s="23" t="e">
        <f ca="1">+'QTR Raw'!J66</f>
        <v>#NAME?</v>
      </c>
      <c r="AQ162" s="23" t="e">
        <f t="shared" ca="1" si="1238"/>
        <v>#NAME?</v>
      </c>
      <c r="AR162" s="23" t="e">
        <f ca="1">+'QTR Raw'!L66</f>
        <v>#NAME?</v>
      </c>
      <c r="AS162" s="23" t="e">
        <f t="shared" ca="1" si="1238"/>
        <v>#NAME?</v>
      </c>
      <c r="AT162" s="23" t="e">
        <f ca="1">+'QTR Raw'!N66</f>
        <v>#NAME?</v>
      </c>
      <c r="AU162" s="23" t="e">
        <f t="shared" ca="1" si="1238"/>
        <v>#NAME?</v>
      </c>
      <c r="AV162" s="23" t="e">
        <f ca="1">+'QTR Raw'!P66</f>
        <v>#NAME?</v>
      </c>
      <c r="AW162" s="23" t="e">
        <f t="shared" ca="1" si="1238"/>
        <v>#NAME?</v>
      </c>
      <c r="AX162" s="23" t="e">
        <f ca="1">+'QTR Raw'!R66</f>
        <v>#NAME?</v>
      </c>
      <c r="AY162" s="23" t="e">
        <f t="shared" ca="1" si="1238"/>
        <v>#NAME?</v>
      </c>
      <c r="AZ162" s="23" t="e">
        <f ca="1">+'QTR Raw'!T66</f>
        <v>#NAME?</v>
      </c>
      <c r="BA162" s="23" t="e">
        <f t="shared" ca="1" si="1238"/>
        <v>#NAME?</v>
      </c>
      <c r="BB162" s="23" t="e">
        <f ca="1">+'QTR Raw'!V66</f>
        <v>#NAME?</v>
      </c>
      <c r="BC162" s="23" t="e">
        <f t="shared" ca="1" si="1238"/>
        <v>#NAME?</v>
      </c>
      <c r="BD162" s="23" t="e">
        <f ca="1">+'QTR Raw'!X66</f>
        <v>#NAME?</v>
      </c>
      <c r="BE162" s="23" t="e">
        <f t="shared" ca="1" si="1238"/>
        <v>#NAME?</v>
      </c>
      <c r="BF162" s="23" t="e">
        <f ca="1">+'QTR Raw'!Z66</f>
        <v>#NAME?</v>
      </c>
      <c r="BG162" s="23" t="e">
        <f t="shared" ca="1" si="1238"/>
        <v>#NAME?</v>
      </c>
      <c r="BH162" s="23" t="e">
        <f ca="1">+'QTR Raw'!AB66</f>
        <v>#NAME?</v>
      </c>
      <c r="BI162" s="23" t="e">
        <f t="shared" ca="1" si="1238"/>
        <v>#NAME?</v>
      </c>
      <c r="BJ162" s="23" t="e">
        <f ca="1">+'QTR Raw'!AD66</f>
        <v>#NAME?</v>
      </c>
      <c r="BK162" s="23" t="e">
        <f t="shared" ca="1" si="1238"/>
        <v>#NAME?</v>
      </c>
      <c r="BL162" s="23" t="e">
        <f ca="1">+'QTR Raw'!AF66</f>
        <v>#NAME?</v>
      </c>
      <c r="BM162" s="23" t="e">
        <f t="shared" ca="1" si="1238"/>
        <v>#NAME?</v>
      </c>
      <c r="BN162" s="23" t="e">
        <f ca="1">+'QTR Raw'!AH66</f>
        <v>#NAME?</v>
      </c>
      <c r="BO162" s="23" t="e">
        <f t="shared" ca="1" si="1238"/>
        <v>#NAME?</v>
      </c>
      <c r="BP162" s="23" t="e">
        <f ca="1">+'QTR Raw'!AJ66</f>
        <v>#NAME?</v>
      </c>
      <c r="BQ162" s="23" t="e">
        <f t="shared" ca="1" si="1238"/>
        <v>#NAME?</v>
      </c>
      <c r="BR162" s="23" t="e">
        <f ca="1">+'QTR Raw'!AL66</f>
        <v>#NAME?</v>
      </c>
      <c r="BS162" s="23" t="e">
        <f t="shared" ca="1" si="1238"/>
        <v>#NAME?</v>
      </c>
      <c r="BT162" s="23" t="e">
        <f ca="1">+'QTR Raw'!AN66</f>
        <v>#NAME?</v>
      </c>
      <c r="BU162" s="23" t="e">
        <f t="shared" ca="1" si="1238"/>
        <v>#NAME?</v>
      </c>
      <c r="BV162" s="23" t="e">
        <f ca="1">+'QTR Raw'!AP66</f>
        <v>#NAME?</v>
      </c>
      <c r="BW162" s="23" t="e">
        <f t="shared" ca="1" si="1238"/>
        <v>#NAME?</v>
      </c>
      <c r="BX162" s="23" t="e">
        <f ca="1">+'QTR Raw'!AR66</f>
        <v>#NAME?</v>
      </c>
      <c r="BY162" s="23" t="e">
        <f t="shared" ca="1" si="1238"/>
        <v>#NAME?</v>
      </c>
      <c r="BZ162" s="23" t="e">
        <f ca="1">+'QTR Raw'!AT66</f>
        <v>#NAME?</v>
      </c>
      <c r="CA162" s="23" t="e">
        <f t="shared" ca="1" si="1238"/>
        <v>#NAME?</v>
      </c>
      <c r="CB162" s="23" t="e">
        <f ca="1">+'QTR Raw'!AV66</f>
        <v>#NAME?</v>
      </c>
      <c r="CC162" s="23" t="e">
        <f t="shared" ca="1" si="1238"/>
        <v>#NAME?</v>
      </c>
      <c r="CD162" s="23" t="e">
        <f ca="1">+'QTR Raw'!AX66</f>
        <v>#NAME?</v>
      </c>
      <c r="CE162" s="23" t="e">
        <f t="shared" ca="1" si="1238"/>
        <v>#NAME?</v>
      </c>
      <c r="CF162" s="23" t="e">
        <f ca="1">+'QTR Raw'!AZ66</f>
        <v>#NAME?</v>
      </c>
      <c r="CG162" s="23" t="e">
        <f t="shared" ca="1" si="1239"/>
        <v>#NAME?</v>
      </c>
      <c r="CH162" s="23" t="e">
        <f t="shared" ca="1" si="1192"/>
        <v>#NAME?</v>
      </c>
      <c r="CJ162" s="23" t="e">
        <f ca="1">+'QTR Raw'!BD66</f>
        <v>#NAME?</v>
      </c>
      <c r="CL162" s="23" t="e">
        <f ca="1">+'QTR Raw'!BF66</f>
        <v>#NAME?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4.2549999999999999</v>
      </c>
    </row>
    <row r="163" spans="1:110" s="23" customFormat="1" outlineLevel="1" x14ac:dyDescent="0.2">
      <c r="A163" s="23" t="s">
        <v>69</v>
      </c>
      <c r="B163" s="23">
        <v>0</v>
      </c>
      <c r="C163" s="23">
        <v>0</v>
      </c>
      <c r="D163" s="23">
        <v>0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>
        <v>0</v>
      </c>
      <c r="AB163" s="24" t="e">
        <f t="shared" ca="1" si="1234"/>
        <v>#NAME?</v>
      </c>
      <c r="AC163" s="24" t="e">
        <f t="shared" ca="1" si="1235"/>
        <v>#NAME?</v>
      </c>
      <c r="AD163" s="24" t="e">
        <f t="shared" ca="1" si="1236"/>
        <v>#NAME?</v>
      </c>
      <c r="AE163" s="24" t="e">
        <f t="shared" ca="1" si="1237"/>
        <v>#NAME?</v>
      </c>
      <c r="AJ163" s="23" t="e">
        <f ca="1">+'QTR Raw'!D87</f>
        <v>#NAME?</v>
      </c>
      <c r="AK163" s="23" t="e">
        <f t="shared" ca="1" si="1238"/>
        <v>#NAME?</v>
      </c>
      <c r="AL163" s="23" t="e">
        <f ca="1">+'QTR Raw'!F87</f>
        <v>#NAME?</v>
      </c>
      <c r="AM163" s="23" t="e">
        <f t="shared" ca="1" si="1238"/>
        <v>#NAME?</v>
      </c>
      <c r="AN163" s="23" t="e">
        <f ca="1">+'QTR Raw'!H87</f>
        <v>#NAME?</v>
      </c>
      <c r="AO163" s="23" t="e">
        <f t="shared" ca="1" si="1238"/>
        <v>#NAME?</v>
      </c>
      <c r="AP163" s="23" t="e">
        <f ca="1">+'QTR Raw'!J87</f>
        <v>#NAME?</v>
      </c>
      <c r="AQ163" s="23" t="e">
        <f t="shared" ca="1" si="1238"/>
        <v>#NAME?</v>
      </c>
      <c r="AR163" s="23" t="e">
        <f ca="1">+'QTR Raw'!L87</f>
        <v>#NAME?</v>
      </c>
      <c r="AS163" s="23" t="e">
        <f t="shared" ca="1" si="1238"/>
        <v>#NAME?</v>
      </c>
      <c r="AT163" s="23" t="e">
        <f ca="1">+'QTR Raw'!N87</f>
        <v>#NAME?</v>
      </c>
      <c r="AU163" s="23" t="e">
        <f t="shared" ca="1" si="1238"/>
        <v>#NAME?</v>
      </c>
      <c r="AV163" s="23" t="e">
        <f ca="1">+'QTR Raw'!P87</f>
        <v>#NAME?</v>
      </c>
      <c r="AW163" s="23" t="e">
        <f t="shared" ca="1" si="1238"/>
        <v>#NAME?</v>
      </c>
      <c r="AX163" s="23" t="e">
        <f ca="1">+'QTR Raw'!R87</f>
        <v>#NAME?</v>
      </c>
      <c r="AY163" s="23" t="e">
        <f t="shared" ca="1" si="1238"/>
        <v>#NAME?</v>
      </c>
      <c r="AZ163" s="23" t="e">
        <f ca="1">+'QTR Raw'!T87</f>
        <v>#NAME?</v>
      </c>
      <c r="BA163" s="23" t="e">
        <f t="shared" ca="1" si="1238"/>
        <v>#NAME?</v>
      </c>
      <c r="BB163" s="23" t="e">
        <f ca="1">+'QTR Raw'!V87</f>
        <v>#NAME?</v>
      </c>
      <c r="BC163" s="23" t="e">
        <f t="shared" ca="1" si="1238"/>
        <v>#NAME?</v>
      </c>
      <c r="BD163" s="23" t="e">
        <f ca="1">+'QTR Raw'!X87</f>
        <v>#NAME?</v>
      </c>
      <c r="BE163" s="23" t="e">
        <f t="shared" ca="1" si="1238"/>
        <v>#NAME?</v>
      </c>
      <c r="BF163" s="23" t="e">
        <f ca="1">+'QTR Raw'!Z87</f>
        <v>#NAME?</v>
      </c>
      <c r="BG163" s="23" t="e">
        <f t="shared" ca="1" si="1238"/>
        <v>#NAME?</v>
      </c>
      <c r="BH163" s="23" t="e">
        <f ca="1">+'QTR Raw'!AB87</f>
        <v>#NAME?</v>
      </c>
      <c r="BI163" s="23" t="e">
        <f t="shared" ca="1" si="1238"/>
        <v>#NAME?</v>
      </c>
      <c r="BJ163" s="23" t="e">
        <f ca="1">+'QTR Raw'!AD87</f>
        <v>#NAME?</v>
      </c>
      <c r="BK163" s="23" t="e">
        <f t="shared" ca="1" si="1238"/>
        <v>#NAME?</v>
      </c>
      <c r="BL163" s="23" t="e">
        <f ca="1">+'QTR Raw'!AF87</f>
        <v>#NAME?</v>
      </c>
      <c r="BM163" s="23" t="e">
        <f t="shared" ca="1" si="1238"/>
        <v>#NAME?</v>
      </c>
      <c r="BN163" s="23" t="e">
        <f ca="1">+'QTR Raw'!AH87</f>
        <v>#NAME?</v>
      </c>
      <c r="BO163" s="23" t="e">
        <f t="shared" ca="1" si="1238"/>
        <v>#NAME?</v>
      </c>
      <c r="BP163" s="23" t="e">
        <f ca="1">+'QTR Raw'!AJ87</f>
        <v>#NAME?</v>
      </c>
      <c r="BQ163" s="23" t="e">
        <f t="shared" ca="1" si="1238"/>
        <v>#NAME?</v>
      </c>
      <c r="BR163" s="23" t="e">
        <f ca="1">+'QTR Raw'!AL87</f>
        <v>#NAME?</v>
      </c>
      <c r="BS163" s="23" t="e">
        <f t="shared" ca="1" si="1238"/>
        <v>#NAME?</v>
      </c>
      <c r="BT163" s="23" t="e">
        <f ca="1">+'QTR Raw'!AN87</f>
        <v>#NAME?</v>
      </c>
      <c r="BU163" s="23" t="e">
        <f t="shared" ca="1" si="1238"/>
        <v>#NAME?</v>
      </c>
      <c r="BV163" s="23" t="e">
        <f ca="1">+'QTR Raw'!AP87</f>
        <v>#NAME?</v>
      </c>
      <c r="BW163" s="23" t="e">
        <f t="shared" ca="1" si="1238"/>
        <v>#NAME?</v>
      </c>
      <c r="BX163" s="23" t="e">
        <f ca="1">+'QTR Raw'!AR87</f>
        <v>#NAME?</v>
      </c>
      <c r="BY163" s="23" t="e">
        <f t="shared" ca="1" si="1238"/>
        <v>#NAME?</v>
      </c>
      <c r="BZ163" s="23" t="e">
        <f ca="1">+'QTR Raw'!AT87</f>
        <v>#NAME?</v>
      </c>
      <c r="CA163" s="23" t="e">
        <f t="shared" ca="1" si="1238"/>
        <v>#NAME?</v>
      </c>
      <c r="CB163" s="23" t="e">
        <f ca="1">+'QTR Raw'!AV87</f>
        <v>#NAME?</v>
      </c>
      <c r="CC163" s="23" t="e">
        <f t="shared" ca="1" si="1238"/>
        <v>#NAME?</v>
      </c>
      <c r="CD163" s="23" t="e">
        <f ca="1">+'QTR Raw'!AX87</f>
        <v>#NAME?</v>
      </c>
      <c r="CE163" s="23" t="e">
        <f t="shared" ca="1" si="1238"/>
        <v>#NAME?</v>
      </c>
      <c r="CF163" s="23" t="e">
        <f ca="1">+'QTR Raw'!AZ87</f>
        <v>#NAME?</v>
      </c>
      <c r="CG163" s="23" t="e">
        <f t="shared" ca="1" si="1239"/>
        <v>#NAME?</v>
      </c>
      <c r="CH163" s="23">
        <f t="shared" si="1192"/>
        <v>0</v>
      </c>
      <c r="CI163" s="23" t="e">
        <f ca="1">CI21/90*CI195</f>
        <v>#NAME?</v>
      </c>
      <c r="CJ163" s="23" t="e">
        <f ca="1">+'QTR Raw'!BD87</f>
        <v>#NAME?</v>
      </c>
      <c r="CK163" s="23" t="e">
        <f t="shared" ref="CK163:DB163" ca="1" si="1240">CK21/90*CK195</f>
        <v>#NAME?</v>
      </c>
      <c r="CL163" s="23" t="e">
        <f ca="1">+'QTR Raw'!BF87</f>
        <v>#NAME?</v>
      </c>
      <c r="CM163" s="24" t="e">
        <f t="shared" ca="1" si="1240"/>
        <v>#NAME?</v>
      </c>
      <c r="CN163" s="24" t="e">
        <f t="shared" ca="1" si="1240"/>
        <v>#NAME?</v>
      </c>
      <c r="CO163" s="24" t="e">
        <f t="shared" ca="1" si="1240"/>
        <v>#NAME?</v>
      </c>
      <c r="CP163" s="24" t="e">
        <f t="shared" ca="1" si="1240"/>
        <v>#NAME?</v>
      </c>
      <c r="CQ163" s="24" t="e">
        <f t="shared" ca="1" si="1240"/>
        <v>#NAME?</v>
      </c>
      <c r="CR163" s="24" t="e">
        <f t="shared" ca="1" si="1240"/>
        <v>#NAME?</v>
      </c>
      <c r="CS163" s="24" t="e">
        <f t="shared" ca="1" si="1240"/>
        <v>#NAME?</v>
      </c>
      <c r="CT163" s="24" t="e">
        <f t="shared" ca="1" si="1240"/>
        <v>#NAME?</v>
      </c>
      <c r="CU163" s="24" t="e">
        <f t="shared" ca="1" si="1240"/>
        <v>#NAME?</v>
      </c>
      <c r="CV163" s="24" t="e">
        <f t="shared" ca="1" si="1240"/>
        <v>#NAME?</v>
      </c>
      <c r="CW163" s="24" t="e">
        <f t="shared" ca="1" si="1240"/>
        <v>#NAME?</v>
      </c>
      <c r="CX163" s="24" t="e">
        <f t="shared" ca="1" si="1240"/>
        <v>#NAME?</v>
      </c>
      <c r="CY163" s="24" t="e">
        <f t="shared" ca="1" si="1240"/>
        <v>#NAME?</v>
      </c>
      <c r="CZ163" s="24" t="e">
        <f t="shared" ca="1" si="1240"/>
        <v>#NAME?</v>
      </c>
      <c r="DA163" s="24" t="e">
        <f t="shared" ca="1" si="1240"/>
        <v>#NAME?</v>
      </c>
      <c r="DB163" s="24" t="e">
        <f t="shared" ca="1" si="1240"/>
        <v>#NAME?</v>
      </c>
      <c r="DE163" s="123"/>
      <c r="DF163" s="23">
        <v>0</v>
      </c>
    </row>
    <row r="164" spans="1:110" s="23" customFormat="1" outlineLevel="1" x14ac:dyDescent="0.2">
      <c r="A164" s="23" t="s">
        <v>70</v>
      </c>
      <c r="B164" s="23" t="e">
        <f ca="1">'Annual Raw'!C54</f>
        <v>#NAME?</v>
      </c>
      <c r="C164" s="23" t="e">
        <f ca="1">'Annual Raw'!D54</f>
        <v>#NAME?</v>
      </c>
      <c r="D164" s="23" t="e">
        <f ca="1">'Annual Raw'!E54</f>
        <v>#NAME?</v>
      </c>
      <c r="E164" s="23" t="e">
        <f ca="1">'Annual Raw'!F54</f>
        <v>#NAME?</v>
      </c>
      <c r="F164" s="23" t="e">
        <f ca="1">'Annual Raw'!G54</f>
        <v>#NAME?</v>
      </c>
      <c r="G164" s="23" t="e">
        <f ca="1">'Annual Raw'!H54</f>
        <v>#NAME?</v>
      </c>
      <c r="H164" s="23" t="e">
        <f ca="1">'Annual Raw'!I54</f>
        <v>#NAME?</v>
      </c>
      <c r="I164" s="23" t="e">
        <f ca="1">'Annual Raw'!J54</f>
        <v>#NAME?</v>
      </c>
      <c r="J164" s="23" t="e">
        <f ca="1">'Annual Raw'!K54</f>
        <v>#NAME?</v>
      </c>
      <c r="K164" s="23" t="e">
        <f ca="1">'Annual Raw'!L54</f>
        <v>#NAME?</v>
      </c>
      <c r="L164" s="23" t="e">
        <f ca="1">'Annual Raw'!M54</f>
        <v>#NAME?</v>
      </c>
      <c r="M164" s="23" t="e">
        <f ca="1">'Annual Raw'!N54</f>
        <v>#NAME?</v>
      </c>
      <c r="N164" s="23" t="e">
        <f ca="1">'Annual Raw'!O54</f>
        <v>#NAME?</v>
      </c>
      <c r="O164" s="23" t="e">
        <f ca="1">'Annual Raw'!P54</f>
        <v>#NAME?</v>
      </c>
      <c r="P164" s="23" t="e">
        <f ca="1">'Annual Raw'!Q54</f>
        <v>#NAME?</v>
      </c>
      <c r="Q164" s="23" t="e">
        <f ca="1">'Annual Raw'!R54</f>
        <v>#NAME?</v>
      </c>
      <c r="R164" s="23" t="e">
        <f ca="1">'Annual Raw'!S54</f>
        <v>#NAME?</v>
      </c>
      <c r="S164" s="23" t="e">
        <f ca="1">'Annual Raw'!T54</f>
        <v>#NAME?</v>
      </c>
      <c r="T164" s="23" t="e">
        <f ca="1">'Annual Raw'!U54</f>
        <v>#NAME?</v>
      </c>
      <c r="U164" s="23" t="e">
        <f ca="1">'Annual Raw'!V54</f>
        <v>#NAME?</v>
      </c>
      <c r="V164" s="23" t="e">
        <f ca="1">'Annual Raw'!W54</f>
        <v>#NAME?</v>
      </c>
      <c r="W164" s="23" t="e">
        <f ca="1">'Annual Raw'!X54</f>
        <v>#NAME?</v>
      </c>
      <c r="X164" s="23" t="e">
        <f ca="1">'Annual Raw'!Y54</f>
        <v>#NAME?</v>
      </c>
      <c r="Y164" s="23" t="e">
        <f ca="1">'Annual Raw'!Z54</f>
        <v>#NAME?</v>
      </c>
      <c r="Z164" s="23" t="e">
        <f ca="1">'Annual Raw'!AA54</f>
        <v>#NAME?</v>
      </c>
      <c r="AA164" s="23" t="e">
        <f ca="1">'Annual Raw'!AB54</f>
        <v>#NAME?</v>
      </c>
      <c r="AB164" s="24" t="e">
        <f t="shared" ca="1" si="1234"/>
        <v>#NAME?</v>
      </c>
      <c r="AC164" s="24" t="e">
        <f t="shared" ca="1" si="1235"/>
        <v>#NAME?</v>
      </c>
      <c r="AD164" s="24" t="e">
        <f t="shared" ca="1" si="1236"/>
        <v>#NAME?</v>
      </c>
      <c r="AE164" s="24" t="e">
        <f t="shared" ca="1" si="1237"/>
        <v>#NAME?</v>
      </c>
      <c r="AJ164" s="23" t="e">
        <f ca="1">+'QTR Raw'!D89</f>
        <v>#NAME?</v>
      </c>
      <c r="AK164" s="23" t="e">
        <f ca="1">+AK194*AK21/90</f>
        <v>#NAME?</v>
      </c>
      <c r="AL164" s="23" t="e">
        <f ca="1">+'QTR Raw'!F89</f>
        <v>#NAME?</v>
      </c>
      <c r="AM164" s="23" t="e">
        <f ca="1">+AM194*AM21/90</f>
        <v>#NAME?</v>
      </c>
      <c r="AN164" s="23" t="e">
        <f ca="1">+'QTR Raw'!H89</f>
        <v>#NAME?</v>
      </c>
      <c r="AO164" s="23" t="e">
        <f ca="1">+AO194*AO21/90</f>
        <v>#NAME?</v>
      </c>
      <c r="AP164" s="23" t="e">
        <f ca="1">+'QTR Raw'!J89</f>
        <v>#NAME?</v>
      </c>
      <c r="AQ164" s="23" t="e">
        <f ca="1">+AQ194*AQ21/90</f>
        <v>#NAME?</v>
      </c>
      <c r="AR164" s="23" t="e">
        <f ca="1">+'QTR Raw'!L89</f>
        <v>#NAME?</v>
      </c>
      <c r="AS164" s="23" t="e">
        <f ca="1">+AS194*AS21/90</f>
        <v>#NAME?</v>
      </c>
      <c r="AT164" s="23" t="e">
        <f ca="1">+'QTR Raw'!N89</f>
        <v>#NAME?</v>
      </c>
      <c r="AU164" s="23" t="e">
        <f ca="1">+AU194*AU21/90</f>
        <v>#NAME?</v>
      </c>
      <c r="AV164" s="23" t="e">
        <f ca="1">+'QTR Raw'!P89</f>
        <v>#NAME?</v>
      </c>
      <c r="AW164" s="23" t="e">
        <f ca="1">+AW194*AW21/90</f>
        <v>#NAME?</v>
      </c>
      <c r="AX164" s="23" t="e">
        <f ca="1">+'QTR Raw'!R89</f>
        <v>#NAME?</v>
      </c>
      <c r="AY164" s="23" t="e">
        <f ca="1">+AY194*AY21/90</f>
        <v>#NAME?</v>
      </c>
      <c r="AZ164" s="23" t="e">
        <f ca="1">+'QTR Raw'!T89</f>
        <v>#NAME?</v>
      </c>
      <c r="BA164" s="23" t="e">
        <f ca="1">+BA194*BA21/90</f>
        <v>#NAME?</v>
      </c>
      <c r="BB164" s="23" t="e">
        <f ca="1">+'QTR Raw'!V89</f>
        <v>#NAME?</v>
      </c>
      <c r="BC164" s="23" t="e">
        <f ca="1">+BC194*BC21/90</f>
        <v>#NAME?</v>
      </c>
      <c r="BD164" s="23" t="e">
        <f ca="1">+'QTR Raw'!X89</f>
        <v>#NAME?</v>
      </c>
      <c r="BE164" s="23" t="e">
        <f ca="1">+BE194*BE21/90</f>
        <v>#NAME?</v>
      </c>
      <c r="BF164" s="23" t="e">
        <f ca="1">+'QTR Raw'!Z89</f>
        <v>#NAME?</v>
      </c>
      <c r="BG164" s="23" t="e">
        <f ca="1">+BG194*BG21/90</f>
        <v>#NAME?</v>
      </c>
      <c r="BH164" s="23" t="e">
        <f ca="1">+'QTR Raw'!AB89</f>
        <v>#NAME?</v>
      </c>
      <c r="BI164" s="23" t="e">
        <f ca="1">+BI194*BI21/90</f>
        <v>#NAME?</v>
      </c>
      <c r="BJ164" s="23" t="e">
        <f ca="1">+'QTR Raw'!AD89</f>
        <v>#NAME?</v>
      </c>
      <c r="BK164" s="23" t="e">
        <f ca="1">+BK194*BK21/90</f>
        <v>#NAME?</v>
      </c>
      <c r="BL164" s="23" t="e">
        <f ca="1">+'QTR Raw'!AF89</f>
        <v>#NAME?</v>
      </c>
      <c r="BM164" s="23" t="e">
        <f ca="1">+BM194*BM21/90</f>
        <v>#NAME?</v>
      </c>
      <c r="BN164" s="23" t="e">
        <f ca="1">+'QTR Raw'!AH89</f>
        <v>#NAME?</v>
      </c>
      <c r="BO164" s="23" t="e">
        <f ca="1">+BO194*BO21/90</f>
        <v>#NAME?</v>
      </c>
      <c r="BP164" s="23" t="e">
        <f ca="1">+'QTR Raw'!AJ89</f>
        <v>#NAME?</v>
      </c>
      <c r="BQ164" s="23" t="e">
        <f ca="1">+BQ194*BQ21/90</f>
        <v>#NAME?</v>
      </c>
      <c r="BR164" s="23" t="e">
        <f ca="1">+'QTR Raw'!AL89</f>
        <v>#NAME?</v>
      </c>
      <c r="BS164" s="23" t="e">
        <f ca="1">+BS194*BS21/90</f>
        <v>#NAME?</v>
      </c>
      <c r="BT164" s="23" t="e">
        <f ca="1">+'QTR Raw'!AN89</f>
        <v>#NAME?</v>
      </c>
      <c r="BU164" s="23" t="e">
        <f ca="1">+BU194*BU21/90</f>
        <v>#NAME?</v>
      </c>
      <c r="BV164" s="23" t="e">
        <f ca="1">+'QTR Raw'!AP89</f>
        <v>#NAME?</v>
      </c>
      <c r="BW164" s="23" t="e">
        <f ca="1">+BW194*BW21/90</f>
        <v>#NAME?</v>
      </c>
      <c r="BX164" s="23" t="e">
        <f ca="1">+'QTR Raw'!AR89</f>
        <v>#NAME?</v>
      </c>
      <c r="BY164" s="23" t="e">
        <f ca="1">+BY194*BY21/90</f>
        <v>#NAME?</v>
      </c>
      <c r="BZ164" s="23" t="e">
        <f ca="1">+'QTR Raw'!AT89</f>
        <v>#NAME?</v>
      </c>
      <c r="CA164" s="23" t="e">
        <f ca="1">+CA194*CA21/90</f>
        <v>#NAME?</v>
      </c>
      <c r="CB164" s="23" t="e">
        <f ca="1">+'QTR Raw'!AV89</f>
        <v>#NAME?</v>
      </c>
      <c r="CC164" s="23" t="e">
        <f ca="1">+CC194*CC21/90</f>
        <v>#NAME?</v>
      </c>
      <c r="CD164" s="23" t="e">
        <f ca="1">+'QTR Raw'!AX89</f>
        <v>#NAME?</v>
      </c>
      <c r="CE164" s="23" t="e">
        <f ca="1">+CE194*CE21/90</f>
        <v>#NAME?</v>
      </c>
      <c r="CF164" s="23" t="e">
        <f ca="1">+'QTR Raw'!AZ89</f>
        <v>#NAME?</v>
      </c>
      <c r="CG164" s="23" t="e">
        <f ca="1">+CG194*CG21/90</f>
        <v>#NAME?</v>
      </c>
      <c r="CH164" s="23" t="e">
        <f t="shared" ca="1" si="1192"/>
        <v>#NAME?</v>
      </c>
      <c r="CI164" s="23" t="e">
        <f ca="1">+CI194*CI21/90</f>
        <v>#NAME?</v>
      </c>
      <c r="CJ164" s="23" t="e">
        <f ca="1">+'QTR Raw'!BD89</f>
        <v>#NAME?</v>
      </c>
      <c r="CK164" s="23" t="e">
        <f t="shared" ref="CK164:DB164" ca="1" si="1241">+CK194*CK21/90</f>
        <v>#NAME?</v>
      </c>
      <c r="CL164" s="23" t="e">
        <f ca="1">+'QTR Raw'!BF89</f>
        <v>#NAME?</v>
      </c>
      <c r="CM164" s="24" t="e">
        <f t="shared" ca="1" si="1241"/>
        <v>#NAME?</v>
      </c>
      <c r="CN164" s="24" t="e">
        <f t="shared" ca="1" si="1241"/>
        <v>#NAME?</v>
      </c>
      <c r="CO164" s="24" t="e">
        <f t="shared" ca="1" si="1241"/>
        <v>#NAME?</v>
      </c>
      <c r="CP164" s="24" t="e">
        <f t="shared" ca="1" si="1241"/>
        <v>#NAME?</v>
      </c>
      <c r="CQ164" s="24" t="e">
        <f t="shared" ca="1" si="1241"/>
        <v>#NAME?</v>
      </c>
      <c r="CR164" s="24" t="e">
        <f t="shared" ca="1" si="1241"/>
        <v>#NAME?</v>
      </c>
      <c r="CS164" s="24" t="e">
        <f t="shared" ca="1" si="1241"/>
        <v>#NAME?</v>
      </c>
      <c r="CT164" s="24" t="e">
        <f t="shared" ca="1" si="1241"/>
        <v>#NAME?</v>
      </c>
      <c r="CU164" s="24" t="e">
        <f t="shared" ca="1" si="1241"/>
        <v>#NAME?</v>
      </c>
      <c r="CV164" s="24" t="e">
        <f t="shared" ca="1" si="1241"/>
        <v>#NAME?</v>
      </c>
      <c r="CW164" s="24" t="e">
        <f t="shared" ca="1" si="1241"/>
        <v>#NAME?</v>
      </c>
      <c r="CX164" s="24" t="e">
        <f t="shared" ca="1" si="1241"/>
        <v>#NAME?</v>
      </c>
      <c r="CY164" s="24" t="e">
        <f t="shared" ca="1" si="1241"/>
        <v>#NAME?</v>
      </c>
      <c r="CZ164" s="24" t="e">
        <f t="shared" ca="1" si="1241"/>
        <v>#NAME?</v>
      </c>
      <c r="DA164" s="24" t="e">
        <f t="shared" ca="1" si="1241"/>
        <v>#NAME?</v>
      </c>
      <c r="DB164" s="24" t="e">
        <f t="shared" ca="1" si="1241"/>
        <v>#NAME?</v>
      </c>
      <c r="DE164" s="123"/>
      <c r="DF164" s="23">
        <v>87.582999999999998</v>
      </c>
    </row>
    <row r="165" spans="1:110" s="23" customFormat="1" outlineLevel="1" x14ac:dyDescent="0.2">
      <c r="A165" s="23" t="s">
        <v>71</v>
      </c>
      <c r="B165" s="23" t="e">
        <f ca="1">'Annual Raw'!C55-Template!B137</f>
        <v>#NAME?</v>
      </c>
      <c r="C165" s="23" t="e">
        <f ca="1">'Annual Raw'!D55-Template!C137</f>
        <v>#NAME?</v>
      </c>
      <c r="D165" s="23" t="e">
        <f ca="1">'Annual Raw'!E55-Template!D137</f>
        <v>#NAME?</v>
      </c>
      <c r="E165" s="23" t="e">
        <f ca="1">'Annual Raw'!F55-Template!E137</f>
        <v>#NAME?</v>
      </c>
      <c r="F165" s="23" t="e">
        <f ca="1">'Annual Raw'!G55-Template!F137</f>
        <v>#NAME?</v>
      </c>
      <c r="G165" s="23" t="e">
        <f ca="1">'Annual Raw'!H55-Template!G137</f>
        <v>#NAME?</v>
      </c>
      <c r="H165" s="23" t="e">
        <f ca="1">'Annual Raw'!I55-Template!H137</f>
        <v>#NAME?</v>
      </c>
      <c r="I165" s="23" t="e">
        <f ca="1">'Annual Raw'!J55-Template!I137</f>
        <v>#NAME?</v>
      </c>
      <c r="J165" s="23" t="e">
        <f ca="1">'Annual Raw'!K55-Template!J137</f>
        <v>#NAME?</v>
      </c>
      <c r="K165" s="23" t="e">
        <f ca="1">'Annual Raw'!L55-Template!K137</f>
        <v>#NAME?</v>
      </c>
      <c r="L165" s="23" t="e">
        <f ca="1">'Annual Raw'!M55-Template!L137</f>
        <v>#NAME?</v>
      </c>
      <c r="M165" s="23" t="e">
        <f ca="1">'Annual Raw'!N55-Template!M137</f>
        <v>#NAME?</v>
      </c>
      <c r="N165" s="23" t="e">
        <f ca="1">'Annual Raw'!O55-Template!N137</f>
        <v>#NAME?</v>
      </c>
      <c r="O165" s="23" t="e">
        <f ca="1">'Annual Raw'!P55-Template!O137</f>
        <v>#NAME?</v>
      </c>
      <c r="P165" s="23" t="e">
        <f ca="1">'Annual Raw'!Q55-Template!P137</f>
        <v>#NAME?</v>
      </c>
      <c r="Q165" s="23" t="e">
        <f ca="1">'Annual Raw'!R55-Template!Q137</f>
        <v>#NAME?</v>
      </c>
      <c r="R165" s="23" t="e">
        <f ca="1">'Annual Raw'!S55-Template!R137</f>
        <v>#NAME?</v>
      </c>
      <c r="S165" s="23" t="e">
        <f ca="1">'Annual Raw'!T55-Template!S137</f>
        <v>#NAME?</v>
      </c>
      <c r="T165" s="23" t="e">
        <f ca="1">'Annual Raw'!U55-Template!T137</f>
        <v>#NAME?</v>
      </c>
      <c r="U165" s="23" t="e">
        <f ca="1">'Annual Raw'!V55-Template!U137</f>
        <v>#NAME?</v>
      </c>
      <c r="V165" s="23" t="e">
        <f ca="1">'Annual Raw'!W55-Template!V137</f>
        <v>#NAME?</v>
      </c>
      <c r="W165" s="23" t="e">
        <f ca="1">'Annual Raw'!X55-Template!W137</f>
        <v>#NAME?</v>
      </c>
      <c r="X165" s="23" t="e">
        <f ca="1">'Annual Raw'!Y55-Template!X137</f>
        <v>#NAME?</v>
      </c>
      <c r="Y165" s="23" t="e">
        <f ca="1">'Annual Raw'!Z55-Template!Y137</f>
        <v>#NAME?</v>
      </c>
      <c r="Z165" s="23" t="e">
        <f ca="1">'Annual Raw'!AA55-Template!Z137</f>
        <v>#NAME?</v>
      </c>
      <c r="AA165" s="23" t="e">
        <f ca="1">'Annual Raw'!AB55-Template!AA137</f>
        <v>#NAME?</v>
      </c>
      <c r="AB165" s="24">
        <f t="shared" si="1234"/>
        <v>0</v>
      </c>
      <c r="AC165" s="24">
        <f t="shared" si="1235"/>
        <v>0</v>
      </c>
      <c r="AD165" s="24">
        <f t="shared" si="1236"/>
        <v>0</v>
      </c>
      <c r="AE165" s="24">
        <f t="shared" si="1237"/>
        <v>0</v>
      </c>
      <c r="AJ165" s="23" t="e">
        <f ca="1">+'QTR Raw'!D91</f>
        <v>#NAME?</v>
      </c>
      <c r="AK165" s="23" t="e">
        <f t="shared" ca="1" si="1238"/>
        <v>#NAME?</v>
      </c>
      <c r="AL165" s="23" t="e">
        <f ca="1">+'QTR Raw'!F91</f>
        <v>#NAME?</v>
      </c>
      <c r="AM165" s="23" t="e">
        <f t="shared" ca="1" si="1238"/>
        <v>#NAME?</v>
      </c>
      <c r="AN165" s="23" t="e">
        <f ca="1">+'QTR Raw'!H91</f>
        <v>#NAME?</v>
      </c>
      <c r="AO165" s="23" t="e">
        <f t="shared" ca="1" si="1238"/>
        <v>#NAME?</v>
      </c>
      <c r="AP165" s="23" t="e">
        <f ca="1">+'QTR Raw'!J91</f>
        <v>#NAME?</v>
      </c>
      <c r="AQ165" s="23" t="e">
        <f t="shared" ca="1" si="1238"/>
        <v>#NAME?</v>
      </c>
      <c r="AR165" s="23" t="e">
        <f ca="1">+'QTR Raw'!L91</f>
        <v>#NAME?</v>
      </c>
      <c r="AS165" s="23" t="e">
        <f t="shared" ca="1" si="1238"/>
        <v>#NAME?</v>
      </c>
      <c r="AT165" s="23" t="e">
        <f ca="1">+'QTR Raw'!N91</f>
        <v>#NAME?</v>
      </c>
      <c r="AU165" s="23" t="e">
        <f t="shared" ca="1" si="1238"/>
        <v>#NAME?</v>
      </c>
      <c r="AV165" s="23" t="e">
        <f ca="1">+'QTR Raw'!P91</f>
        <v>#NAME?</v>
      </c>
      <c r="AW165" s="23" t="e">
        <f t="shared" ca="1" si="1238"/>
        <v>#NAME?</v>
      </c>
      <c r="AX165" s="23" t="e">
        <f ca="1">+'QTR Raw'!R91</f>
        <v>#NAME?</v>
      </c>
      <c r="AY165" s="23" t="e">
        <f t="shared" ca="1" si="1238"/>
        <v>#NAME?</v>
      </c>
      <c r="AZ165" s="23" t="e">
        <f ca="1">+'QTR Raw'!T91</f>
        <v>#NAME?</v>
      </c>
      <c r="BA165" s="23" t="e">
        <f t="shared" ca="1" si="1238"/>
        <v>#NAME?</v>
      </c>
      <c r="BB165" s="23" t="e">
        <f ca="1">+'QTR Raw'!V91</f>
        <v>#NAME?</v>
      </c>
      <c r="BC165" s="23" t="e">
        <f t="shared" ca="1" si="1238"/>
        <v>#NAME?</v>
      </c>
      <c r="BD165" s="23" t="e">
        <f ca="1">+'QTR Raw'!X91</f>
        <v>#NAME?</v>
      </c>
      <c r="BE165" s="23" t="e">
        <f t="shared" ca="1" si="1238"/>
        <v>#NAME?</v>
      </c>
      <c r="BF165" s="23" t="e">
        <f ca="1">+'QTR Raw'!Z91</f>
        <v>#NAME?</v>
      </c>
      <c r="BG165" s="23" t="e">
        <f t="shared" ca="1" si="1238"/>
        <v>#NAME?</v>
      </c>
      <c r="BH165" s="23" t="e">
        <f ca="1">+'QTR Raw'!AB91</f>
        <v>#NAME?</v>
      </c>
      <c r="BI165" s="23" t="e">
        <f t="shared" ca="1" si="1238"/>
        <v>#NAME?</v>
      </c>
      <c r="BJ165" s="23" t="e">
        <f ca="1">+'QTR Raw'!AD91</f>
        <v>#NAME?</v>
      </c>
      <c r="BK165" s="23" t="e">
        <f t="shared" ca="1" si="1238"/>
        <v>#NAME?</v>
      </c>
      <c r="BL165" s="23" t="e">
        <f ca="1">+'QTR Raw'!AF91</f>
        <v>#NAME?</v>
      </c>
      <c r="BM165" s="23" t="e">
        <f t="shared" ca="1" si="1238"/>
        <v>#NAME?</v>
      </c>
      <c r="BN165" s="23" t="e">
        <f ca="1">+'QTR Raw'!AH91</f>
        <v>#NAME?</v>
      </c>
      <c r="BO165" s="23" t="e">
        <f t="shared" ca="1" si="1238"/>
        <v>#NAME?</v>
      </c>
      <c r="BP165" s="23" t="e">
        <f ca="1">+'QTR Raw'!AJ91</f>
        <v>#NAME?</v>
      </c>
      <c r="BQ165" s="23" t="e">
        <f t="shared" ca="1" si="1238"/>
        <v>#NAME?</v>
      </c>
      <c r="BR165" s="23" t="e">
        <f ca="1">+'QTR Raw'!AL91</f>
        <v>#NAME?</v>
      </c>
      <c r="BS165" s="23" t="e">
        <f t="shared" ca="1" si="1238"/>
        <v>#NAME?</v>
      </c>
      <c r="BT165" s="23" t="e">
        <f ca="1">+'QTR Raw'!AN91</f>
        <v>#NAME?</v>
      </c>
      <c r="BU165" s="23" t="e">
        <f t="shared" ca="1" si="1238"/>
        <v>#NAME?</v>
      </c>
      <c r="BV165" s="23" t="e">
        <f ca="1">+'QTR Raw'!AP91</f>
        <v>#NAME?</v>
      </c>
      <c r="BW165" s="23" t="e">
        <f t="shared" ca="1" si="1238"/>
        <v>#NAME?</v>
      </c>
      <c r="BX165" s="23" t="e">
        <f ca="1">+'QTR Raw'!AR91</f>
        <v>#NAME?</v>
      </c>
      <c r="BY165" s="23" t="e">
        <f t="shared" ca="1" si="1238"/>
        <v>#NAME?</v>
      </c>
      <c r="BZ165" s="23" t="e">
        <f ca="1">+'QTR Raw'!AT91</f>
        <v>#NAME?</v>
      </c>
      <c r="CA165" s="23" t="e">
        <f t="shared" ca="1" si="1238"/>
        <v>#NAME?</v>
      </c>
      <c r="CB165" s="23" t="e">
        <f ca="1">+'QTR Raw'!AV91</f>
        <v>#NAME?</v>
      </c>
      <c r="CC165" s="23" t="e">
        <f t="shared" ca="1" si="1238"/>
        <v>#NAME?</v>
      </c>
      <c r="CD165" s="23" t="e">
        <f ca="1">+'QTR Raw'!AX91</f>
        <v>#NAME?</v>
      </c>
      <c r="CE165" s="23" t="e">
        <f t="shared" ca="1" si="1238"/>
        <v>#NAME?</v>
      </c>
      <c r="CF165" s="23" t="e">
        <f ca="1">+'QTR Raw'!AZ91</f>
        <v>#NAME?</v>
      </c>
      <c r="CG165" s="23" t="e">
        <f t="shared" ref="CG165:CG166" ca="1" si="1242">+CF165</f>
        <v>#NAME?</v>
      </c>
      <c r="CH165" s="23" t="e">
        <f t="shared" ca="1" si="1192"/>
        <v>#NAME?</v>
      </c>
      <c r="CJ165" s="23" t="e">
        <f ca="1">+'QTR Raw'!BD91</f>
        <v>#NAME?</v>
      </c>
      <c r="CL165" s="23" t="e">
        <f ca="1">+'QTR Raw'!BF91</f>
        <v>#NAME?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43.188000000000002</v>
      </c>
    </row>
    <row r="166" spans="1:110" s="23" customFormat="1" outlineLevel="1" x14ac:dyDescent="0.2">
      <c r="A166" s="23" t="s">
        <v>72</v>
      </c>
      <c r="B166" s="23" t="e">
        <f ca="1">'Annual Raw'!C57</f>
        <v>#NAME?</v>
      </c>
      <c r="C166" s="23" t="e">
        <f ca="1">'Annual Raw'!D57</f>
        <v>#NAME?</v>
      </c>
      <c r="D166" s="23" t="e">
        <f ca="1">'Annual Raw'!E57</f>
        <v>#NAME?</v>
      </c>
      <c r="E166" s="23" t="e">
        <f ca="1">'Annual Raw'!F57</f>
        <v>#NAME?</v>
      </c>
      <c r="F166" s="23" t="e">
        <f ca="1">'Annual Raw'!G57</f>
        <v>#NAME?</v>
      </c>
      <c r="G166" s="23" t="e">
        <f ca="1">'Annual Raw'!H57</f>
        <v>#NAME?</v>
      </c>
      <c r="H166" s="23" t="e">
        <f ca="1">'Annual Raw'!I57</f>
        <v>#NAME?</v>
      </c>
      <c r="I166" s="23" t="e">
        <f ca="1">'Annual Raw'!J57</f>
        <v>#NAME?</v>
      </c>
      <c r="J166" s="23" t="e">
        <f ca="1">'Annual Raw'!K57</f>
        <v>#NAME?</v>
      </c>
      <c r="K166" s="23" t="e">
        <f ca="1">'Annual Raw'!L57</f>
        <v>#NAME?</v>
      </c>
      <c r="L166" s="23" t="e">
        <f ca="1">'Annual Raw'!M57</f>
        <v>#NAME?</v>
      </c>
      <c r="M166" s="23" t="e">
        <f ca="1">'Annual Raw'!N57</f>
        <v>#NAME?</v>
      </c>
      <c r="N166" s="23" t="e">
        <f ca="1">'Annual Raw'!O57</f>
        <v>#NAME?</v>
      </c>
      <c r="O166" s="23" t="e">
        <f ca="1">'Annual Raw'!P57</f>
        <v>#NAME?</v>
      </c>
      <c r="P166" s="23" t="e">
        <f ca="1">'Annual Raw'!Q57</f>
        <v>#NAME?</v>
      </c>
      <c r="Q166" s="23" t="e">
        <f ca="1">'Annual Raw'!R57</f>
        <v>#NAME?</v>
      </c>
      <c r="R166" s="23" t="e">
        <f ca="1">'Annual Raw'!S57</f>
        <v>#NAME?</v>
      </c>
      <c r="S166" s="23" t="e">
        <f ca="1">'Annual Raw'!T57</f>
        <v>#NAME?</v>
      </c>
      <c r="T166" s="23" t="e">
        <f ca="1">'Annual Raw'!U57</f>
        <v>#NAME?</v>
      </c>
      <c r="U166" s="23" t="e">
        <f ca="1">'Annual Raw'!V57</f>
        <v>#NAME?</v>
      </c>
      <c r="V166" s="23" t="e">
        <f ca="1">'Annual Raw'!W57</f>
        <v>#NAME?</v>
      </c>
      <c r="W166" s="23" t="e">
        <f ca="1">'Annual Raw'!X57</f>
        <v>#NAME?</v>
      </c>
      <c r="X166" s="23" t="e">
        <f ca="1">'Annual Raw'!Y57</f>
        <v>#NAME?</v>
      </c>
      <c r="Y166" s="23" t="e">
        <f ca="1">'Annual Raw'!Z57</f>
        <v>#NAME?</v>
      </c>
      <c r="Z166" s="23" t="e">
        <f ca="1">'Annual Raw'!AA57</f>
        <v>#NAME?</v>
      </c>
      <c r="AA166" s="23" t="e">
        <f ca="1">'Annual Raw'!AB57</f>
        <v>#NAME?</v>
      </c>
      <c r="AB166" s="24">
        <f t="shared" si="1234"/>
        <v>0</v>
      </c>
      <c r="AC166" s="24">
        <f t="shared" si="1235"/>
        <v>0</v>
      </c>
      <c r="AD166" s="24">
        <f t="shared" si="1236"/>
        <v>0</v>
      </c>
      <c r="AE166" s="24">
        <f t="shared" si="1237"/>
        <v>0</v>
      </c>
      <c r="AJ166" s="23" t="e">
        <f ca="1">+'QTR Raw'!D92</f>
        <v>#NAME?</v>
      </c>
      <c r="AK166" s="23" t="e">
        <f t="shared" ca="1" si="1238"/>
        <v>#NAME?</v>
      </c>
      <c r="AL166" s="23" t="e">
        <f ca="1">+'QTR Raw'!F92</f>
        <v>#NAME?</v>
      </c>
      <c r="AM166" s="23" t="e">
        <f t="shared" ca="1" si="1238"/>
        <v>#NAME?</v>
      </c>
      <c r="AN166" s="23" t="e">
        <f ca="1">+'QTR Raw'!H92</f>
        <v>#NAME?</v>
      </c>
      <c r="AO166" s="23" t="e">
        <f t="shared" ca="1" si="1238"/>
        <v>#NAME?</v>
      </c>
      <c r="AP166" s="23" t="e">
        <f ca="1">+'QTR Raw'!J92</f>
        <v>#NAME?</v>
      </c>
      <c r="AQ166" s="23" t="e">
        <f t="shared" ca="1" si="1238"/>
        <v>#NAME?</v>
      </c>
      <c r="AR166" s="23" t="e">
        <f ca="1">+'QTR Raw'!L92</f>
        <v>#NAME?</v>
      </c>
      <c r="AS166" s="23" t="e">
        <f t="shared" ca="1" si="1238"/>
        <v>#NAME?</v>
      </c>
      <c r="AT166" s="23" t="e">
        <f ca="1">+'QTR Raw'!N92</f>
        <v>#NAME?</v>
      </c>
      <c r="AU166" s="23" t="e">
        <f t="shared" ca="1" si="1238"/>
        <v>#NAME?</v>
      </c>
      <c r="AV166" s="23" t="e">
        <f ca="1">+'QTR Raw'!P92</f>
        <v>#NAME?</v>
      </c>
      <c r="AW166" s="23" t="e">
        <f t="shared" ca="1" si="1238"/>
        <v>#NAME?</v>
      </c>
      <c r="AX166" s="23" t="e">
        <f ca="1">+'QTR Raw'!R92</f>
        <v>#NAME?</v>
      </c>
      <c r="AY166" s="23" t="e">
        <f t="shared" ca="1" si="1238"/>
        <v>#NAME?</v>
      </c>
      <c r="AZ166" s="23" t="e">
        <f ca="1">+'QTR Raw'!T92</f>
        <v>#NAME?</v>
      </c>
      <c r="BA166" s="23" t="e">
        <f t="shared" ca="1" si="1238"/>
        <v>#NAME?</v>
      </c>
      <c r="BB166" s="23" t="e">
        <f ca="1">+'QTR Raw'!V92</f>
        <v>#NAME?</v>
      </c>
      <c r="BC166" s="23" t="e">
        <f t="shared" ca="1" si="1238"/>
        <v>#NAME?</v>
      </c>
      <c r="BD166" s="23" t="e">
        <f ca="1">+'QTR Raw'!X92</f>
        <v>#NAME?</v>
      </c>
      <c r="BE166" s="23" t="e">
        <f t="shared" ca="1" si="1238"/>
        <v>#NAME?</v>
      </c>
      <c r="BF166" s="23" t="e">
        <f ca="1">+'QTR Raw'!Z92</f>
        <v>#NAME?</v>
      </c>
      <c r="BG166" s="23" t="e">
        <f t="shared" ca="1" si="1238"/>
        <v>#NAME?</v>
      </c>
      <c r="BH166" s="23" t="e">
        <f ca="1">+'QTR Raw'!AB92</f>
        <v>#NAME?</v>
      </c>
      <c r="BI166" s="23" t="e">
        <f t="shared" ca="1" si="1238"/>
        <v>#NAME?</v>
      </c>
      <c r="BJ166" s="23" t="e">
        <f ca="1">+'QTR Raw'!AD92</f>
        <v>#NAME?</v>
      </c>
      <c r="BK166" s="23" t="e">
        <f t="shared" ca="1" si="1238"/>
        <v>#NAME?</v>
      </c>
      <c r="BL166" s="23" t="e">
        <f ca="1">+'QTR Raw'!AF92</f>
        <v>#NAME?</v>
      </c>
      <c r="BM166" s="23" t="e">
        <f t="shared" ca="1" si="1238"/>
        <v>#NAME?</v>
      </c>
      <c r="BN166" s="23" t="e">
        <f ca="1">+'QTR Raw'!AH92</f>
        <v>#NAME?</v>
      </c>
      <c r="BO166" s="23" t="e">
        <f t="shared" ca="1" si="1238"/>
        <v>#NAME?</v>
      </c>
      <c r="BP166" s="23" t="e">
        <f ca="1">+'QTR Raw'!AJ92</f>
        <v>#NAME?</v>
      </c>
      <c r="BQ166" s="23" t="e">
        <f t="shared" ca="1" si="1238"/>
        <v>#NAME?</v>
      </c>
      <c r="BR166" s="23" t="e">
        <f ca="1">+'QTR Raw'!AL92</f>
        <v>#NAME?</v>
      </c>
      <c r="BS166" s="23" t="e">
        <f t="shared" ca="1" si="1238"/>
        <v>#NAME?</v>
      </c>
      <c r="BT166" s="23" t="e">
        <f ca="1">+'QTR Raw'!AN92</f>
        <v>#NAME?</v>
      </c>
      <c r="BU166" s="23" t="e">
        <f t="shared" ca="1" si="1238"/>
        <v>#NAME?</v>
      </c>
      <c r="BV166" s="23" t="e">
        <f ca="1">+'QTR Raw'!AP92</f>
        <v>#NAME?</v>
      </c>
      <c r="BW166" s="23" t="e">
        <f t="shared" ca="1" si="1238"/>
        <v>#NAME?</v>
      </c>
      <c r="BX166" s="23" t="e">
        <f ca="1">+'QTR Raw'!AR92</f>
        <v>#NAME?</v>
      </c>
      <c r="BY166" s="23" t="e">
        <f t="shared" ca="1" si="1238"/>
        <v>#NAME?</v>
      </c>
      <c r="BZ166" s="23" t="e">
        <f ca="1">+'QTR Raw'!AT92</f>
        <v>#NAME?</v>
      </c>
      <c r="CA166" s="23" t="e">
        <f t="shared" ca="1" si="1238"/>
        <v>#NAME?</v>
      </c>
      <c r="CB166" s="23" t="e">
        <f ca="1">+'QTR Raw'!AV92</f>
        <v>#NAME?</v>
      </c>
      <c r="CC166" s="23" t="e">
        <f t="shared" ca="1" si="1238"/>
        <v>#NAME?</v>
      </c>
      <c r="CD166" s="23" t="e">
        <f ca="1">+'QTR Raw'!AX92</f>
        <v>#NAME?</v>
      </c>
      <c r="CE166" s="23" t="e">
        <f t="shared" ca="1" si="1238"/>
        <v>#NAME?</v>
      </c>
      <c r="CF166" s="23" t="e">
        <f ca="1">+'QTR Raw'!AZ92</f>
        <v>#NAME?</v>
      </c>
      <c r="CG166" s="23" t="e">
        <f t="shared" ca="1" si="1242"/>
        <v>#NAME?</v>
      </c>
      <c r="CH166" s="23" t="e">
        <f t="shared" ca="1" si="1192"/>
        <v>#NAME?</v>
      </c>
      <c r="CJ166" s="23" t="e">
        <f ca="1">+'QTR Raw'!BD92</f>
        <v>#NAME?</v>
      </c>
      <c r="CL166" s="23" t="e">
        <f ca="1">+'QTR Raw'!BF92</f>
        <v>#NAME?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2" customFormat="1" x14ac:dyDescent="0.2">
      <c r="A167" s="22" t="s">
        <v>73</v>
      </c>
      <c r="B167" s="22" t="e">
        <f ca="1">SUM(B160:B166)</f>
        <v>#NAME?</v>
      </c>
      <c r="C167" s="22" t="e">
        <f t="shared" ref="C167:V167" ca="1" si="1243">SUM(C160:C166)</f>
        <v>#NAME?</v>
      </c>
      <c r="D167" s="22" t="e">
        <f t="shared" ca="1" si="1243"/>
        <v>#NAME?</v>
      </c>
      <c r="E167" s="22" t="e">
        <f t="shared" ca="1" si="1243"/>
        <v>#NAME?</v>
      </c>
      <c r="F167" s="22" t="e">
        <f t="shared" ca="1" si="1243"/>
        <v>#NAME?</v>
      </c>
      <c r="G167" s="22" t="e">
        <f t="shared" ca="1" si="1243"/>
        <v>#NAME?</v>
      </c>
      <c r="H167" s="22" t="e">
        <f t="shared" ca="1" si="1243"/>
        <v>#NAME?</v>
      </c>
      <c r="I167" s="22" t="e">
        <f t="shared" ca="1" si="1243"/>
        <v>#NAME?</v>
      </c>
      <c r="J167" s="22" t="e">
        <f t="shared" ca="1" si="1243"/>
        <v>#NAME?</v>
      </c>
      <c r="K167" s="22" t="e">
        <f t="shared" ca="1" si="1243"/>
        <v>#NAME?</v>
      </c>
      <c r="L167" s="22" t="e">
        <f t="shared" ca="1" si="1243"/>
        <v>#NAME?</v>
      </c>
      <c r="M167" s="22" t="e">
        <f t="shared" ca="1" si="1243"/>
        <v>#NAME?</v>
      </c>
      <c r="N167" s="22" t="e">
        <f t="shared" ca="1" si="1243"/>
        <v>#NAME?</v>
      </c>
      <c r="O167" s="22" t="e">
        <f t="shared" ca="1" si="1243"/>
        <v>#NAME?</v>
      </c>
      <c r="P167" s="22" t="e">
        <f t="shared" ca="1" si="1243"/>
        <v>#NAME?</v>
      </c>
      <c r="Q167" s="22" t="e">
        <f t="shared" ca="1" si="1243"/>
        <v>#NAME?</v>
      </c>
      <c r="R167" s="22" t="e">
        <f t="shared" ca="1" si="1243"/>
        <v>#NAME?</v>
      </c>
      <c r="S167" s="22" t="e">
        <f t="shared" ca="1" si="1243"/>
        <v>#NAME?</v>
      </c>
      <c r="T167" s="22" t="e">
        <f t="shared" ca="1" si="1243"/>
        <v>#NAME?</v>
      </c>
      <c r="U167" s="22" t="e">
        <f t="shared" ca="1" si="1243"/>
        <v>#NAME?</v>
      </c>
      <c r="V167" s="22" t="e">
        <f t="shared" ca="1" si="1243"/>
        <v>#NAME?</v>
      </c>
      <c r="W167" s="22" t="e">
        <f t="shared" ref="W167" ca="1" si="1244">SUM(W160:W166)</f>
        <v>#NAME?</v>
      </c>
      <c r="X167" s="22" t="e">
        <f t="shared" ref="X167:Y167" ca="1" si="1245">SUM(X160:X166)</f>
        <v>#NAME?</v>
      </c>
      <c r="Y167" s="22" t="e">
        <f t="shared" ca="1" si="1245"/>
        <v>#NAME?</v>
      </c>
      <c r="Z167" s="22" t="e">
        <f t="shared" ref="Z167:AA167" ca="1" si="1246">SUM(Z160:Z166)</f>
        <v>#NAME?</v>
      </c>
      <c r="AA167" s="22" t="e">
        <f t="shared" ca="1" si="1246"/>
        <v>#NAME?</v>
      </c>
      <c r="AB167" s="21" t="e">
        <f t="shared" ref="AA167:AD167" ca="1" si="1247">SUM(AB160:AB166)</f>
        <v>#NAME?</v>
      </c>
      <c r="AC167" s="21" t="e">
        <f t="shared" ca="1" si="1247"/>
        <v>#NAME?</v>
      </c>
      <c r="AD167" s="21" t="e">
        <f t="shared" ca="1" si="1247"/>
        <v>#NAME?</v>
      </c>
      <c r="AE167" s="21" t="e">
        <f t="shared" ref="AE167" ca="1" si="1248">SUM(AE160:AE166)</f>
        <v>#NAME?</v>
      </c>
      <c r="AJ167" s="22" t="e">
        <f t="shared" ref="AJ167" ca="1" si="1249">SUM(AJ160:AJ166)</f>
        <v>#NAME?</v>
      </c>
      <c r="AK167" s="22" t="e">
        <f t="shared" ref="AK167" ca="1" si="1250">SUM(AK160:AK166)</f>
        <v>#NAME?</v>
      </c>
      <c r="AL167" s="22" t="e">
        <f t="shared" ref="AL167:AM167" ca="1" si="1251">SUM(AL160:AL166)</f>
        <v>#NAME?</v>
      </c>
      <c r="AM167" s="22" t="e">
        <f t="shared" ca="1" si="1251"/>
        <v>#NAME?</v>
      </c>
      <c r="AN167" s="22" t="e">
        <f t="shared" ref="AN167:AO167" ca="1" si="1252">SUM(AN160:AN166)</f>
        <v>#NAME?</v>
      </c>
      <c r="AO167" s="22" t="e">
        <f t="shared" ca="1" si="1252"/>
        <v>#NAME?</v>
      </c>
      <c r="AP167" s="22" t="e">
        <f t="shared" ref="AP167:CE167" ca="1" si="1253">SUM(AP160:AP166)</f>
        <v>#NAME?</v>
      </c>
      <c r="AQ167" s="22" t="e">
        <f t="shared" ca="1" si="1253"/>
        <v>#NAME?</v>
      </c>
      <c r="AR167" s="22" t="e">
        <f t="shared" ca="1" si="1253"/>
        <v>#NAME?</v>
      </c>
      <c r="AS167" s="22" t="e">
        <f t="shared" ca="1" si="1253"/>
        <v>#NAME?</v>
      </c>
      <c r="AT167" s="22" t="e">
        <f t="shared" ca="1" si="1253"/>
        <v>#NAME?</v>
      </c>
      <c r="AU167" s="22" t="e">
        <f t="shared" ca="1" si="1253"/>
        <v>#NAME?</v>
      </c>
      <c r="AV167" s="22" t="e">
        <f t="shared" ca="1" si="1253"/>
        <v>#NAME?</v>
      </c>
      <c r="AW167" s="22" t="e">
        <f t="shared" ca="1" si="1253"/>
        <v>#NAME?</v>
      </c>
      <c r="AX167" s="22" t="e">
        <f t="shared" ca="1" si="1253"/>
        <v>#NAME?</v>
      </c>
      <c r="AY167" s="22" t="e">
        <f t="shared" ca="1" si="1253"/>
        <v>#NAME?</v>
      </c>
      <c r="AZ167" s="22" t="e">
        <f t="shared" ca="1" si="1253"/>
        <v>#NAME?</v>
      </c>
      <c r="BA167" s="22" t="e">
        <f t="shared" ca="1" si="1253"/>
        <v>#NAME?</v>
      </c>
      <c r="BB167" s="22" t="e">
        <f t="shared" ca="1" si="1253"/>
        <v>#NAME?</v>
      </c>
      <c r="BC167" s="22" t="e">
        <f t="shared" ca="1" si="1253"/>
        <v>#NAME?</v>
      </c>
      <c r="BD167" s="22" t="e">
        <f t="shared" ca="1" si="1253"/>
        <v>#NAME?</v>
      </c>
      <c r="BE167" s="22" t="e">
        <f t="shared" ca="1" si="1253"/>
        <v>#NAME?</v>
      </c>
      <c r="BF167" s="22" t="e">
        <f t="shared" ca="1" si="1253"/>
        <v>#NAME?</v>
      </c>
      <c r="BG167" s="22" t="e">
        <f t="shared" ca="1" si="1253"/>
        <v>#NAME?</v>
      </c>
      <c r="BH167" s="22" t="e">
        <f t="shared" ref="BH167" ca="1" si="1254">SUM(BH160:BH166)</f>
        <v>#NAME?</v>
      </c>
      <c r="BI167" s="22" t="e">
        <f t="shared" ca="1" si="1253"/>
        <v>#NAME?</v>
      </c>
      <c r="BJ167" s="22" t="e">
        <f t="shared" ca="1" si="1253"/>
        <v>#NAME?</v>
      </c>
      <c r="BK167" s="22" t="e">
        <f t="shared" ca="1" si="1253"/>
        <v>#NAME?</v>
      </c>
      <c r="BL167" s="22" t="e">
        <f t="shared" ca="1" si="1253"/>
        <v>#NAME?</v>
      </c>
      <c r="BM167" s="22" t="e">
        <f t="shared" ca="1" si="1253"/>
        <v>#NAME?</v>
      </c>
      <c r="BN167" s="22" t="e">
        <f t="shared" ca="1" si="1253"/>
        <v>#NAME?</v>
      </c>
      <c r="BO167" s="22" t="e">
        <f t="shared" ca="1" si="1253"/>
        <v>#NAME?</v>
      </c>
      <c r="BP167" s="22" t="e">
        <f t="shared" ca="1" si="1253"/>
        <v>#NAME?</v>
      </c>
      <c r="BQ167" s="22" t="e">
        <f t="shared" ca="1" si="1253"/>
        <v>#NAME?</v>
      </c>
      <c r="BR167" s="22" t="e">
        <f t="shared" ca="1" si="1253"/>
        <v>#NAME?</v>
      </c>
      <c r="BS167" s="22" t="e">
        <f t="shared" ca="1" si="1253"/>
        <v>#NAME?</v>
      </c>
      <c r="BT167" s="22" t="e">
        <f t="shared" ca="1" si="1253"/>
        <v>#NAME?</v>
      </c>
      <c r="BU167" s="22" t="e">
        <f t="shared" ca="1" si="1253"/>
        <v>#NAME?</v>
      </c>
      <c r="BV167" s="22" t="e">
        <f t="shared" ca="1" si="1253"/>
        <v>#NAME?</v>
      </c>
      <c r="BW167" s="22" t="e">
        <f t="shared" ca="1" si="1253"/>
        <v>#NAME?</v>
      </c>
      <c r="BX167" s="22" t="e">
        <f t="shared" ca="1" si="1253"/>
        <v>#NAME?</v>
      </c>
      <c r="BY167" s="22" t="e">
        <f t="shared" ca="1" si="1253"/>
        <v>#NAME?</v>
      </c>
      <c r="BZ167" s="22" t="e">
        <f t="shared" ca="1" si="1253"/>
        <v>#NAME?</v>
      </c>
      <c r="CA167" s="22" t="e">
        <f t="shared" ca="1" si="1253"/>
        <v>#NAME?</v>
      </c>
      <c r="CB167" s="22" t="e">
        <f t="shared" ca="1" si="1253"/>
        <v>#NAME?</v>
      </c>
      <c r="CC167" s="22" t="e">
        <f t="shared" ca="1" si="1253"/>
        <v>#NAME?</v>
      </c>
      <c r="CD167" s="22" t="e">
        <f t="shared" ca="1" si="1253"/>
        <v>#NAME?</v>
      </c>
      <c r="CE167" s="22" t="e">
        <f t="shared" ca="1" si="1253"/>
        <v>#NAME?</v>
      </c>
      <c r="CF167" s="22" t="e">
        <f t="shared" ref="CF167:CG167" ca="1" si="1255">SUM(CF160:CF166)</f>
        <v>#NAME?</v>
      </c>
      <c r="CG167" s="22" t="e">
        <f t="shared" ca="1" si="1255"/>
        <v>#NAME?</v>
      </c>
      <c r="CH167" s="22" t="e">
        <f t="shared" ref="CH167:CI167" ca="1" si="1256">SUM(CH160:CH166)</f>
        <v>#NAME?</v>
      </c>
      <c r="CI167" s="22" t="e">
        <f t="shared" ca="1" si="1256"/>
        <v>#NAME?</v>
      </c>
      <c r="CJ167" s="22" t="e">
        <f t="shared" ref="CJ167:DB167" ca="1" si="1257">SUM(CJ160:CJ166)</f>
        <v>#NAME?</v>
      </c>
      <c r="CK167" s="22" t="e">
        <f t="shared" ca="1" si="1257"/>
        <v>#NAME?</v>
      </c>
      <c r="CL167" s="22" t="e">
        <f t="shared" ref="CL167" ca="1" si="1258">SUM(CL160:CL166)</f>
        <v>#NAME?</v>
      </c>
      <c r="CM167" s="21" t="e">
        <f t="shared" ca="1" si="1257"/>
        <v>#NAME?</v>
      </c>
      <c r="CN167" s="21" t="e">
        <f t="shared" ca="1" si="1257"/>
        <v>#NAME?</v>
      </c>
      <c r="CO167" s="21" t="e">
        <f t="shared" ca="1" si="1257"/>
        <v>#NAME?</v>
      </c>
      <c r="CP167" s="21" t="e">
        <f t="shared" ca="1" si="1257"/>
        <v>#NAME?</v>
      </c>
      <c r="CQ167" s="21" t="e">
        <f t="shared" ca="1" si="1257"/>
        <v>#NAME?</v>
      </c>
      <c r="CR167" s="21" t="e">
        <f t="shared" ca="1" si="1257"/>
        <v>#NAME?</v>
      </c>
      <c r="CS167" s="21" t="e">
        <f t="shared" ca="1" si="1257"/>
        <v>#NAME?</v>
      </c>
      <c r="CT167" s="21" t="e">
        <f t="shared" ca="1" si="1257"/>
        <v>#NAME?</v>
      </c>
      <c r="CU167" s="21" t="e">
        <f t="shared" ca="1" si="1257"/>
        <v>#NAME?</v>
      </c>
      <c r="CV167" s="21" t="e">
        <f t="shared" ca="1" si="1257"/>
        <v>#NAME?</v>
      </c>
      <c r="CW167" s="21" t="e">
        <f t="shared" ca="1" si="1257"/>
        <v>#NAME?</v>
      </c>
      <c r="CX167" s="21" t="e">
        <f t="shared" ca="1" si="1257"/>
        <v>#NAME?</v>
      </c>
      <c r="CY167" s="21" t="e">
        <f t="shared" ca="1" si="1257"/>
        <v>#NAME?</v>
      </c>
      <c r="CZ167" s="21" t="e">
        <f t="shared" ca="1" si="1257"/>
        <v>#NAME?</v>
      </c>
      <c r="DA167" s="21" t="e">
        <f t="shared" ca="1" si="1257"/>
        <v>#NAME?</v>
      </c>
      <c r="DB167" s="21" t="e">
        <f t="shared" ca="1" si="1257"/>
        <v>#NAME?</v>
      </c>
      <c r="DE167" s="126"/>
      <c r="DF167" s="22">
        <v>135.02600000000001</v>
      </c>
    </row>
    <row r="168" spans="1:110" s="22" customFormat="1" x14ac:dyDescent="0.2">
      <c r="A168" s="22" t="s">
        <v>74</v>
      </c>
      <c r="B168" s="22" t="e">
        <f ca="1">B159-B167</f>
        <v>#NAME?</v>
      </c>
      <c r="C168" s="22" t="e">
        <f t="shared" ref="C168:V168" ca="1" si="1259">C159-C167</f>
        <v>#NAME?</v>
      </c>
      <c r="D168" s="22" t="e">
        <f t="shared" ca="1" si="1259"/>
        <v>#NAME?</v>
      </c>
      <c r="E168" s="22" t="e">
        <f t="shared" ca="1" si="1259"/>
        <v>#NAME?</v>
      </c>
      <c r="F168" s="22" t="e">
        <f t="shared" ca="1" si="1259"/>
        <v>#NAME?</v>
      </c>
      <c r="G168" s="22" t="e">
        <f t="shared" ca="1" si="1259"/>
        <v>#NAME?</v>
      </c>
      <c r="H168" s="22" t="e">
        <f t="shared" ca="1" si="1259"/>
        <v>#NAME?</v>
      </c>
      <c r="I168" s="22" t="e">
        <f t="shared" ca="1" si="1259"/>
        <v>#NAME?</v>
      </c>
      <c r="J168" s="22" t="e">
        <f t="shared" ca="1" si="1259"/>
        <v>#NAME?</v>
      </c>
      <c r="K168" s="22" t="e">
        <f t="shared" ca="1" si="1259"/>
        <v>#NAME?</v>
      </c>
      <c r="L168" s="22" t="e">
        <f t="shared" ca="1" si="1259"/>
        <v>#NAME?</v>
      </c>
      <c r="M168" s="22" t="e">
        <f t="shared" ca="1" si="1259"/>
        <v>#NAME?</v>
      </c>
      <c r="N168" s="22" t="e">
        <f t="shared" ca="1" si="1259"/>
        <v>#NAME?</v>
      </c>
      <c r="O168" s="22" t="e">
        <f t="shared" ca="1" si="1259"/>
        <v>#NAME?</v>
      </c>
      <c r="P168" s="22" t="e">
        <f t="shared" ca="1" si="1259"/>
        <v>#NAME?</v>
      </c>
      <c r="Q168" s="22" t="e">
        <f t="shared" ca="1" si="1259"/>
        <v>#NAME?</v>
      </c>
      <c r="R168" s="22" t="e">
        <f t="shared" ca="1" si="1259"/>
        <v>#NAME?</v>
      </c>
      <c r="S168" s="22" t="e">
        <f t="shared" ca="1" si="1259"/>
        <v>#NAME?</v>
      </c>
      <c r="T168" s="22" t="e">
        <f t="shared" ca="1" si="1259"/>
        <v>#NAME?</v>
      </c>
      <c r="U168" s="22" t="e">
        <f t="shared" ca="1" si="1259"/>
        <v>#NAME?</v>
      </c>
      <c r="V168" s="22" t="e">
        <f t="shared" ca="1" si="1259"/>
        <v>#NAME?</v>
      </c>
      <c r="W168" s="22" t="e">
        <f t="shared" ref="W168" ca="1" si="1260">W159-W167</f>
        <v>#NAME?</v>
      </c>
      <c r="X168" s="22" t="e">
        <f t="shared" ref="X168:Y168" ca="1" si="1261">X159-X167</f>
        <v>#NAME?</v>
      </c>
      <c r="Y168" s="22" t="e">
        <f t="shared" ca="1" si="1261"/>
        <v>#NAME?</v>
      </c>
      <c r="Z168" s="22" t="e">
        <f t="shared" ref="Z168:AA168" ca="1" si="1262">Z159-Z167</f>
        <v>#NAME?</v>
      </c>
      <c r="AA168" s="22" t="e">
        <f t="shared" ca="1" si="1262"/>
        <v>#NAME?</v>
      </c>
      <c r="AB168" s="21" t="e">
        <f t="shared" ref="AA168:AD168" ca="1" si="1263">AB159-AB167</f>
        <v>#NAME?</v>
      </c>
      <c r="AC168" s="21" t="e">
        <f t="shared" ca="1" si="1263"/>
        <v>#NAME?</v>
      </c>
      <c r="AD168" s="21" t="e">
        <f t="shared" ca="1" si="1263"/>
        <v>#NAME?</v>
      </c>
      <c r="AE168" s="21" t="e">
        <f t="shared" ref="AE168" ca="1" si="1264">AE159-AE167</f>
        <v>#NAME?</v>
      </c>
      <c r="AJ168" s="22" t="e">
        <f t="shared" ref="AJ168" ca="1" si="1265">AJ159-AJ167</f>
        <v>#NAME?</v>
      </c>
      <c r="AK168" s="22" t="e">
        <f t="shared" ref="AK168" ca="1" si="1266">AK159-AK167</f>
        <v>#NAME?</v>
      </c>
      <c r="AL168" s="22" t="e">
        <f t="shared" ref="AL168:AM168" ca="1" si="1267">AL159-AL167</f>
        <v>#NAME?</v>
      </c>
      <c r="AM168" s="22" t="e">
        <f t="shared" ca="1" si="1267"/>
        <v>#NAME?</v>
      </c>
      <c r="AN168" s="22" t="e">
        <f t="shared" ref="AN168:AO168" ca="1" si="1268">AN159-AN167</f>
        <v>#NAME?</v>
      </c>
      <c r="AO168" s="22" t="e">
        <f t="shared" ca="1" si="1268"/>
        <v>#NAME?</v>
      </c>
      <c r="AP168" s="22" t="e">
        <f t="shared" ref="AP168:CE168" ca="1" si="1269">AP159-AP167</f>
        <v>#NAME?</v>
      </c>
      <c r="AQ168" s="22" t="e">
        <f t="shared" ca="1" si="1269"/>
        <v>#NAME?</v>
      </c>
      <c r="AR168" s="22" t="e">
        <f t="shared" ca="1" si="1269"/>
        <v>#NAME?</v>
      </c>
      <c r="AS168" s="22" t="e">
        <f t="shared" ca="1" si="1269"/>
        <v>#NAME?</v>
      </c>
      <c r="AT168" s="22" t="e">
        <f t="shared" ca="1" si="1269"/>
        <v>#NAME?</v>
      </c>
      <c r="AU168" s="22" t="e">
        <f t="shared" ca="1" si="1269"/>
        <v>#NAME?</v>
      </c>
      <c r="AV168" s="22" t="e">
        <f t="shared" ca="1" si="1269"/>
        <v>#NAME?</v>
      </c>
      <c r="AW168" s="22" t="e">
        <f t="shared" ca="1" si="1269"/>
        <v>#NAME?</v>
      </c>
      <c r="AX168" s="22" t="e">
        <f t="shared" ca="1" si="1269"/>
        <v>#NAME?</v>
      </c>
      <c r="AY168" s="22" t="e">
        <f t="shared" ca="1" si="1269"/>
        <v>#NAME?</v>
      </c>
      <c r="AZ168" s="22" t="e">
        <f t="shared" ca="1" si="1269"/>
        <v>#NAME?</v>
      </c>
      <c r="BA168" s="22" t="e">
        <f t="shared" ca="1" si="1269"/>
        <v>#NAME?</v>
      </c>
      <c r="BB168" s="22" t="e">
        <f t="shared" ca="1" si="1269"/>
        <v>#NAME?</v>
      </c>
      <c r="BC168" s="22" t="e">
        <f t="shared" ca="1" si="1269"/>
        <v>#NAME?</v>
      </c>
      <c r="BD168" s="22" t="e">
        <f t="shared" ca="1" si="1269"/>
        <v>#NAME?</v>
      </c>
      <c r="BE168" s="22" t="e">
        <f t="shared" ca="1" si="1269"/>
        <v>#NAME?</v>
      </c>
      <c r="BF168" s="22" t="e">
        <f t="shared" ca="1" si="1269"/>
        <v>#NAME?</v>
      </c>
      <c r="BG168" s="22" t="e">
        <f t="shared" ca="1" si="1269"/>
        <v>#NAME?</v>
      </c>
      <c r="BH168" s="22" t="e">
        <f t="shared" ref="BH168" ca="1" si="1270">BH159-BH167</f>
        <v>#NAME?</v>
      </c>
      <c r="BI168" s="22" t="e">
        <f t="shared" ca="1" si="1269"/>
        <v>#NAME?</v>
      </c>
      <c r="BJ168" s="22" t="e">
        <f t="shared" ca="1" si="1269"/>
        <v>#NAME?</v>
      </c>
      <c r="BK168" s="22" t="e">
        <f t="shared" ca="1" si="1269"/>
        <v>#NAME?</v>
      </c>
      <c r="BL168" s="22" t="e">
        <f t="shared" ca="1" si="1269"/>
        <v>#NAME?</v>
      </c>
      <c r="BM168" s="22" t="e">
        <f t="shared" ca="1" si="1269"/>
        <v>#NAME?</v>
      </c>
      <c r="BN168" s="22" t="e">
        <f t="shared" ca="1" si="1269"/>
        <v>#NAME?</v>
      </c>
      <c r="BO168" s="22" t="e">
        <f t="shared" ca="1" si="1269"/>
        <v>#NAME?</v>
      </c>
      <c r="BP168" s="22" t="e">
        <f t="shared" ca="1" si="1269"/>
        <v>#NAME?</v>
      </c>
      <c r="BQ168" s="22" t="e">
        <f t="shared" ca="1" si="1269"/>
        <v>#NAME?</v>
      </c>
      <c r="BR168" s="22" t="e">
        <f t="shared" ca="1" si="1269"/>
        <v>#NAME?</v>
      </c>
      <c r="BS168" s="22" t="e">
        <f t="shared" ca="1" si="1269"/>
        <v>#NAME?</v>
      </c>
      <c r="BT168" s="22" t="e">
        <f t="shared" ca="1" si="1269"/>
        <v>#NAME?</v>
      </c>
      <c r="BU168" s="22" t="e">
        <f t="shared" ca="1" si="1269"/>
        <v>#NAME?</v>
      </c>
      <c r="BV168" s="22" t="e">
        <f t="shared" ca="1" si="1269"/>
        <v>#NAME?</v>
      </c>
      <c r="BW168" s="22" t="e">
        <f t="shared" ca="1" si="1269"/>
        <v>#NAME?</v>
      </c>
      <c r="BX168" s="22" t="e">
        <f t="shared" ca="1" si="1269"/>
        <v>#NAME?</v>
      </c>
      <c r="BY168" s="22" t="e">
        <f t="shared" ca="1" si="1269"/>
        <v>#NAME?</v>
      </c>
      <c r="BZ168" s="22" t="e">
        <f t="shared" ca="1" si="1269"/>
        <v>#NAME?</v>
      </c>
      <c r="CA168" s="22" t="e">
        <f t="shared" ca="1" si="1269"/>
        <v>#NAME?</v>
      </c>
      <c r="CB168" s="22" t="e">
        <f t="shared" ca="1" si="1269"/>
        <v>#NAME?</v>
      </c>
      <c r="CC168" s="22" t="e">
        <f t="shared" ca="1" si="1269"/>
        <v>#NAME?</v>
      </c>
      <c r="CD168" s="22" t="e">
        <f t="shared" ca="1" si="1269"/>
        <v>#NAME?</v>
      </c>
      <c r="CE168" s="22" t="e">
        <f t="shared" ca="1" si="1269"/>
        <v>#NAME?</v>
      </c>
      <c r="CF168" s="22" t="e">
        <f t="shared" ref="CF168:CG168" ca="1" si="1271">CF159-CF167</f>
        <v>#NAME?</v>
      </c>
      <c r="CG168" s="22" t="e">
        <f t="shared" ca="1" si="1271"/>
        <v>#NAME?</v>
      </c>
      <c r="CH168" s="22" t="e">
        <f t="shared" ref="CH168:CI168" ca="1" si="1272">CH159-CH167</f>
        <v>#NAME?</v>
      </c>
      <c r="CI168" s="22" t="e">
        <f t="shared" ca="1" si="1272"/>
        <v>#NAME?</v>
      </c>
      <c r="CJ168" s="22" t="e">
        <f t="shared" ref="CJ168:DB168" ca="1" si="1273">CJ159-CJ167</f>
        <v>#NAME?</v>
      </c>
      <c r="CK168" s="22" t="e">
        <f t="shared" ca="1" si="1273"/>
        <v>#NAME?</v>
      </c>
      <c r="CL168" s="22" t="e">
        <f t="shared" ref="CL168" ca="1" si="1274">CL159-CL167</f>
        <v>#NAME?</v>
      </c>
      <c r="CM168" s="21" t="e">
        <f t="shared" ca="1" si="1273"/>
        <v>#NAME?</v>
      </c>
      <c r="CN168" s="21" t="e">
        <f t="shared" ca="1" si="1273"/>
        <v>#NAME?</v>
      </c>
      <c r="CO168" s="21" t="e">
        <f t="shared" ca="1" si="1273"/>
        <v>#NAME?</v>
      </c>
      <c r="CP168" s="21" t="e">
        <f t="shared" ca="1" si="1273"/>
        <v>#NAME?</v>
      </c>
      <c r="CQ168" s="21" t="e">
        <f t="shared" ca="1" si="1273"/>
        <v>#NAME?</v>
      </c>
      <c r="CR168" s="21" t="e">
        <f t="shared" ca="1" si="1273"/>
        <v>#NAME?</v>
      </c>
      <c r="CS168" s="21" t="e">
        <f t="shared" ca="1" si="1273"/>
        <v>#NAME?</v>
      </c>
      <c r="CT168" s="21" t="e">
        <f t="shared" ca="1" si="1273"/>
        <v>#NAME?</v>
      </c>
      <c r="CU168" s="21" t="e">
        <f t="shared" ca="1" si="1273"/>
        <v>#NAME?</v>
      </c>
      <c r="CV168" s="21" t="e">
        <f t="shared" ca="1" si="1273"/>
        <v>#NAME?</v>
      </c>
      <c r="CW168" s="21" t="e">
        <f t="shared" ca="1" si="1273"/>
        <v>#NAME?</v>
      </c>
      <c r="CX168" s="21" t="e">
        <f t="shared" ca="1" si="1273"/>
        <v>#NAME?</v>
      </c>
      <c r="CY168" s="21" t="e">
        <f t="shared" ca="1" si="1273"/>
        <v>#NAME?</v>
      </c>
      <c r="CZ168" s="21" t="e">
        <f t="shared" ca="1" si="1273"/>
        <v>#NAME?</v>
      </c>
      <c r="DA168" s="21" t="e">
        <f t="shared" ca="1" si="1273"/>
        <v>#NAME?</v>
      </c>
      <c r="DB168" s="21" t="e">
        <f t="shared" ca="1" si="1273"/>
        <v>#NAME?</v>
      </c>
      <c r="DE168" s="126"/>
      <c r="DF168" s="22">
        <v>321.80700000000002</v>
      </c>
    </row>
    <row r="169" spans="1:110" s="23" customFormat="1" x14ac:dyDescent="0.2">
      <c r="AB169" s="24"/>
      <c r="AC169" s="24"/>
      <c r="AD169" s="24"/>
      <c r="AE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</row>
    <row r="170" spans="1:110" s="23" customFormat="1" outlineLevel="1" x14ac:dyDescent="0.2">
      <c r="A170" s="23" t="s">
        <v>75</v>
      </c>
      <c r="B170" s="23" t="e">
        <f ca="1">'Annual Raw'!C75</f>
        <v>#NAME?</v>
      </c>
      <c r="C170" s="23" t="e">
        <f ca="1">'Annual Raw'!D75</f>
        <v>#NAME?</v>
      </c>
      <c r="D170" s="23" t="e">
        <f ca="1">'Annual Raw'!E75</f>
        <v>#NAME?</v>
      </c>
      <c r="E170" s="23" t="e">
        <f ca="1">'Annual Raw'!F75</f>
        <v>#NAME?</v>
      </c>
      <c r="F170" s="23" t="e">
        <f ca="1">'Annual Raw'!G75</f>
        <v>#NAME?</v>
      </c>
      <c r="G170" s="23" t="e">
        <f ca="1">'Annual Raw'!H75</f>
        <v>#NAME?</v>
      </c>
      <c r="H170" s="23" t="e">
        <f ca="1">'Annual Raw'!I75</f>
        <v>#NAME?</v>
      </c>
      <c r="I170" s="23" t="e">
        <f ca="1">'Annual Raw'!J75</f>
        <v>#NAME?</v>
      </c>
      <c r="J170" s="23" t="e">
        <f ca="1">'Annual Raw'!K75</f>
        <v>#NAME?</v>
      </c>
      <c r="K170" s="23" t="e">
        <f ca="1">'Annual Raw'!L75</f>
        <v>#NAME?</v>
      </c>
      <c r="L170" s="23" t="e">
        <f ca="1">'Annual Raw'!M75</f>
        <v>#NAME?</v>
      </c>
      <c r="M170" s="23" t="e">
        <f ca="1">'Annual Raw'!N75</f>
        <v>#NAME?</v>
      </c>
      <c r="N170" s="23" t="e">
        <f ca="1">'Annual Raw'!O75</f>
        <v>#NAME?</v>
      </c>
      <c r="O170" s="23" t="e">
        <f ca="1">'Annual Raw'!P75</f>
        <v>#NAME?</v>
      </c>
      <c r="P170" s="23" t="e">
        <f ca="1">'Annual Raw'!Q75</f>
        <v>#NAME?</v>
      </c>
      <c r="Q170" s="23" t="e">
        <f ca="1">'Annual Raw'!R75</f>
        <v>#NAME?</v>
      </c>
      <c r="R170" s="23" t="e">
        <f ca="1">'Annual Raw'!S75</f>
        <v>#NAME?</v>
      </c>
      <c r="S170" s="23" t="e">
        <f ca="1">'Annual Raw'!T75</f>
        <v>#NAME?</v>
      </c>
      <c r="T170" s="23" t="e">
        <f ca="1">'Annual Raw'!U75</f>
        <v>#NAME?</v>
      </c>
      <c r="U170" s="23" t="e">
        <f ca="1">'Annual Raw'!V75</f>
        <v>#NAME?</v>
      </c>
      <c r="V170" s="23" t="e">
        <f ca="1">'Annual Raw'!W75</f>
        <v>#NAME?</v>
      </c>
      <c r="W170" s="23" t="e">
        <f ca="1">'Annual Raw'!X75</f>
        <v>#NAME?</v>
      </c>
      <c r="X170" s="23" t="e">
        <f ca="1">'Annual Raw'!Y75</f>
        <v>#NAME?</v>
      </c>
      <c r="Y170" s="23" t="e">
        <f ca="1">'Annual Raw'!Z75</f>
        <v>#NAME?</v>
      </c>
      <c r="Z170" s="23" t="e">
        <f ca="1">'Annual Raw'!AA75</f>
        <v>#NAME?</v>
      </c>
      <c r="AA170" s="23" t="e">
        <f ca="1">'Annual Raw'!AB75</f>
        <v>#NAME?</v>
      </c>
      <c r="AB170" s="24">
        <f t="shared" ref="AB170:AB171" si="1275">+CP170</f>
        <v>0</v>
      </c>
      <c r="AC170" s="24">
        <f t="shared" ref="AC170:AC171" si="1276">+CT170</f>
        <v>0</v>
      </c>
      <c r="AD170" s="24">
        <f t="shared" ref="AD170:AD171" si="1277">+CX170</f>
        <v>0</v>
      </c>
      <c r="AE170" s="24">
        <f t="shared" ref="AE170:AE171" si="1278">+DB170</f>
        <v>0</v>
      </c>
      <c r="AJ170" s="23" t="e">
        <f ca="1">+'QTR Raw'!D80</f>
        <v>#NAME?</v>
      </c>
      <c r="AL170" s="23" t="e">
        <f ca="1">+'QTR Raw'!F80</f>
        <v>#NAME?</v>
      </c>
      <c r="AN170" s="23" t="e">
        <f ca="1">+'QTR Raw'!H80</f>
        <v>#NAME?</v>
      </c>
      <c r="AP170" s="23" t="e">
        <f ca="1">+'QTR Raw'!J80</f>
        <v>#NAME?</v>
      </c>
      <c r="AR170" s="23" t="e">
        <f ca="1">+'QTR Raw'!L80</f>
        <v>#NAME?</v>
      </c>
      <c r="AT170" s="23" t="e">
        <f ca="1">+'QTR Raw'!N80</f>
        <v>#NAME?</v>
      </c>
      <c r="AV170" s="23" t="e">
        <f ca="1">+'QTR Raw'!P80</f>
        <v>#NAME?</v>
      </c>
      <c r="AX170" s="23" t="e">
        <f ca="1">+'QTR Raw'!R80</f>
        <v>#NAME?</v>
      </c>
      <c r="AZ170" s="23" t="e">
        <f ca="1">+'QTR Raw'!T80</f>
        <v>#NAME?</v>
      </c>
      <c r="BB170" s="23" t="e">
        <f ca="1">+'QTR Raw'!V80</f>
        <v>#NAME?</v>
      </c>
      <c r="BD170" s="23" t="e">
        <f ca="1">+'QTR Raw'!X80</f>
        <v>#NAME?</v>
      </c>
      <c r="BF170" s="23" t="e">
        <f ca="1">+'QTR Raw'!Z80</f>
        <v>#NAME?</v>
      </c>
      <c r="BH170" s="23" t="e">
        <f ca="1">+'QTR Raw'!AB80</f>
        <v>#NAME?</v>
      </c>
      <c r="BJ170" s="23" t="e">
        <f ca="1">+'QTR Raw'!AD80</f>
        <v>#NAME?</v>
      </c>
      <c r="BL170" s="23" t="e">
        <f ca="1">+'QTR Raw'!AF80</f>
        <v>#NAME?</v>
      </c>
      <c r="BN170" s="23" t="e">
        <f ca="1">+'QTR Raw'!AH80</f>
        <v>#NAME?</v>
      </c>
      <c r="BP170" s="23" t="e">
        <f ca="1">+'QTR Raw'!AJ80</f>
        <v>#NAME?</v>
      </c>
      <c r="BR170" s="23" t="e">
        <f ca="1">+'QTR Raw'!AL80</f>
        <v>#NAME?</v>
      </c>
      <c r="BT170" s="23" t="e">
        <f ca="1">+'QTR Raw'!AN80</f>
        <v>#NAME?</v>
      </c>
      <c r="BV170" s="23" t="e">
        <f ca="1">+'QTR Raw'!AP80</f>
        <v>#NAME?</v>
      </c>
      <c r="BX170" s="23" t="e">
        <f ca="1">+'QTR Raw'!AR80</f>
        <v>#NAME?</v>
      </c>
      <c r="BZ170" s="23" t="e">
        <f ca="1">+'QTR Raw'!AT80</f>
        <v>#NAME?</v>
      </c>
      <c r="CB170" s="23" t="e">
        <f ca="1">+'QTR Raw'!AV80</f>
        <v>#NAME?</v>
      </c>
      <c r="CD170" s="23" t="e">
        <f ca="1">+'QTR Raw'!AX80</f>
        <v>#NAME?</v>
      </c>
      <c r="CF170" s="23" t="e">
        <f ca="1">+'QTR Raw'!AZ80</f>
        <v>#NAME?</v>
      </c>
      <c r="CH170" s="23" t="e">
        <f t="shared" ref="CH170:CH171" ca="1" si="1279">Z170</f>
        <v>#NAME?</v>
      </c>
      <c r="CJ170" s="23" t="e">
        <f ca="1">+'QTR Raw'!BD80</f>
        <v>#NAME?</v>
      </c>
      <c r="CL170" s="23" t="e">
        <f ca="1">+'QTR Raw'!BF80</f>
        <v>#NAME?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</v>
      </c>
    </row>
    <row r="171" spans="1:110" s="23" customFormat="1" outlineLevel="1" x14ac:dyDescent="0.2">
      <c r="A171" s="23" t="s">
        <v>76</v>
      </c>
      <c r="B171" s="23" t="e">
        <f ca="1">'Annual Raw'!C78</f>
        <v>#NAME?</v>
      </c>
      <c r="C171" s="23" t="e">
        <f ca="1">'Annual Raw'!D78</f>
        <v>#NAME?</v>
      </c>
      <c r="D171" s="23" t="e">
        <f ca="1">'Annual Raw'!E78</f>
        <v>#NAME?</v>
      </c>
      <c r="E171" s="23" t="e">
        <f ca="1">'Annual Raw'!F78</f>
        <v>#NAME?</v>
      </c>
      <c r="F171" s="23" t="e">
        <f ca="1">'Annual Raw'!G78</f>
        <v>#NAME?</v>
      </c>
      <c r="G171" s="23" t="e">
        <f ca="1">'Annual Raw'!H78</f>
        <v>#NAME?</v>
      </c>
      <c r="H171" s="23" t="e">
        <f ca="1">'Annual Raw'!I78</f>
        <v>#NAME?</v>
      </c>
      <c r="I171" s="23" t="e">
        <f ca="1">'Annual Raw'!J78</f>
        <v>#NAME?</v>
      </c>
      <c r="J171" s="23" t="e">
        <f ca="1">'Annual Raw'!K78</f>
        <v>#NAME?</v>
      </c>
      <c r="K171" s="23" t="e">
        <f ca="1">'Annual Raw'!L78</f>
        <v>#NAME?</v>
      </c>
      <c r="L171" s="23" t="e">
        <f ca="1">'Annual Raw'!M78</f>
        <v>#NAME?</v>
      </c>
      <c r="M171" s="23" t="e">
        <f ca="1">'Annual Raw'!N78</f>
        <v>#NAME?</v>
      </c>
      <c r="N171" s="23" t="e">
        <f ca="1">'Annual Raw'!O78</f>
        <v>#NAME?</v>
      </c>
      <c r="O171" s="23" t="e">
        <f ca="1">'Annual Raw'!P78</f>
        <v>#NAME?</v>
      </c>
      <c r="P171" s="23" t="e">
        <f ca="1">'Annual Raw'!Q78</f>
        <v>#NAME?</v>
      </c>
      <c r="Q171" s="23" t="e">
        <f ca="1">'Annual Raw'!R78</f>
        <v>#NAME?</v>
      </c>
      <c r="R171" s="23" t="e">
        <f ca="1">'Annual Raw'!S78</f>
        <v>#NAME?</v>
      </c>
      <c r="S171" s="23" t="e">
        <f ca="1">'Annual Raw'!T78</f>
        <v>#NAME?</v>
      </c>
      <c r="T171" s="23" t="e">
        <f ca="1">'Annual Raw'!U78</f>
        <v>#NAME?</v>
      </c>
      <c r="U171" s="23" t="e">
        <f ca="1">'Annual Raw'!V78</f>
        <v>#NAME?</v>
      </c>
      <c r="V171" s="23" t="e">
        <f ca="1">'Annual Raw'!W78</f>
        <v>#NAME?</v>
      </c>
      <c r="W171" s="23" t="e">
        <f ca="1">'Annual Raw'!X78</f>
        <v>#NAME?</v>
      </c>
      <c r="X171" s="23" t="e">
        <f ca="1">'Annual Raw'!Y78</f>
        <v>#NAME?</v>
      </c>
      <c r="Y171" s="23" t="e">
        <f ca="1">'Annual Raw'!Z78</f>
        <v>#NAME?</v>
      </c>
      <c r="Z171" s="23" t="e">
        <f ca="1">'Annual Raw'!AA78</f>
        <v>#NAME?</v>
      </c>
      <c r="AA171" s="23" t="e">
        <f ca="1">'Annual Raw'!AB78</f>
        <v>#NAME?</v>
      </c>
      <c r="AB171" s="24" t="e">
        <f t="shared" ca="1" si="1275"/>
        <v>#NAME?</v>
      </c>
      <c r="AC171" s="24" t="e">
        <f t="shared" ca="1" si="1276"/>
        <v>#NAME?</v>
      </c>
      <c r="AD171" s="24" t="e">
        <f t="shared" ca="1" si="1277"/>
        <v>#NAME?</v>
      </c>
      <c r="AE171" s="24" t="e">
        <f t="shared" ca="1" si="1278"/>
        <v>#NAME?</v>
      </c>
      <c r="AJ171" s="23" t="e">
        <f ca="1">+'QTR Raw'!D83</f>
        <v>#NAME?</v>
      </c>
      <c r="AK171" s="23" t="e">
        <f t="shared" ref="AK171:AM171" ca="1" si="1280">+AK221</f>
        <v>#NAME?</v>
      </c>
      <c r="AL171" s="23" t="e">
        <f ca="1">+'QTR Raw'!F83</f>
        <v>#NAME?</v>
      </c>
      <c r="AM171" s="23" t="e">
        <f t="shared" ca="1" si="1280"/>
        <v>#NAME?</v>
      </c>
      <c r="AN171" s="23" t="e">
        <f ca="1">+'QTR Raw'!H83</f>
        <v>#NAME?</v>
      </c>
      <c r="AO171" s="23" t="e">
        <f t="shared" ref="AO171" ca="1" si="1281">+AO221</f>
        <v>#NAME?</v>
      </c>
      <c r="AP171" s="23" t="e">
        <f ca="1">+'QTR Raw'!J83</f>
        <v>#NAME?</v>
      </c>
      <c r="AQ171" s="23" t="e">
        <f t="shared" ref="AQ171" ca="1" si="1282">+AQ221</f>
        <v>#NAME?</v>
      </c>
      <c r="AR171" s="23" t="e">
        <f ca="1">+'QTR Raw'!L83</f>
        <v>#NAME?</v>
      </c>
      <c r="AS171" s="23" t="e">
        <f t="shared" ref="AS171" ca="1" si="1283">+AS221</f>
        <v>#NAME?</v>
      </c>
      <c r="AT171" s="23" t="e">
        <f ca="1">+'QTR Raw'!N83</f>
        <v>#NAME?</v>
      </c>
      <c r="AU171" s="23" t="e">
        <f t="shared" ref="AU171" ca="1" si="1284">+AU221</f>
        <v>#NAME?</v>
      </c>
      <c r="AV171" s="23" t="e">
        <f ca="1">+'QTR Raw'!P83</f>
        <v>#NAME?</v>
      </c>
      <c r="AW171" s="23" t="e">
        <f t="shared" ref="AW171" ca="1" si="1285">+AW221</f>
        <v>#NAME?</v>
      </c>
      <c r="AX171" s="23" t="e">
        <f ca="1">+'QTR Raw'!R83</f>
        <v>#NAME?</v>
      </c>
      <c r="AY171" s="23" t="e">
        <f t="shared" ref="AY171" ca="1" si="1286">+AY221</f>
        <v>#NAME?</v>
      </c>
      <c r="AZ171" s="23" t="e">
        <f ca="1">+'QTR Raw'!T83</f>
        <v>#NAME?</v>
      </c>
      <c r="BA171" s="23" t="e">
        <f t="shared" ref="BA171" ca="1" si="1287">+BA221</f>
        <v>#NAME?</v>
      </c>
      <c r="BB171" s="23" t="e">
        <f ca="1">+'QTR Raw'!V83</f>
        <v>#NAME?</v>
      </c>
      <c r="BC171" s="23" t="e">
        <f t="shared" ref="BC171" ca="1" si="1288">+BC221</f>
        <v>#NAME?</v>
      </c>
      <c r="BD171" s="23" t="e">
        <f ca="1">+'QTR Raw'!X83</f>
        <v>#NAME?</v>
      </c>
      <c r="BE171" s="23" t="e">
        <f t="shared" ref="BE171" ca="1" si="1289">+BE221</f>
        <v>#NAME?</v>
      </c>
      <c r="BF171" s="23" t="e">
        <f ca="1">+'QTR Raw'!Z83</f>
        <v>#NAME?</v>
      </c>
      <c r="BG171" s="23" t="e">
        <f t="shared" ref="BG171" ca="1" si="1290">+BG221</f>
        <v>#NAME?</v>
      </c>
      <c r="BH171" s="23" t="e">
        <f ca="1">+'QTR Raw'!AB83</f>
        <v>#NAME?</v>
      </c>
      <c r="BI171" s="23" t="e">
        <f t="shared" ref="BI171" ca="1" si="1291">+BI221</f>
        <v>#NAME?</v>
      </c>
      <c r="BJ171" s="23" t="e">
        <f ca="1">+'QTR Raw'!AD83</f>
        <v>#NAME?</v>
      </c>
      <c r="BK171" s="23" t="e">
        <f t="shared" ref="BK171" ca="1" si="1292">+BK221</f>
        <v>#NAME?</v>
      </c>
      <c r="BL171" s="23" t="e">
        <f ca="1">+'QTR Raw'!AF83</f>
        <v>#NAME?</v>
      </c>
      <c r="BM171" s="23" t="e">
        <f t="shared" ref="BM171" ca="1" si="1293">+BM221</f>
        <v>#NAME?</v>
      </c>
      <c r="BN171" s="23" t="e">
        <f ca="1">+'QTR Raw'!AH83</f>
        <v>#NAME?</v>
      </c>
      <c r="BO171" s="23" t="e">
        <f t="shared" ref="BO171" ca="1" si="1294">+BO221</f>
        <v>#NAME?</v>
      </c>
      <c r="BP171" s="23" t="e">
        <f ca="1">+'QTR Raw'!AJ83</f>
        <v>#NAME?</v>
      </c>
      <c r="BQ171" s="23" t="e">
        <f t="shared" ref="BQ171" ca="1" si="1295">+BQ221</f>
        <v>#NAME?</v>
      </c>
      <c r="BR171" s="23" t="e">
        <f ca="1">+'QTR Raw'!AL83</f>
        <v>#NAME?</v>
      </c>
      <c r="BS171" s="23" t="e">
        <f t="shared" ref="BS171" ca="1" si="1296">+BS221</f>
        <v>#NAME?</v>
      </c>
      <c r="BT171" s="23" t="e">
        <f ca="1">+'QTR Raw'!AN83</f>
        <v>#NAME?</v>
      </c>
      <c r="BU171" s="23" t="e">
        <f t="shared" ref="BU171" ca="1" si="1297">+BU221</f>
        <v>#NAME?</v>
      </c>
      <c r="BV171" s="23" t="e">
        <f ca="1">+'QTR Raw'!AP83</f>
        <v>#NAME?</v>
      </c>
      <c r="BW171" s="23" t="e">
        <f t="shared" ref="BW171" ca="1" si="1298">+BW221</f>
        <v>#NAME?</v>
      </c>
      <c r="BX171" s="23" t="e">
        <f ca="1">+'QTR Raw'!AR83</f>
        <v>#NAME?</v>
      </c>
      <c r="BY171" s="23" t="e">
        <f t="shared" ref="BY171" ca="1" si="1299">+BY221</f>
        <v>#NAME?</v>
      </c>
      <c r="BZ171" s="23" t="e">
        <f ca="1">+'QTR Raw'!AT83</f>
        <v>#NAME?</v>
      </c>
      <c r="CA171" s="23" t="e">
        <f t="shared" ref="CA171" ca="1" si="1300">+CA221</f>
        <v>#NAME?</v>
      </c>
      <c r="CB171" s="23" t="e">
        <f ca="1">+'QTR Raw'!AV83</f>
        <v>#NAME?</v>
      </c>
      <c r="CC171" s="23" t="e">
        <f t="shared" ref="CC171" ca="1" si="1301">+CC221</f>
        <v>#NAME?</v>
      </c>
      <c r="CD171" s="23" t="e">
        <f ca="1">+'QTR Raw'!AX83</f>
        <v>#NAME?</v>
      </c>
      <c r="CE171" s="23" t="e">
        <f t="shared" ref="CE171" ca="1" si="1302">+CE221</f>
        <v>#NAME?</v>
      </c>
      <c r="CF171" s="23" t="e">
        <f ca="1">+'QTR Raw'!AZ83</f>
        <v>#NAME?</v>
      </c>
      <c r="CG171" s="23" t="e">
        <f t="shared" ref="CG171:CI171" ca="1" si="1303">+CG221</f>
        <v>#NAME?</v>
      </c>
      <c r="CH171" s="23" t="e">
        <f t="shared" ca="1" si="1279"/>
        <v>#NAME?</v>
      </c>
      <c r="CI171" s="23" t="e">
        <f t="shared" ca="1" si="1303"/>
        <v>#NAME?</v>
      </c>
      <c r="CJ171" s="23" t="e">
        <f ca="1">+'QTR Raw'!BD83</f>
        <v>#NAME?</v>
      </c>
      <c r="CK171" s="23" t="e">
        <f t="shared" ref="CK171:DB171" ca="1" si="1304">+CK221</f>
        <v>#NAME?</v>
      </c>
      <c r="CL171" s="23" t="e">
        <f ca="1">+'QTR Raw'!BF83</f>
        <v>#NAME?</v>
      </c>
      <c r="CM171" s="24" t="e">
        <f t="shared" ca="1" si="1304"/>
        <v>#NAME?</v>
      </c>
      <c r="CN171" s="24" t="e">
        <f t="shared" ca="1" si="1304"/>
        <v>#NAME?</v>
      </c>
      <c r="CO171" s="24" t="e">
        <f t="shared" ca="1" si="1304"/>
        <v>#NAME?</v>
      </c>
      <c r="CP171" s="24" t="e">
        <f t="shared" ca="1" si="1304"/>
        <v>#NAME?</v>
      </c>
      <c r="CQ171" s="24" t="e">
        <f t="shared" ca="1" si="1304"/>
        <v>#NAME?</v>
      </c>
      <c r="CR171" s="24" t="e">
        <f t="shared" ca="1" si="1304"/>
        <v>#NAME?</v>
      </c>
      <c r="CS171" s="24" t="e">
        <f t="shared" ca="1" si="1304"/>
        <v>#NAME?</v>
      </c>
      <c r="CT171" s="24" t="e">
        <f t="shared" ca="1" si="1304"/>
        <v>#NAME?</v>
      </c>
      <c r="CU171" s="24" t="e">
        <f t="shared" ca="1" si="1304"/>
        <v>#NAME?</v>
      </c>
      <c r="CV171" s="24" t="e">
        <f t="shared" ca="1" si="1304"/>
        <v>#NAME?</v>
      </c>
      <c r="CW171" s="24" t="e">
        <f t="shared" ca="1" si="1304"/>
        <v>#NAME?</v>
      </c>
      <c r="CX171" s="24" t="e">
        <f t="shared" ca="1" si="1304"/>
        <v>#NAME?</v>
      </c>
      <c r="CY171" s="24" t="e">
        <f t="shared" ca="1" si="1304"/>
        <v>#NAME?</v>
      </c>
      <c r="CZ171" s="24" t="e">
        <f t="shared" ca="1" si="1304"/>
        <v>#NAME?</v>
      </c>
      <c r="DA171" s="24" t="e">
        <f t="shared" ca="1" si="1304"/>
        <v>#NAME?</v>
      </c>
      <c r="DB171" s="24" t="e">
        <f t="shared" ca="1" si="1304"/>
        <v>#NAME?</v>
      </c>
      <c r="DE171" s="123"/>
      <c r="DF171" s="23">
        <v>64.980999999999995</v>
      </c>
    </row>
    <row r="172" spans="1:110" s="22" customFormat="1" x14ac:dyDescent="0.2">
      <c r="A172" s="22" t="s">
        <v>77</v>
      </c>
      <c r="B172" s="22" t="e">
        <f ca="1">B170+B171</f>
        <v>#NAME?</v>
      </c>
      <c r="C172" s="22" t="e">
        <f t="shared" ref="C172:V172" ca="1" si="1305">C170+C171</f>
        <v>#NAME?</v>
      </c>
      <c r="D172" s="22" t="e">
        <f t="shared" ca="1" si="1305"/>
        <v>#NAME?</v>
      </c>
      <c r="E172" s="22" t="e">
        <f t="shared" ca="1" si="1305"/>
        <v>#NAME?</v>
      </c>
      <c r="F172" s="22" t="e">
        <f t="shared" ca="1" si="1305"/>
        <v>#NAME?</v>
      </c>
      <c r="G172" s="22" t="e">
        <f t="shared" ca="1" si="1305"/>
        <v>#NAME?</v>
      </c>
      <c r="H172" s="22" t="e">
        <f t="shared" ca="1" si="1305"/>
        <v>#NAME?</v>
      </c>
      <c r="I172" s="22" t="e">
        <f t="shared" ca="1" si="1305"/>
        <v>#NAME?</v>
      </c>
      <c r="J172" s="22" t="e">
        <f t="shared" ca="1" si="1305"/>
        <v>#NAME?</v>
      </c>
      <c r="K172" s="22" t="e">
        <f t="shared" ca="1" si="1305"/>
        <v>#NAME?</v>
      </c>
      <c r="L172" s="22" t="e">
        <f t="shared" ca="1" si="1305"/>
        <v>#NAME?</v>
      </c>
      <c r="M172" s="22" t="e">
        <f t="shared" ca="1" si="1305"/>
        <v>#NAME?</v>
      </c>
      <c r="N172" s="22" t="e">
        <f t="shared" ca="1" si="1305"/>
        <v>#NAME?</v>
      </c>
      <c r="O172" s="22" t="e">
        <f t="shared" ca="1" si="1305"/>
        <v>#NAME?</v>
      </c>
      <c r="P172" s="22" t="e">
        <f t="shared" ca="1" si="1305"/>
        <v>#NAME?</v>
      </c>
      <c r="Q172" s="22" t="e">
        <f t="shared" ca="1" si="1305"/>
        <v>#NAME?</v>
      </c>
      <c r="R172" s="22" t="e">
        <f t="shared" ca="1" si="1305"/>
        <v>#NAME?</v>
      </c>
      <c r="S172" s="22" t="e">
        <f t="shared" ca="1" si="1305"/>
        <v>#NAME?</v>
      </c>
      <c r="T172" s="22" t="e">
        <f t="shared" ca="1" si="1305"/>
        <v>#NAME?</v>
      </c>
      <c r="U172" s="22" t="e">
        <f t="shared" ca="1" si="1305"/>
        <v>#NAME?</v>
      </c>
      <c r="V172" s="22" t="e">
        <f t="shared" ca="1" si="1305"/>
        <v>#NAME?</v>
      </c>
      <c r="W172" s="22" t="e">
        <f t="shared" ref="W172" ca="1" si="1306">W170+W171</f>
        <v>#NAME?</v>
      </c>
      <c r="X172" s="22" t="e">
        <f t="shared" ref="X172:Y172" ca="1" si="1307">X170+X171</f>
        <v>#NAME?</v>
      </c>
      <c r="Y172" s="22" t="e">
        <f t="shared" ca="1" si="1307"/>
        <v>#NAME?</v>
      </c>
      <c r="Z172" s="22" t="e">
        <f t="shared" ref="Z172:AA172" ca="1" si="1308">Z170+Z171</f>
        <v>#NAME?</v>
      </c>
      <c r="AA172" s="22" t="e">
        <f t="shared" ca="1" si="1308"/>
        <v>#NAME?</v>
      </c>
      <c r="AB172" s="21" t="e">
        <f t="shared" ref="AA172:AD172" ca="1" si="1309">AB170+AB171</f>
        <v>#NAME?</v>
      </c>
      <c r="AC172" s="21" t="e">
        <f t="shared" ca="1" si="1309"/>
        <v>#NAME?</v>
      </c>
      <c r="AD172" s="21" t="e">
        <f t="shared" ca="1" si="1309"/>
        <v>#NAME?</v>
      </c>
      <c r="AE172" s="21" t="e">
        <f t="shared" ref="AE172" ca="1" si="1310">AE170+AE171</f>
        <v>#NAME?</v>
      </c>
      <c r="AJ172" s="22" t="e">
        <f t="shared" ref="AJ172" ca="1" si="1311">AJ170+AJ171</f>
        <v>#NAME?</v>
      </c>
      <c r="AK172" s="22" t="e">
        <f t="shared" ref="AK172" ca="1" si="1312">AK170+AK171</f>
        <v>#NAME?</v>
      </c>
      <c r="AL172" s="22" t="e">
        <f t="shared" ref="AL172:AM172" ca="1" si="1313">AL170+AL171</f>
        <v>#NAME?</v>
      </c>
      <c r="AM172" s="22" t="e">
        <f t="shared" ca="1" si="1313"/>
        <v>#NAME?</v>
      </c>
      <c r="AN172" s="22" t="e">
        <f t="shared" ref="AN172:AO172" ca="1" si="1314">AN170+AN171</f>
        <v>#NAME?</v>
      </c>
      <c r="AO172" s="22" t="e">
        <f t="shared" ca="1" si="1314"/>
        <v>#NAME?</v>
      </c>
      <c r="AP172" s="22" t="e">
        <f t="shared" ref="AP172:CE172" ca="1" si="1315">AP170+AP171</f>
        <v>#NAME?</v>
      </c>
      <c r="AQ172" s="22" t="e">
        <f t="shared" ca="1" si="1315"/>
        <v>#NAME?</v>
      </c>
      <c r="AR172" s="22" t="e">
        <f t="shared" ca="1" si="1315"/>
        <v>#NAME?</v>
      </c>
      <c r="AS172" s="22" t="e">
        <f t="shared" ca="1" si="1315"/>
        <v>#NAME?</v>
      </c>
      <c r="AT172" s="22" t="e">
        <f t="shared" ca="1" si="1315"/>
        <v>#NAME?</v>
      </c>
      <c r="AU172" s="22" t="e">
        <f t="shared" ca="1" si="1315"/>
        <v>#NAME?</v>
      </c>
      <c r="AV172" s="22" t="e">
        <f t="shared" ca="1" si="1315"/>
        <v>#NAME?</v>
      </c>
      <c r="AW172" s="22" t="e">
        <f t="shared" ca="1" si="1315"/>
        <v>#NAME?</v>
      </c>
      <c r="AX172" s="22" t="e">
        <f t="shared" ca="1" si="1315"/>
        <v>#NAME?</v>
      </c>
      <c r="AY172" s="22" t="e">
        <f t="shared" ca="1" si="1315"/>
        <v>#NAME?</v>
      </c>
      <c r="AZ172" s="22" t="e">
        <f t="shared" ca="1" si="1315"/>
        <v>#NAME?</v>
      </c>
      <c r="BA172" s="22" t="e">
        <f t="shared" ca="1" si="1315"/>
        <v>#NAME?</v>
      </c>
      <c r="BB172" s="22" t="e">
        <f t="shared" ca="1" si="1315"/>
        <v>#NAME?</v>
      </c>
      <c r="BC172" s="22" t="e">
        <f t="shared" ca="1" si="1315"/>
        <v>#NAME?</v>
      </c>
      <c r="BD172" s="22" t="e">
        <f t="shared" ca="1" si="1315"/>
        <v>#NAME?</v>
      </c>
      <c r="BE172" s="22" t="e">
        <f t="shared" ca="1" si="1315"/>
        <v>#NAME?</v>
      </c>
      <c r="BF172" s="22" t="e">
        <f t="shared" ca="1" si="1315"/>
        <v>#NAME?</v>
      </c>
      <c r="BG172" s="22" t="e">
        <f t="shared" ca="1" si="1315"/>
        <v>#NAME?</v>
      </c>
      <c r="BH172" s="22" t="e">
        <f t="shared" ca="1" si="1315"/>
        <v>#NAME?</v>
      </c>
      <c r="BI172" s="22" t="e">
        <f t="shared" ca="1" si="1315"/>
        <v>#NAME?</v>
      </c>
      <c r="BJ172" s="22" t="e">
        <f t="shared" ca="1" si="1315"/>
        <v>#NAME?</v>
      </c>
      <c r="BK172" s="22" t="e">
        <f t="shared" ca="1" si="1315"/>
        <v>#NAME?</v>
      </c>
      <c r="BL172" s="22" t="e">
        <f t="shared" ca="1" si="1315"/>
        <v>#NAME?</v>
      </c>
      <c r="BM172" s="22" t="e">
        <f t="shared" ca="1" si="1315"/>
        <v>#NAME?</v>
      </c>
      <c r="BN172" s="22" t="e">
        <f t="shared" ca="1" si="1315"/>
        <v>#NAME?</v>
      </c>
      <c r="BO172" s="22" t="e">
        <f t="shared" ca="1" si="1315"/>
        <v>#NAME?</v>
      </c>
      <c r="BP172" s="22" t="e">
        <f t="shared" ca="1" si="1315"/>
        <v>#NAME?</v>
      </c>
      <c r="BQ172" s="22" t="e">
        <f t="shared" ca="1" si="1315"/>
        <v>#NAME?</v>
      </c>
      <c r="BR172" s="22" t="e">
        <f t="shared" ca="1" si="1315"/>
        <v>#NAME?</v>
      </c>
      <c r="BS172" s="22" t="e">
        <f t="shared" ca="1" si="1315"/>
        <v>#NAME?</v>
      </c>
      <c r="BT172" s="22" t="e">
        <f t="shared" ca="1" si="1315"/>
        <v>#NAME?</v>
      </c>
      <c r="BU172" s="22" t="e">
        <f t="shared" ca="1" si="1315"/>
        <v>#NAME?</v>
      </c>
      <c r="BV172" s="22" t="e">
        <f t="shared" ca="1" si="1315"/>
        <v>#NAME?</v>
      </c>
      <c r="BW172" s="22" t="e">
        <f t="shared" ca="1" si="1315"/>
        <v>#NAME?</v>
      </c>
      <c r="BX172" s="22" t="e">
        <f t="shared" ca="1" si="1315"/>
        <v>#NAME?</v>
      </c>
      <c r="BY172" s="22" t="e">
        <f t="shared" ca="1" si="1315"/>
        <v>#NAME?</v>
      </c>
      <c r="BZ172" s="22" t="e">
        <f t="shared" ca="1" si="1315"/>
        <v>#NAME?</v>
      </c>
      <c r="CA172" s="22" t="e">
        <f t="shared" ca="1" si="1315"/>
        <v>#NAME?</v>
      </c>
      <c r="CB172" s="22" t="e">
        <f t="shared" ca="1" si="1315"/>
        <v>#NAME?</v>
      </c>
      <c r="CC172" s="22" t="e">
        <f t="shared" ca="1" si="1315"/>
        <v>#NAME?</v>
      </c>
      <c r="CD172" s="22" t="e">
        <f t="shared" ca="1" si="1315"/>
        <v>#NAME?</v>
      </c>
      <c r="CE172" s="22" t="e">
        <f t="shared" ca="1" si="1315"/>
        <v>#NAME?</v>
      </c>
      <c r="CF172" s="22" t="e">
        <f t="shared" ref="CF172:CG172" ca="1" si="1316">CF170+CF171</f>
        <v>#NAME?</v>
      </c>
      <c r="CG172" s="22" t="e">
        <f t="shared" ca="1" si="1316"/>
        <v>#NAME?</v>
      </c>
      <c r="CH172" s="22" t="e">
        <f t="shared" ref="CH172:CI172" ca="1" si="1317">CH170+CH171</f>
        <v>#NAME?</v>
      </c>
      <c r="CI172" s="22" t="e">
        <f t="shared" ca="1" si="1317"/>
        <v>#NAME?</v>
      </c>
      <c r="CJ172" s="22" t="e">
        <f t="shared" ref="CJ172:DB172" ca="1" si="1318">CJ170+CJ171</f>
        <v>#NAME?</v>
      </c>
      <c r="CK172" s="22" t="e">
        <f t="shared" ca="1" si="1318"/>
        <v>#NAME?</v>
      </c>
      <c r="CL172" s="22" t="e">
        <f t="shared" ref="CL172" ca="1" si="1319">CL170+CL171</f>
        <v>#NAME?</v>
      </c>
      <c r="CM172" s="21" t="e">
        <f t="shared" ca="1" si="1318"/>
        <v>#NAME?</v>
      </c>
      <c r="CN172" s="21" t="e">
        <f t="shared" ca="1" si="1318"/>
        <v>#NAME?</v>
      </c>
      <c r="CO172" s="21" t="e">
        <f t="shared" ca="1" si="1318"/>
        <v>#NAME?</v>
      </c>
      <c r="CP172" s="21" t="e">
        <f t="shared" ca="1" si="1318"/>
        <v>#NAME?</v>
      </c>
      <c r="CQ172" s="21" t="e">
        <f t="shared" ca="1" si="1318"/>
        <v>#NAME?</v>
      </c>
      <c r="CR172" s="21" t="e">
        <f t="shared" ca="1" si="1318"/>
        <v>#NAME?</v>
      </c>
      <c r="CS172" s="21" t="e">
        <f t="shared" ca="1" si="1318"/>
        <v>#NAME?</v>
      </c>
      <c r="CT172" s="21" t="e">
        <f t="shared" ca="1" si="1318"/>
        <v>#NAME?</v>
      </c>
      <c r="CU172" s="21" t="e">
        <f t="shared" ca="1" si="1318"/>
        <v>#NAME?</v>
      </c>
      <c r="CV172" s="21" t="e">
        <f t="shared" ca="1" si="1318"/>
        <v>#NAME?</v>
      </c>
      <c r="CW172" s="21" t="e">
        <f t="shared" ca="1" si="1318"/>
        <v>#NAME?</v>
      </c>
      <c r="CX172" s="21" t="e">
        <f t="shared" ca="1" si="1318"/>
        <v>#NAME?</v>
      </c>
      <c r="CY172" s="21" t="e">
        <f t="shared" ca="1" si="1318"/>
        <v>#NAME?</v>
      </c>
      <c r="CZ172" s="21" t="e">
        <f t="shared" ca="1" si="1318"/>
        <v>#NAME?</v>
      </c>
      <c r="DA172" s="21" t="e">
        <f t="shared" ca="1" si="1318"/>
        <v>#NAME?</v>
      </c>
      <c r="DB172" s="21" t="e">
        <f t="shared" ca="1" si="1318"/>
        <v>#NAME?</v>
      </c>
      <c r="DE172" s="126"/>
      <c r="DF172" s="22">
        <v>64.980999999999995</v>
      </c>
    </row>
    <row r="173" spans="1:110" s="23" customFormat="1" x14ac:dyDescent="0.2">
      <c r="AB173" s="24"/>
      <c r="AC173" s="24"/>
      <c r="AD173" s="24"/>
      <c r="AE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</row>
    <row r="174" spans="1:110" s="23" customFormat="1" x14ac:dyDescent="0.2">
      <c r="A174" s="23" t="s">
        <v>78</v>
      </c>
      <c r="B174" s="23" t="e">
        <f ca="1">-'Annual Raw'!C49</f>
        <v>#NAME?</v>
      </c>
      <c r="C174" s="23" t="e">
        <f ca="1">-'Annual Raw'!D49</f>
        <v>#NAME?</v>
      </c>
      <c r="D174" s="23" t="e">
        <f ca="1">-'Annual Raw'!E49</f>
        <v>#NAME?</v>
      </c>
      <c r="E174" s="23" t="e">
        <f ca="1">-'Annual Raw'!F49</f>
        <v>#NAME?</v>
      </c>
      <c r="F174" s="23" t="e">
        <f ca="1">-'Annual Raw'!G49</f>
        <v>#NAME?</v>
      </c>
      <c r="G174" s="23" t="e">
        <f ca="1">-'Annual Raw'!H49</f>
        <v>#NAME?</v>
      </c>
      <c r="H174" s="23" t="e">
        <f ca="1">-'Annual Raw'!I49</f>
        <v>#NAME?</v>
      </c>
      <c r="I174" s="23" t="e">
        <f ca="1">-'Annual Raw'!J49</f>
        <v>#NAME?</v>
      </c>
      <c r="J174" s="23" t="e">
        <f ca="1">-'Annual Raw'!K49</f>
        <v>#NAME?</v>
      </c>
      <c r="K174" s="23" t="e">
        <f ca="1">-'Annual Raw'!L49</f>
        <v>#NAME?</v>
      </c>
      <c r="L174" s="23" t="e">
        <f ca="1">-'Annual Raw'!M49</f>
        <v>#NAME?</v>
      </c>
      <c r="M174" s="23" t="e">
        <f ca="1">-'Annual Raw'!N49</f>
        <v>#NAME?</v>
      </c>
      <c r="N174" s="23" t="e">
        <f ca="1">-'Annual Raw'!O49</f>
        <v>#NAME?</v>
      </c>
      <c r="O174" s="23" t="e">
        <f ca="1">-'Annual Raw'!P49</f>
        <v>#NAME?</v>
      </c>
      <c r="P174" s="23" t="e">
        <f ca="1">-'Annual Raw'!Q49</f>
        <v>#NAME?</v>
      </c>
      <c r="Q174" s="23" t="e">
        <f ca="1">-'Annual Raw'!R49</f>
        <v>#NAME?</v>
      </c>
      <c r="R174" s="23" t="e">
        <f ca="1">-'Annual Raw'!S49</f>
        <v>#NAME?</v>
      </c>
      <c r="S174" s="23" t="e">
        <f ca="1">-'Annual Raw'!T49</f>
        <v>#NAME?</v>
      </c>
      <c r="T174" s="23" t="e">
        <f ca="1">-'Annual Raw'!U49</f>
        <v>#NAME?</v>
      </c>
      <c r="U174" s="23" t="e">
        <f ca="1">-'Annual Raw'!V49</f>
        <v>#NAME?</v>
      </c>
      <c r="V174" s="23" t="e">
        <f ca="1">-'Annual Raw'!W49</f>
        <v>#NAME?</v>
      </c>
      <c r="W174" s="23" t="e">
        <f ca="1">-'Annual Raw'!X49</f>
        <v>#NAME?</v>
      </c>
      <c r="X174" s="23" t="e">
        <f ca="1">-'Annual Raw'!Y49</f>
        <v>#NAME?</v>
      </c>
      <c r="Y174" s="23" t="e">
        <f ca="1">-'Annual Raw'!Z49</f>
        <v>#NAME?</v>
      </c>
      <c r="Z174" s="23" t="e">
        <f ca="1">-'Annual Raw'!AA49</f>
        <v>#NAME?</v>
      </c>
      <c r="AA174" s="23" t="e">
        <f ca="1">-'Annual Raw'!AB49</f>
        <v>#NAME?</v>
      </c>
      <c r="AB174" s="24" t="e">
        <f t="shared" ref="AB174:AB175" ca="1" si="1320">+CP174</f>
        <v>#NAME?</v>
      </c>
      <c r="AC174" s="24" t="e">
        <f t="shared" ref="AC174:AC175" ca="1" si="1321">+CT174</f>
        <v>#NAME?</v>
      </c>
      <c r="AD174" s="24" t="e">
        <f t="shared" ref="AD174:AD175" ca="1" si="1322">+CX174</f>
        <v>#NAME?</v>
      </c>
      <c r="AE174" s="24" t="e">
        <f t="shared" ref="AE174:AE175" ca="1" si="1323">+DB174</f>
        <v>#NAME?</v>
      </c>
      <c r="AJ174" s="23" t="e">
        <f ca="1">+'QTR Raw'!D96</f>
        <v>#NAME?</v>
      </c>
      <c r="AK174" s="23" t="e">
        <f t="shared" ref="AK174:CE174" ca="1" si="1324">+AJ174</f>
        <v>#NAME?</v>
      </c>
      <c r="AL174" s="23" t="e">
        <f ca="1">+'QTR Raw'!F96</f>
        <v>#NAME?</v>
      </c>
      <c r="AM174" s="23" t="e">
        <f t="shared" ca="1" si="1324"/>
        <v>#NAME?</v>
      </c>
      <c r="AN174" s="23" t="e">
        <f ca="1">+'QTR Raw'!H96</f>
        <v>#NAME?</v>
      </c>
      <c r="AO174" s="23" t="e">
        <f t="shared" ca="1" si="1324"/>
        <v>#NAME?</v>
      </c>
      <c r="AP174" s="23" t="e">
        <f ca="1">+'QTR Raw'!J96</f>
        <v>#NAME?</v>
      </c>
      <c r="AQ174" s="23" t="e">
        <f t="shared" ca="1" si="1324"/>
        <v>#NAME?</v>
      </c>
      <c r="AR174" s="23" t="e">
        <f ca="1">+'QTR Raw'!L96</f>
        <v>#NAME?</v>
      </c>
      <c r="AS174" s="23" t="e">
        <f t="shared" ca="1" si="1324"/>
        <v>#NAME?</v>
      </c>
      <c r="AT174" s="23" t="e">
        <f ca="1">+'QTR Raw'!N96</f>
        <v>#NAME?</v>
      </c>
      <c r="AU174" s="23" t="e">
        <f t="shared" ca="1" si="1324"/>
        <v>#NAME?</v>
      </c>
      <c r="AV174" s="23" t="e">
        <f ca="1">+'QTR Raw'!P96</f>
        <v>#NAME?</v>
      </c>
      <c r="AW174" s="23" t="e">
        <f t="shared" ca="1" si="1324"/>
        <v>#NAME?</v>
      </c>
      <c r="AX174" s="23" t="e">
        <f ca="1">+'QTR Raw'!R96</f>
        <v>#NAME?</v>
      </c>
      <c r="AY174" s="23" t="e">
        <f t="shared" ca="1" si="1324"/>
        <v>#NAME?</v>
      </c>
      <c r="AZ174" s="23" t="e">
        <f ca="1">+'QTR Raw'!T96</f>
        <v>#NAME?</v>
      </c>
      <c r="BA174" s="23" t="e">
        <f t="shared" ca="1" si="1324"/>
        <v>#NAME?</v>
      </c>
      <c r="BB174" s="23" t="e">
        <f ca="1">+'QTR Raw'!V96</f>
        <v>#NAME?</v>
      </c>
      <c r="BC174" s="23" t="e">
        <f t="shared" ca="1" si="1324"/>
        <v>#NAME?</v>
      </c>
      <c r="BD174" s="23" t="e">
        <f ca="1">+'QTR Raw'!X96</f>
        <v>#NAME?</v>
      </c>
      <c r="BE174" s="23" t="e">
        <f t="shared" ca="1" si="1324"/>
        <v>#NAME?</v>
      </c>
      <c r="BF174" s="23" t="e">
        <f ca="1">+'QTR Raw'!Z96</f>
        <v>#NAME?</v>
      </c>
      <c r="BG174" s="23" t="e">
        <f t="shared" ca="1" si="1324"/>
        <v>#NAME?</v>
      </c>
      <c r="BH174" s="23" t="e">
        <f ca="1">+'QTR Raw'!AB96</f>
        <v>#NAME?</v>
      </c>
      <c r="BI174" s="23" t="e">
        <f t="shared" ca="1" si="1324"/>
        <v>#NAME?</v>
      </c>
      <c r="BJ174" s="23" t="e">
        <f ca="1">+'QTR Raw'!AD96</f>
        <v>#NAME?</v>
      </c>
      <c r="BK174" s="23" t="e">
        <f t="shared" ca="1" si="1324"/>
        <v>#NAME?</v>
      </c>
      <c r="BL174" s="23" t="e">
        <f ca="1">+'QTR Raw'!AF96</f>
        <v>#NAME?</v>
      </c>
      <c r="BM174" s="23" t="e">
        <f t="shared" ca="1" si="1324"/>
        <v>#NAME?</v>
      </c>
      <c r="BN174" s="23" t="e">
        <f ca="1">+'QTR Raw'!AH96</f>
        <v>#NAME?</v>
      </c>
      <c r="BO174" s="23" t="e">
        <f t="shared" ca="1" si="1324"/>
        <v>#NAME?</v>
      </c>
      <c r="BP174" s="23" t="e">
        <f ca="1">+'QTR Raw'!AJ96</f>
        <v>#NAME?</v>
      </c>
      <c r="BQ174" s="23" t="e">
        <f t="shared" ca="1" si="1324"/>
        <v>#NAME?</v>
      </c>
      <c r="BR174" s="23" t="e">
        <f ca="1">+'QTR Raw'!AL96</f>
        <v>#NAME?</v>
      </c>
      <c r="BS174" s="23" t="e">
        <f t="shared" ca="1" si="1324"/>
        <v>#NAME?</v>
      </c>
      <c r="BT174" s="23" t="e">
        <f ca="1">+'QTR Raw'!AN96</f>
        <v>#NAME?</v>
      </c>
      <c r="BU174" s="23" t="e">
        <f t="shared" ca="1" si="1324"/>
        <v>#NAME?</v>
      </c>
      <c r="BV174" s="23" t="e">
        <f ca="1">+'QTR Raw'!AP96</f>
        <v>#NAME?</v>
      </c>
      <c r="BW174" s="23" t="e">
        <f t="shared" ca="1" si="1324"/>
        <v>#NAME?</v>
      </c>
      <c r="BX174" s="23" t="e">
        <f ca="1">+'QTR Raw'!AR96</f>
        <v>#NAME?</v>
      </c>
      <c r="BY174" s="23" t="e">
        <f t="shared" ca="1" si="1324"/>
        <v>#NAME?</v>
      </c>
      <c r="BZ174" s="23" t="e">
        <f ca="1">+'QTR Raw'!AT96</f>
        <v>#NAME?</v>
      </c>
      <c r="CA174" s="23" t="e">
        <f t="shared" ca="1" si="1324"/>
        <v>#NAME?</v>
      </c>
      <c r="CB174" s="23" t="e">
        <f ca="1">+'QTR Raw'!AV96</f>
        <v>#NAME?</v>
      </c>
      <c r="CC174" s="23" t="e">
        <f t="shared" ca="1" si="1324"/>
        <v>#NAME?</v>
      </c>
      <c r="CD174" s="23" t="e">
        <f ca="1">+'QTR Raw'!AX96</f>
        <v>#NAME?</v>
      </c>
      <c r="CE174" s="23" t="e">
        <f t="shared" ca="1" si="1324"/>
        <v>#NAME?</v>
      </c>
      <c r="CF174" s="23" t="e">
        <f ca="1">+'QTR Raw'!AZ96</f>
        <v>#NAME?</v>
      </c>
      <c r="CG174" s="23" t="e">
        <f t="shared" ref="CG174:CI175" ca="1" si="1325">+CF174</f>
        <v>#NAME?</v>
      </c>
      <c r="CH174" s="23" t="e">
        <f t="shared" ref="CH174:CH175" ca="1" si="1326">Z174</f>
        <v>#NAME?</v>
      </c>
      <c r="CI174" s="23" t="e">
        <f t="shared" ca="1" si="1325"/>
        <v>#NAME?</v>
      </c>
      <c r="CJ174" s="23" t="e">
        <f ca="1">+'QTR Raw'!BD96</f>
        <v>#NAME?</v>
      </c>
      <c r="CK174" s="23" t="e">
        <f t="shared" ref="CK174:CK175" ca="1" si="1327">+CJ174</f>
        <v>#NAME?</v>
      </c>
      <c r="CL174" s="23" t="e">
        <f ca="1">+'QTR Raw'!BF96</f>
        <v>#NAME?</v>
      </c>
      <c r="CM174" s="24" t="e">
        <f t="shared" ref="CM174:CM175" ca="1" si="1328">+CL174</f>
        <v>#NAME?</v>
      </c>
      <c r="CN174" s="24" t="e">
        <f t="shared" ref="CN174:CN175" ca="1" si="1329">+CM174</f>
        <v>#NAME?</v>
      </c>
      <c r="CO174" s="24" t="e">
        <f t="shared" ref="CO174:CO175" ca="1" si="1330">+CN174</f>
        <v>#NAME?</v>
      </c>
      <c r="CP174" s="24" t="e">
        <f t="shared" ref="CP174:CP175" ca="1" si="1331">+CO174</f>
        <v>#NAME?</v>
      </c>
      <c r="CQ174" s="24" t="e">
        <f t="shared" ref="CQ174:CQ175" ca="1" si="1332">+CP174</f>
        <v>#NAME?</v>
      </c>
      <c r="CR174" s="24" t="e">
        <f t="shared" ref="CR174:CR175" ca="1" si="1333">+CQ174</f>
        <v>#NAME?</v>
      </c>
      <c r="CS174" s="24" t="e">
        <f t="shared" ref="CS174:CS175" ca="1" si="1334">+CR174</f>
        <v>#NAME?</v>
      </c>
      <c r="CT174" s="24" t="e">
        <f t="shared" ref="CT174:CT175" ca="1" si="1335">+CS174</f>
        <v>#NAME?</v>
      </c>
      <c r="CU174" s="24" t="e">
        <f t="shared" ref="CU174:CU175" ca="1" si="1336">+CT174</f>
        <v>#NAME?</v>
      </c>
      <c r="CV174" s="24" t="e">
        <f t="shared" ref="CV174:CV175" ca="1" si="1337">+CU174</f>
        <v>#NAME?</v>
      </c>
      <c r="CW174" s="24" t="e">
        <f t="shared" ref="CW174:CW175" ca="1" si="1338">+CV174</f>
        <v>#NAME?</v>
      </c>
      <c r="CX174" s="24" t="e">
        <f t="shared" ref="CX174:CX175" ca="1" si="1339">+CW174</f>
        <v>#NAME?</v>
      </c>
      <c r="CY174" s="24" t="e">
        <f t="shared" ref="CY174:CY175" ca="1" si="1340">+CX174</f>
        <v>#NAME?</v>
      </c>
      <c r="CZ174" s="24" t="e">
        <f t="shared" ref="CZ174:CZ175" ca="1" si="1341">+CY174</f>
        <v>#NAME?</v>
      </c>
      <c r="DA174" s="24" t="e">
        <f t="shared" ref="DA174:DA175" ca="1" si="1342">+CZ174</f>
        <v>#NAME?</v>
      </c>
      <c r="DB174" s="24" t="e">
        <f t="shared" ref="DB174:DB175" ca="1" si="1343">+DA174</f>
        <v>#NAME?</v>
      </c>
      <c r="DE174" s="123"/>
      <c r="DF174" s="23">
        <v>-6.548</v>
      </c>
    </row>
    <row r="175" spans="1:110" s="23" customFormat="1" x14ac:dyDescent="0.2">
      <c r="A175" s="23" t="s">
        <v>79</v>
      </c>
      <c r="B175" s="23" t="e">
        <f ca="1">'Annual Raw'!C83</f>
        <v>#NAME?</v>
      </c>
      <c r="C175" s="23" t="e">
        <f ca="1">'Annual Raw'!D83</f>
        <v>#NAME?</v>
      </c>
      <c r="D175" s="23" t="e">
        <f ca="1">'Annual Raw'!E83</f>
        <v>#NAME?</v>
      </c>
      <c r="E175" s="23" t="e">
        <f ca="1">'Annual Raw'!F83</f>
        <v>#NAME?</v>
      </c>
      <c r="F175" s="23" t="e">
        <f ca="1">'Annual Raw'!G83</f>
        <v>#NAME?</v>
      </c>
      <c r="G175" s="23" t="e">
        <f ca="1">'Annual Raw'!H83</f>
        <v>#NAME?</v>
      </c>
      <c r="H175" s="23" t="e">
        <f ca="1">'Annual Raw'!I83</f>
        <v>#NAME?</v>
      </c>
      <c r="I175" s="23" t="e">
        <f ca="1">'Annual Raw'!J83</f>
        <v>#NAME?</v>
      </c>
      <c r="J175" s="23" t="e">
        <f ca="1">'Annual Raw'!K83</f>
        <v>#NAME?</v>
      </c>
      <c r="K175" s="23" t="e">
        <f ca="1">'Annual Raw'!L83</f>
        <v>#NAME?</v>
      </c>
      <c r="L175" s="23" t="e">
        <f ca="1">'Annual Raw'!M83</f>
        <v>#NAME?</v>
      </c>
      <c r="M175" s="23" t="e">
        <f ca="1">'Annual Raw'!N83</f>
        <v>#NAME?</v>
      </c>
      <c r="N175" s="23" t="e">
        <f ca="1">'Annual Raw'!O83</f>
        <v>#NAME?</v>
      </c>
      <c r="O175" s="23" t="e">
        <f ca="1">'Annual Raw'!P83</f>
        <v>#NAME?</v>
      </c>
      <c r="P175" s="23" t="e">
        <f ca="1">'Annual Raw'!Q83</f>
        <v>#NAME?</v>
      </c>
      <c r="Q175" s="23" t="e">
        <f ca="1">'Annual Raw'!R83</f>
        <v>#NAME?</v>
      </c>
      <c r="R175" s="23" t="e">
        <f ca="1">'Annual Raw'!S83</f>
        <v>#NAME?</v>
      </c>
      <c r="S175" s="23" t="e">
        <f ca="1">'Annual Raw'!T83</f>
        <v>#NAME?</v>
      </c>
      <c r="T175" s="23" t="e">
        <f ca="1">'Annual Raw'!U83</f>
        <v>#NAME?</v>
      </c>
      <c r="U175" s="23" t="e">
        <f ca="1">'Annual Raw'!V83</f>
        <v>#NAME?</v>
      </c>
      <c r="V175" s="23" t="e">
        <f ca="1">'Annual Raw'!W83</f>
        <v>#NAME?</v>
      </c>
      <c r="W175" s="23" t="e">
        <f ca="1">'Annual Raw'!X83</f>
        <v>#NAME?</v>
      </c>
      <c r="X175" s="23" t="e">
        <f ca="1">'Annual Raw'!Y83</f>
        <v>#NAME?</v>
      </c>
      <c r="Y175" s="23" t="e">
        <f ca="1">'Annual Raw'!Z83</f>
        <v>#NAME?</v>
      </c>
      <c r="Z175" s="23" t="e">
        <f ca="1">'Annual Raw'!AA83</f>
        <v>#NAME?</v>
      </c>
      <c r="AA175" s="23" t="e">
        <f ca="1">'Annual Raw'!AB83</f>
        <v>#NAME?</v>
      </c>
      <c r="AB175" s="24" t="e">
        <f t="shared" ca="1" si="1320"/>
        <v>#NAME?</v>
      </c>
      <c r="AC175" s="24" t="e">
        <f t="shared" ca="1" si="1321"/>
        <v>#NAME?</v>
      </c>
      <c r="AD175" s="24" t="e">
        <f t="shared" ca="1" si="1322"/>
        <v>#NAME?</v>
      </c>
      <c r="AE175" s="24" t="e">
        <f t="shared" ca="1" si="1323"/>
        <v>#NAME?</v>
      </c>
      <c r="AJ175" s="23" t="e">
        <f ca="1">+'QTR Raw'!D95</f>
        <v>#NAME?</v>
      </c>
      <c r="AK175" s="23" t="e">
        <f t="shared" ref="AK175:CE175" ca="1" si="1344">+AJ175</f>
        <v>#NAME?</v>
      </c>
      <c r="AL175" s="23" t="e">
        <f ca="1">+'QTR Raw'!F95</f>
        <v>#NAME?</v>
      </c>
      <c r="AM175" s="23" t="e">
        <f t="shared" ca="1" si="1344"/>
        <v>#NAME?</v>
      </c>
      <c r="AN175" s="23" t="e">
        <f ca="1">+'QTR Raw'!H95</f>
        <v>#NAME?</v>
      </c>
      <c r="AO175" s="23" t="e">
        <f t="shared" ca="1" si="1344"/>
        <v>#NAME?</v>
      </c>
      <c r="AP175" s="23" t="e">
        <f ca="1">+'QTR Raw'!J95</f>
        <v>#NAME?</v>
      </c>
      <c r="AQ175" s="23" t="e">
        <f t="shared" ca="1" si="1344"/>
        <v>#NAME?</v>
      </c>
      <c r="AR175" s="23" t="e">
        <f ca="1">+'QTR Raw'!L95</f>
        <v>#NAME?</v>
      </c>
      <c r="AS175" s="23" t="e">
        <f t="shared" ca="1" si="1344"/>
        <v>#NAME?</v>
      </c>
      <c r="AT175" s="23" t="e">
        <f ca="1">+'QTR Raw'!N95</f>
        <v>#NAME?</v>
      </c>
      <c r="AU175" s="23" t="e">
        <f t="shared" ca="1" si="1344"/>
        <v>#NAME?</v>
      </c>
      <c r="AV175" s="23" t="e">
        <f ca="1">+'QTR Raw'!P95</f>
        <v>#NAME?</v>
      </c>
      <c r="AW175" s="23" t="e">
        <f t="shared" ca="1" si="1344"/>
        <v>#NAME?</v>
      </c>
      <c r="AX175" s="23" t="e">
        <f ca="1">+'QTR Raw'!R95</f>
        <v>#NAME?</v>
      </c>
      <c r="AY175" s="23" t="e">
        <f t="shared" ca="1" si="1344"/>
        <v>#NAME?</v>
      </c>
      <c r="AZ175" s="23" t="e">
        <f ca="1">+'QTR Raw'!T95</f>
        <v>#NAME?</v>
      </c>
      <c r="BA175" s="23" t="e">
        <f t="shared" ca="1" si="1344"/>
        <v>#NAME?</v>
      </c>
      <c r="BB175" s="23" t="e">
        <f ca="1">+'QTR Raw'!V95</f>
        <v>#NAME?</v>
      </c>
      <c r="BC175" s="23" t="e">
        <f t="shared" ca="1" si="1344"/>
        <v>#NAME?</v>
      </c>
      <c r="BD175" s="23" t="e">
        <f ca="1">+'QTR Raw'!X95</f>
        <v>#NAME?</v>
      </c>
      <c r="BE175" s="23" t="e">
        <f t="shared" ca="1" si="1344"/>
        <v>#NAME?</v>
      </c>
      <c r="BF175" s="23" t="e">
        <f ca="1">+'QTR Raw'!Z95</f>
        <v>#NAME?</v>
      </c>
      <c r="BG175" s="23" t="e">
        <f t="shared" ca="1" si="1344"/>
        <v>#NAME?</v>
      </c>
      <c r="BH175" s="23" t="e">
        <f ca="1">+'QTR Raw'!AB95</f>
        <v>#NAME?</v>
      </c>
      <c r="BI175" s="23" t="e">
        <f t="shared" ca="1" si="1344"/>
        <v>#NAME?</v>
      </c>
      <c r="BJ175" s="23" t="e">
        <f ca="1">+'QTR Raw'!AD95</f>
        <v>#NAME?</v>
      </c>
      <c r="BK175" s="23" t="e">
        <f t="shared" ca="1" si="1344"/>
        <v>#NAME?</v>
      </c>
      <c r="BL175" s="23" t="e">
        <f ca="1">+'QTR Raw'!AF95</f>
        <v>#NAME?</v>
      </c>
      <c r="BM175" s="23" t="e">
        <f t="shared" ca="1" si="1344"/>
        <v>#NAME?</v>
      </c>
      <c r="BN175" s="23" t="e">
        <f ca="1">+'QTR Raw'!AH95</f>
        <v>#NAME?</v>
      </c>
      <c r="BO175" s="23" t="e">
        <f t="shared" ca="1" si="1344"/>
        <v>#NAME?</v>
      </c>
      <c r="BP175" s="23" t="e">
        <f ca="1">+'QTR Raw'!AJ95</f>
        <v>#NAME?</v>
      </c>
      <c r="BQ175" s="23" t="e">
        <f t="shared" ca="1" si="1344"/>
        <v>#NAME?</v>
      </c>
      <c r="BR175" s="23" t="e">
        <f ca="1">+'QTR Raw'!AL95</f>
        <v>#NAME?</v>
      </c>
      <c r="BS175" s="23" t="e">
        <f t="shared" ca="1" si="1344"/>
        <v>#NAME?</v>
      </c>
      <c r="BT175" s="23" t="e">
        <f ca="1">+'QTR Raw'!AN95</f>
        <v>#NAME?</v>
      </c>
      <c r="BU175" s="23" t="e">
        <f t="shared" ca="1" si="1344"/>
        <v>#NAME?</v>
      </c>
      <c r="BV175" s="23" t="e">
        <f ca="1">+'QTR Raw'!AP95</f>
        <v>#NAME?</v>
      </c>
      <c r="BW175" s="23" t="e">
        <f t="shared" ca="1" si="1344"/>
        <v>#NAME?</v>
      </c>
      <c r="BX175" s="23" t="e">
        <f ca="1">+'QTR Raw'!AR95</f>
        <v>#NAME?</v>
      </c>
      <c r="BY175" s="23" t="e">
        <f t="shared" ca="1" si="1344"/>
        <v>#NAME?</v>
      </c>
      <c r="BZ175" s="23" t="e">
        <f ca="1">+'QTR Raw'!AT95</f>
        <v>#NAME?</v>
      </c>
      <c r="CA175" s="23" t="e">
        <f t="shared" ca="1" si="1344"/>
        <v>#NAME?</v>
      </c>
      <c r="CB175" s="23" t="e">
        <f ca="1">+'QTR Raw'!AV95</f>
        <v>#NAME?</v>
      </c>
      <c r="CC175" s="23" t="e">
        <f t="shared" ca="1" si="1344"/>
        <v>#NAME?</v>
      </c>
      <c r="CD175" s="23" t="e">
        <f ca="1">+'QTR Raw'!AX95</f>
        <v>#NAME?</v>
      </c>
      <c r="CE175" s="23" t="e">
        <f t="shared" ca="1" si="1344"/>
        <v>#NAME?</v>
      </c>
      <c r="CF175" s="23" t="e">
        <f ca="1">+'QTR Raw'!AZ95</f>
        <v>#NAME?</v>
      </c>
      <c r="CG175" s="23" t="e">
        <f t="shared" ca="1" si="1325"/>
        <v>#NAME?</v>
      </c>
      <c r="CH175" s="23" t="e">
        <f t="shared" ca="1" si="1326"/>
        <v>#NAME?</v>
      </c>
      <c r="CI175" s="23" t="e">
        <f t="shared" ca="1" si="1325"/>
        <v>#NAME?</v>
      </c>
      <c r="CJ175" s="23" t="e">
        <f ca="1">+'QTR Raw'!BD95</f>
        <v>#NAME?</v>
      </c>
      <c r="CK175" s="23" t="e">
        <f t="shared" ca="1" si="1327"/>
        <v>#NAME?</v>
      </c>
      <c r="CL175" s="23" t="e">
        <f ca="1">+'QTR Raw'!BF95</f>
        <v>#NAME?</v>
      </c>
      <c r="CM175" s="24" t="e">
        <f t="shared" ca="1" si="1328"/>
        <v>#NAME?</v>
      </c>
      <c r="CN175" s="24" t="e">
        <f t="shared" ca="1" si="1329"/>
        <v>#NAME?</v>
      </c>
      <c r="CO175" s="24" t="e">
        <f t="shared" ca="1" si="1330"/>
        <v>#NAME?</v>
      </c>
      <c r="CP175" s="24" t="e">
        <f t="shared" ca="1" si="1331"/>
        <v>#NAME?</v>
      </c>
      <c r="CQ175" s="24" t="e">
        <f t="shared" ca="1" si="1332"/>
        <v>#NAME?</v>
      </c>
      <c r="CR175" s="24" t="e">
        <f t="shared" ca="1" si="1333"/>
        <v>#NAME?</v>
      </c>
      <c r="CS175" s="24" t="e">
        <f t="shared" ca="1" si="1334"/>
        <v>#NAME?</v>
      </c>
      <c r="CT175" s="24" t="e">
        <f t="shared" ca="1" si="1335"/>
        <v>#NAME?</v>
      </c>
      <c r="CU175" s="24" t="e">
        <f t="shared" ca="1" si="1336"/>
        <v>#NAME?</v>
      </c>
      <c r="CV175" s="24" t="e">
        <f t="shared" ca="1" si="1337"/>
        <v>#NAME?</v>
      </c>
      <c r="CW175" s="24" t="e">
        <f t="shared" ca="1" si="1338"/>
        <v>#NAME?</v>
      </c>
      <c r="CX175" s="24" t="e">
        <f t="shared" ca="1" si="1339"/>
        <v>#NAME?</v>
      </c>
      <c r="CY175" s="24" t="e">
        <f t="shared" ca="1" si="1340"/>
        <v>#NAME?</v>
      </c>
      <c r="CZ175" s="24" t="e">
        <f t="shared" ca="1" si="1341"/>
        <v>#NAME?</v>
      </c>
      <c r="DA175" s="24" t="e">
        <f t="shared" ca="1" si="1342"/>
        <v>#NAME?</v>
      </c>
      <c r="DB175" s="24" t="e">
        <f t="shared" ca="1" si="1343"/>
        <v>#NAME?</v>
      </c>
      <c r="DE175" s="123"/>
      <c r="DF175" s="23">
        <v>0</v>
      </c>
    </row>
    <row r="176" spans="1:110" s="26" customFormat="1" x14ac:dyDescent="0.2">
      <c r="A176" s="26" t="s">
        <v>438</v>
      </c>
      <c r="B176" s="26" t="e">
        <f t="shared" ref="B176:W176" ca="1" si="1345">B174+B172+B168+B151+B149+B175</f>
        <v>#NAME?</v>
      </c>
      <c r="C176" s="26" t="e">
        <f t="shared" ca="1" si="1345"/>
        <v>#NAME?</v>
      </c>
      <c r="D176" s="26" t="e">
        <f t="shared" ca="1" si="1345"/>
        <v>#NAME?</v>
      </c>
      <c r="E176" s="26" t="e">
        <f t="shared" ca="1" si="1345"/>
        <v>#NAME?</v>
      </c>
      <c r="F176" s="26" t="e">
        <f t="shared" ca="1" si="1345"/>
        <v>#NAME?</v>
      </c>
      <c r="G176" s="26" t="e">
        <f t="shared" ca="1" si="1345"/>
        <v>#NAME?</v>
      </c>
      <c r="H176" s="26" t="e">
        <f t="shared" ca="1" si="1345"/>
        <v>#NAME?</v>
      </c>
      <c r="I176" s="26" t="e">
        <f t="shared" ca="1" si="1345"/>
        <v>#NAME?</v>
      </c>
      <c r="J176" s="26" t="e">
        <f t="shared" ca="1" si="1345"/>
        <v>#NAME?</v>
      </c>
      <c r="K176" s="26" t="e">
        <f t="shared" ca="1" si="1345"/>
        <v>#NAME?</v>
      </c>
      <c r="L176" s="26" t="e">
        <f t="shared" ca="1" si="1345"/>
        <v>#NAME?</v>
      </c>
      <c r="M176" s="26" t="e">
        <f t="shared" ca="1" si="1345"/>
        <v>#NAME?</v>
      </c>
      <c r="N176" s="26" t="e">
        <f t="shared" ca="1" si="1345"/>
        <v>#NAME?</v>
      </c>
      <c r="O176" s="26" t="e">
        <f t="shared" ca="1" si="1345"/>
        <v>#NAME?</v>
      </c>
      <c r="P176" s="26" t="e">
        <f t="shared" ca="1" si="1345"/>
        <v>#NAME?</v>
      </c>
      <c r="Q176" s="26" t="e">
        <f t="shared" ca="1" si="1345"/>
        <v>#NAME?</v>
      </c>
      <c r="R176" s="26" t="e">
        <f t="shared" ca="1" si="1345"/>
        <v>#NAME?</v>
      </c>
      <c r="S176" s="26" t="e">
        <f t="shared" ca="1" si="1345"/>
        <v>#NAME?</v>
      </c>
      <c r="T176" s="26" t="e">
        <f t="shared" ca="1" si="1345"/>
        <v>#NAME?</v>
      </c>
      <c r="U176" s="26" t="e">
        <f t="shared" ca="1" si="1345"/>
        <v>#NAME?</v>
      </c>
      <c r="V176" s="26" t="e">
        <f t="shared" ca="1" si="1345"/>
        <v>#NAME?</v>
      </c>
      <c r="W176" s="26" t="e">
        <f t="shared" ca="1" si="1345"/>
        <v>#NAME?</v>
      </c>
      <c r="X176" s="26" t="e">
        <f t="shared" ref="X176:Y176" ca="1" si="1346">X174+X172+X168+X151+X149+X175</f>
        <v>#NAME?</v>
      </c>
      <c r="Y176" s="26" t="e">
        <f t="shared" ca="1" si="1346"/>
        <v>#NAME?</v>
      </c>
      <c r="Z176" s="26" t="e">
        <f t="shared" ref="Z176:AA176" ca="1" si="1347">Z174+Z172+Z168+Z151+Z149+Z175</f>
        <v>#NAME?</v>
      </c>
      <c r="AA176" s="26" t="e">
        <f t="shared" ca="1" si="1347"/>
        <v>#NAME?</v>
      </c>
      <c r="AB176" s="27" t="e">
        <f t="shared" ref="AA176:AD176" ca="1" si="1348">AB174+AB172+AB168+AB151+AB149+AB175</f>
        <v>#NAME?</v>
      </c>
      <c r="AC176" s="27" t="e">
        <f t="shared" ca="1" si="1348"/>
        <v>#NAME?</v>
      </c>
      <c r="AD176" s="27" t="e">
        <f t="shared" ca="1" si="1348"/>
        <v>#NAME?</v>
      </c>
      <c r="AE176" s="27" t="e">
        <f t="shared" ref="AE176" ca="1" si="1349">AE174+AE172+AE168+AE151+AE149+AE175</f>
        <v>#NAME?</v>
      </c>
      <c r="AJ176" s="26" t="e">
        <f t="shared" ref="AJ176" ca="1" si="1350">AJ174+AJ172+AJ168+AJ151+AJ149+AJ175</f>
        <v>#NAME?</v>
      </c>
      <c r="AK176" s="26" t="e">
        <f t="shared" ref="AK176:AL176" ca="1" si="1351">AK174+AK172+AK168+AK151+AK149+AK175</f>
        <v>#NAME?</v>
      </c>
      <c r="AL176" s="26" t="e">
        <f t="shared" ca="1" si="1351"/>
        <v>#NAME?</v>
      </c>
      <c r="AM176" s="26" t="e">
        <f t="shared" ref="AM176:AO176" ca="1" si="1352">AM174+AM172+AM168+AM151+AM149+AM175</f>
        <v>#NAME?</v>
      </c>
      <c r="AN176" s="26" t="e">
        <f t="shared" ca="1" si="1352"/>
        <v>#NAME?</v>
      </c>
      <c r="AO176" s="26" t="e">
        <f t="shared" ca="1" si="1352"/>
        <v>#NAME?</v>
      </c>
      <c r="AP176" s="26" t="e">
        <f t="shared" ref="AP176:CE176" ca="1" si="1353">AP174+AP172+AP168+AP151+AP149+AP175</f>
        <v>#NAME?</v>
      </c>
      <c r="AQ176" s="26" t="e">
        <f t="shared" ca="1" si="1353"/>
        <v>#NAME?</v>
      </c>
      <c r="AR176" s="26" t="e">
        <f t="shared" ca="1" si="1353"/>
        <v>#NAME?</v>
      </c>
      <c r="AS176" s="26" t="e">
        <f t="shared" ca="1" si="1353"/>
        <v>#NAME?</v>
      </c>
      <c r="AT176" s="26" t="e">
        <f t="shared" ca="1" si="1353"/>
        <v>#NAME?</v>
      </c>
      <c r="AU176" s="26" t="e">
        <f t="shared" ca="1" si="1353"/>
        <v>#NAME?</v>
      </c>
      <c r="AV176" s="26" t="e">
        <f t="shared" ca="1" si="1353"/>
        <v>#NAME?</v>
      </c>
      <c r="AW176" s="26" t="e">
        <f t="shared" ca="1" si="1353"/>
        <v>#NAME?</v>
      </c>
      <c r="AX176" s="26" t="e">
        <f t="shared" ca="1" si="1353"/>
        <v>#NAME?</v>
      </c>
      <c r="AY176" s="26" t="e">
        <f t="shared" ca="1" si="1353"/>
        <v>#NAME?</v>
      </c>
      <c r="AZ176" s="26" t="e">
        <f t="shared" ca="1" si="1353"/>
        <v>#NAME?</v>
      </c>
      <c r="BA176" s="26" t="e">
        <f t="shared" ca="1" si="1353"/>
        <v>#NAME?</v>
      </c>
      <c r="BB176" s="26" t="e">
        <f t="shared" ca="1" si="1353"/>
        <v>#NAME?</v>
      </c>
      <c r="BC176" s="26" t="e">
        <f t="shared" ca="1" si="1353"/>
        <v>#NAME?</v>
      </c>
      <c r="BD176" s="26" t="e">
        <f t="shared" ca="1" si="1353"/>
        <v>#NAME?</v>
      </c>
      <c r="BE176" s="26" t="e">
        <f t="shared" ca="1" si="1353"/>
        <v>#NAME?</v>
      </c>
      <c r="BF176" s="26" t="e">
        <f t="shared" ca="1" si="1353"/>
        <v>#NAME?</v>
      </c>
      <c r="BG176" s="26" t="e">
        <f t="shared" ca="1" si="1353"/>
        <v>#NAME?</v>
      </c>
      <c r="BH176" s="26" t="e">
        <f t="shared" ref="BH176" ca="1" si="1354">BH174+BH172+BH168+BH151+BH149+BH175</f>
        <v>#NAME?</v>
      </c>
      <c r="BI176" s="26" t="e">
        <f t="shared" ca="1" si="1353"/>
        <v>#NAME?</v>
      </c>
      <c r="BJ176" s="26" t="e">
        <f t="shared" ca="1" si="1353"/>
        <v>#NAME?</v>
      </c>
      <c r="BK176" s="26" t="e">
        <f t="shared" ca="1" si="1353"/>
        <v>#NAME?</v>
      </c>
      <c r="BL176" s="26" t="e">
        <f t="shared" ca="1" si="1353"/>
        <v>#NAME?</v>
      </c>
      <c r="BM176" s="26" t="e">
        <f t="shared" ca="1" si="1353"/>
        <v>#NAME?</v>
      </c>
      <c r="BN176" s="26" t="e">
        <f t="shared" ca="1" si="1353"/>
        <v>#NAME?</v>
      </c>
      <c r="BO176" s="26" t="e">
        <f t="shared" ca="1" si="1353"/>
        <v>#NAME?</v>
      </c>
      <c r="BP176" s="26" t="e">
        <f t="shared" ca="1" si="1353"/>
        <v>#NAME?</v>
      </c>
      <c r="BQ176" s="26" t="e">
        <f t="shared" ca="1" si="1353"/>
        <v>#NAME?</v>
      </c>
      <c r="BR176" s="26" t="e">
        <f t="shared" ca="1" si="1353"/>
        <v>#NAME?</v>
      </c>
      <c r="BS176" s="26" t="e">
        <f t="shared" ca="1" si="1353"/>
        <v>#NAME?</v>
      </c>
      <c r="BT176" s="26" t="e">
        <f t="shared" ca="1" si="1353"/>
        <v>#NAME?</v>
      </c>
      <c r="BU176" s="26" t="e">
        <f t="shared" ca="1" si="1353"/>
        <v>#NAME?</v>
      </c>
      <c r="BV176" s="26" t="e">
        <f t="shared" ca="1" si="1353"/>
        <v>#NAME?</v>
      </c>
      <c r="BW176" s="26" t="e">
        <f t="shared" ca="1" si="1353"/>
        <v>#NAME?</v>
      </c>
      <c r="BX176" s="26" t="e">
        <f t="shared" ca="1" si="1353"/>
        <v>#NAME?</v>
      </c>
      <c r="BY176" s="26" t="e">
        <f t="shared" ca="1" si="1353"/>
        <v>#NAME?</v>
      </c>
      <c r="BZ176" s="26" t="e">
        <f t="shared" ca="1" si="1353"/>
        <v>#NAME?</v>
      </c>
      <c r="CA176" s="26" t="e">
        <f t="shared" ca="1" si="1353"/>
        <v>#NAME?</v>
      </c>
      <c r="CB176" s="26" t="e">
        <f t="shared" ca="1" si="1353"/>
        <v>#NAME?</v>
      </c>
      <c r="CC176" s="26" t="e">
        <f t="shared" ca="1" si="1353"/>
        <v>#NAME?</v>
      </c>
      <c r="CD176" s="26" t="e">
        <f t="shared" ca="1" si="1353"/>
        <v>#NAME?</v>
      </c>
      <c r="CE176" s="26" t="e">
        <f t="shared" ca="1" si="1353"/>
        <v>#NAME?</v>
      </c>
      <c r="CF176" s="26" t="e">
        <f t="shared" ref="CF176:CG176" ca="1" si="1355">CF174+CF172+CF168+CF151+CF149+CF175</f>
        <v>#NAME?</v>
      </c>
      <c r="CG176" s="26" t="e">
        <f t="shared" ca="1" si="1355"/>
        <v>#NAME?</v>
      </c>
      <c r="CH176" s="26" t="e">
        <f t="shared" ref="CH176:CI176" ca="1" si="1356">CH174+CH172+CH168+CH151+CH149+CH175</f>
        <v>#NAME?</v>
      </c>
      <c r="CI176" s="26" t="e">
        <f t="shared" ca="1" si="1356"/>
        <v>#NAME?</v>
      </c>
      <c r="CJ176" s="26" t="e">
        <f t="shared" ref="CJ176:DB176" ca="1" si="1357">CJ174+CJ172+CJ168+CJ151+CJ149+CJ175</f>
        <v>#NAME?</v>
      </c>
      <c r="CK176" s="26" t="e">
        <f t="shared" ca="1" si="1357"/>
        <v>#NAME?</v>
      </c>
      <c r="CL176" s="26" t="e">
        <f t="shared" ref="CL176" ca="1" si="1358">CL174+CL172+CL168+CL151+CL149+CL175</f>
        <v>#NAME?</v>
      </c>
      <c r="CM176" s="27" t="e">
        <f t="shared" ca="1" si="1357"/>
        <v>#NAME?</v>
      </c>
      <c r="CN176" s="27" t="e">
        <f t="shared" ca="1" si="1357"/>
        <v>#NAME?</v>
      </c>
      <c r="CO176" s="27" t="e">
        <f t="shared" ca="1" si="1357"/>
        <v>#NAME?</v>
      </c>
      <c r="CP176" s="27" t="e">
        <f t="shared" ca="1" si="1357"/>
        <v>#NAME?</v>
      </c>
      <c r="CQ176" s="27" t="e">
        <f t="shared" ca="1" si="1357"/>
        <v>#NAME?</v>
      </c>
      <c r="CR176" s="27" t="e">
        <f t="shared" ca="1" si="1357"/>
        <v>#NAME?</v>
      </c>
      <c r="CS176" s="27" t="e">
        <f t="shared" ca="1" si="1357"/>
        <v>#NAME?</v>
      </c>
      <c r="CT176" s="27" t="e">
        <f t="shared" ca="1" si="1357"/>
        <v>#NAME?</v>
      </c>
      <c r="CU176" s="27" t="e">
        <f t="shared" ca="1" si="1357"/>
        <v>#NAME?</v>
      </c>
      <c r="CV176" s="27" t="e">
        <f t="shared" ca="1" si="1357"/>
        <v>#NAME?</v>
      </c>
      <c r="CW176" s="27" t="e">
        <f t="shared" ca="1" si="1357"/>
        <v>#NAME?</v>
      </c>
      <c r="CX176" s="27" t="e">
        <f t="shared" ca="1" si="1357"/>
        <v>#NAME?</v>
      </c>
      <c r="CY176" s="27" t="e">
        <f t="shared" ca="1" si="1357"/>
        <v>#NAME?</v>
      </c>
      <c r="CZ176" s="27" t="e">
        <f t="shared" ca="1" si="1357"/>
        <v>#NAME?</v>
      </c>
      <c r="DA176" s="27" t="e">
        <f t="shared" ca="1" si="1357"/>
        <v>#NAME?</v>
      </c>
      <c r="DB176" s="27" t="e">
        <f t="shared" ca="1" si="1357"/>
        <v>#NAME?</v>
      </c>
      <c r="DE176" s="121"/>
      <c r="DF176" s="26">
        <v>500.50800000000004</v>
      </c>
    </row>
    <row r="177" spans="1:110" s="23" customFormat="1" x14ac:dyDescent="0.2">
      <c r="A177" s="28" t="s">
        <v>439</v>
      </c>
      <c r="B177" s="23" t="e">
        <f t="shared" ref="B177:W177" ca="1" si="1359">B176-B140</f>
        <v>#NAME?</v>
      </c>
      <c r="C177" s="23" t="e">
        <f t="shared" ca="1" si="1359"/>
        <v>#NAME?</v>
      </c>
      <c r="D177" s="23" t="e">
        <f t="shared" ca="1" si="1359"/>
        <v>#NAME?</v>
      </c>
      <c r="E177" s="23" t="e">
        <f t="shared" ca="1" si="1359"/>
        <v>#NAME?</v>
      </c>
      <c r="F177" s="23" t="e">
        <f t="shared" ca="1" si="1359"/>
        <v>#NAME?</v>
      </c>
      <c r="G177" s="23" t="e">
        <f t="shared" ca="1" si="1359"/>
        <v>#NAME?</v>
      </c>
      <c r="H177" s="23" t="e">
        <f t="shared" ca="1" si="1359"/>
        <v>#NAME?</v>
      </c>
      <c r="I177" s="23" t="e">
        <f t="shared" ca="1" si="1359"/>
        <v>#NAME?</v>
      </c>
      <c r="J177" s="23" t="e">
        <f t="shared" ca="1" si="1359"/>
        <v>#NAME?</v>
      </c>
      <c r="K177" s="23" t="e">
        <f t="shared" ca="1" si="1359"/>
        <v>#NAME?</v>
      </c>
      <c r="L177" s="23" t="e">
        <f t="shared" ca="1" si="1359"/>
        <v>#NAME?</v>
      </c>
      <c r="M177" s="23" t="e">
        <f t="shared" ca="1" si="1359"/>
        <v>#NAME?</v>
      </c>
      <c r="N177" s="23" t="e">
        <f t="shared" ca="1" si="1359"/>
        <v>#NAME?</v>
      </c>
      <c r="O177" s="23" t="e">
        <f t="shared" ca="1" si="1359"/>
        <v>#NAME?</v>
      </c>
      <c r="P177" s="23" t="e">
        <f t="shared" ca="1" si="1359"/>
        <v>#NAME?</v>
      </c>
      <c r="Q177" s="23" t="e">
        <f t="shared" ca="1" si="1359"/>
        <v>#NAME?</v>
      </c>
      <c r="R177" s="23" t="e">
        <f t="shared" ca="1" si="1359"/>
        <v>#NAME?</v>
      </c>
      <c r="S177" s="23" t="e">
        <f t="shared" ca="1" si="1359"/>
        <v>#NAME?</v>
      </c>
      <c r="T177" s="23" t="e">
        <f t="shared" ca="1" si="1359"/>
        <v>#NAME?</v>
      </c>
      <c r="U177" s="23" t="e">
        <f t="shared" ca="1" si="1359"/>
        <v>#NAME?</v>
      </c>
      <c r="V177" s="23" t="e">
        <f t="shared" ca="1" si="1359"/>
        <v>#NAME?</v>
      </c>
      <c r="W177" s="23" t="e">
        <f t="shared" ca="1" si="1359"/>
        <v>#NAME?</v>
      </c>
      <c r="X177" s="23" t="e">
        <f t="shared" ref="X177:Y177" ca="1" si="1360">X176-X140</f>
        <v>#NAME?</v>
      </c>
      <c r="Y177" s="23" t="e">
        <f t="shared" ca="1" si="1360"/>
        <v>#NAME?</v>
      </c>
      <c r="Z177" s="23" t="e">
        <f t="shared" ref="Z177:AA177" ca="1" si="1361">Z176-Z140</f>
        <v>#NAME?</v>
      </c>
      <c r="AA177" s="23" t="e">
        <f t="shared" ca="1" si="1361"/>
        <v>#NAME?</v>
      </c>
      <c r="AB177" s="24" t="e">
        <f t="shared" ref="AA177:AD177" ca="1" si="1362">AB176-AB140</f>
        <v>#NAME?</v>
      </c>
      <c r="AC177" s="24" t="e">
        <f t="shared" ca="1" si="1362"/>
        <v>#NAME?</v>
      </c>
      <c r="AD177" s="24" t="e">
        <f t="shared" ca="1" si="1362"/>
        <v>#NAME?</v>
      </c>
      <c r="AE177" s="24" t="e">
        <f t="shared" ref="AE177" ca="1" si="1363">AE176-AE140</f>
        <v>#NAME?</v>
      </c>
      <c r="AJ177" s="23" t="e">
        <f t="shared" ref="AJ177" ca="1" si="1364">AJ176-AJ140</f>
        <v>#NAME?</v>
      </c>
      <c r="AK177" s="23" t="e">
        <f t="shared" ref="AK177" ca="1" si="1365">AK176-AK140</f>
        <v>#NAME?</v>
      </c>
      <c r="AL177" s="23" t="e">
        <f t="shared" ref="AL177:AM177" ca="1" si="1366">AL176-AL140</f>
        <v>#NAME?</v>
      </c>
      <c r="AM177" s="23" t="e">
        <f t="shared" ca="1" si="1366"/>
        <v>#NAME?</v>
      </c>
      <c r="AN177" s="23" t="e">
        <f t="shared" ref="AN177:AO177" ca="1" si="1367">AN176-AN140</f>
        <v>#NAME?</v>
      </c>
      <c r="AO177" s="23" t="e">
        <f t="shared" ca="1" si="1367"/>
        <v>#NAME?</v>
      </c>
      <c r="AP177" s="23" t="e">
        <f t="shared" ref="AP177:CE177" ca="1" si="1368">AP176-AP140</f>
        <v>#NAME?</v>
      </c>
      <c r="AQ177" s="23" t="e">
        <f t="shared" ca="1" si="1368"/>
        <v>#NAME?</v>
      </c>
      <c r="AR177" s="23" t="e">
        <f t="shared" ca="1" si="1368"/>
        <v>#NAME?</v>
      </c>
      <c r="AS177" s="23" t="e">
        <f t="shared" ca="1" si="1368"/>
        <v>#NAME?</v>
      </c>
      <c r="AT177" s="23" t="e">
        <f t="shared" ca="1" si="1368"/>
        <v>#NAME?</v>
      </c>
      <c r="AU177" s="23" t="e">
        <f t="shared" ca="1" si="1368"/>
        <v>#NAME?</v>
      </c>
      <c r="AV177" s="23" t="e">
        <f t="shared" ca="1" si="1368"/>
        <v>#NAME?</v>
      </c>
      <c r="AW177" s="23" t="e">
        <f t="shared" ca="1" si="1368"/>
        <v>#NAME?</v>
      </c>
      <c r="AX177" s="23" t="e">
        <f t="shared" ca="1" si="1368"/>
        <v>#NAME?</v>
      </c>
      <c r="AY177" s="23" t="e">
        <f t="shared" ca="1" si="1368"/>
        <v>#NAME?</v>
      </c>
      <c r="AZ177" s="23" t="e">
        <f t="shared" ca="1" si="1368"/>
        <v>#NAME?</v>
      </c>
      <c r="BA177" s="23" t="e">
        <f t="shared" ca="1" si="1368"/>
        <v>#NAME?</v>
      </c>
      <c r="BB177" s="23" t="e">
        <f t="shared" ca="1" si="1368"/>
        <v>#NAME?</v>
      </c>
      <c r="BC177" s="23" t="e">
        <f t="shared" ca="1" si="1368"/>
        <v>#NAME?</v>
      </c>
      <c r="BD177" s="23" t="e">
        <f t="shared" ca="1" si="1368"/>
        <v>#NAME?</v>
      </c>
      <c r="BE177" s="23" t="e">
        <f t="shared" ca="1" si="1368"/>
        <v>#NAME?</v>
      </c>
      <c r="BF177" s="23" t="e">
        <f t="shared" ca="1" si="1368"/>
        <v>#NAME?</v>
      </c>
      <c r="BG177" s="23" t="e">
        <f t="shared" ca="1" si="1368"/>
        <v>#NAME?</v>
      </c>
      <c r="BH177" s="23" t="e">
        <f t="shared" ref="BH177" ca="1" si="1369">BH176-BH140</f>
        <v>#NAME?</v>
      </c>
      <c r="BI177" s="23" t="e">
        <f t="shared" ca="1" si="1368"/>
        <v>#NAME?</v>
      </c>
      <c r="BJ177" s="23" t="e">
        <f t="shared" ca="1" si="1368"/>
        <v>#NAME?</v>
      </c>
      <c r="BK177" s="23" t="e">
        <f t="shared" ca="1" si="1368"/>
        <v>#NAME?</v>
      </c>
      <c r="BL177" s="23" t="e">
        <f t="shared" ca="1" si="1368"/>
        <v>#NAME?</v>
      </c>
      <c r="BM177" s="23" t="e">
        <f t="shared" ca="1" si="1368"/>
        <v>#NAME?</v>
      </c>
      <c r="BN177" s="23" t="e">
        <f t="shared" ca="1" si="1368"/>
        <v>#NAME?</v>
      </c>
      <c r="BO177" s="23" t="e">
        <f t="shared" ca="1" si="1368"/>
        <v>#NAME?</v>
      </c>
      <c r="BP177" s="23" t="e">
        <f t="shared" ca="1" si="1368"/>
        <v>#NAME?</v>
      </c>
      <c r="BQ177" s="23" t="e">
        <f t="shared" ca="1" si="1368"/>
        <v>#NAME?</v>
      </c>
      <c r="BR177" s="23" t="e">
        <f t="shared" ca="1" si="1368"/>
        <v>#NAME?</v>
      </c>
      <c r="BS177" s="23" t="e">
        <f t="shared" ca="1" si="1368"/>
        <v>#NAME?</v>
      </c>
      <c r="BT177" s="23" t="e">
        <f t="shared" ca="1" si="1368"/>
        <v>#NAME?</v>
      </c>
      <c r="BU177" s="23" t="e">
        <f t="shared" ca="1" si="1368"/>
        <v>#NAME?</v>
      </c>
      <c r="BV177" s="23" t="e">
        <f t="shared" ca="1" si="1368"/>
        <v>#NAME?</v>
      </c>
      <c r="BW177" s="23" t="e">
        <f t="shared" ca="1" si="1368"/>
        <v>#NAME?</v>
      </c>
      <c r="BX177" s="23" t="e">
        <f t="shared" ca="1" si="1368"/>
        <v>#NAME?</v>
      </c>
      <c r="BY177" s="23" t="e">
        <f t="shared" ca="1" si="1368"/>
        <v>#NAME?</v>
      </c>
      <c r="BZ177" s="23" t="e">
        <f t="shared" ca="1" si="1368"/>
        <v>#NAME?</v>
      </c>
      <c r="CA177" s="23" t="e">
        <f t="shared" ca="1" si="1368"/>
        <v>#NAME?</v>
      </c>
      <c r="CB177" s="23" t="e">
        <f t="shared" ca="1" si="1368"/>
        <v>#NAME?</v>
      </c>
      <c r="CC177" s="23" t="e">
        <f t="shared" ca="1" si="1368"/>
        <v>#NAME?</v>
      </c>
      <c r="CD177" s="23" t="e">
        <f t="shared" ca="1" si="1368"/>
        <v>#NAME?</v>
      </c>
      <c r="CE177" s="23" t="e">
        <f t="shared" ca="1" si="1368"/>
        <v>#NAME?</v>
      </c>
      <c r="CF177" s="23" t="e">
        <f t="shared" ref="CF177:CG177" ca="1" si="1370">CF176-CF140</f>
        <v>#NAME?</v>
      </c>
      <c r="CG177" s="23" t="e">
        <f t="shared" ca="1" si="1370"/>
        <v>#NAME?</v>
      </c>
      <c r="CH177" s="23" t="e">
        <f t="shared" ref="CH177:CI177" ca="1" si="1371">CH176-CH140</f>
        <v>#NAME?</v>
      </c>
      <c r="CI177" s="23" t="e">
        <f t="shared" ca="1" si="1371"/>
        <v>#NAME?</v>
      </c>
      <c r="CJ177" s="23" t="e">
        <f t="shared" ref="CJ177:DB177" ca="1" si="1372">CJ176-CJ140</f>
        <v>#NAME?</v>
      </c>
      <c r="CK177" s="23" t="e">
        <f t="shared" ca="1" si="1372"/>
        <v>#NAME?</v>
      </c>
      <c r="CL177" s="23" t="e">
        <f t="shared" ref="CL177" ca="1" si="1373">CL176-CL140</f>
        <v>#NAME?</v>
      </c>
      <c r="CM177" s="24" t="e">
        <f t="shared" ca="1" si="1372"/>
        <v>#NAME?</v>
      </c>
      <c r="CN177" s="24" t="e">
        <f t="shared" ca="1" si="1372"/>
        <v>#NAME?</v>
      </c>
      <c r="CO177" s="24" t="e">
        <f t="shared" ca="1" si="1372"/>
        <v>#NAME?</v>
      </c>
      <c r="CP177" s="24" t="e">
        <f t="shared" ca="1" si="1372"/>
        <v>#NAME?</v>
      </c>
      <c r="CQ177" s="24" t="e">
        <f t="shared" ca="1" si="1372"/>
        <v>#NAME?</v>
      </c>
      <c r="CR177" s="24" t="e">
        <f t="shared" ca="1" si="1372"/>
        <v>#NAME?</v>
      </c>
      <c r="CS177" s="24" t="e">
        <f t="shared" ca="1" si="1372"/>
        <v>#NAME?</v>
      </c>
      <c r="CT177" s="24" t="e">
        <f t="shared" ca="1" si="1372"/>
        <v>#NAME?</v>
      </c>
      <c r="CU177" s="24" t="e">
        <f t="shared" ca="1" si="1372"/>
        <v>#NAME?</v>
      </c>
      <c r="CV177" s="24" t="e">
        <f t="shared" ca="1" si="1372"/>
        <v>#NAME?</v>
      </c>
      <c r="CW177" s="24" t="e">
        <f t="shared" ca="1" si="1372"/>
        <v>#NAME?</v>
      </c>
      <c r="CX177" s="24" t="e">
        <f t="shared" ca="1" si="1372"/>
        <v>#NAME?</v>
      </c>
      <c r="CY177" s="24" t="e">
        <f t="shared" ca="1" si="1372"/>
        <v>#NAME?</v>
      </c>
      <c r="CZ177" s="24" t="e">
        <f t="shared" ca="1" si="1372"/>
        <v>#NAME?</v>
      </c>
      <c r="DA177" s="24" t="e">
        <f t="shared" ca="1" si="1372"/>
        <v>#NAME?</v>
      </c>
      <c r="DB177" s="24" t="e">
        <f t="shared" ca="1" si="1372"/>
        <v>#NAME?</v>
      </c>
      <c r="DE177" s="123"/>
      <c r="DF177" s="23">
        <v>0</v>
      </c>
    </row>
    <row r="178" spans="1:110" s="23" customFormat="1" x14ac:dyDescent="0.2">
      <c r="A178" s="28"/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2" customFormat="1" x14ac:dyDescent="0.2">
      <c r="A179" s="22" t="s">
        <v>80</v>
      </c>
      <c r="B179" s="22" t="e">
        <f t="shared" ref="B179:W179" ca="1" si="1374">B139-B172</f>
        <v>#NAME?</v>
      </c>
      <c r="C179" s="22" t="e">
        <f t="shared" ca="1" si="1374"/>
        <v>#NAME?</v>
      </c>
      <c r="D179" s="22" t="e">
        <f t="shared" ca="1" si="1374"/>
        <v>#NAME?</v>
      </c>
      <c r="E179" s="22" t="e">
        <f t="shared" ca="1" si="1374"/>
        <v>#NAME?</v>
      </c>
      <c r="F179" s="22" t="e">
        <f t="shared" ca="1" si="1374"/>
        <v>#NAME?</v>
      </c>
      <c r="G179" s="22" t="e">
        <f t="shared" ca="1" si="1374"/>
        <v>#NAME?</v>
      </c>
      <c r="H179" s="22" t="e">
        <f t="shared" ca="1" si="1374"/>
        <v>#NAME?</v>
      </c>
      <c r="I179" s="22" t="e">
        <f t="shared" ca="1" si="1374"/>
        <v>#NAME?</v>
      </c>
      <c r="J179" s="22" t="e">
        <f t="shared" ca="1" si="1374"/>
        <v>#NAME?</v>
      </c>
      <c r="K179" s="22" t="e">
        <f t="shared" ca="1" si="1374"/>
        <v>#NAME?</v>
      </c>
      <c r="L179" s="22" t="e">
        <f t="shared" ca="1" si="1374"/>
        <v>#NAME?</v>
      </c>
      <c r="M179" s="22" t="e">
        <f t="shared" ca="1" si="1374"/>
        <v>#NAME?</v>
      </c>
      <c r="N179" s="22" t="e">
        <f t="shared" ca="1" si="1374"/>
        <v>#NAME?</v>
      </c>
      <c r="O179" s="22" t="e">
        <f t="shared" ca="1" si="1374"/>
        <v>#NAME?</v>
      </c>
      <c r="P179" s="22" t="e">
        <f t="shared" ca="1" si="1374"/>
        <v>#NAME?</v>
      </c>
      <c r="Q179" s="22" t="e">
        <f t="shared" ca="1" si="1374"/>
        <v>#NAME?</v>
      </c>
      <c r="R179" s="22" t="e">
        <f t="shared" ca="1" si="1374"/>
        <v>#NAME?</v>
      </c>
      <c r="S179" s="22" t="e">
        <f t="shared" ca="1" si="1374"/>
        <v>#NAME?</v>
      </c>
      <c r="T179" s="22" t="e">
        <f t="shared" ca="1" si="1374"/>
        <v>#NAME?</v>
      </c>
      <c r="U179" s="22" t="e">
        <f t="shared" ca="1" si="1374"/>
        <v>#NAME?</v>
      </c>
      <c r="V179" s="22" t="e">
        <f t="shared" ca="1" si="1374"/>
        <v>#NAME?</v>
      </c>
      <c r="W179" s="22" t="e">
        <f t="shared" ca="1" si="1374"/>
        <v>#NAME?</v>
      </c>
      <c r="X179" s="22" t="e">
        <f t="shared" ref="X179:Y179" ca="1" si="1375">X139-X172</f>
        <v>#NAME?</v>
      </c>
      <c r="Y179" s="22" t="e">
        <f t="shared" ca="1" si="1375"/>
        <v>#NAME?</v>
      </c>
      <c r="Z179" s="22" t="e">
        <f t="shared" ref="Z179:AA179" ca="1" si="1376">Z139-Z172</f>
        <v>#NAME?</v>
      </c>
      <c r="AA179" s="22" t="e">
        <f t="shared" ca="1" si="1376"/>
        <v>#NAME?</v>
      </c>
      <c r="AB179" s="21" t="e">
        <f t="shared" ref="AA179:AD179" ca="1" si="1377">AB139-AB172</f>
        <v>#NAME?</v>
      </c>
      <c r="AC179" s="21" t="e">
        <f t="shared" ca="1" si="1377"/>
        <v>#NAME?</v>
      </c>
      <c r="AD179" s="21" t="e">
        <f t="shared" ca="1" si="1377"/>
        <v>#NAME?</v>
      </c>
      <c r="AE179" s="21" t="e">
        <f t="shared" ref="AE179" ca="1" si="1378">AE139-AE172</f>
        <v>#NAME?</v>
      </c>
      <c r="AJ179" s="22" t="e">
        <f t="shared" ref="AJ179:AM179" ca="1" si="1379">AJ139-AJ172</f>
        <v>#NAME?</v>
      </c>
      <c r="AK179" s="22" t="e">
        <f t="shared" ca="1" si="1379"/>
        <v>#NAME?</v>
      </c>
      <c r="AL179" s="22" t="e">
        <f t="shared" ca="1" si="1379"/>
        <v>#NAME?</v>
      </c>
      <c r="AM179" s="22" t="e">
        <f t="shared" ca="1" si="1379"/>
        <v>#NAME?</v>
      </c>
      <c r="AN179" s="22" t="e">
        <f t="shared" ref="AN179:AO179" ca="1" si="1380">AN139-AN172</f>
        <v>#NAME?</v>
      </c>
      <c r="AO179" s="22" t="e">
        <f t="shared" ca="1" si="1380"/>
        <v>#NAME?</v>
      </c>
      <c r="AP179" s="22" t="e">
        <f t="shared" ref="AP179:CE179" ca="1" si="1381">AP139-AP172</f>
        <v>#NAME?</v>
      </c>
      <c r="AQ179" s="22" t="e">
        <f t="shared" ca="1" si="1381"/>
        <v>#NAME?</v>
      </c>
      <c r="AR179" s="22" t="e">
        <f t="shared" ca="1" si="1381"/>
        <v>#NAME?</v>
      </c>
      <c r="AS179" s="22" t="e">
        <f t="shared" ca="1" si="1381"/>
        <v>#NAME?</v>
      </c>
      <c r="AT179" s="22" t="e">
        <f t="shared" ca="1" si="1381"/>
        <v>#NAME?</v>
      </c>
      <c r="AU179" s="22" t="e">
        <f t="shared" ca="1" si="1381"/>
        <v>#NAME?</v>
      </c>
      <c r="AV179" s="22" t="e">
        <f t="shared" ca="1" si="1381"/>
        <v>#NAME?</v>
      </c>
      <c r="AW179" s="22" t="e">
        <f t="shared" ca="1" si="1381"/>
        <v>#NAME?</v>
      </c>
      <c r="AX179" s="22" t="e">
        <f t="shared" ca="1" si="1381"/>
        <v>#NAME?</v>
      </c>
      <c r="AY179" s="22" t="e">
        <f t="shared" ca="1" si="1381"/>
        <v>#NAME?</v>
      </c>
      <c r="AZ179" s="22" t="e">
        <f t="shared" ca="1" si="1381"/>
        <v>#NAME?</v>
      </c>
      <c r="BA179" s="22" t="e">
        <f t="shared" ca="1" si="1381"/>
        <v>#NAME?</v>
      </c>
      <c r="BB179" s="22" t="e">
        <f t="shared" ca="1" si="1381"/>
        <v>#NAME?</v>
      </c>
      <c r="BC179" s="22" t="e">
        <f t="shared" ca="1" si="1381"/>
        <v>#NAME?</v>
      </c>
      <c r="BD179" s="22" t="e">
        <f t="shared" ca="1" si="1381"/>
        <v>#NAME?</v>
      </c>
      <c r="BE179" s="22" t="e">
        <f t="shared" ca="1" si="1381"/>
        <v>#NAME?</v>
      </c>
      <c r="BF179" s="22" t="e">
        <f t="shared" ca="1" si="1381"/>
        <v>#NAME?</v>
      </c>
      <c r="BG179" s="22" t="e">
        <f t="shared" ca="1" si="1381"/>
        <v>#NAME?</v>
      </c>
      <c r="BH179" s="22" t="e">
        <f t="shared" ca="1" si="1381"/>
        <v>#NAME?</v>
      </c>
      <c r="BI179" s="22" t="e">
        <f t="shared" ca="1" si="1381"/>
        <v>#NAME?</v>
      </c>
      <c r="BJ179" s="22" t="e">
        <f t="shared" ca="1" si="1381"/>
        <v>#NAME?</v>
      </c>
      <c r="BK179" s="22" t="e">
        <f t="shared" ca="1" si="1381"/>
        <v>#NAME?</v>
      </c>
      <c r="BL179" s="22" t="e">
        <f t="shared" ca="1" si="1381"/>
        <v>#NAME?</v>
      </c>
      <c r="BM179" s="22" t="e">
        <f t="shared" ca="1" si="1381"/>
        <v>#NAME?</v>
      </c>
      <c r="BN179" s="22" t="e">
        <f t="shared" ca="1" si="1381"/>
        <v>#NAME?</v>
      </c>
      <c r="BO179" s="22" t="e">
        <f t="shared" ca="1" si="1381"/>
        <v>#NAME?</v>
      </c>
      <c r="BP179" s="22" t="e">
        <f t="shared" ca="1" si="1381"/>
        <v>#NAME?</v>
      </c>
      <c r="BQ179" s="22" t="e">
        <f t="shared" ca="1" si="1381"/>
        <v>#NAME?</v>
      </c>
      <c r="BR179" s="22" t="e">
        <f t="shared" ca="1" si="1381"/>
        <v>#NAME?</v>
      </c>
      <c r="BS179" s="22" t="e">
        <f t="shared" ca="1" si="1381"/>
        <v>#NAME?</v>
      </c>
      <c r="BT179" s="22" t="e">
        <f t="shared" ca="1" si="1381"/>
        <v>#NAME?</v>
      </c>
      <c r="BU179" s="22" t="e">
        <f t="shared" ca="1" si="1381"/>
        <v>#NAME?</v>
      </c>
      <c r="BV179" s="22" t="e">
        <f t="shared" ca="1" si="1381"/>
        <v>#NAME?</v>
      </c>
      <c r="BW179" s="22" t="e">
        <f t="shared" ca="1" si="1381"/>
        <v>#NAME?</v>
      </c>
      <c r="BX179" s="22" t="e">
        <f t="shared" ca="1" si="1381"/>
        <v>#NAME?</v>
      </c>
      <c r="BY179" s="22" t="e">
        <f t="shared" ca="1" si="1381"/>
        <v>#NAME?</v>
      </c>
      <c r="BZ179" s="22" t="e">
        <f t="shared" ca="1" si="1381"/>
        <v>#NAME?</v>
      </c>
      <c r="CA179" s="22" t="e">
        <f t="shared" ca="1" si="1381"/>
        <v>#NAME?</v>
      </c>
      <c r="CB179" s="22" t="e">
        <f t="shared" ca="1" si="1381"/>
        <v>#NAME?</v>
      </c>
      <c r="CC179" s="22" t="e">
        <f t="shared" ca="1" si="1381"/>
        <v>#NAME?</v>
      </c>
      <c r="CD179" s="22" t="e">
        <f t="shared" ca="1" si="1381"/>
        <v>#NAME?</v>
      </c>
      <c r="CE179" s="22" t="e">
        <f t="shared" ca="1" si="1381"/>
        <v>#NAME?</v>
      </c>
      <c r="CF179" s="22" t="e">
        <f t="shared" ref="CF179:CG179" ca="1" si="1382">CF139-CF172</f>
        <v>#NAME?</v>
      </c>
      <c r="CG179" s="22" t="e">
        <f t="shared" ca="1" si="1382"/>
        <v>#NAME?</v>
      </c>
      <c r="CH179" s="22" t="e">
        <f t="shared" ref="CH179:CI179" ca="1" si="1383">CH139-CH172</f>
        <v>#NAME?</v>
      </c>
      <c r="CI179" s="22" t="e">
        <f t="shared" ca="1" si="1383"/>
        <v>#NAME?</v>
      </c>
      <c r="CJ179" s="22" t="e">
        <f t="shared" ref="CJ179:DB179" ca="1" si="1384">CJ139-CJ172</f>
        <v>#NAME?</v>
      </c>
      <c r="CK179" s="22" t="e">
        <f t="shared" ca="1" si="1384"/>
        <v>#NAME?</v>
      </c>
      <c r="CL179" s="22" t="e">
        <f t="shared" ref="CL179" ca="1" si="1385">CL139-CL172</f>
        <v>#NAME?</v>
      </c>
      <c r="CM179" s="21" t="e">
        <f t="shared" ca="1" si="1384"/>
        <v>#NAME?</v>
      </c>
      <c r="CN179" s="21" t="e">
        <f t="shared" ca="1" si="1384"/>
        <v>#NAME?</v>
      </c>
      <c r="CO179" s="21" t="e">
        <f t="shared" ca="1" si="1384"/>
        <v>#NAME?</v>
      </c>
      <c r="CP179" s="21" t="e">
        <f t="shared" ca="1" si="1384"/>
        <v>#NAME?</v>
      </c>
      <c r="CQ179" s="21" t="e">
        <f t="shared" ca="1" si="1384"/>
        <v>#NAME?</v>
      </c>
      <c r="CR179" s="21" t="e">
        <f t="shared" ca="1" si="1384"/>
        <v>#NAME?</v>
      </c>
      <c r="CS179" s="21" t="e">
        <f t="shared" ca="1" si="1384"/>
        <v>#NAME?</v>
      </c>
      <c r="CT179" s="21" t="e">
        <f t="shared" ca="1" si="1384"/>
        <v>#NAME?</v>
      </c>
      <c r="CU179" s="21" t="e">
        <f t="shared" ca="1" si="1384"/>
        <v>#NAME?</v>
      </c>
      <c r="CV179" s="21" t="e">
        <f t="shared" ca="1" si="1384"/>
        <v>#NAME?</v>
      </c>
      <c r="CW179" s="21" t="e">
        <f t="shared" ca="1" si="1384"/>
        <v>#NAME?</v>
      </c>
      <c r="CX179" s="21" t="e">
        <f t="shared" ca="1" si="1384"/>
        <v>#NAME?</v>
      </c>
      <c r="CY179" s="21" t="e">
        <f t="shared" ca="1" si="1384"/>
        <v>#NAME?</v>
      </c>
      <c r="CZ179" s="21" t="e">
        <f t="shared" ca="1" si="1384"/>
        <v>#NAME?</v>
      </c>
      <c r="DA179" s="21" t="e">
        <f t="shared" ca="1" si="1384"/>
        <v>#NAME?</v>
      </c>
      <c r="DB179" s="21" t="e">
        <f t="shared" ca="1" si="1384"/>
        <v>#NAME?</v>
      </c>
      <c r="DE179" s="126"/>
      <c r="DF179" s="22">
        <v>157.41900000000001</v>
      </c>
    </row>
    <row r="180" spans="1:110" x14ac:dyDescent="0.2">
      <c r="AA180" s="2"/>
      <c r="CE180" s="111"/>
      <c r="CG180" s="111"/>
      <c r="DF180" s="111"/>
    </row>
    <row r="181" spans="1:110" s="49" customFormat="1" x14ac:dyDescent="0.2">
      <c r="A181" s="49" t="s">
        <v>81</v>
      </c>
      <c r="B181" s="49" t="e">
        <f ca="1">'Annual Raw'!C85</f>
        <v>#NAME?</v>
      </c>
      <c r="C181" s="49" t="e">
        <f ca="1">'Annual Raw'!D85</f>
        <v>#NAME?</v>
      </c>
      <c r="D181" s="49" t="e">
        <f ca="1">'Annual Raw'!E85</f>
        <v>#NAME?</v>
      </c>
      <c r="E181" s="49" t="e">
        <f ca="1">'Annual Raw'!F85</f>
        <v>#NAME?</v>
      </c>
      <c r="F181" s="49" t="e">
        <f ca="1">'Annual Raw'!G85</f>
        <v>#NAME?</v>
      </c>
      <c r="G181" s="49" t="e">
        <f ca="1">'Annual Raw'!H85</f>
        <v>#NAME?</v>
      </c>
      <c r="H181" s="49" t="e">
        <f ca="1">'Annual Raw'!I85</f>
        <v>#NAME?</v>
      </c>
      <c r="I181" s="49" t="e">
        <f ca="1">'Annual Raw'!J85</f>
        <v>#NAME?</v>
      </c>
      <c r="J181" s="49" t="e">
        <f ca="1">'Annual Raw'!K85</f>
        <v>#NAME?</v>
      </c>
      <c r="K181" s="49" t="e">
        <f ca="1">'Annual Raw'!L85</f>
        <v>#NAME?</v>
      </c>
      <c r="L181" s="49" t="e">
        <f ca="1">'Annual Raw'!M85</f>
        <v>#NAME?</v>
      </c>
      <c r="M181" s="49" t="e">
        <f ca="1">'Annual Raw'!N85</f>
        <v>#NAME?</v>
      </c>
      <c r="N181" s="49" t="e">
        <f ca="1">'Annual Raw'!O85</f>
        <v>#NAME?</v>
      </c>
      <c r="O181" s="49" t="e">
        <f ca="1">'Annual Raw'!P85</f>
        <v>#NAME?</v>
      </c>
      <c r="P181" s="49" t="e">
        <f ca="1">'Annual Raw'!Q85</f>
        <v>#NAME?</v>
      </c>
      <c r="Q181" s="49" t="e">
        <f ca="1">'Annual Raw'!R85</f>
        <v>#NAME?</v>
      </c>
      <c r="R181" s="49" t="e">
        <f ca="1">'Annual Raw'!S85</f>
        <v>#NAME?</v>
      </c>
      <c r="S181" s="49" t="e">
        <f ca="1">'Annual Raw'!T85</f>
        <v>#NAME?</v>
      </c>
      <c r="T181" s="49" t="e">
        <f ca="1">'Annual Raw'!U85</f>
        <v>#NAME?</v>
      </c>
      <c r="U181" s="49" t="e">
        <f ca="1">'Annual Raw'!V85</f>
        <v>#NAME?</v>
      </c>
      <c r="V181" s="49" t="e">
        <f ca="1">'Annual Raw'!W85</f>
        <v>#NAME?</v>
      </c>
      <c r="W181" s="49" t="e">
        <f ca="1">'Annual Raw'!X85</f>
        <v>#NAME?</v>
      </c>
      <c r="X181" s="49" t="e">
        <f ca="1">'Annual Raw'!Y85</f>
        <v>#NAME?</v>
      </c>
      <c r="Y181" s="49" t="e">
        <f ca="1">'Annual Raw'!Z85</f>
        <v>#NAME?</v>
      </c>
      <c r="Z181" s="49" t="e">
        <f ca="1">'Annual Raw'!AA85</f>
        <v>#NAME?</v>
      </c>
      <c r="AA181" s="49" t="e">
        <f ca="1">'Annual Raw'!AB85</f>
        <v>#NAME?</v>
      </c>
      <c r="AB181" s="50"/>
      <c r="AC181" s="50"/>
      <c r="AD181" s="50"/>
      <c r="AE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E181" s="138"/>
    </row>
    <row r="182" spans="1:110" s="29" customFormat="1" x14ac:dyDescent="0.2">
      <c r="A182" s="29" t="s">
        <v>82</v>
      </c>
      <c r="B182" s="29" t="e">
        <f ca="1">'Annual Raw'!C95</f>
        <v>#NAME?</v>
      </c>
      <c r="C182" s="29" t="e">
        <f ca="1">'Annual Raw'!D95</f>
        <v>#NAME?</v>
      </c>
      <c r="D182" s="29" t="e">
        <f ca="1">'Annual Raw'!E95</f>
        <v>#NAME?</v>
      </c>
      <c r="E182" s="29" t="e">
        <f ca="1">'Annual Raw'!F95</f>
        <v>#NAME?</v>
      </c>
      <c r="F182" s="29" t="e">
        <f ca="1">'Annual Raw'!G95</f>
        <v>#NAME?</v>
      </c>
      <c r="G182" s="29" t="e">
        <f ca="1">'Annual Raw'!H95</f>
        <v>#NAME?</v>
      </c>
      <c r="H182" s="29" t="e">
        <f ca="1">'Annual Raw'!I95</f>
        <v>#NAME?</v>
      </c>
      <c r="I182" s="29" t="e">
        <f ca="1">'Annual Raw'!J95</f>
        <v>#NAME?</v>
      </c>
      <c r="J182" s="29" t="e">
        <f ca="1">'Annual Raw'!K95</f>
        <v>#NAME?</v>
      </c>
      <c r="K182" s="29" t="e">
        <f ca="1">'Annual Raw'!L95</f>
        <v>#NAME?</v>
      </c>
      <c r="L182" s="29" t="e">
        <f ca="1">'Annual Raw'!M95</f>
        <v>#NAME?</v>
      </c>
      <c r="M182" s="29" t="e">
        <f ca="1">'Annual Raw'!N95</f>
        <v>#NAME?</v>
      </c>
      <c r="N182" s="29" t="e">
        <f ca="1">'Annual Raw'!O95</f>
        <v>#NAME?</v>
      </c>
      <c r="O182" s="29" t="e">
        <f ca="1">'Annual Raw'!P95</f>
        <v>#NAME?</v>
      </c>
      <c r="P182" s="29" t="e">
        <f ca="1">'Annual Raw'!Q95</f>
        <v>#NAME?</v>
      </c>
      <c r="Q182" s="29" t="e">
        <f ca="1">'Annual Raw'!R95</f>
        <v>#NAME?</v>
      </c>
      <c r="R182" s="29" t="e">
        <f ca="1">'Annual Raw'!S95</f>
        <v>#NAME?</v>
      </c>
      <c r="S182" s="29" t="e">
        <f ca="1">'Annual Raw'!T95</f>
        <v>#NAME?</v>
      </c>
      <c r="T182" s="29" t="e">
        <f ca="1">'Annual Raw'!U95</f>
        <v>#NAME?</v>
      </c>
      <c r="U182" s="29" t="e">
        <f ca="1">'Annual Raw'!V95</f>
        <v>#NAME?</v>
      </c>
      <c r="V182" s="29" t="e">
        <f ca="1">'Annual Raw'!W95</f>
        <v>#NAME?</v>
      </c>
      <c r="W182" s="29" t="e">
        <f ca="1">'Annual Raw'!X95</f>
        <v>#NAME?</v>
      </c>
      <c r="X182" s="29" t="e">
        <f ca="1">'Annual Raw'!Y95</f>
        <v>#NAME?</v>
      </c>
      <c r="Y182" s="29" t="e">
        <f ca="1">'Annual Raw'!Z95</f>
        <v>#NAME?</v>
      </c>
      <c r="Z182" s="29" t="e">
        <f ca="1">'Annual Raw'!AA95</f>
        <v>#NAME?</v>
      </c>
      <c r="AA182" s="29" t="e">
        <f ca="1">'Annual Raw'!AB95</f>
        <v>#NAME?</v>
      </c>
      <c r="AB182" s="30"/>
      <c r="AC182" s="30"/>
      <c r="AD182" s="30"/>
      <c r="AE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E182" s="139"/>
    </row>
    <row r="183" spans="1:110" s="29" customFormat="1" x14ac:dyDescent="0.2">
      <c r="A183" s="29" t="s">
        <v>83</v>
      </c>
      <c r="B183" s="29" t="e">
        <f ca="1">'Annual Raw'!C93</f>
        <v>#NAME?</v>
      </c>
      <c r="C183" s="29" t="e">
        <f ca="1">'Annual Raw'!D93</f>
        <v>#NAME?</v>
      </c>
      <c r="D183" s="29" t="e">
        <f ca="1">'Annual Raw'!E93</f>
        <v>#NAME?</v>
      </c>
      <c r="E183" s="29" t="e">
        <f ca="1">'Annual Raw'!F93</f>
        <v>#NAME?</v>
      </c>
      <c r="F183" s="29" t="e">
        <f ca="1">'Annual Raw'!G93</f>
        <v>#NAME?</v>
      </c>
      <c r="G183" s="29" t="e">
        <f ca="1">'Annual Raw'!H93</f>
        <v>#NAME?</v>
      </c>
      <c r="H183" s="29" t="e">
        <f ca="1">'Annual Raw'!I93</f>
        <v>#NAME?</v>
      </c>
      <c r="I183" s="29" t="e">
        <f ca="1">'Annual Raw'!J93</f>
        <v>#NAME?</v>
      </c>
      <c r="J183" s="29" t="e">
        <f ca="1">'Annual Raw'!K93</f>
        <v>#NAME?</v>
      </c>
      <c r="K183" s="29" t="e">
        <f ca="1">'Annual Raw'!L93</f>
        <v>#NAME?</v>
      </c>
      <c r="L183" s="29" t="e">
        <f ca="1">'Annual Raw'!M93</f>
        <v>#NAME?</v>
      </c>
      <c r="M183" s="29" t="e">
        <f ca="1">'Annual Raw'!N93</f>
        <v>#NAME?</v>
      </c>
      <c r="N183" s="29" t="e">
        <f ca="1">'Annual Raw'!O93</f>
        <v>#NAME?</v>
      </c>
      <c r="O183" s="29" t="e">
        <f ca="1">'Annual Raw'!P93</f>
        <v>#NAME?</v>
      </c>
      <c r="P183" s="29" t="e">
        <f ca="1">'Annual Raw'!Q93</f>
        <v>#NAME?</v>
      </c>
      <c r="Q183" s="29" t="e">
        <f ca="1">'Annual Raw'!R93</f>
        <v>#NAME?</v>
      </c>
      <c r="R183" s="29" t="e">
        <f ca="1">'Annual Raw'!S93</f>
        <v>#NAME?</v>
      </c>
      <c r="S183" s="29" t="e">
        <f ca="1">'Annual Raw'!T93</f>
        <v>#NAME?</v>
      </c>
      <c r="T183" s="29" t="e">
        <f ca="1">'Annual Raw'!U93</f>
        <v>#NAME?</v>
      </c>
      <c r="U183" s="29" t="e">
        <f ca="1">'Annual Raw'!V93</f>
        <v>#NAME?</v>
      </c>
      <c r="V183" s="29" t="e">
        <f ca="1">'Annual Raw'!W93</f>
        <v>#NAME?</v>
      </c>
      <c r="W183" s="29" t="e">
        <f ca="1">'Annual Raw'!X93</f>
        <v>#NAME?</v>
      </c>
      <c r="X183" s="29" t="e">
        <f ca="1">'Annual Raw'!Y93</f>
        <v>#NAME?</v>
      </c>
      <c r="Y183" s="29" t="e">
        <f ca="1">'Annual Raw'!Z93</f>
        <v>#NAME?</v>
      </c>
      <c r="Z183" s="29" t="e">
        <f ca="1">'Annual Raw'!AA93</f>
        <v>#NAME?</v>
      </c>
      <c r="AA183" s="29" t="e">
        <f ca="1">'Annual Raw'!AB93</f>
        <v>#NAME?</v>
      </c>
      <c r="AB183" s="30"/>
      <c r="AC183" s="30"/>
      <c r="AD183" s="30"/>
      <c r="AE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E183" s="139"/>
    </row>
    <row r="184" spans="1:110" s="29" customFormat="1" x14ac:dyDescent="0.2">
      <c r="A184" s="29" t="s">
        <v>84</v>
      </c>
      <c r="B184" s="29" t="e">
        <f t="shared" ref="B184:V184" ca="1" si="1386">B181-B182-B183</f>
        <v>#NAME?</v>
      </c>
      <c r="C184" s="29" t="e">
        <f t="shared" ca="1" si="1386"/>
        <v>#NAME?</v>
      </c>
      <c r="D184" s="29" t="e">
        <f t="shared" ca="1" si="1386"/>
        <v>#NAME?</v>
      </c>
      <c r="E184" s="29" t="e">
        <f t="shared" ca="1" si="1386"/>
        <v>#NAME?</v>
      </c>
      <c r="F184" s="29" t="e">
        <f t="shared" ca="1" si="1386"/>
        <v>#NAME?</v>
      </c>
      <c r="G184" s="29" t="e">
        <f t="shared" ca="1" si="1386"/>
        <v>#NAME?</v>
      </c>
      <c r="H184" s="29" t="e">
        <f t="shared" ca="1" si="1386"/>
        <v>#NAME?</v>
      </c>
      <c r="I184" s="29" t="e">
        <f t="shared" ca="1" si="1386"/>
        <v>#NAME?</v>
      </c>
      <c r="J184" s="29" t="e">
        <f t="shared" ca="1" si="1386"/>
        <v>#NAME?</v>
      </c>
      <c r="K184" s="29" t="e">
        <f t="shared" ca="1" si="1386"/>
        <v>#NAME?</v>
      </c>
      <c r="L184" s="29" t="e">
        <f t="shared" ca="1" si="1386"/>
        <v>#NAME?</v>
      </c>
      <c r="M184" s="29" t="e">
        <f t="shared" ca="1" si="1386"/>
        <v>#NAME?</v>
      </c>
      <c r="N184" s="29" t="e">
        <f t="shared" ca="1" si="1386"/>
        <v>#NAME?</v>
      </c>
      <c r="O184" s="29" t="e">
        <f t="shared" ca="1" si="1386"/>
        <v>#NAME?</v>
      </c>
      <c r="P184" s="29" t="e">
        <f t="shared" ca="1" si="1386"/>
        <v>#NAME?</v>
      </c>
      <c r="Q184" s="29" t="e">
        <f t="shared" ca="1" si="1386"/>
        <v>#NAME?</v>
      </c>
      <c r="R184" s="29" t="e">
        <f t="shared" ca="1" si="1386"/>
        <v>#NAME?</v>
      </c>
      <c r="S184" s="29" t="e">
        <f t="shared" ca="1" si="1386"/>
        <v>#NAME?</v>
      </c>
      <c r="T184" s="29" t="e">
        <f t="shared" ca="1" si="1386"/>
        <v>#NAME?</v>
      </c>
      <c r="U184" s="29" t="e">
        <f t="shared" ca="1" si="1386"/>
        <v>#NAME?</v>
      </c>
      <c r="V184" s="29" t="e">
        <f t="shared" ca="1" si="1386"/>
        <v>#NAME?</v>
      </c>
      <c r="W184" s="29" t="e">
        <f t="shared" ref="W184" ca="1" si="1387">W181-W182-W183</f>
        <v>#NAME?</v>
      </c>
      <c r="X184" s="29" t="e">
        <f t="shared" ref="X184:Y184" ca="1" si="1388">X181-X182-X183</f>
        <v>#NAME?</v>
      </c>
      <c r="Y184" s="29" t="e">
        <f t="shared" ca="1" si="1388"/>
        <v>#NAME?</v>
      </c>
      <c r="Z184" s="29" t="e">
        <f t="shared" ref="Z184:AA184" ca="1" si="1389">Z181-Z182-Z183</f>
        <v>#NAME?</v>
      </c>
      <c r="AA184" s="29" t="e">
        <f t="shared" ca="1" si="1389"/>
        <v>#NAME?</v>
      </c>
      <c r="AB184" s="30">
        <f t="shared" ref="AA184:AD184" si="1390">AB181-AB182-AB183</f>
        <v>0</v>
      </c>
      <c r="AC184" s="30">
        <f t="shared" si="1390"/>
        <v>0</v>
      </c>
      <c r="AD184" s="30">
        <f t="shared" si="1390"/>
        <v>0</v>
      </c>
      <c r="AE184" s="30">
        <f t="shared" ref="AE184" si="1391">AE181-AE182-AE183</f>
        <v>0</v>
      </c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E184" s="139"/>
      <c r="DF184" s="29">
        <v>0</v>
      </c>
    </row>
    <row r="185" spans="1:110" s="5" customFormat="1" x14ac:dyDescent="0.2">
      <c r="AB185" s="63"/>
      <c r="AC185" s="63"/>
      <c r="AD185" s="63"/>
      <c r="AE185" s="63"/>
      <c r="CE185" s="112"/>
      <c r="CG185" s="112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E185" s="139"/>
      <c r="DF185" s="112"/>
    </row>
    <row r="186" spans="1:110" s="95" customFormat="1" x14ac:dyDescent="0.2">
      <c r="A186" s="95" t="s">
        <v>85</v>
      </c>
      <c r="B186" s="95" t="e">
        <f t="shared" ref="B186:W186" ca="1" si="1392">B181/B131</f>
        <v>#NAME?</v>
      </c>
      <c r="C186" s="95" t="e">
        <f t="shared" ca="1" si="1392"/>
        <v>#NAME?</v>
      </c>
      <c r="D186" s="95" t="e">
        <f t="shared" ca="1" si="1392"/>
        <v>#NAME?</v>
      </c>
      <c r="E186" s="95" t="e">
        <f t="shared" ca="1" si="1392"/>
        <v>#NAME?</v>
      </c>
      <c r="F186" s="95" t="e">
        <f t="shared" ca="1" si="1392"/>
        <v>#NAME?</v>
      </c>
      <c r="G186" s="95" t="e">
        <f t="shared" ca="1" si="1392"/>
        <v>#NAME?</v>
      </c>
      <c r="H186" s="95" t="e">
        <f t="shared" ca="1" si="1392"/>
        <v>#NAME?</v>
      </c>
      <c r="I186" s="95" t="e">
        <f t="shared" ca="1" si="1392"/>
        <v>#NAME?</v>
      </c>
      <c r="J186" s="95" t="e">
        <f t="shared" ca="1" si="1392"/>
        <v>#NAME?</v>
      </c>
      <c r="K186" s="95" t="e">
        <f t="shared" ca="1" si="1392"/>
        <v>#NAME?</v>
      </c>
      <c r="L186" s="95" t="e">
        <f t="shared" ca="1" si="1392"/>
        <v>#NAME?</v>
      </c>
      <c r="M186" s="95" t="e">
        <f t="shared" ca="1" si="1392"/>
        <v>#NAME?</v>
      </c>
      <c r="N186" s="95" t="e">
        <f t="shared" ca="1" si="1392"/>
        <v>#NAME?</v>
      </c>
      <c r="O186" s="95" t="e">
        <f t="shared" ca="1" si="1392"/>
        <v>#NAME?</v>
      </c>
      <c r="P186" s="95" t="e">
        <f t="shared" ca="1" si="1392"/>
        <v>#NAME?</v>
      </c>
      <c r="Q186" s="95" t="e">
        <f t="shared" ca="1" si="1392"/>
        <v>#NAME?</v>
      </c>
      <c r="R186" s="95" t="e">
        <f t="shared" ca="1" si="1392"/>
        <v>#NAME?</v>
      </c>
      <c r="S186" s="95" t="e">
        <f t="shared" ca="1" si="1392"/>
        <v>#NAME?</v>
      </c>
      <c r="T186" s="95" t="e">
        <f t="shared" ca="1" si="1392"/>
        <v>#NAME?</v>
      </c>
      <c r="U186" s="95" t="e">
        <f t="shared" ca="1" si="1392"/>
        <v>#NAME?</v>
      </c>
      <c r="V186" s="95" t="e">
        <f t="shared" ca="1" si="1392"/>
        <v>#NAME?</v>
      </c>
      <c r="W186" s="95" t="e">
        <f t="shared" ca="1" si="1392"/>
        <v>#NAME?</v>
      </c>
      <c r="X186" s="95" t="e">
        <f t="shared" ref="X186:Y186" ca="1" si="1393">X181/X131</f>
        <v>#NAME?</v>
      </c>
      <c r="Y186" s="95" t="e">
        <f t="shared" ca="1" si="1393"/>
        <v>#NAME?</v>
      </c>
      <c r="Z186" s="95" t="e">
        <f t="shared" ref="Z186:AA186" ca="1" si="1394">Z181/Z131</f>
        <v>#NAME?</v>
      </c>
      <c r="AA186" s="95" t="e">
        <f t="shared" ca="1" si="1394"/>
        <v>#NAME?</v>
      </c>
      <c r="AB186" s="87" t="e">
        <f t="shared" ref="AA186:AD186" ca="1" si="1395">AB181/AB131</f>
        <v>#NAME?</v>
      </c>
      <c r="AC186" s="87" t="e">
        <f t="shared" ca="1" si="1395"/>
        <v>#NAME?</v>
      </c>
      <c r="AD186" s="87" t="e">
        <f t="shared" ca="1" si="1395"/>
        <v>#NAME?</v>
      </c>
      <c r="AE186" s="87" t="e">
        <f t="shared" ref="AE186" ca="1" si="1396">AE181/AE131</f>
        <v>#NAME?</v>
      </c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E186" s="140"/>
      <c r="DF186" s="95">
        <v>0</v>
      </c>
    </row>
    <row r="187" spans="1:110" x14ac:dyDescent="0.2">
      <c r="A187" s="152" t="s">
        <v>492</v>
      </c>
      <c r="AA187" s="2"/>
      <c r="CE187" s="111"/>
      <c r="CG187" s="111"/>
      <c r="DF187" s="111"/>
    </row>
    <row r="188" spans="1:110" s="6" customFormat="1" x14ac:dyDescent="0.2">
      <c r="AB188" s="19"/>
      <c r="AC188" s="19"/>
      <c r="AD188" s="19"/>
      <c r="AE188" s="19"/>
      <c r="CE188" s="113"/>
      <c r="CG188" s="113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  <c r="DF188" s="113"/>
    </row>
    <row r="189" spans="1:110" s="62" customFormat="1" x14ac:dyDescent="0.2">
      <c r="A189" s="153" t="s">
        <v>493</v>
      </c>
      <c r="AB189" s="63"/>
      <c r="AC189" s="63"/>
      <c r="AD189" s="63"/>
      <c r="AE189" s="63"/>
      <c r="CE189" s="114"/>
      <c r="CG189" s="114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114"/>
    </row>
    <row r="190" spans="1:110" s="62" customFormat="1" outlineLevel="1" x14ac:dyDescent="0.2">
      <c r="A190" s="68" t="s">
        <v>464</v>
      </c>
      <c r="B190" s="67" t="e">
        <f t="shared" ref="B190:AE190" ca="1" si="1397">B155/B19*365</f>
        <v>#NAME?</v>
      </c>
      <c r="C190" s="67" t="e">
        <f t="shared" ca="1" si="1397"/>
        <v>#NAME?</v>
      </c>
      <c r="D190" s="67" t="e">
        <f t="shared" ca="1" si="1397"/>
        <v>#NAME?</v>
      </c>
      <c r="E190" s="67" t="e">
        <f t="shared" ca="1" si="1397"/>
        <v>#NAME?</v>
      </c>
      <c r="F190" s="67" t="e">
        <f t="shared" ca="1" si="1397"/>
        <v>#NAME?</v>
      </c>
      <c r="G190" s="67" t="e">
        <f t="shared" ca="1" si="1397"/>
        <v>#NAME?</v>
      </c>
      <c r="H190" s="67" t="e">
        <f t="shared" ca="1" si="1397"/>
        <v>#NAME?</v>
      </c>
      <c r="I190" s="67" t="e">
        <f t="shared" ca="1" si="1397"/>
        <v>#NAME?</v>
      </c>
      <c r="J190" s="67" t="e">
        <f t="shared" ca="1" si="1397"/>
        <v>#NAME?</v>
      </c>
      <c r="K190" s="67" t="e">
        <f t="shared" ca="1" si="1397"/>
        <v>#NAME?</v>
      </c>
      <c r="L190" s="67" t="e">
        <f t="shared" ca="1" si="1397"/>
        <v>#NAME?</v>
      </c>
      <c r="M190" s="67" t="e">
        <f t="shared" ca="1" si="1397"/>
        <v>#NAME?</v>
      </c>
      <c r="N190" s="67" t="e">
        <f t="shared" ca="1" si="1397"/>
        <v>#NAME?</v>
      </c>
      <c r="O190" s="67" t="e">
        <f t="shared" ca="1" si="1397"/>
        <v>#NAME?</v>
      </c>
      <c r="P190" s="67" t="e">
        <f t="shared" ca="1" si="1397"/>
        <v>#NAME?</v>
      </c>
      <c r="Q190" s="67" t="e">
        <f t="shared" ca="1" si="1397"/>
        <v>#NAME?</v>
      </c>
      <c r="R190" s="67" t="e">
        <f t="shared" ca="1" si="1397"/>
        <v>#NAME?</v>
      </c>
      <c r="S190" s="67" t="e">
        <f t="shared" ca="1" si="1397"/>
        <v>#NAME?</v>
      </c>
      <c r="T190" s="67" t="e">
        <f t="shared" ca="1" si="1397"/>
        <v>#NAME?</v>
      </c>
      <c r="U190" s="67" t="e">
        <f t="shared" ca="1" si="1397"/>
        <v>#NAME?</v>
      </c>
      <c r="V190" s="67" t="e">
        <f t="shared" ca="1" si="1397"/>
        <v>#NAME?</v>
      </c>
      <c r="W190" s="67" t="e">
        <f t="shared" ca="1" si="1397"/>
        <v>#NAME?</v>
      </c>
      <c r="X190" s="67" t="e">
        <f t="shared" ca="1" si="1397"/>
        <v>#NAME?</v>
      </c>
      <c r="Y190" s="67" t="e">
        <f t="shared" ca="1" si="1397"/>
        <v>#NAME?</v>
      </c>
      <c r="Z190" s="67" t="e">
        <f t="shared" ca="1" si="1397"/>
        <v>#NAME?</v>
      </c>
      <c r="AA190" s="67" t="e">
        <f t="shared" ref="AA190" ca="1" si="1398">AA155/AA19*365</f>
        <v>#NAME?</v>
      </c>
      <c r="AB190" s="18" t="e">
        <f t="shared" ca="1" si="1397"/>
        <v>#NAME?</v>
      </c>
      <c r="AC190" s="18" t="e">
        <f t="shared" ca="1" si="1397"/>
        <v>#NAME?</v>
      </c>
      <c r="AD190" s="18" t="e">
        <f t="shared" ca="1" si="1397"/>
        <v>#NAME?</v>
      </c>
      <c r="AE190" s="18" t="e">
        <f t="shared" ca="1" si="1397"/>
        <v>#NAME?</v>
      </c>
      <c r="AI190" s="67" t="e">
        <f ca="1">AJ155/AI19*90</f>
        <v>#NAME?</v>
      </c>
      <c r="AJ190" s="67" t="e">
        <f ca="1">AJ155/AJ19*90</f>
        <v>#NAME?</v>
      </c>
      <c r="AK190" s="67" t="e">
        <f t="shared" ref="AK190:CE190" ca="1" si="1399">+AJ190</f>
        <v>#NAME?</v>
      </c>
      <c r="AL190" s="67" t="e">
        <f ca="1">AL155/AL19*90</f>
        <v>#NAME?</v>
      </c>
      <c r="AM190" s="67" t="e">
        <f t="shared" ref="AM190:AM191" ca="1" si="1400">+AL190</f>
        <v>#NAME?</v>
      </c>
      <c r="AN190" s="67" t="e">
        <f ca="1">AN155/AN19*90</f>
        <v>#NAME?</v>
      </c>
      <c r="AO190" s="67" t="e">
        <f t="shared" ref="AO190:AO191" ca="1" si="1401">+AN190</f>
        <v>#NAME?</v>
      </c>
      <c r="AP190" s="67" t="e">
        <f ca="1">AP155/AP19*90</f>
        <v>#NAME?</v>
      </c>
      <c r="AQ190" s="67" t="e">
        <f t="shared" ref="AQ190:AQ191" ca="1" si="1402">+AP190</f>
        <v>#NAME?</v>
      </c>
      <c r="AR190" s="67" t="e">
        <f ca="1">AR155/AR19*90</f>
        <v>#NAME?</v>
      </c>
      <c r="AS190" s="67" t="e">
        <f t="shared" ref="AS190:AS191" ca="1" si="1403">+AR190</f>
        <v>#NAME?</v>
      </c>
      <c r="AT190" s="67" t="e">
        <f ca="1">AT155/AT19*90</f>
        <v>#NAME?</v>
      </c>
      <c r="AU190" s="67" t="e">
        <f t="shared" ref="AU190:AU191" ca="1" si="1404">+AT190</f>
        <v>#NAME?</v>
      </c>
      <c r="AV190" s="67" t="e">
        <f ca="1">AV155/AV19*90</f>
        <v>#NAME?</v>
      </c>
      <c r="AW190" s="67" t="e">
        <f t="shared" ref="AW190:AW191" ca="1" si="1405">+AV190</f>
        <v>#NAME?</v>
      </c>
      <c r="AX190" s="67" t="e">
        <f ca="1">AX155/AX19*90</f>
        <v>#NAME?</v>
      </c>
      <c r="AY190" s="67" t="e">
        <f t="shared" ref="AY190:AY191" ca="1" si="1406">+AX190</f>
        <v>#NAME?</v>
      </c>
      <c r="AZ190" s="67" t="e">
        <f ca="1">AZ155/AZ19*90</f>
        <v>#NAME?</v>
      </c>
      <c r="BA190" s="67" t="e">
        <f t="shared" ref="BA190:BA191" ca="1" si="1407">+AZ190</f>
        <v>#NAME?</v>
      </c>
      <c r="BB190" s="67" t="e">
        <f ca="1">BB155/BB19*90</f>
        <v>#NAME?</v>
      </c>
      <c r="BC190" s="67" t="e">
        <f t="shared" ref="BC190:BC191" ca="1" si="1408">+BB190</f>
        <v>#NAME?</v>
      </c>
      <c r="BD190" s="67" t="e">
        <f ca="1">BD155/BD19*90</f>
        <v>#NAME?</v>
      </c>
      <c r="BE190" s="67" t="e">
        <f t="shared" ref="BE190:BE191" ca="1" si="1409">+BD190</f>
        <v>#NAME?</v>
      </c>
      <c r="BF190" s="67" t="e">
        <f ca="1">BF155/BF19*90</f>
        <v>#NAME?</v>
      </c>
      <c r="BG190" s="67" t="e">
        <f t="shared" ref="BG190:BG191" ca="1" si="1410">+BF190</f>
        <v>#NAME?</v>
      </c>
      <c r="BH190" s="67" t="e">
        <f ca="1">BH155/BH19*90</f>
        <v>#NAME?</v>
      </c>
      <c r="BI190" s="67" t="e">
        <f t="shared" ref="BI190:BI191" ca="1" si="1411">+BH190</f>
        <v>#NAME?</v>
      </c>
      <c r="BJ190" s="67" t="e">
        <f ca="1">BJ155/BJ19*90</f>
        <v>#NAME?</v>
      </c>
      <c r="BK190" s="67" t="e">
        <f t="shared" ref="BK190:BK191" ca="1" si="1412">+BJ190</f>
        <v>#NAME?</v>
      </c>
      <c r="BL190" s="67" t="e">
        <f ca="1">BL155/BL19*90</f>
        <v>#NAME?</v>
      </c>
      <c r="BM190" s="67" t="e">
        <f t="shared" ref="BM190:BM191" ca="1" si="1413">+BL190</f>
        <v>#NAME?</v>
      </c>
      <c r="BN190" s="67" t="e">
        <f ca="1">BN155/BN19*90</f>
        <v>#NAME?</v>
      </c>
      <c r="BO190" s="67" t="e">
        <f t="shared" ref="BO190:BO191" ca="1" si="1414">+BN190</f>
        <v>#NAME?</v>
      </c>
      <c r="BP190" s="67" t="e">
        <f ca="1">BP155/BP19*90</f>
        <v>#NAME?</v>
      </c>
      <c r="BQ190" s="67" t="e">
        <f t="shared" ref="BQ190:BQ191" ca="1" si="1415">+BP190</f>
        <v>#NAME?</v>
      </c>
      <c r="BR190" s="67" t="e">
        <f ca="1">BR155/BR19*90</f>
        <v>#NAME?</v>
      </c>
      <c r="BS190" s="67" t="e">
        <f t="shared" ref="BS190:BS191" ca="1" si="1416">+BR190</f>
        <v>#NAME?</v>
      </c>
      <c r="BT190" s="67" t="e">
        <f ca="1">BT155/BT19*90</f>
        <v>#NAME?</v>
      </c>
      <c r="BU190" s="67" t="e">
        <f t="shared" ref="BU190:BU191" ca="1" si="1417">+BT190</f>
        <v>#NAME?</v>
      </c>
      <c r="BV190" s="67" t="e">
        <f ca="1">BV155/BV19*90</f>
        <v>#NAME?</v>
      </c>
      <c r="BW190" s="67" t="e">
        <f t="shared" ref="BW190:BW191" ca="1" si="1418">+BV190</f>
        <v>#NAME?</v>
      </c>
      <c r="BX190" s="67" t="e">
        <f ca="1">BX155/BX19*90</f>
        <v>#NAME?</v>
      </c>
      <c r="BY190" s="67" t="e">
        <f t="shared" ref="BY190:BY191" ca="1" si="1419">+BX190</f>
        <v>#NAME?</v>
      </c>
      <c r="BZ190" s="67" t="e">
        <f ca="1">BZ155/BZ19*90</f>
        <v>#NAME?</v>
      </c>
      <c r="CA190" s="67" t="e">
        <f t="shared" ref="CA190:CA191" ca="1" si="1420">+BZ190</f>
        <v>#NAME?</v>
      </c>
      <c r="CB190" s="67" t="e">
        <f ca="1">CB155/CB19*90</f>
        <v>#NAME?</v>
      </c>
      <c r="CC190" s="67" t="e">
        <f t="shared" ref="CC190:CC191" ca="1" si="1421">+CB190</f>
        <v>#NAME?</v>
      </c>
      <c r="CD190" s="67" t="e">
        <f ca="1">CD155/CD19*90</f>
        <v>#NAME?</v>
      </c>
      <c r="CE190" s="67" t="e">
        <f t="shared" ca="1" si="1399"/>
        <v>#NAME?</v>
      </c>
      <c r="CF190" s="67" t="e">
        <f ca="1">CF155/CF19*90</f>
        <v>#NAME?</v>
      </c>
      <c r="CG190" s="67" t="e">
        <f t="shared" ref="CG190:CI191" ca="1" si="1422">+CF190</f>
        <v>#NAME?</v>
      </c>
      <c r="CH190" s="67" t="e">
        <f ca="1">CH155/CH19*90</f>
        <v>#NAME?</v>
      </c>
      <c r="CI190" s="67" t="e">
        <f t="shared" ca="1" si="1422"/>
        <v>#NAME?</v>
      </c>
      <c r="CJ190" s="67" t="e">
        <f ca="1">CJ155/CJ19*90</f>
        <v>#NAME?</v>
      </c>
      <c r="CK190" s="67" t="e">
        <f t="shared" ref="CK190:CK191" ca="1" si="1423">+CJ190</f>
        <v>#NAME?</v>
      </c>
      <c r="CL190" s="67" t="e">
        <f ca="1">CL155/CL19*90</f>
        <v>#NAME?</v>
      </c>
      <c r="CM190" s="30" t="e">
        <f t="shared" ref="CM190:CM191" ca="1" si="1424">+CL190</f>
        <v>#NAME?</v>
      </c>
      <c r="CN190" s="30" t="e">
        <f t="shared" ref="CN190:CN191" ca="1" si="1425">+CM190</f>
        <v>#NAME?</v>
      </c>
      <c r="CO190" s="30" t="e">
        <f t="shared" ref="CO190:CO191" ca="1" si="1426">+CN190</f>
        <v>#NAME?</v>
      </c>
      <c r="CP190" s="30" t="e">
        <f t="shared" ref="CP190:CP191" ca="1" si="1427">+CO190</f>
        <v>#NAME?</v>
      </c>
      <c r="CQ190" s="30" t="e">
        <f t="shared" ref="CQ190:CQ191" ca="1" si="1428">+CP190</f>
        <v>#NAME?</v>
      </c>
      <c r="CR190" s="30" t="e">
        <f t="shared" ref="CR190:CR191" ca="1" si="1429">+CQ190</f>
        <v>#NAME?</v>
      </c>
      <c r="CS190" s="30" t="e">
        <f t="shared" ref="CS190:CS191" ca="1" si="1430">+CR190</f>
        <v>#NAME?</v>
      </c>
      <c r="CT190" s="30" t="e">
        <f t="shared" ref="CT190:CT191" ca="1" si="1431">+CS190</f>
        <v>#NAME?</v>
      </c>
      <c r="CU190" s="30" t="e">
        <f t="shared" ref="CU190:CU191" ca="1" si="1432">+CT190</f>
        <v>#NAME?</v>
      </c>
      <c r="CV190" s="30" t="e">
        <f t="shared" ref="CV190:CV191" ca="1" si="1433">+CU190</f>
        <v>#NAME?</v>
      </c>
      <c r="CW190" s="30" t="e">
        <f t="shared" ref="CW190:CW191" ca="1" si="1434">+CV190</f>
        <v>#NAME?</v>
      </c>
      <c r="CX190" s="30" t="e">
        <f t="shared" ref="CX190:CX191" ca="1" si="1435">+CW190</f>
        <v>#NAME?</v>
      </c>
      <c r="CY190" s="30" t="e">
        <f t="shared" ref="CY190:CY191" ca="1" si="1436">+CX190</f>
        <v>#NAME?</v>
      </c>
      <c r="CZ190" s="30" t="e">
        <f t="shared" ref="CZ190:CZ191" ca="1" si="1437">+CY190</f>
        <v>#NAME?</v>
      </c>
      <c r="DA190" s="30" t="e">
        <f t="shared" ref="DA190:DA191" ca="1" si="1438">+CZ190</f>
        <v>#NAME?</v>
      </c>
      <c r="DB190" s="30" t="e">
        <f t="shared" ref="DB190:DB191" ca="1" si="1439">+DA190</f>
        <v>#NAME?</v>
      </c>
      <c r="DE190" s="139"/>
      <c r="DF190" s="114">
        <v>154.08349553451285</v>
      </c>
    </row>
    <row r="191" spans="1:110" s="62" customFormat="1" outlineLevel="1" x14ac:dyDescent="0.2">
      <c r="A191" s="68" t="s">
        <v>465</v>
      </c>
      <c r="B191" s="67" t="e">
        <f t="shared" ref="B191:AE191" ca="1" si="1440">B156/B19*365</f>
        <v>#NAME?</v>
      </c>
      <c r="C191" s="67" t="e">
        <f t="shared" ca="1" si="1440"/>
        <v>#NAME?</v>
      </c>
      <c r="D191" s="67" t="e">
        <f t="shared" ca="1" si="1440"/>
        <v>#NAME?</v>
      </c>
      <c r="E191" s="67" t="e">
        <f t="shared" ca="1" si="1440"/>
        <v>#NAME?</v>
      </c>
      <c r="F191" s="67" t="e">
        <f t="shared" ca="1" si="1440"/>
        <v>#NAME?</v>
      </c>
      <c r="G191" s="67" t="e">
        <f t="shared" ca="1" si="1440"/>
        <v>#NAME?</v>
      </c>
      <c r="H191" s="67" t="e">
        <f t="shared" ca="1" si="1440"/>
        <v>#NAME?</v>
      </c>
      <c r="I191" s="67" t="e">
        <f t="shared" ca="1" si="1440"/>
        <v>#NAME?</v>
      </c>
      <c r="J191" s="67" t="e">
        <f t="shared" ca="1" si="1440"/>
        <v>#NAME?</v>
      </c>
      <c r="K191" s="67" t="e">
        <f t="shared" ca="1" si="1440"/>
        <v>#NAME?</v>
      </c>
      <c r="L191" s="67" t="e">
        <f t="shared" ca="1" si="1440"/>
        <v>#NAME?</v>
      </c>
      <c r="M191" s="67" t="e">
        <f t="shared" ca="1" si="1440"/>
        <v>#NAME?</v>
      </c>
      <c r="N191" s="67" t="e">
        <f t="shared" ca="1" si="1440"/>
        <v>#NAME?</v>
      </c>
      <c r="O191" s="67" t="e">
        <f t="shared" ca="1" si="1440"/>
        <v>#NAME?</v>
      </c>
      <c r="P191" s="67" t="e">
        <f t="shared" ca="1" si="1440"/>
        <v>#NAME?</v>
      </c>
      <c r="Q191" s="67" t="e">
        <f t="shared" ca="1" si="1440"/>
        <v>#NAME?</v>
      </c>
      <c r="R191" s="67" t="e">
        <f t="shared" ca="1" si="1440"/>
        <v>#NAME?</v>
      </c>
      <c r="S191" s="67" t="e">
        <f t="shared" ca="1" si="1440"/>
        <v>#NAME?</v>
      </c>
      <c r="T191" s="67" t="e">
        <f t="shared" ca="1" si="1440"/>
        <v>#NAME?</v>
      </c>
      <c r="U191" s="67" t="e">
        <f t="shared" ca="1" si="1440"/>
        <v>#NAME?</v>
      </c>
      <c r="V191" s="67" t="e">
        <f t="shared" ca="1" si="1440"/>
        <v>#NAME?</v>
      </c>
      <c r="W191" s="67" t="e">
        <f t="shared" ca="1" si="1440"/>
        <v>#NAME?</v>
      </c>
      <c r="X191" s="67" t="e">
        <f t="shared" ca="1" si="1440"/>
        <v>#NAME?</v>
      </c>
      <c r="Y191" s="67" t="e">
        <f t="shared" ca="1" si="1440"/>
        <v>#NAME?</v>
      </c>
      <c r="Z191" s="67" t="e">
        <f t="shared" ca="1" si="1440"/>
        <v>#NAME?</v>
      </c>
      <c r="AA191" s="67" t="e">
        <f t="shared" ref="AA191" ca="1" si="1441">AA156/AA19*365</f>
        <v>#NAME?</v>
      </c>
      <c r="AB191" s="18" t="e">
        <f t="shared" ca="1" si="1440"/>
        <v>#NAME?</v>
      </c>
      <c r="AC191" s="18" t="e">
        <f t="shared" ca="1" si="1440"/>
        <v>#NAME?</v>
      </c>
      <c r="AD191" s="18" t="e">
        <f t="shared" ca="1" si="1440"/>
        <v>#NAME?</v>
      </c>
      <c r="AE191" s="18" t="e">
        <f t="shared" ca="1" si="1440"/>
        <v>#NAME?</v>
      </c>
      <c r="AI191" s="67" t="e">
        <f ca="1">AJ156/AI19*90</f>
        <v>#NAME?</v>
      </c>
      <c r="AJ191" s="67" t="e">
        <f ca="1">AJ156/AJ19*90</f>
        <v>#NAME?</v>
      </c>
      <c r="AK191" s="67" t="e">
        <f ca="1">+AJ191</f>
        <v>#NAME?</v>
      </c>
      <c r="AL191" s="67" t="e">
        <f ca="1">AL156/AL19*90</f>
        <v>#NAME?</v>
      </c>
      <c r="AM191" s="67" t="e">
        <f t="shared" ca="1" si="1400"/>
        <v>#NAME?</v>
      </c>
      <c r="AN191" s="67" t="e">
        <f ca="1">AN156/AN19*90</f>
        <v>#NAME?</v>
      </c>
      <c r="AO191" s="67" t="e">
        <f t="shared" ca="1" si="1401"/>
        <v>#NAME?</v>
      </c>
      <c r="AP191" s="67" t="e">
        <f ca="1">AP156/AP19*90</f>
        <v>#NAME?</v>
      </c>
      <c r="AQ191" s="67" t="e">
        <f t="shared" ca="1" si="1402"/>
        <v>#NAME?</v>
      </c>
      <c r="AR191" s="67" t="e">
        <f ca="1">AR156/AR19*90</f>
        <v>#NAME?</v>
      </c>
      <c r="AS191" s="67" t="e">
        <f t="shared" ca="1" si="1403"/>
        <v>#NAME?</v>
      </c>
      <c r="AT191" s="67" t="e">
        <f ca="1">AT156/AT19*90</f>
        <v>#NAME?</v>
      </c>
      <c r="AU191" s="67" t="e">
        <f t="shared" ca="1" si="1404"/>
        <v>#NAME?</v>
      </c>
      <c r="AV191" s="67" t="e">
        <f ca="1">AV156/AV19*90</f>
        <v>#NAME?</v>
      </c>
      <c r="AW191" s="67" t="e">
        <f t="shared" ca="1" si="1405"/>
        <v>#NAME?</v>
      </c>
      <c r="AX191" s="67" t="e">
        <f ca="1">AX156/AX19*90</f>
        <v>#NAME?</v>
      </c>
      <c r="AY191" s="67" t="e">
        <f t="shared" ca="1" si="1406"/>
        <v>#NAME?</v>
      </c>
      <c r="AZ191" s="67" t="e">
        <f ca="1">AZ156/AZ19*90</f>
        <v>#NAME?</v>
      </c>
      <c r="BA191" s="67" t="e">
        <f t="shared" ca="1" si="1407"/>
        <v>#NAME?</v>
      </c>
      <c r="BB191" s="67" t="e">
        <f ca="1">BB156/BB19*90</f>
        <v>#NAME?</v>
      </c>
      <c r="BC191" s="67" t="e">
        <f t="shared" ca="1" si="1408"/>
        <v>#NAME?</v>
      </c>
      <c r="BD191" s="67" t="e">
        <f ca="1">BD156/BD19*90</f>
        <v>#NAME?</v>
      </c>
      <c r="BE191" s="67" t="e">
        <f t="shared" ca="1" si="1409"/>
        <v>#NAME?</v>
      </c>
      <c r="BF191" s="67" t="e">
        <f ca="1">BF156/BF19*90</f>
        <v>#NAME?</v>
      </c>
      <c r="BG191" s="67" t="e">
        <f t="shared" ca="1" si="1410"/>
        <v>#NAME?</v>
      </c>
      <c r="BH191" s="67" t="e">
        <f ca="1">BH156/BH19*90</f>
        <v>#NAME?</v>
      </c>
      <c r="BI191" s="67" t="e">
        <f t="shared" ca="1" si="1411"/>
        <v>#NAME?</v>
      </c>
      <c r="BJ191" s="67" t="e">
        <f ca="1">BJ156/BJ19*90</f>
        <v>#NAME?</v>
      </c>
      <c r="BK191" s="67" t="e">
        <f t="shared" ca="1" si="1412"/>
        <v>#NAME?</v>
      </c>
      <c r="BL191" s="67" t="e">
        <f ca="1">BL156/BL19*90</f>
        <v>#NAME?</v>
      </c>
      <c r="BM191" s="67" t="e">
        <f t="shared" ca="1" si="1413"/>
        <v>#NAME?</v>
      </c>
      <c r="BN191" s="67" t="e">
        <f ca="1">BN156/BN19*90</f>
        <v>#NAME?</v>
      </c>
      <c r="BO191" s="67" t="e">
        <f t="shared" ca="1" si="1414"/>
        <v>#NAME?</v>
      </c>
      <c r="BP191" s="67" t="e">
        <f ca="1">BP156/BP19*90</f>
        <v>#NAME?</v>
      </c>
      <c r="BQ191" s="67" t="e">
        <f t="shared" ca="1" si="1415"/>
        <v>#NAME?</v>
      </c>
      <c r="BR191" s="67" t="e">
        <f ca="1">BR156/BR19*90</f>
        <v>#NAME?</v>
      </c>
      <c r="BS191" s="67" t="e">
        <f t="shared" ca="1" si="1416"/>
        <v>#NAME?</v>
      </c>
      <c r="BT191" s="67" t="e">
        <f ca="1">BT156/BT19*90</f>
        <v>#NAME?</v>
      </c>
      <c r="BU191" s="67" t="e">
        <f t="shared" ca="1" si="1417"/>
        <v>#NAME?</v>
      </c>
      <c r="BV191" s="67" t="e">
        <f ca="1">BV156/BV19*90</f>
        <v>#NAME?</v>
      </c>
      <c r="BW191" s="67" t="e">
        <f t="shared" ca="1" si="1418"/>
        <v>#NAME?</v>
      </c>
      <c r="BX191" s="67" t="e">
        <f ca="1">BX156/BX19*90</f>
        <v>#NAME?</v>
      </c>
      <c r="BY191" s="67" t="e">
        <f t="shared" ca="1" si="1419"/>
        <v>#NAME?</v>
      </c>
      <c r="BZ191" s="67" t="e">
        <f ca="1">BZ156/BZ19*90</f>
        <v>#NAME?</v>
      </c>
      <c r="CA191" s="67" t="e">
        <f t="shared" ca="1" si="1420"/>
        <v>#NAME?</v>
      </c>
      <c r="CB191" s="67" t="e">
        <f ca="1">CB156/CB19*90</f>
        <v>#NAME?</v>
      </c>
      <c r="CC191" s="67" t="e">
        <f t="shared" ca="1" si="1421"/>
        <v>#NAME?</v>
      </c>
      <c r="CD191" s="67" t="e">
        <f ca="1">CD156/CD19*90</f>
        <v>#NAME?</v>
      </c>
      <c r="CE191" s="114" t="e">
        <f t="shared" ref="CE191" ca="1" si="1442">+CD191</f>
        <v>#NAME?</v>
      </c>
      <c r="CF191" s="67" t="e">
        <f ca="1">CF156/CF19*90</f>
        <v>#NAME?</v>
      </c>
      <c r="CG191" s="67" t="e">
        <f t="shared" ca="1" si="1422"/>
        <v>#NAME?</v>
      </c>
      <c r="CH191" s="67" t="e">
        <f ca="1">CH156/CH19*90</f>
        <v>#NAME?</v>
      </c>
      <c r="CI191" s="67" t="e">
        <f t="shared" ca="1" si="1422"/>
        <v>#NAME?</v>
      </c>
      <c r="CJ191" s="67" t="e">
        <f ca="1">CJ156/CJ19*90</f>
        <v>#NAME?</v>
      </c>
      <c r="CK191" s="67" t="e">
        <f t="shared" ca="1" si="1423"/>
        <v>#NAME?</v>
      </c>
      <c r="CL191" s="67" t="e">
        <f ca="1">CL156/CL19*90</f>
        <v>#NAME?</v>
      </c>
      <c r="CM191" s="30" t="e">
        <f t="shared" ca="1" si="1424"/>
        <v>#NAME?</v>
      </c>
      <c r="CN191" s="30" t="e">
        <f t="shared" ca="1" si="1425"/>
        <v>#NAME?</v>
      </c>
      <c r="CO191" s="30" t="e">
        <f t="shared" ca="1" si="1426"/>
        <v>#NAME?</v>
      </c>
      <c r="CP191" s="30" t="e">
        <f t="shared" ca="1" si="1427"/>
        <v>#NAME?</v>
      </c>
      <c r="CQ191" s="30" t="e">
        <f t="shared" ca="1" si="1428"/>
        <v>#NAME?</v>
      </c>
      <c r="CR191" s="30" t="e">
        <f t="shared" ca="1" si="1429"/>
        <v>#NAME?</v>
      </c>
      <c r="CS191" s="30" t="e">
        <f t="shared" ca="1" si="1430"/>
        <v>#NAME?</v>
      </c>
      <c r="CT191" s="30" t="e">
        <f t="shared" ca="1" si="1431"/>
        <v>#NAME?</v>
      </c>
      <c r="CU191" s="30" t="e">
        <f t="shared" ca="1" si="1432"/>
        <v>#NAME?</v>
      </c>
      <c r="CV191" s="30" t="e">
        <f t="shared" ca="1" si="1433"/>
        <v>#NAME?</v>
      </c>
      <c r="CW191" s="30" t="e">
        <f t="shared" ca="1" si="1434"/>
        <v>#NAME?</v>
      </c>
      <c r="CX191" s="30" t="e">
        <f t="shared" ca="1" si="1435"/>
        <v>#NAME?</v>
      </c>
      <c r="CY191" s="30" t="e">
        <f t="shared" ca="1" si="1436"/>
        <v>#NAME?</v>
      </c>
      <c r="CZ191" s="30" t="e">
        <f t="shared" ca="1" si="1437"/>
        <v>#NAME?</v>
      </c>
      <c r="DA191" s="30" t="e">
        <f t="shared" ca="1" si="1438"/>
        <v>#NAME?</v>
      </c>
      <c r="DB191" s="30" t="e">
        <f t="shared" ca="1" si="1439"/>
        <v>#NAME?</v>
      </c>
      <c r="DE191" s="139"/>
      <c r="DF191" s="114">
        <v>52.931864552105694</v>
      </c>
    </row>
    <row r="192" spans="1:110" s="62" customFormat="1" outlineLevel="1" x14ac:dyDescent="0.2">
      <c r="A192" s="68" t="s">
        <v>466</v>
      </c>
      <c r="B192" s="67" t="e">
        <f ca="1">B193-B191-B190</f>
        <v>#NAME?</v>
      </c>
      <c r="C192" s="67" t="e">
        <f t="shared" ref="C192:U192" ca="1" si="1443">C193-C191-C190</f>
        <v>#NAME?</v>
      </c>
      <c r="D192" s="67" t="e">
        <f t="shared" ca="1" si="1443"/>
        <v>#NAME?</v>
      </c>
      <c r="E192" s="67" t="e">
        <f t="shared" ca="1" si="1443"/>
        <v>#NAME?</v>
      </c>
      <c r="F192" s="67" t="e">
        <f t="shared" ca="1" si="1443"/>
        <v>#NAME?</v>
      </c>
      <c r="G192" s="67" t="e">
        <f t="shared" ca="1" si="1443"/>
        <v>#NAME?</v>
      </c>
      <c r="H192" s="67" t="e">
        <f t="shared" ca="1" si="1443"/>
        <v>#NAME?</v>
      </c>
      <c r="I192" s="67" t="e">
        <f t="shared" ca="1" si="1443"/>
        <v>#NAME?</v>
      </c>
      <c r="J192" s="67" t="e">
        <f t="shared" ca="1" si="1443"/>
        <v>#NAME?</v>
      </c>
      <c r="K192" s="67" t="e">
        <f t="shared" ca="1" si="1443"/>
        <v>#NAME?</v>
      </c>
      <c r="L192" s="67" t="e">
        <f t="shared" ca="1" si="1443"/>
        <v>#NAME?</v>
      </c>
      <c r="M192" s="67" t="e">
        <f t="shared" ca="1" si="1443"/>
        <v>#NAME?</v>
      </c>
      <c r="N192" s="67" t="e">
        <f t="shared" ca="1" si="1443"/>
        <v>#NAME?</v>
      </c>
      <c r="O192" s="67" t="e">
        <f t="shared" ca="1" si="1443"/>
        <v>#NAME?</v>
      </c>
      <c r="P192" s="67" t="e">
        <f t="shared" ca="1" si="1443"/>
        <v>#NAME?</v>
      </c>
      <c r="Q192" s="67" t="e">
        <f t="shared" ca="1" si="1443"/>
        <v>#NAME?</v>
      </c>
      <c r="R192" s="67" t="e">
        <f t="shared" ca="1" si="1443"/>
        <v>#NAME?</v>
      </c>
      <c r="S192" s="67" t="e">
        <f t="shared" ca="1" si="1443"/>
        <v>#NAME?</v>
      </c>
      <c r="T192" s="67" t="e">
        <f t="shared" ca="1" si="1443"/>
        <v>#NAME?</v>
      </c>
      <c r="U192" s="67" t="e">
        <f t="shared" ca="1" si="1443"/>
        <v>#NAME?</v>
      </c>
      <c r="V192" s="67" t="e">
        <f ca="1">V193-V191-V190</f>
        <v>#NAME?</v>
      </c>
      <c r="W192" s="67" t="e">
        <f t="shared" ref="W192" ca="1" si="1444">W193-W191-W190</f>
        <v>#NAME?</v>
      </c>
      <c r="X192" s="67" t="e">
        <f t="shared" ref="X192:Y192" ca="1" si="1445">X193-X191-X190</f>
        <v>#NAME?</v>
      </c>
      <c r="Y192" s="67" t="e">
        <f t="shared" ca="1" si="1445"/>
        <v>#NAME?</v>
      </c>
      <c r="Z192" s="67" t="e">
        <f t="shared" ref="Z192:AA192" ca="1" si="1446">Z193-Z191-Z190</f>
        <v>#NAME?</v>
      </c>
      <c r="AA192" s="67" t="e">
        <f t="shared" ca="1" si="1446"/>
        <v>#NAME?</v>
      </c>
      <c r="AB192" s="18" t="e">
        <f t="shared" ref="AA192:AD192" ca="1" si="1447">AB193-AB191-AB190</f>
        <v>#NAME?</v>
      </c>
      <c r="AC192" s="18" t="e">
        <f t="shared" ca="1" si="1447"/>
        <v>#NAME?</v>
      </c>
      <c r="AD192" s="18" t="e">
        <f t="shared" ca="1" si="1447"/>
        <v>#NAME?</v>
      </c>
      <c r="AE192" s="18" t="e">
        <f t="shared" ref="AE192" ca="1" si="1448">AE193-AE191-AE190</f>
        <v>#NAME?</v>
      </c>
      <c r="AI192" s="67" t="e">
        <f t="shared" ref="AI192:AK192" ca="1" si="1449">AI193-AI191-AI190</f>
        <v>#NAME?</v>
      </c>
      <c r="AJ192" s="67" t="e">
        <f t="shared" ref="AJ192:AM192" ca="1" si="1450">AJ193-AJ191-AJ190</f>
        <v>#NAME?</v>
      </c>
      <c r="AK192" s="67" t="e">
        <f t="shared" ca="1" si="1449"/>
        <v>#NAME?</v>
      </c>
      <c r="AL192" s="67" t="e">
        <f t="shared" ca="1" si="1450"/>
        <v>#NAME?</v>
      </c>
      <c r="AM192" s="67" t="e">
        <f t="shared" ca="1" si="1450"/>
        <v>#NAME?</v>
      </c>
      <c r="AN192" s="67" t="e">
        <f t="shared" ref="AN192:AY192" ca="1" si="1451">AN193-AN191-AN190</f>
        <v>#NAME?</v>
      </c>
      <c r="AO192" s="67" t="e">
        <f t="shared" ca="1" si="1451"/>
        <v>#NAME?</v>
      </c>
      <c r="AP192" s="67" t="e">
        <f t="shared" ca="1" si="1451"/>
        <v>#NAME?</v>
      </c>
      <c r="AQ192" s="67" t="e">
        <f t="shared" ca="1" si="1451"/>
        <v>#NAME?</v>
      </c>
      <c r="AR192" s="67" t="e">
        <f t="shared" ca="1" si="1451"/>
        <v>#NAME?</v>
      </c>
      <c r="AS192" s="67" t="e">
        <f t="shared" ca="1" si="1451"/>
        <v>#NAME?</v>
      </c>
      <c r="AT192" s="67" t="e">
        <f t="shared" ca="1" si="1451"/>
        <v>#NAME?</v>
      </c>
      <c r="AU192" s="67" t="e">
        <f t="shared" ca="1" si="1451"/>
        <v>#NAME?</v>
      </c>
      <c r="AV192" s="67" t="e">
        <f t="shared" ca="1" si="1451"/>
        <v>#NAME?</v>
      </c>
      <c r="AW192" s="67" t="e">
        <f t="shared" ca="1" si="1451"/>
        <v>#NAME?</v>
      </c>
      <c r="AX192" s="67" t="e">
        <f t="shared" ca="1" si="1451"/>
        <v>#NAME?</v>
      </c>
      <c r="AY192" s="67" t="e">
        <f t="shared" ca="1" si="1451"/>
        <v>#NAME?</v>
      </c>
      <c r="AZ192" s="67" t="e">
        <f t="shared" ref="AZ192:BC192" ca="1" si="1452">AZ193-AZ191-AZ190</f>
        <v>#NAME?</v>
      </c>
      <c r="BA192" s="67" t="e">
        <f t="shared" ca="1" si="1452"/>
        <v>#NAME?</v>
      </c>
      <c r="BB192" s="67" t="e">
        <f t="shared" ca="1" si="1452"/>
        <v>#NAME?</v>
      </c>
      <c r="BC192" s="67" t="e">
        <f t="shared" ca="1" si="1452"/>
        <v>#NAME?</v>
      </c>
      <c r="BD192" s="67" t="e">
        <f t="shared" ref="BD192:CE192" ca="1" si="1453">BD193-BD191-BD190</f>
        <v>#NAME?</v>
      </c>
      <c r="BE192" s="67" t="e">
        <f t="shared" ca="1" si="1453"/>
        <v>#NAME?</v>
      </c>
      <c r="BF192" s="67" t="e">
        <f t="shared" ca="1" si="1453"/>
        <v>#NAME?</v>
      </c>
      <c r="BG192" s="67" t="e">
        <f t="shared" ca="1" si="1453"/>
        <v>#NAME?</v>
      </c>
      <c r="BH192" s="67" t="e">
        <f t="shared" ca="1" si="1453"/>
        <v>#NAME?</v>
      </c>
      <c r="BI192" s="67" t="e">
        <f t="shared" ca="1" si="1453"/>
        <v>#NAME?</v>
      </c>
      <c r="BJ192" s="67" t="e">
        <f t="shared" ca="1" si="1453"/>
        <v>#NAME?</v>
      </c>
      <c r="BK192" s="67" t="e">
        <f t="shared" ca="1" si="1453"/>
        <v>#NAME?</v>
      </c>
      <c r="BL192" s="67" t="e">
        <f t="shared" ca="1" si="1453"/>
        <v>#NAME?</v>
      </c>
      <c r="BM192" s="67" t="e">
        <f t="shared" ca="1" si="1453"/>
        <v>#NAME?</v>
      </c>
      <c r="BN192" s="67" t="e">
        <f t="shared" ca="1" si="1453"/>
        <v>#NAME?</v>
      </c>
      <c r="BO192" s="67" t="e">
        <f t="shared" ca="1" si="1453"/>
        <v>#NAME?</v>
      </c>
      <c r="BP192" s="67" t="e">
        <f t="shared" ca="1" si="1453"/>
        <v>#NAME?</v>
      </c>
      <c r="BQ192" s="67" t="e">
        <f t="shared" ca="1" si="1453"/>
        <v>#NAME?</v>
      </c>
      <c r="BR192" s="67" t="e">
        <f t="shared" ca="1" si="1453"/>
        <v>#NAME?</v>
      </c>
      <c r="BS192" s="67" t="e">
        <f t="shared" ca="1" si="1453"/>
        <v>#NAME?</v>
      </c>
      <c r="BT192" s="67" t="e">
        <f t="shared" ca="1" si="1453"/>
        <v>#NAME?</v>
      </c>
      <c r="BU192" s="67" t="e">
        <f t="shared" ca="1" si="1453"/>
        <v>#NAME?</v>
      </c>
      <c r="BV192" s="67" t="e">
        <f t="shared" ca="1" si="1453"/>
        <v>#NAME?</v>
      </c>
      <c r="BW192" s="67" t="e">
        <f t="shared" ca="1" si="1453"/>
        <v>#NAME?</v>
      </c>
      <c r="BX192" s="67" t="e">
        <f t="shared" ca="1" si="1453"/>
        <v>#NAME?</v>
      </c>
      <c r="BY192" s="67" t="e">
        <f t="shared" ca="1" si="1453"/>
        <v>#NAME?</v>
      </c>
      <c r="BZ192" s="67" t="e">
        <f t="shared" ca="1" si="1453"/>
        <v>#NAME?</v>
      </c>
      <c r="CA192" s="67" t="e">
        <f t="shared" ca="1" si="1453"/>
        <v>#NAME?</v>
      </c>
      <c r="CB192" s="67" t="e">
        <f t="shared" ca="1" si="1453"/>
        <v>#NAME?</v>
      </c>
      <c r="CC192" s="67" t="e">
        <f t="shared" ca="1" si="1453"/>
        <v>#NAME?</v>
      </c>
      <c r="CD192" s="67" t="e">
        <f t="shared" ca="1" si="1453"/>
        <v>#NAME?</v>
      </c>
      <c r="CE192" s="114" t="e">
        <f t="shared" ca="1" si="1453"/>
        <v>#NAME?</v>
      </c>
      <c r="CF192" s="67" t="e">
        <f t="shared" ref="CF192:CG192" ca="1" si="1454">CF193-CF191-CF190</f>
        <v>#NAME?</v>
      </c>
      <c r="CG192" s="67" t="e">
        <f t="shared" ca="1" si="1454"/>
        <v>#NAME?</v>
      </c>
      <c r="CH192" s="67" t="e">
        <f t="shared" ref="CH192" ca="1" si="1455">CH193-CH191-CH190</f>
        <v>#NAME?</v>
      </c>
      <c r="CI192" s="67" t="e">
        <f ca="1">CH192</f>
        <v>#NAME?</v>
      </c>
      <c r="CJ192" s="67" t="e">
        <f t="shared" ref="CJ192:CL192" ca="1" si="1456">CJ193-CJ191-CJ190</f>
        <v>#NAME?</v>
      </c>
      <c r="CK192" s="67" t="e">
        <f t="shared" ref="CK192:DB192" ca="1" si="1457">CJ192</f>
        <v>#NAME?</v>
      </c>
      <c r="CL192" s="67" t="e">
        <f t="shared" ca="1" si="1456"/>
        <v>#NAME?</v>
      </c>
      <c r="CM192" s="30" t="e">
        <f t="shared" ca="1" si="1457"/>
        <v>#NAME?</v>
      </c>
      <c r="CN192" s="30" t="e">
        <f t="shared" ca="1" si="1457"/>
        <v>#NAME?</v>
      </c>
      <c r="CO192" s="30" t="e">
        <f t="shared" ca="1" si="1457"/>
        <v>#NAME?</v>
      </c>
      <c r="CP192" s="30" t="e">
        <f t="shared" ca="1" si="1457"/>
        <v>#NAME?</v>
      </c>
      <c r="CQ192" s="30" t="e">
        <f t="shared" ca="1" si="1457"/>
        <v>#NAME?</v>
      </c>
      <c r="CR192" s="30" t="e">
        <f t="shared" ca="1" si="1457"/>
        <v>#NAME?</v>
      </c>
      <c r="CS192" s="30" t="e">
        <f t="shared" ca="1" si="1457"/>
        <v>#NAME?</v>
      </c>
      <c r="CT192" s="30" t="e">
        <f t="shared" ca="1" si="1457"/>
        <v>#NAME?</v>
      </c>
      <c r="CU192" s="30" t="e">
        <f t="shared" ca="1" si="1457"/>
        <v>#NAME?</v>
      </c>
      <c r="CV192" s="30" t="e">
        <f t="shared" ca="1" si="1457"/>
        <v>#NAME?</v>
      </c>
      <c r="CW192" s="30" t="e">
        <f t="shared" ca="1" si="1457"/>
        <v>#NAME?</v>
      </c>
      <c r="CX192" s="30" t="e">
        <f t="shared" ca="1" si="1457"/>
        <v>#NAME?</v>
      </c>
      <c r="CY192" s="30" t="e">
        <f t="shared" ca="1" si="1457"/>
        <v>#NAME?</v>
      </c>
      <c r="CZ192" s="30" t="e">
        <f t="shared" ca="1" si="1457"/>
        <v>#NAME?</v>
      </c>
      <c r="DA192" s="30" t="e">
        <f t="shared" ca="1" si="1457"/>
        <v>#NAME?</v>
      </c>
      <c r="DB192" s="30" t="e">
        <f t="shared" ca="1" si="1457"/>
        <v>#NAME?</v>
      </c>
      <c r="DE192" s="139"/>
      <c r="DF192" s="114">
        <v>53.879309805296032</v>
      </c>
    </row>
    <row r="193" spans="1:110" s="7" customFormat="1" outlineLevel="1" x14ac:dyDescent="0.2">
      <c r="A193" s="69" t="s">
        <v>467</v>
      </c>
      <c r="B193" s="70" t="e">
        <f t="shared" ref="B193:AE193" ca="1" si="1458">B159/B19*365</f>
        <v>#NAME?</v>
      </c>
      <c r="C193" s="70" t="e">
        <f t="shared" ca="1" si="1458"/>
        <v>#NAME?</v>
      </c>
      <c r="D193" s="70" t="e">
        <f t="shared" ca="1" si="1458"/>
        <v>#NAME?</v>
      </c>
      <c r="E193" s="70" t="e">
        <f t="shared" ca="1" si="1458"/>
        <v>#NAME?</v>
      </c>
      <c r="F193" s="70" t="e">
        <f t="shared" ca="1" si="1458"/>
        <v>#NAME?</v>
      </c>
      <c r="G193" s="70" t="e">
        <f t="shared" ca="1" si="1458"/>
        <v>#NAME?</v>
      </c>
      <c r="H193" s="70" t="e">
        <f t="shared" ca="1" si="1458"/>
        <v>#NAME?</v>
      </c>
      <c r="I193" s="70" t="e">
        <f t="shared" ca="1" si="1458"/>
        <v>#NAME?</v>
      </c>
      <c r="J193" s="70" t="e">
        <f t="shared" ca="1" si="1458"/>
        <v>#NAME?</v>
      </c>
      <c r="K193" s="70" t="e">
        <f t="shared" ca="1" si="1458"/>
        <v>#NAME?</v>
      </c>
      <c r="L193" s="70" t="e">
        <f t="shared" ca="1" si="1458"/>
        <v>#NAME?</v>
      </c>
      <c r="M193" s="70" t="e">
        <f t="shared" ca="1" si="1458"/>
        <v>#NAME?</v>
      </c>
      <c r="N193" s="70" t="e">
        <f t="shared" ca="1" si="1458"/>
        <v>#NAME?</v>
      </c>
      <c r="O193" s="70" t="e">
        <f t="shared" ca="1" si="1458"/>
        <v>#NAME?</v>
      </c>
      <c r="P193" s="70" t="e">
        <f t="shared" ca="1" si="1458"/>
        <v>#NAME?</v>
      </c>
      <c r="Q193" s="70" t="e">
        <f t="shared" ca="1" si="1458"/>
        <v>#NAME?</v>
      </c>
      <c r="R193" s="70" t="e">
        <f t="shared" ca="1" si="1458"/>
        <v>#NAME?</v>
      </c>
      <c r="S193" s="70" t="e">
        <f t="shared" ca="1" si="1458"/>
        <v>#NAME?</v>
      </c>
      <c r="T193" s="70" t="e">
        <f t="shared" ca="1" si="1458"/>
        <v>#NAME?</v>
      </c>
      <c r="U193" s="70" t="e">
        <f t="shared" ca="1" si="1458"/>
        <v>#NAME?</v>
      </c>
      <c r="V193" s="70" t="e">
        <f t="shared" ca="1" si="1458"/>
        <v>#NAME?</v>
      </c>
      <c r="W193" s="70" t="e">
        <f t="shared" ca="1" si="1458"/>
        <v>#NAME?</v>
      </c>
      <c r="X193" s="70" t="e">
        <f t="shared" ca="1" si="1458"/>
        <v>#NAME?</v>
      </c>
      <c r="Y193" s="70" t="e">
        <f t="shared" ca="1" si="1458"/>
        <v>#NAME?</v>
      </c>
      <c r="Z193" s="70" t="e">
        <f t="shared" ca="1" si="1458"/>
        <v>#NAME?</v>
      </c>
      <c r="AA193" s="70" t="e">
        <f t="shared" ref="AA193" ca="1" si="1459">AA159/AA19*365</f>
        <v>#NAME?</v>
      </c>
      <c r="AB193" s="71" t="e">
        <f t="shared" ca="1" si="1458"/>
        <v>#NAME?</v>
      </c>
      <c r="AC193" s="71" t="e">
        <f t="shared" ca="1" si="1458"/>
        <v>#NAME?</v>
      </c>
      <c r="AD193" s="71" t="e">
        <f t="shared" ca="1" si="1458"/>
        <v>#NAME?</v>
      </c>
      <c r="AE193" s="71" t="e">
        <f t="shared" ca="1" si="1458"/>
        <v>#NAME?</v>
      </c>
      <c r="AI193" s="70" t="e">
        <f t="shared" ref="AI193:CD193" ca="1" si="1460">AI159/AI19*90</f>
        <v>#NAME?</v>
      </c>
      <c r="AJ193" s="70" t="e">
        <f t="shared" ca="1" si="1460"/>
        <v>#NAME?</v>
      </c>
      <c r="AK193" s="70" t="e">
        <f t="shared" ca="1" si="1460"/>
        <v>#NAME?</v>
      </c>
      <c r="AL193" s="70" t="e">
        <f t="shared" ca="1" si="1460"/>
        <v>#NAME?</v>
      </c>
      <c r="AM193" s="70" t="e">
        <f t="shared" ca="1" si="1460"/>
        <v>#NAME?</v>
      </c>
      <c r="AN193" s="70" t="e">
        <f t="shared" ca="1" si="1460"/>
        <v>#NAME?</v>
      </c>
      <c r="AO193" s="70" t="e">
        <f t="shared" ca="1" si="1460"/>
        <v>#NAME?</v>
      </c>
      <c r="AP193" s="70" t="e">
        <f t="shared" ca="1" si="1460"/>
        <v>#NAME?</v>
      </c>
      <c r="AQ193" s="70" t="e">
        <f t="shared" ca="1" si="1460"/>
        <v>#NAME?</v>
      </c>
      <c r="AR193" s="70" t="e">
        <f t="shared" ca="1" si="1460"/>
        <v>#NAME?</v>
      </c>
      <c r="AS193" s="70" t="e">
        <f t="shared" ca="1" si="1460"/>
        <v>#NAME?</v>
      </c>
      <c r="AT193" s="70" t="e">
        <f t="shared" ca="1" si="1460"/>
        <v>#NAME?</v>
      </c>
      <c r="AU193" s="70" t="e">
        <f t="shared" ca="1" si="1460"/>
        <v>#NAME?</v>
      </c>
      <c r="AV193" s="70" t="e">
        <f t="shared" ca="1" si="1460"/>
        <v>#NAME?</v>
      </c>
      <c r="AW193" s="70" t="e">
        <f t="shared" ca="1" si="1460"/>
        <v>#NAME?</v>
      </c>
      <c r="AX193" s="70" t="e">
        <f t="shared" ca="1" si="1460"/>
        <v>#NAME?</v>
      </c>
      <c r="AY193" s="70" t="e">
        <f t="shared" ca="1" si="1460"/>
        <v>#NAME?</v>
      </c>
      <c r="AZ193" s="70" t="e">
        <f t="shared" ca="1" si="1460"/>
        <v>#NAME?</v>
      </c>
      <c r="BA193" s="70" t="e">
        <f t="shared" ca="1" si="1460"/>
        <v>#NAME?</v>
      </c>
      <c r="BB193" s="70" t="e">
        <f t="shared" ca="1" si="1460"/>
        <v>#NAME?</v>
      </c>
      <c r="BC193" s="70" t="e">
        <f t="shared" ca="1" si="1460"/>
        <v>#NAME?</v>
      </c>
      <c r="BD193" s="70" t="e">
        <f t="shared" ca="1" si="1460"/>
        <v>#NAME?</v>
      </c>
      <c r="BE193" s="70" t="e">
        <f t="shared" ca="1" si="1460"/>
        <v>#NAME?</v>
      </c>
      <c r="BF193" s="70" t="e">
        <f t="shared" ca="1" si="1460"/>
        <v>#NAME?</v>
      </c>
      <c r="BG193" s="70" t="e">
        <f t="shared" ca="1" si="1460"/>
        <v>#NAME?</v>
      </c>
      <c r="BH193" s="70" t="e">
        <f t="shared" ca="1" si="1460"/>
        <v>#NAME?</v>
      </c>
      <c r="BI193" s="70" t="e">
        <f t="shared" ca="1" si="1460"/>
        <v>#NAME?</v>
      </c>
      <c r="BJ193" s="70" t="e">
        <f t="shared" ca="1" si="1460"/>
        <v>#NAME?</v>
      </c>
      <c r="BK193" s="70" t="e">
        <f t="shared" ca="1" si="1460"/>
        <v>#NAME?</v>
      </c>
      <c r="BL193" s="70" t="e">
        <f t="shared" ca="1" si="1460"/>
        <v>#NAME?</v>
      </c>
      <c r="BM193" s="70" t="e">
        <f t="shared" ca="1" si="1460"/>
        <v>#NAME?</v>
      </c>
      <c r="BN193" s="70" t="e">
        <f t="shared" ca="1" si="1460"/>
        <v>#NAME?</v>
      </c>
      <c r="BO193" s="70" t="e">
        <f t="shared" ca="1" si="1460"/>
        <v>#NAME?</v>
      </c>
      <c r="BP193" s="70" t="e">
        <f t="shared" ca="1" si="1460"/>
        <v>#NAME?</v>
      </c>
      <c r="BQ193" s="70" t="e">
        <f t="shared" ca="1" si="1460"/>
        <v>#NAME?</v>
      </c>
      <c r="BR193" s="70" t="e">
        <f t="shared" ca="1" si="1460"/>
        <v>#NAME?</v>
      </c>
      <c r="BS193" s="70" t="e">
        <f t="shared" ca="1" si="1460"/>
        <v>#NAME?</v>
      </c>
      <c r="BT193" s="70" t="e">
        <f t="shared" ca="1" si="1460"/>
        <v>#NAME?</v>
      </c>
      <c r="BU193" s="70" t="e">
        <f t="shared" ca="1" si="1460"/>
        <v>#NAME?</v>
      </c>
      <c r="BV193" s="70" t="e">
        <f t="shared" ca="1" si="1460"/>
        <v>#NAME?</v>
      </c>
      <c r="BW193" s="70" t="e">
        <f t="shared" ca="1" si="1460"/>
        <v>#NAME?</v>
      </c>
      <c r="BX193" s="70" t="e">
        <f t="shared" ca="1" si="1460"/>
        <v>#NAME?</v>
      </c>
      <c r="BY193" s="70" t="e">
        <f t="shared" ca="1" si="1460"/>
        <v>#NAME?</v>
      </c>
      <c r="BZ193" s="70" t="e">
        <f t="shared" ca="1" si="1460"/>
        <v>#NAME?</v>
      </c>
      <c r="CA193" s="70" t="e">
        <f t="shared" ca="1" si="1460"/>
        <v>#NAME?</v>
      </c>
      <c r="CB193" s="70" t="e">
        <f t="shared" ca="1" si="1460"/>
        <v>#NAME?</v>
      </c>
      <c r="CC193" s="70" t="e">
        <f t="shared" ca="1" si="1460"/>
        <v>#NAME?</v>
      </c>
      <c r="CD193" s="70" t="e">
        <f t="shared" ca="1" si="1460"/>
        <v>#NAME?</v>
      </c>
      <c r="CE193" s="115" t="e">
        <f ca="1">CE159/CE21*90</f>
        <v>#NAME?</v>
      </c>
      <c r="CF193" s="70" t="e">
        <f ca="1">CF159/CF19*90</f>
        <v>#NAME?</v>
      </c>
      <c r="CG193" s="70" t="e">
        <f ca="1">CG159/CG21*90</f>
        <v>#NAME?</v>
      </c>
      <c r="CH193" s="70" t="e">
        <f ca="1">CH159/CH19*90</f>
        <v>#NAME?</v>
      </c>
      <c r="CI193" s="70" t="e">
        <f ca="1">CI190+CI191+CI192</f>
        <v>#NAME?</v>
      </c>
      <c r="CJ193" s="70" t="e">
        <f ca="1">CJ159/CJ19*90</f>
        <v>#NAME?</v>
      </c>
      <c r="CK193" s="70" t="e">
        <f t="shared" ref="CK193:DB193" ca="1" si="1461">CK190+CK191+CK192</f>
        <v>#NAME?</v>
      </c>
      <c r="CL193" s="70" t="e">
        <f ca="1">CL159/CL19*90</f>
        <v>#NAME?</v>
      </c>
      <c r="CM193" s="50" t="e">
        <f t="shared" ca="1" si="1461"/>
        <v>#NAME?</v>
      </c>
      <c r="CN193" s="50" t="e">
        <f t="shared" ca="1" si="1461"/>
        <v>#NAME?</v>
      </c>
      <c r="CO193" s="50" t="e">
        <f t="shared" ca="1" si="1461"/>
        <v>#NAME?</v>
      </c>
      <c r="CP193" s="50" t="e">
        <f t="shared" ca="1" si="1461"/>
        <v>#NAME?</v>
      </c>
      <c r="CQ193" s="50" t="e">
        <f t="shared" ca="1" si="1461"/>
        <v>#NAME?</v>
      </c>
      <c r="CR193" s="50" t="e">
        <f t="shared" ca="1" si="1461"/>
        <v>#NAME?</v>
      </c>
      <c r="CS193" s="50" t="e">
        <f t="shared" ca="1" si="1461"/>
        <v>#NAME?</v>
      </c>
      <c r="CT193" s="50" t="e">
        <f t="shared" ca="1" si="1461"/>
        <v>#NAME?</v>
      </c>
      <c r="CU193" s="50" t="e">
        <f t="shared" ca="1" si="1461"/>
        <v>#NAME?</v>
      </c>
      <c r="CV193" s="50" t="e">
        <f t="shared" ca="1" si="1461"/>
        <v>#NAME?</v>
      </c>
      <c r="CW193" s="50" t="e">
        <f t="shared" ca="1" si="1461"/>
        <v>#NAME?</v>
      </c>
      <c r="CX193" s="50" t="e">
        <f t="shared" ca="1" si="1461"/>
        <v>#NAME?</v>
      </c>
      <c r="CY193" s="50" t="e">
        <f t="shared" ca="1" si="1461"/>
        <v>#NAME?</v>
      </c>
      <c r="CZ193" s="50" t="e">
        <f t="shared" ca="1" si="1461"/>
        <v>#NAME?</v>
      </c>
      <c r="DA193" s="50" t="e">
        <f t="shared" ca="1" si="1461"/>
        <v>#NAME?</v>
      </c>
      <c r="DB193" s="50" t="e">
        <f t="shared" ca="1" si="1461"/>
        <v>#NAME?</v>
      </c>
      <c r="DE193" s="138"/>
      <c r="DF193" s="115">
        <v>260.89466989191459</v>
      </c>
    </row>
    <row r="194" spans="1:110" s="62" customFormat="1" outlineLevel="1" x14ac:dyDescent="0.2">
      <c r="A194" s="68" t="s">
        <v>468</v>
      </c>
      <c r="B194" s="67" t="e">
        <f t="shared" ref="B194:AE194" ca="1" si="1462">B164/B19*365</f>
        <v>#NAME?</v>
      </c>
      <c r="C194" s="67" t="e">
        <f t="shared" ca="1" si="1462"/>
        <v>#NAME?</v>
      </c>
      <c r="D194" s="67" t="e">
        <f t="shared" ca="1" si="1462"/>
        <v>#NAME?</v>
      </c>
      <c r="E194" s="67" t="e">
        <f t="shared" ca="1" si="1462"/>
        <v>#NAME?</v>
      </c>
      <c r="F194" s="67" t="e">
        <f t="shared" ca="1" si="1462"/>
        <v>#NAME?</v>
      </c>
      <c r="G194" s="67" t="e">
        <f t="shared" ca="1" si="1462"/>
        <v>#NAME?</v>
      </c>
      <c r="H194" s="67" t="e">
        <f t="shared" ca="1" si="1462"/>
        <v>#NAME?</v>
      </c>
      <c r="I194" s="67" t="e">
        <f t="shared" ca="1" si="1462"/>
        <v>#NAME?</v>
      </c>
      <c r="J194" s="67" t="e">
        <f t="shared" ca="1" si="1462"/>
        <v>#NAME?</v>
      </c>
      <c r="K194" s="67" t="e">
        <f t="shared" ca="1" si="1462"/>
        <v>#NAME?</v>
      </c>
      <c r="L194" s="67" t="e">
        <f t="shared" ca="1" si="1462"/>
        <v>#NAME?</v>
      </c>
      <c r="M194" s="67" t="e">
        <f t="shared" ca="1" si="1462"/>
        <v>#NAME?</v>
      </c>
      <c r="N194" s="67" t="e">
        <f t="shared" ca="1" si="1462"/>
        <v>#NAME?</v>
      </c>
      <c r="O194" s="67" t="e">
        <f t="shared" ca="1" si="1462"/>
        <v>#NAME?</v>
      </c>
      <c r="P194" s="67" t="e">
        <f t="shared" ca="1" si="1462"/>
        <v>#NAME?</v>
      </c>
      <c r="Q194" s="67" t="e">
        <f t="shared" ca="1" si="1462"/>
        <v>#NAME?</v>
      </c>
      <c r="R194" s="67" t="e">
        <f t="shared" ca="1" si="1462"/>
        <v>#NAME?</v>
      </c>
      <c r="S194" s="67" t="e">
        <f t="shared" ca="1" si="1462"/>
        <v>#NAME?</v>
      </c>
      <c r="T194" s="67" t="e">
        <f t="shared" ca="1" si="1462"/>
        <v>#NAME?</v>
      </c>
      <c r="U194" s="67" t="e">
        <f t="shared" ca="1" si="1462"/>
        <v>#NAME?</v>
      </c>
      <c r="V194" s="67" t="e">
        <f t="shared" ca="1" si="1462"/>
        <v>#NAME?</v>
      </c>
      <c r="W194" s="67" t="e">
        <f t="shared" ca="1" si="1462"/>
        <v>#NAME?</v>
      </c>
      <c r="X194" s="67" t="e">
        <f t="shared" ca="1" si="1462"/>
        <v>#NAME?</v>
      </c>
      <c r="Y194" s="67" t="e">
        <f t="shared" ca="1" si="1462"/>
        <v>#NAME?</v>
      </c>
      <c r="Z194" s="67" t="e">
        <f t="shared" ca="1" si="1462"/>
        <v>#NAME?</v>
      </c>
      <c r="AA194" s="67" t="e">
        <f t="shared" ref="AA194" ca="1" si="1463">AA164/AA19*365</f>
        <v>#NAME?</v>
      </c>
      <c r="AB194" s="18" t="e">
        <f t="shared" ca="1" si="1462"/>
        <v>#NAME?</v>
      </c>
      <c r="AC194" s="18" t="e">
        <f t="shared" ca="1" si="1462"/>
        <v>#NAME?</v>
      </c>
      <c r="AD194" s="18" t="e">
        <f t="shared" ca="1" si="1462"/>
        <v>#NAME?</v>
      </c>
      <c r="AE194" s="18" t="e">
        <f t="shared" ca="1" si="1462"/>
        <v>#NAME?</v>
      </c>
      <c r="AI194" s="67" t="e">
        <f ca="1">AJ164/AI19*90</f>
        <v>#NAME?</v>
      </c>
      <c r="AJ194" s="67" t="e">
        <f ca="1">AJ164/AJ19*90</f>
        <v>#NAME?</v>
      </c>
      <c r="AK194" s="67" t="e">
        <f t="shared" ref="AK194:CE194" ca="1" si="1464">+AJ194</f>
        <v>#NAME?</v>
      </c>
      <c r="AL194" s="67" t="e">
        <f ca="1">AL164/AL19*90</f>
        <v>#NAME?</v>
      </c>
      <c r="AM194" s="67" t="e">
        <f t="shared" ref="AM194" ca="1" si="1465">+AL194</f>
        <v>#NAME?</v>
      </c>
      <c r="AN194" s="67" t="e">
        <f ca="1">AN164/AN19*90</f>
        <v>#NAME?</v>
      </c>
      <c r="AO194" s="67" t="e">
        <f t="shared" ref="AO194" ca="1" si="1466">+AN194</f>
        <v>#NAME?</v>
      </c>
      <c r="AP194" s="67" t="e">
        <f ca="1">AP164/AP19*90</f>
        <v>#NAME?</v>
      </c>
      <c r="AQ194" s="67" t="e">
        <f t="shared" ref="AQ194" ca="1" si="1467">+AP194</f>
        <v>#NAME?</v>
      </c>
      <c r="AR194" s="67" t="e">
        <f ca="1">AR164/AR19*90</f>
        <v>#NAME?</v>
      </c>
      <c r="AS194" s="67" t="e">
        <f t="shared" ref="AS194" ca="1" si="1468">+AR194</f>
        <v>#NAME?</v>
      </c>
      <c r="AT194" s="67" t="e">
        <f ca="1">AT164/AT19*90</f>
        <v>#NAME?</v>
      </c>
      <c r="AU194" s="67" t="e">
        <f t="shared" ref="AU194" ca="1" si="1469">+AT194</f>
        <v>#NAME?</v>
      </c>
      <c r="AV194" s="67" t="e">
        <f ca="1">AV164/AV19*90</f>
        <v>#NAME?</v>
      </c>
      <c r="AW194" s="67" t="e">
        <f t="shared" ref="AW194" ca="1" si="1470">+AV194</f>
        <v>#NAME?</v>
      </c>
      <c r="AX194" s="67" t="e">
        <f ca="1">AX164/AX19*90</f>
        <v>#NAME?</v>
      </c>
      <c r="AY194" s="67" t="e">
        <f t="shared" ref="AY194" ca="1" si="1471">+AX194</f>
        <v>#NAME?</v>
      </c>
      <c r="AZ194" s="67" t="e">
        <f ca="1">AZ164/AZ19*90</f>
        <v>#NAME?</v>
      </c>
      <c r="BA194" s="67" t="e">
        <f t="shared" ref="BA194" ca="1" si="1472">+AZ194</f>
        <v>#NAME?</v>
      </c>
      <c r="BB194" s="67" t="e">
        <f ca="1">BB164/BB19*90</f>
        <v>#NAME?</v>
      </c>
      <c r="BC194" s="67" t="e">
        <f t="shared" ref="BC194" ca="1" si="1473">+BB194</f>
        <v>#NAME?</v>
      </c>
      <c r="BD194" s="67" t="e">
        <f ca="1">BD164/BD19*90</f>
        <v>#NAME?</v>
      </c>
      <c r="BE194" s="67" t="e">
        <f t="shared" ref="BE194" ca="1" si="1474">+BD194</f>
        <v>#NAME?</v>
      </c>
      <c r="BF194" s="67" t="e">
        <f ca="1">BF164/BF19*90</f>
        <v>#NAME?</v>
      </c>
      <c r="BG194" s="67" t="e">
        <f t="shared" ref="BG194" ca="1" si="1475">+BF194</f>
        <v>#NAME?</v>
      </c>
      <c r="BH194" s="67" t="e">
        <f ca="1">BH164/BH19*90</f>
        <v>#NAME?</v>
      </c>
      <c r="BI194" s="67" t="e">
        <f t="shared" ref="BI194" ca="1" si="1476">+BH194</f>
        <v>#NAME?</v>
      </c>
      <c r="BJ194" s="67" t="e">
        <f ca="1">BJ164/BJ19*90</f>
        <v>#NAME?</v>
      </c>
      <c r="BK194" s="67" t="e">
        <f t="shared" ref="BK194" ca="1" si="1477">+BJ194</f>
        <v>#NAME?</v>
      </c>
      <c r="BL194" s="67" t="e">
        <f ca="1">BL164/BL19*90</f>
        <v>#NAME?</v>
      </c>
      <c r="BM194" s="67" t="e">
        <f t="shared" ref="BM194" ca="1" si="1478">+BL194</f>
        <v>#NAME?</v>
      </c>
      <c r="BN194" s="67" t="e">
        <f ca="1">BN164/BN19*90</f>
        <v>#NAME?</v>
      </c>
      <c r="BO194" s="67" t="e">
        <f t="shared" ref="BO194" ca="1" si="1479">+BN194</f>
        <v>#NAME?</v>
      </c>
      <c r="BP194" s="67" t="e">
        <f ca="1">BP164/BP19*90</f>
        <v>#NAME?</v>
      </c>
      <c r="BQ194" s="67" t="e">
        <f t="shared" ref="BQ194" ca="1" si="1480">+BP194</f>
        <v>#NAME?</v>
      </c>
      <c r="BR194" s="67" t="e">
        <f ca="1">BR164/BR19*90</f>
        <v>#NAME?</v>
      </c>
      <c r="BS194" s="67" t="e">
        <f t="shared" ref="BS194" ca="1" si="1481">+BR194</f>
        <v>#NAME?</v>
      </c>
      <c r="BT194" s="67" t="e">
        <f ca="1">BT164/BT19*90</f>
        <v>#NAME?</v>
      </c>
      <c r="BU194" s="67" t="e">
        <f t="shared" ref="BU194" ca="1" si="1482">+BT194</f>
        <v>#NAME?</v>
      </c>
      <c r="BV194" s="67" t="e">
        <f ca="1">BV164/BV19*90</f>
        <v>#NAME?</v>
      </c>
      <c r="BW194" s="67" t="e">
        <f t="shared" ref="BW194" ca="1" si="1483">+BV194</f>
        <v>#NAME?</v>
      </c>
      <c r="BX194" s="67" t="e">
        <f ca="1">BX164/BX19*90</f>
        <v>#NAME?</v>
      </c>
      <c r="BY194" s="67" t="e">
        <f t="shared" ref="BY194" ca="1" si="1484">+BX194</f>
        <v>#NAME?</v>
      </c>
      <c r="BZ194" s="67" t="e">
        <f ca="1">BZ164/BZ19*90</f>
        <v>#NAME?</v>
      </c>
      <c r="CA194" s="67" t="e">
        <f t="shared" ref="CA194" ca="1" si="1485">+BZ194</f>
        <v>#NAME?</v>
      </c>
      <c r="CB194" s="67" t="e">
        <f ca="1">CB164/CB19*90</f>
        <v>#NAME?</v>
      </c>
      <c r="CC194" s="67" t="e">
        <f t="shared" ref="CC194" ca="1" si="1486">+CB194</f>
        <v>#NAME?</v>
      </c>
      <c r="CD194" s="67" t="e">
        <f ca="1">CD164/CD19*90</f>
        <v>#NAME?</v>
      </c>
      <c r="CE194" s="114" t="e">
        <f t="shared" ca="1" si="1464"/>
        <v>#NAME?</v>
      </c>
      <c r="CF194" s="67" t="e">
        <f ca="1">CF164/CF19*90</f>
        <v>#NAME?</v>
      </c>
      <c r="CG194" s="67" t="e">
        <f t="shared" ref="CG194:CI194" ca="1" si="1487">+CF194</f>
        <v>#NAME?</v>
      </c>
      <c r="CH194" s="67" t="e">
        <f ca="1">CH164/CH19*90</f>
        <v>#NAME?</v>
      </c>
      <c r="CI194" s="67" t="e">
        <f t="shared" ca="1" si="1487"/>
        <v>#NAME?</v>
      </c>
      <c r="CJ194" s="67" t="e">
        <f ca="1">CJ164/CJ19*90</f>
        <v>#NAME?</v>
      </c>
      <c r="CK194" s="67" t="e">
        <f t="shared" ref="CK194" ca="1" si="1488">+CJ194</f>
        <v>#NAME?</v>
      </c>
      <c r="CL194" s="67" t="e">
        <f ca="1">CL164/CL19*90</f>
        <v>#NAME?</v>
      </c>
      <c r="CM194" s="30" t="e">
        <f t="shared" ref="CM194" ca="1" si="1489">+CL194</f>
        <v>#NAME?</v>
      </c>
      <c r="CN194" s="30" t="e">
        <f t="shared" ref="CN194" ca="1" si="1490">+CM194</f>
        <v>#NAME?</v>
      </c>
      <c r="CO194" s="30" t="e">
        <f t="shared" ref="CO194" ca="1" si="1491">+CN194</f>
        <v>#NAME?</v>
      </c>
      <c r="CP194" s="30" t="e">
        <f t="shared" ref="CP194" ca="1" si="1492">+CO194</f>
        <v>#NAME?</v>
      </c>
      <c r="CQ194" s="30" t="e">
        <f t="shared" ref="CQ194" ca="1" si="1493">+CP194</f>
        <v>#NAME?</v>
      </c>
      <c r="CR194" s="30" t="e">
        <f t="shared" ref="CR194" ca="1" si="1494">+CQ194</f>
        <v>#NAME?</v>
      </c>
      <c r="CS194" s="30" t="e">
        <f t="shared" ref="CS194" ca="1" si="1495">+CR194</f>
        <v>#NAME?</v>
      </c>
      <c r="CT194" s="30" t="e">
        <f t="shared" ref="CT194" ca="1" si="1496">+CS194</f>
        <v>#NAME?</v>
      </c>
      <c r="CU194" s="30" t="e">
        <f t="shared" ref="CU194" ca="1" si="1497">+CT194</f>
        <v>#NAME?</v>
      </c>
      <c r="CV194" s="30" t="e">
        <f t="shared" ref="CV194" ca="1" si="1498">+CU194</f>
        <v>#NAME?</v>
      </c>
      <c r="CW194" s="30" t="e">
        <f t="shared" ref="CW194" ca="1" si="1499">+CV194</f>
        <v>#NAME?</v>
      </c>
      <c r="CX194" s="30" t="e">
        <f t="shared" ref="CX194" ca="1" si="1500">+CW194</f>
        <v>#NAME?</v>
      </c>
      <c r="CY194" s="30" t="e">
        <f t="shared" ref="CY194" ca="1" si="1501">+CX194</f>
        <v>#NAME?</v>
      </c>
      <c r="CZ194" s="30" t="e">
        <f t="shared" ref="CZ194" ca="1" si="1502">+CY194</f>
        <v>#NAME?</v>
      </c>
      <c r="DA194" s="30" t="e">
        <f t="shared" ref="DA194" ca="1" si="1503">+CZ194</f>
        <v>#NAME?</v>
      </c>
      <c r="DB194" s="30" t="e">
        <f t="shared" ref="DB194" ca="1" si="1504">+DA194</f>
        <v>#NAME?</v>
      </c>
      <c r="DE194" s="139"/>
      <c r="DF194" s="114">
        <v>50.018142019389032</v>
      </c>
    </row>
    <row r="195" spans="1:110" s="62" customFormat="1" outlineLevel="1" x14ac:dyDescent="0.2">
      <c r="A195" s="68" t="s">
        <v>466</v>
      </c>
      <c r="B195" s="67" t="e">
        <f ca="1">B196-B194</f>
        <v>#NAME?</v>
      </c>
      <c r="C195" s="67" t="e">
        <f t="shared" ref="C195:V195" ca="1" si="1505">C196-C194</f>
        <v>#NAME?</v>
      </c>
      <c r="D195" s="67" t="e">
        <f t="shared" ca="1" si="1505"/>
        <v>#NAME?</v>
      </c>
      <c r="E195" s="67" t="e">
        <f t="shared" ca="1" si="1505"/>
        <v>#NAME?</v>
      </c>
      <c r="F195" s="67" t="e">
        <f t="shared" ca="1" si="1505"/>
        <v>#NAME?</v>
      </c>
      <c r="G195" s="67" t="e">
        <f t="shared" ca="1" si="1505"/>
        <v>#NAME?</v>
      </c>
      <c r="H195" s="67" t="e">
        <f t="shared" ca="1" si="1505"/>
        <v>#NAME?</v>
      </c>
      <c r="I195" s="67" t="e">
        <f t="shared" ca="1" si="1505"/>
        <v>#NAME?</v>
      </c>
      <c r="J195" s="67" t="e">
        <f t="shared" ca="1" si="1505"/>
        <v>#NAME?</v>
      </c>
      <c r="K195" s="67" t="e">
        <f t="shared" ca="1" si="1505"/>
        <v>#NAME?</v>
      </c>
      <c r="L195" s="67" t="e">
        <f t="shared" ca="1" si="1505"/>
        <v>#NAME?</v>
      </c>
      <c r="M195" s="67" t="e">
        <f t="shared" ca="1" si="1505"/>
        <v>#NAME?</v>
      </c>
      <c r="N195" s="67" t="e">
        <f t="shared" ca="1" si="1505"/>
        <v>#NAME?</v>
      </c>
      <c r="O195" s="67" t="e">
        <f t="shared" ca="1" si="1505"/>
        <v>#NAME?</v>
      </c>
      <c r="P195" s="67" t="e">
        <f t="shared" ca="1" si="1505"/>
        <v>#NAME?</v>
      </c>
      <c r="Q195" s="67" t="e">
        <f t="shared" ca="1" si="1505"/>
        <v>#NAME?</v>
      </c>
      <c r="R195" s="67" t="e">
        <f t="shared" ca="1" si="1505"/>
        <v>#NAME?</v>
      </c>
      <c r="S195" s="67" t="e">
        <f t="shared" ca="1" si="1505"/>
        <v>#NAME?</v>
      </c>
      <c r="T195" s="67" t="e">
        <f t="shared" ca="1" si="1505"/>
        <v>#NAME?</v>
      </c>
      <c r="U195" s="67" t="e">
        <f t="shared" ca="1" si="1505"/>
        <v>#NAME?</v>
      </c>
      <c r="V195" s="67" t="e">
        <f t="shared" ca="1" si="1505"/>
        <v>#NAME?</v>
      </c>
      <c r="W195" s="67" t="e">
        <f t="shared" ref="W195" ca="1" si="1506">W196-W194</f>
        <v>#NAME?</v>
      </c>
      <c r="X195" s="67" t="e">
        <f t="shared" ref="X195:Y195" ca="1" si="1507">X196-X194</f>
        <v>#NAME?</v>
      </c>
      <c r="Y195" s="67" t="e">
        <f t="shared" ca="1" si="1507"/>
        <v>#NAME?</v>
      </c>
      <c r="Z195" s="67" t="e">
        <f t="shared" ref="Z195:AA195" ca="1" si="1508">Z196-Z194</f>
        <v>#NAME?</v>
      </c>
      <c r="AA195" s="67" t="e">
        <f t="shared" ca="1" si="1508"/>
        <v>#NAME?</v>
      </c>
      <c r="AB195" s="18" t="e">
        <f t="shared" ref="AA195:AD195" ca="1" si="1509">AB196-AB194</f>
        <v>#NAME?</v>
      </c>
      <c r="AC195" s="18" t="e">
        <f t="shared" ca="1" si="1509"/>
        <v>#NAME?</v>
      </c>
      <c r="AD195" s="18" t="e">
        <f t="shared" ca="1" si="1509"/>
        <v>#NAME?</v>
      </c>
      <c r="AE195" s="18" t="e">
        <f t="shared" ref="AE195" ca="1" si="1510">AE196-AE194</f>
        <v>#NAME?</v>
      </c>
      <c r="AI195" s="67" t="e">
        <f t="shared" ref="AI195:AK195" ca="1" si="1511">AI196-AI194</f>
        <v>#NAME?</v>
      </c>
      <c r="AJ195" s="67" t="e">
        <f t="shared" ref="AJ195:AM195" ca="1" si="1512">AJ196-AJ194</f>
        <v>#NAME?</v>
      </c>
      <c r="AK195" s="67" t="e">
        <f t="shared" ca="1" si="1511"/>
        <v>#NAME?</v>
      </c>
      <c r="AL195" s="67" t="e">
        <f t="shared" ca="1" si="1512"/>
        <v>#NAME?</v>
      </c>
      <c r="AM195" s="67" t="e">
        <f t="shared" ca="1" si="1512"/>
        <v>#NAME?</v>
      </c>
      <c r="AN195" s="67" t="e">
        <f t="shared" ref="AN195:AY195" ca="1" si="1513">AN196-AN194</f>
        <v>#NAME?</v>
      </c>
      <c r="AO195" s="67" t="e">
        <f t="shared" ca="1" si="1513"/>
        <v>#NAME?</v>
      </c>
      <c r="AP195" s="67" t="e">
        <f t="shared" ca="1" si="1513"/>
        <v>#NAME?</v>
      </c>
      <c r="AQ195" s="67" t="e">
        <f t="shared" ca="1" si="1513"/>
        <v>#NAME?</v>
      </c>
      <c r="AR195" s="67" t="e">
        <f t="shared" ca="1" si="1513"/>
        <v>#NAME?</v>
      </c>
      <c r="AS195" s="67" t="e">
        <f t="shared" ca="1" si="1513"/>
        <v>#NAME?</v>
      </c>
      <c r="AT195" s="67" t="e">
        <f t="shared" ca="1" si="1513"/>
        <v>#NAME?</v>
      </c>
      <c r="AU195" s="67" t="e">
        <f t="shared" ca="1" si="1513"/>
        <v>#NAME?</v>
      </c>
      <c r="AV195" s="67" t="e">
        <f t="shared" ca="1" si="1513"/>
        <v>#NAME?</v>
      </c>
      <c r="AW195" s="67" t="e">
        <f t="shared" ca="1" si="1513"/>
        <v>#NAME?</v>
      </c>
      <c r="AX195" s="67" t="e">
        <f t="shared" ca="1" si="1513"/>
        <v>#NAME?</v>
      </c>
      <c r="AY195" s="67" t="e">
        <f t="shared" ca="1" si="1513"/>
        <v>#NAME?</v>
      </c>
      <c r="AZ195" s="67" t="e">
        <f t="shared" ref="AZ195:BC195" ca="1" si="1514">AZ196-AZ194</f>
        <v>#NAME?</v>
      </c>
      <c r="BA195" s="67" t="e">
        <f t="shared" ca="1" si="1514"/>
        <v>#NAME?</v>
      </c>
      <c r="BB195" s="67" t="e">
        <f t="shared" ca="1" si="1514"/>
        <v>#NAME?</v>
      </c>
      <c r="BC195" s="67" t="e">
        <f t="shared" ca="1" si="1514"/>
        <v>#NAME?</v>
      </c>
      <c r="BD195" s="67" t="e">
        <f t="shared" ref="BD195:CE195" ca="1" si="1515">BD196-BD194</f>
        <v>#NAME?</v>
      </c>
      <c r="BE195" s="67" t="e">
        <f t="shared" ca="1" si="1515"/>
        <v>#NAME?</v>
      </c>
      <c r="BF195" s="67" t="e">
        <f t="shared" ca="1" si="1515"/>
        <v>#NAME?</v>
      </c>
      <c r="BG195" s="67" t="e">
        <f t="shared" ca="1" si="1515"/>
        <v>#NAME?</v>
      </c>
      <c r="BH195" s="67" t="e">
        <f t="shared" ca="1" si="1515"/>
        <v>#NAME?</v>
      </c>
      <c r="BI195" s="67" t="e">
        <f t="shared" ca="1" si="1515"/>
        <v>#NAME?</v>
      </c>
      <c r="BJ195" s="67" t="e">
        <f t="shared" ca="1" si="1515"/>
        <v>#NAME?</v>
      </c>
      <c r="BK195" s="67" t="e">
        <f t="shared" ca="1" si="1515"/>
        <v>#NAME?</v>
      </c>
      <c r="BL195" s="67" t="e">
        <f t="shared" ca="1" si="1515"/>
        <v>#NAME?</v>
      </c>
      <c r="BM195" s="67" t="e">
        <f t="shared" ca="1" si="1515"/>
        <v>#NAME?</v>
      </c>
      <c r="BN195" s="67" t="e">
        <f t="shared" ca="1" si="1515"/>
        <v>#NAME?</v>
      </c>
      <c r="BO195" s="67" t="e">
        <f t="shared" ca="1" si="1515"/>
        <v>#NAME?</v>
      </c>
      <c r="BP195" s="67" t="e">
        <f t="shared" ca="1" si="1515"/>
        <v>#NAME?</v>
      </c>
      <c r="BQ195" s="67" t="e">
        <f t="shared" ca="1" si="1515"/>
        <v>#NAME?</v>
      </c>
      <c r="BR195" s="67" t="e">
        <f t="shared" ca="1" si="1515"/>
        <v>#NAME?</v>
      </c>
      <c r="BS195" s="67" t="e">
        <f t="shared" ca="1" si="1515"/>
        <v>#NAME?</v>
      </c>
      <c r="BT195" s="67" t="e">
        <f t="shared" ca="1" si="1515"/>
        <v>#NAME?</v>
      </c>
      <c r="BU195" s="67" t="e">
        <f t="shared" ca="1" si="1515"/>
        <v>#NAME?</v>
      </c>
      <c r="BV195" s="67" t="e">
        <f t="shared" ca="1" si="1515"/>
        <v>#NAME?</v>
      </c>
      <c r="BW195" s="67" t="e">
        <f t="shared" ca="1" si="1515"/>
        <v>#NAME?</v>
      </c>
      <c r="BX195" s="67" t="e">
        <f t="shared" ca="1" si="1515"/>
        <v>#NAME?</v>
      </c>
      <c r="BY195" s="67" t="e">
        <f t="shared" ca="1" si="1515"/>
        <v>#NAME?</v>
      </c>
      <c r="BZ195" s="67" t="e">
        <f t="shared" ca="1" si="1515"/>
        <v>#NAME?</v>
      </c>
      <c r="CA195" s="67" t="e">
        <f t="shared" ca="1" si="1515"/>
        <v>#NAME?</v>
      </c>
      <c r="CB195" s="67" t="e">
        <f t="shared" ca="1" si="1515"/>
        <v>#NAME?</v>
      </c>
      <c r="CC195" s="67" t="e">
        <f t="shared" ca="1" si="1515"/>
        <v>#NAME?</v>
      </c>
      <c r="CD195" s="67" t="e">
        <f t="shared" ca="1" si="1515"/>
        <v>#NAME?</v>
      </c>
      <c r="CE195" s="114" t="e">
        <f t="shared" ca="1" si="1515"/>
        <v>#NAME?</v>
      </c>
      <c r="CF195" s="67" t="e">
        <f t="shared" ref="CF195:CG195" ca="1" si="1516">CF196-CF194</f>
        <v>#NAME?</v>
      </c>
      <c r="CG195" s="67" t="e">
        <f t="shared" ca="1" si="1516"/>
        <v>#NAME?</v>
      </c>
      <c r="CH195" s="67" t="e">
        <f t="shared" ref="CH195" ca="1" si="1517">CH196-CH194</f>
        <v>#NAME?</v>
      </c>
      <c r="CI195" s="67" t="e">
        <f ca="1">CH195</f>
        <v>#NAME?</v>
      </c>
      <c r="CJ195" s="67" t="e">
        <f t="shared" ref="CJ195:CL195" ca="1" si="1518">CJ196-CJ194</f>
        <v>#NAME?</v>
      </c>
      <c r="CK195" s="67" t="e">
        <f t="shared" ref="CK195:DB195" ca="1" si="1519">CJ195</f>
        <v>#NAME?</v>
      </c>
      <c r="CL195" s="67" t="e">
        <f t="shared" ca="1" si="1518"/>
        <v>#NAME?</v>
      </c>
      <c r="CM195" s="30" t="e">
        <f t="shared" ca="1" si="1519"/>
        <v>#NAME?</v>
      </c>
      <c r="CN195" s="30" t="e">
        <f t="shared" ca="1" si="1519"/>
        <v>#NAME?</v>
      </c>
      <c r="CO195" s="30" t="e">
        <f t="shared" ca="1" si="1519"/>
        <v>#NAME?</v>
      </c>
      <c r="CP195" s="30" t="e">
        <f t="shared" ca="1" si="1519"/>
        <v>#NAME?</v>
      </c>
      <c r="CQ195" s="30" t="e">
        <f t="shared" ca="1" si="1519"/>
        <v>#NAME?</v>
      </c>
      <c r="CR195" s="30" t="e">
        <f t="shared" ca="1" si="1519"/>
        <v>#NAME?</v>
      </c>
      <c r="CS195" s="30" t="e">
        <f t="shared" ca="1" si="1519"/>
        <v>#NAME?</v>
      </c>
      <c r="CT195" s="30" t="e">
        <f t="shared" ca="1" si="1519"/>
        <v>#NAME?</v>
      </c>
      <c r="CU195" s="30" t="e">
        <f t="shared" ca="1" si="1519"/>
        <v>#NAME?</v>
      </c>
      <c r="CV195" s="30" t="e">
        <f t="shared" ca="1" si="1519"/>
        <v>#NAME?</v>
      </c>
      <c r="CW195" s="30" t="e">
        <f t="shared" ca="1" si="1519"/>
        <v>#NAME?</v>
      </c>
      <c r="CX195" s="30" t="e">
        <f t="shared" ca="1" si="1519"/>
        <v>#NAME?</v>
      </c>
      <c r="CY195" s="30" t="e">
        <f t="shared" ca="1" si="1519"/>
        <v>#NAME?</v>
      </c>
      <c r="CZ195" s="30" t="e">
        <f t="shared" ca="1" si="1519"/>
        <v>#NAME?</v>
      </c>
      <c r="DA195" s="30" t="e">
        <f t="shared" ca="1" si="1519"/>
        <v>#NAME?</v>
      </c>
      <c r="DB195" s="30" t="e">
        <f t="shared" ca="1" si="1519"/>
        <v>#NAME?</v>
      </c>
      <c r="DE195" s="139"/>
      <c r="DF195" s="114">
        <v>27.094421426827978</v>
      </c>
    </row>
    <row r="196" spans="1:110" s="7" customFormat="1" outlineLevel="1" x14ac:dyDescent="0.2">
      <c r="A196" s="69" t="s">
        <v>469</v>
      </c>
      <c r="B196" s="70" t="e">
        <f t="shared" ref="B196:AE196" ca="1" si="1520">B167/B19*365</f>
        <v>#NAME?</v>
      </c>
      <c r="C196" s="70" t="e">
        <f t="shared" ca="1" si="1520"/>
        <v>#NAME?</v>
      </c>
      <c r="D196" s="70" t="e">
        <f t="shared" ca="1" si="1520"/>
        <v>#NAME?</v>
      </c>
      <c r="E196" s="70" t="e">
        <f t="shared" ca="1" si="1520"/>
        <v>#NAME?</v>
      </c>
      <c r="F196" s="70" t="e">
        <f t="shared" ca="1" si="1520"/>
        <v>#NAME?</v>
      </c>
      <c r="G196" s="70" t="e">
        <f t="shared" ca="1" si="1520"/>
        <v>#NAME?</v>
      </c>
      <c r="H196" s="70" t="e">
        <f t="shared" ca="1" si="1520"/>
        <v>#NAME?</v>
      </c>
      <c r="I196" s="70" t="e">
        <f t="shared" ca="1" si="1520"/>
        <v>#NAME?</v>
      </c>
      <c r="J196" s="70" t="e">
        <f t="shared" ca="1" si="1520"/>
        <v>#NAME?</v>
      </c>
      <c r="K196" s="70" t="e">
        <f t="shared" ca="1" si="1520"/>
        <v>#NAME?</v>
      </c>
      <c r="L196" s="70" t="e">
        <f t="shared" ca="1" si="1520"/>
        <v>#NAME?</v>
      </c>
      <c r="M196" s="70" t="e">
        <f t="shared" ca="1" si="1520"/>
        <v>#NAME?</v>
      </c>
      <c r="N196" s="70" t="e">
        <f t="shared" ca="1" si="1520"/>
        <v>#NAME?</v>
      </c>
      <c r="O196" s="70" t="e">
        <f t="shared" ca="1" si="1520"/>
        <v>#NAME?</v>
      </c>
      <c r="P196" s="70" t="e">
        <f t="shared" ca="1" si="1520"/>
        <v>#NAME?</v>
      </c>
      <c r="Q196" s="70" t="e">
        <f t="shared" ca="1" si="1520"/>
        <v>#NAME?</v>
      </c>
      <c r="R196" s="70" t="e">
        <f t="shared" ca="1" si="1520"/>
        <v>#NAME?</v>
      </c>
      <c r="S196" s="70" t="e">
        <f t="shared" ca="1" si="1520"/>
        <v>#NAME?</v>
      </c>
      <c r="T196" s="70" t="e">
        <f t="shared" ca="1" si="1520"/>
        <v>#NAME?</v>
      </c>
      <c r="U196" s="70" t="e">
        <f t="shared" ca="1" si="1520"/>
        <v>#NAME?</v>
      </c>
      <c r="V196" s="70" t="e">
        <f t="shared" ca="1" si="1520"/>
        <v>#NAME?</v>
      </c>
      <c r="W196" s="70" t="e">
        <f t="shared" ca="1" si="1520"/>
        <v>#NAME?</v>
      </c>
      <c r="X196" s="70" t="e">
        <f t="shared" ca="1" si="1520"/>
        <v>#NAME?</v>
      </c>
      <c r="Y196" s="70" t="e">
        <f t="shared" ca="1" si="1520"/>
        <v>#NAME?</v>
      </c>
      <c r="Z196" s="70" t="e">
        <f t="shared" ca="1" si="1520"/>
        <v>#NAME?</v>
      </c>
      <c r="AA196" s="70" t="e">
        <f t="shared" ref="AA196" ca="1" si="1521">AA167/AA19*365</f>
        <v>#NAME?</v>
      </c>
      <c r="AB196" s="71" t="e">
        <f t="shared" ca="1" si="1520"/>
        <v>#NAME?</v>
      </c>
      <c r="AC196" s="71" t="e">
        <f t="shared" ca="1" si="1520"/>
        <v>#NAME?</v>
      </c>
      <c r="AD196" s="71" t="e">
        <f t="shared" ca="1" si="1520"/>
        <v>#NAME?</v>
      </c>
      <c r="AE196" s="71" t="e">
        <f t="shared" ca="1" si="1520"/>
        <v>#NAME?</v>
      </c>
      <c r="AI196" s="70" t="e">
        <f t="shared" ref="AI196:CD196" ca="1" si="1522">AI167/AI19*90</f>
        <v>#NAME?</v>
      </c>
      <c r="AJ196" s="70" t="e">
        <f t="shared" ca="1" si="1522"/>
        <v>#NAME?</v>
      </c>
      <c r="AK196" s="70" t="e">
        <f ca="1">AK167/AK19*90</f>
        <v>#NAME?</v>
      </c>
      <c r="AL196" s="70" t="e">
        <f t="shared" ca="1" si="1522"/>
        <v>#NAME?</v>
      </c>
      <c r="AM196" s="70" t="e">
        <f t="shared" ca="1" si="1522"/>
        <v>#NAME?</v>
      </c>
      <c r="AN196" s="70" t="e">
        <f t="shared" ca="1" si="1522"/>
        <v>#NAME?</v>
      </c>
      <c r="AO196" s="70" t="e">
        <f t="shared" ca="1" si="1522"/>
        <v>#NAME?</v>
      </c>
      <c r="AP196" s="70" t="e">
        <f t="shared" ca="1" si="1522"/>
        <v>#NAME?</v>
      </c>
      <c r="AQ196" s="70" t="e">
        <f t="shared" ca="1" si="1522"/>
        <v>#NAME?</v>
      </c>
      <c r="AR196" s="70" t="e">
        <f t="shared" ca="1" si="1522"/>
        <v>#NAME?</v>
      </c>
      <c r="AS196" s="70" t="e">
        <f t="shared" ca="1" si="1522"/>
        <v>#NAME?</v>
      </c>
      <c r="AT196" s="70" t="e">
        <f t="shared" ca="1" si="1522"/>
        <v>#NAME?</v>
      </c>
      <c r="AU196" s="70" t="e">
        <f t="shared" ca="1" si="1522"/>
        <v>#NAME?</v>
      </c>
      <c r="AV196" s="70" t="e">
        <f t="shared" ca="1" si="1522"/>
        <v>#NAME?</v>
      </c>
      <c r="AW196" s="70" t="e">
        <f t="shared" ca="1" si="1522"/>
        <v>#NAME?</v>
      </c>
      <c r="AX196" s="70" t="e">
        <f t="shared" ca="1" si="1522"/>
        <v>#NAME?</v>
      </c>
      <c r="AY196" s="70" t="e">
        <f t="shared" ca="1" si="1522"/>
        <v>#NAME?</v>
      </c>
      <c r="AZ196" s="70" t="e">
        <f t="shared" ca="1" si="1522"/>
        <v>#NAME?</v>
      </c>
      <c r="BA196" s="70" t="e">
        <f t="shared" ca="1" si="1522"/>
        <v>#NAME?</v>
      </c>
      <c r="BB196" s="70" t="e">
        <f t="shared" ca="1" si="1522"/>
        <v>#NAME?</v>
      </c>
      <c r="BC196" s="70" t="e">
        <f t="shared" ca="1" si="1522"/>
        <v>#NAME?</v>
      </c>
      <c r="BD196" s="70" t="e">
        <f t="shared" ca="1" si="1522"/>
        <v>#NAME?</v>
      </c>
      <c r="BE196" s="70" t="e">
        <f t="shared" ca="1" si="1522"/>
        <v>#NAME?</v>
      </c>
      <c r="BF196" s="70" t="e">
        <f t="shared" ca="1" si="1522"/>
        <v>#NAME?</v>
      </c>
      <c r="BG196" s="70" t="e">
        <f t="shared" ca="1" si="1522"/>
        <v>#NAME?</v>
      </c>
      <c r="BH196" s="70" t="e">
        <f t="shared" ca="1" si="1522"/>
        <v>#NAME?</v>
      </c>
      <c r="BI196" s="70" t="e">
        <f t="shared" ca="1" si="1522"/>
        <v>#NAME?</v>
      </c>
      <c r="BJ196" s="70" t="e">
        <f t="shared" ca="1" si="1522"/>
        <v>#NAME?</v>
      </c>
      <c r="BK196" s="70" t="e">
        <f t="shared" ca="1" si="1522"/>
        <v>#NAME?</v>
      </c>
      <c r="BL196" s="70" t="e">
        <f t="shared" ca="1" si="1522"/>
        <v>#NAME?</v>
      </c>
      <c r="BM196" s="70" t="e">
        <f t="shared" ca="1" si="1522"/>
        <v>#NAME?</v>
      </c>
      <c r="BN196" s="70" t="e">
        <f t="shared" ca="1" si="1522"/>
        <v>#NAME?</v>
      </c>
      <c r="BO196" s="70" t="e">
        <f t="shared" ca="1" si="1522"/>
        <v>#NAME?</v>
      </c>
      <c r="BP196" s="70" t="e">
        <f t="shared" ca="1" si="1522"/>
        <v>#NAME?</v>
      </c>
      <c r="BQ196" s="70" t="e">
        <f t="shared" ca="1" si="1522"/>
        <v>#NAME?</v>
      </c>
      <c r="BR196" s="70" t="e">
        <f t="shared" ca="1" si="1522"/>
        <v>#NAME?</v>
      </c>
      <c r="BS196" s="70" t="e">
        <f t="shared" ca="1" si="1522"/>
        <v>#NAME?</v>
      </c>
      <c r="BT196" s="70" t="e">
        <f t="shared" ca="1" si="1522"/>
        <v>#NAME?</v>
      </c>
      <c r="BU196" s="70" t="e">
        <f t="shared" ca="1" si="1522"/>
        <v>#NAME?</v>
      </c>
      <c r="BV196" s="70" t="e">
        <f t="shared" ca="1" si="1522"/>
        <v>#NAME?</v>
      </c>
      <c r="BW196" s="70" t="e">
        <f t="shared" ca="1" si="1522"/>
        <v>#NAME?</v>
      </c>
      <c r="BX196" s="70" t="e">
        <f t="shared" ca="1" si="1522"/>
        <v>#NAME?</v>
      </c>
      <c r="BY196" s="70" t="e">
        <f t="shared" ca="1" si="1522"/>
        <v>#NAME?</v>
      </c>
      <c r="BZ196" s="70" t="e">
        <f t="shared" ca="1" si="1522"/>
        <v>#NAME?</v>
      </c>
      <c r="CA196" s="70" t="e">
        <f t="shared" ca="1" si="1522"/>
        <v>#NAME?</v>
      </c>
      <c r="CB196" s="70" t="e">
        <f t="shared" ca="1" si="1522"/>
        <v>#NAME?</v>
      </c>
      <c r="CC196" s="70" t="e">
        <f t="shared" ca="1" si="1522"/>
        <v>#NAME?</v>
      </c>
      <c r="CD196" s="70" t="e">
        <f t="shared" ca="1" si="1522"/>
        <v>#NAME?</v>
      </c>
      <c r="CE196" s="115" t="e">
        <f ca="1">CE167/CE21*90</f>
        <v>#NAME?</v>
      </c>
      <c r="CF196" s="70" t="e">
        <f ca="1">CF167/CF19*90</f>
        <v>#NAME?</v>
      </c>
      <c r="CG196" s="70" t="e">
        <f ca="1">CG167/CG21*90</f>
        <v>#NAME?</v>
      </c>
      <c r="CH196" s="70" t="e">
        <f ca="1">CH167/CH19*90</f>
        <v>#NAME?</v>
      </c>
      <c r="CI196" s="70" t="e">
        <f ca="1">CI194+CI195</f>
        <v>#NAME?</v>
      </c>
      <c r="CJ196" s="70" t="e">
        <f ca="1">CJ167/CJ19*90</f>
        <v>#NAME?</v>
      </c>
      <c r="CK196" s="70" t="e">
        <f t="shared" ref="CK196:DB196" ca="1" si="1523">CK194+CK195</f>
        <v>#NAME?</v>
      </c>
      <c r="CL196" s="70" t="e">
        <f ca="1">CL167/CL19*90</f>
        <v>#NAME?</v>
      </c>
      <c r="CM196" s="50" t="e">
        <f t="shared" ca="1" si="1523"/>
        <v>#NAME?</v>
      </c>
      <c r="CN196" s="50" t="e">
        <f t="shared" ca="1" si="1523"/>
        <v>#NAME?</v>
      </c>
      <c r="CO196" s="50" t="e">
        <f t="shared" ca="1" si="1523"/>
        <v>#NAME?</v>
      </c>
      <c r="CP196" s="50" t="e">
        <f t="shared" ca="1" si="1523"/>
        <v>#NAME?</v>
      </c>
      <c r="CQ196" s="50" t="e">
        <f t="shared" ca="1" si="1523"/>
        <v>#NAME?</v>
      </c>
      <c r="CR196" s="50" t="e">
        <f t="shared" ca="1" si="1523"/>
        <v>#NAME?</v>
      </c>
      <c r="CS196" s="50" t="e">
        <f t="shared" ca="1" si="1523"/>
        <v>#NAME?</v>
      </c>
      <c r="CT196" s="50" t="e">
        <f t="shared" ca="1" si="1523"/>
        <v>#NAME?</v>
      </c>
      <c r="CU196" s="50" t="e">
        <f t="shared" ca="1" si="1523"/>
        <v>#NAME?</v>
      </c>
      <c r="CV196" s="50" t="e">
        <f t="shared" ca="1" si="1523"/>
        <v>#NAME?</v>
      </c>
      <c r="CW196" s="50" t="e">
        <f t="shared" ca="1" si="1523"/>
        <v>#NAME?</v>
      </c>
      <c r="CX196" s="50" t="e">
        <f t="shared" ca="1" si="1523"/>
        <v>#NAME?</v>
      </c>
      <c r="CY196" s="50" t="e">
        <f t="shared" ca="1" si="1523"/>
        <v>#NAME?</v>
      </c>
      <c r="CZ196" s="50" t="e">
        <f t="shared" ca="1" si="1523"/>
        <v>#NAME?</v>
      </c>
      <c r="DA196" s="50" t="e">
        <f t="shared" ca="1" si="1523"/>
        <v>#NAME?</v>
      </c>
      <c r="DB196" s="50" t="e">
        <f t="shared" ca="1" si="1523"/>
        <v>#NAME?</v>
      </c>
      <c r="DE196" s="138"/>
      <c r="DF196" s="115">
        <v>77.11256344621701</v>
      </c>
    </row>
    <row r="197" spans="1:110" s="7" customFormat="1" x14ac:dyDescent="0.2">
      <c r="A197" s="69" t="s">
        <v>470</v>
      </c>
      <c r="B197" s="70" t="e">
        <f ca="1">B193-B196</f>
        <v>#NAME?</v>
      </c>
      <c r="C197" s="70" t="e">
        <f t="shared" ref="C197:V197" ca="1" si="1524">C193-C196</f>
        <v>#NAME?</v>
      </c>
      <c r="D197" s="70" t="e">
        <f t="shared" ca="1" si="1524"/>
        <v>#NAME?</v>
      </c>
      <c r="E197" s="70" t="e">
        <f t="shared" ca="1" si="1524"/>
        <v>#NAME?</v>
      </c>
      <c r="F197" s="70" t="e">
        <f t="shared" ca="1" si="1524"/>
        <v>#NAME?</v>
      </c>
      <c r="G197" s="70" t="e">
        <f t="shared" ca="1" si="1524"/>
        <v>#NAME?</v>
      </c>
      <c r="H197" s="70" t="e">
        <f t="shared" ca="1" si="1524"/>
        <v>#NAME?</v>
      </c>
      <c r="I197" s="70" t="e">
        <f t="shared" ca="1" si="1524"/>
        <v>#NAME?</v>
      </c>
      <c r="J197" s="70" t="e">
        <f t="shared" ca="1" si="1524"/>
        <v>#NAME?</v>
      </c>
      <c r="K197" s="70" t="e">
        <f t="shared" ca="1" si="1524"/>
        <v>#NAME?</v>
      </c>
      <c r="L197" s="70" t="e">
        <f t="shared" ca="1" si="1524"/>
        <v>#NAME?</v>
      </c>
      <c r="M197" s="70" t="e">
        <f t="shared" ca="1" si="1524"/>
        <v>#NAME?</v>
      </c>
      <c r="N197" s="70" t="e">
        <f t="shared" ca="1" si="1524"/>
        <v>#NAME?</v>
      </c>
      <c r="O197" s="70" t="e">
        <f t="shared" ca="1" si="1524"/>
        <v>#NAME?</v>
      </c>
      <c r="P197" s="70" t="e">
        <f t="shared" ca="1" si="1524"/>
        <v>#NAME?</v>
      </c>
      <c r="Q197" s="70" t="e">
        <f t="shared" ca="1" si="1524"/>
        <v>#NAME?</v>
      </c>
      <c r="R197" s="70" t="e">
        <f t="shared" ca="1" si="1524"/>
        <v>#NAME?</v>
      </c>
      <c r="S197" s="70" t="e">
        <f t="shared" ca="1" si="1524"/>
        <v>#NAME?</v>
      </c>
      <c r="T197" s="70" t="e">
        <f t="shared" ca="1" si="1524"/>
        <v>#NAME?</v>
      </c>
      <c r="U197" s="70" t="e">
        <f t="shared" ca="1" si="1524"/>
        <v>#NAME?</v>
      </c>
      <c r="V197" s="70" t="e">
        <f t="shared" ca="1" si="1524"/>
        <v>#NAME?</v>
      </c>
      <c r="W197" s="70" t="e">
        <f t="shared" ref="W197" ca="1" si="1525">W193-W196</f>
        <v>#NAME?</v>
      </c>
      <c r="X197" s="70" t="e">
        <f t="shared" ref="X197:Y197" ca="1" si="1526">X193-X196</f>
        <v>#NAME?</v>
      </c>
      <c r="Y197" s="70" t="e">
        <f t="shared" ca="1" si="1526"/>
        <v>#NAME?</v>
      </c>
      <c r="Z197" s="70" t="e">
        <f t="shared" ref="Z197:AA197" ca="1" si="1527">Z193-Z196</f>
        <v>#NAME?</v>
      </c>
      <c r="AA197" s="70" t="e">
        <f t="shared" ca="1" si="1527"/>
        <v>#NAME?</v>
      </c>
      <c r="AB197" s="71" t="e">
        <f t="shared" ref="AA197:AD197" ca="1" si="1528">AB193-AB196</f>
        <v>#NAME?</v>
      </c>
      <c r="AC197" s="71" t="e">
        <f t="shared" ca="1" si="1528"/>
        <v>#NAME?</v>
      </c>
      <c r="AD197" s="71" t="e">
        <f t="shared" ca="1" si="1528"/>
        <v>#NAME?</v>
      </c>
      <c r="AE197" s="71" t="e">
        <f t="shared" ref="AE197" ca="1" si="1529">AE193-AE196</f>
        <v>#NAME?</v>
      </c>
      <c r="AI197" s="70" t="e">
        <f t="shared" ref="AI197:AK197" ca="1" si="1530">AI193-AI196</f>
        <v>#NAME?</v>
      </c>
      <c r="AJ197" s="70" t="e">
        <f t="shared" ref="AJ197:AM197" ca="1" si="1531">AJ193-AJ196</f>
        <v>#NAME?</v>
      </c>
      <c r="AK197" s="70" t="e">
        <f t="shared" ca="1" si="1530"/>
        <v>#NAME?</v>
      </c>
      <c r="AL197" s="70" t="e">
        <f t="shared" ca="1" si="1531"/>
        <v>#NAME?</v>
      </c>
      <c r="AM197" s="70" t="e">
        <f t="shared" ca="1" si="1531"/>
        <v>#NAME?</v>
      </c>
      <c r="AN197" s="70" t="e">
        <f t="shared" ref="AN197:AY197" ca="1" si="1532">AN193-AN196</f>
        <v>#NAME?</v>
      </c>
      <c r="AO197" s="70" t="e">
        <f t="shared" ca="1" si="1532"/>
        <v>#NAME?</v>
      </c>
      <c r="AP197" s="70" t="e">
        <f t="shared" ca="1" si="1532"/>
        <v>#NAME?</v>
      </c>
      <c r="AQ197" s="70" t="e">
        <f t="shared" ca="1" si="1532"/>
        <v>#NAME?</v>
      </c>
      <c r="AR197" s="70" t="e">
        <f t="shared" ca="1" si="1532"/>
        <v>#NAME?</v>
      </c>
      <c r="AS197" s="70" t="e">
        <f t="shared" ca="1" si="1532"/>
        <v>#NAME?</v>
      </c>
      <c r="AT197" s="70" t="e">
        <f t="shared" ca="1" si="1532"/>
        <v>#NAME?</v>
      </c>
      <c r="AU197" s="70" t="e">
        <f t="shared" ca="1" si="1532"/>
        <v>#NAME?</v>
      </c>
      <c r="AV197" s="70" t="e">
        <f t="shared" ca="1" si="1532"/>
        <v>#NAME?</v>
      </c>
      <c r="AW197" s="70" t="e">
        <f t="shared" ca="1" si="1532"/>
        <v>#NAME?</v>
      </c>
      <c r="AX197" s="70" t="e">
        <f t="shared" ca="1" si="1532"/>
        <v>#NAME?</v>
      </c>
      <c r="AY197" s="70" t="e">
        <f t="shared" ca="1" si="1532"/>
        <v>#NAME?</v>
      </c>
      <c r="AZ197" s="70" t="e">
        <f t="shared" ref="AZ197:BC197" ca="1" si="1533">AZ193-AZ196</f>
        <v>#NAME?</v>
      </c>
      <c r="BA197" s="70" t="e">
        <f t="shared" ca="1" si="1533"/>
        <v>#NAME?</v>
      </c>
      <c r="BB197" s="70" t="e">
        <f t="shared" ca="1" si="1533"/>
        <v>#NAME?</v>
      </c>
      <c r="BC197" s="70" t="e">
        <f t="shared" ca="1" si="1533"/>
        <v>#NAME?</v>
      </c>
      <c r="BD197" s="70" t="e">
        <f t="shared" ref="BD197:CE197" ca="1" si="1534">BD193-BD196</f>
        <v>#NAME?</v>
      </c>
      <c r="BE197" s="70" t="e">
        <f t="shared" ca="1" si="1534"/>
        <v>#NAME?</v>
      </c>
      <c r="BF197" s="70" t="e">
        <f t="shared" ca="1" si="1534"/>
        <v>#NAME?</v>
      </c>
      <c r="BG197" s="70" t="e">
        <f t="shared" ca="1" si="1534"/>
        <v>#NAME?</v>
      </c>
      <c r="BH197" s="70" t="e">
        <f t="shared" ca="1" si="1534"/>
        <v>#NAME?</v>
      </c>
      <c r="BI197" s="70" t="e">
        <f t="shared" ca="1" si="1534"/>
        <v>#NAME?</v>
      </c>
      <c r="BJ197" s="70" t="e">
        <f t="shared" ca="1" si="1534"/>
        <v>#NAME?</v>
      </c>
      <c r="BK197" s="70" t="e">
        <f t="shared" ca="1" si="1534"/>
        <v>#NAME?</v>
      </c>
      <c r="BL197" s="70" t="e">
        <f t="shared" ca="1" si="1534"/>
        <v>#NAME?</v>
      </c>
      <c r="BM197" s="70" t="e">
        <f t="shared" ca="1" si="1534"/>
        <v>#NAME?</v>
      </c>
      <c r="BN197" s="70" t="e">
        <f t="shared" ca="1" si="1534"/>
        <v>#NAME?</v>
      </c>
      <c r="BO197" s="70" t="e">
        <f t="shared" ca="1" si="1534"/>
        <v>#NAME?</v>
      </c>
      <c r="BP197" s="70" t="e">
        <f t="shared" ca="1" si="1534"/>
        <v>#NAME?</v>
      </c>
      <c r="BQ197" s="70" t="e">
        <f t="shared" ca="1" si="1534"/>
        <v>#NAME?</v>
      </c>
      <c r="BR197" s="70" t="e">
        <f t="shared" ca="1" si="1534"/>
        <v>#NAME?</v>
      </c>
      <c r="BS197" s="70" t="e">
        <f t="shared" ca="1" si="1534"/>
        <v>#NAME?</v>
      </c>
      <c r="BT197" s="70" t="e">
        <f t="shared" ca="1" si="1534"/>
        <v>#NAME?</v>
      </c>
      <c r="BU197" s="70" t="e">
        <f t="shared" ca="1" si="1534"/>
        <v>#NAME?</v>
      </c>
      <c r="BV197" s="70" t="e">
        <f t="shared" ca="1" si="1534"/>
        <v>#NAME?</v>
      </c>
      <c r="BW197" s="70" t="e">
        <f t="shared" ca="1" si="1534"/>
        <v>#NAME?</v>
      </c>
      <c r="BX197" s="70" t="e">
        <f t="shared" ca="1" si="1534"/>
        <v>#NAME?</v>
      </c>
      <c r="BY197" s="70" t="e">
        <f t="shared" ca="1" si="1534"/>
        <v>#NAME?</v>
      </c>
      <c r="BZ197" s="70" t="e">
        <f t="shared" ca="1" si="1534"/>
        <v>#NAME?</v>
      </c>
      <c r="CA197" s="70" t="e">
        <f t="shared" ca="1" si="1534"/>
        <v>#NAME?</v>
      </c>
      <c r="CB197" s="70" t="e">
        <f t="shared" ca="1" si="1534"/>
        <v>#NAME?</v>
      </c>
      <c r="CC197" s="70" t="e">
        <f t="shared" ca="1" si="1534"/>
        <v>#NAME?</v>
      </c>
      <c r="CD197" s="70" t="e">
        <f t="shared" ca="1" si="1534"/>
        <v>#NAME?</v>
      </c>
      <c r="CE197" s="115" t="e">
        <f t="shared" ca="1" si="1534"/>
        <v>#NAME?</v>
      </c>
      <c r="CF197" s="70" t="e">
        <f t="shared" ref="CF197:CG197" ca="1" si="1535">CF193-CF196</f>
        <v>#NAME?</v>
      </c>
      <c r="CG197" s="70" t="e">
        <f t="shared" ca="1" si="1535"/>
        <v>#NAME?</v>
      </c>
      <c r="CH197" s="70" t="e">
        <f t="shared" ref="CH197:CI197" ca="1" si="1536">CH193-CH196</f>
        <v>#NAME?</v>
      </c>
      <c r="CI197" s="70" t="e">
        <f t="shared" ca="1" si="1536"/>
        <v>#NAME?</v>
      </c>
      <c r="CJ197" s="70" t="e">
        <f t="shared" ref="CJ197:DB197" ca="1" si="1537">CJ193-CJ196</f>
        <v>#NAME?</v>
      </c>
      <c r="CK197" s="70" t="e">
        <f t="shared" ca="1" si="1537"/>
        <v>#NAME?</v>
      </c>
      <c r="CL197" s="70" t="e">
        <f t="shared" ref="CL197" ca="1" si="1538">CL193-CL196</f>
        <v>#NAME?</v>
      </c>
      <c r="CM197" s="50" t="e">
        <f t="shared" ca="1" si="1537"/>
        <v>#NAME?</v>
      </c>
      <c r="CN197" s="50" t="e">
        <f t="shared" ca="1" si="1537"/>
        <v>#NAME?</v>
      </c>
      <c r="CO197" s="50" t="e">
        <f t="shared" ca="1" si="1537"/>
        <v>#NAME?</v>
      </c>
      <c r="CP197" s="50" t="e">
        <f t="shared" ca="1" si="1537"/>
        <v>#NAME?</v>
      </c>
      <c r="CQ197" s="50" t="e">
        <f t="shared" ca="1" si="1537"/>
        <v>#NAME?</v>
      </c>
      <c r="CR197" s="50" t="e">
        <f t="shared" ca="1" si="1537"/>
        <v>#NAME?</v>
      </c>
      <c r="CS197" s="50" t="e">
        <f t="shared" ca="1" si="1537"/>
        <v>#NAME?</v>
      </c>
      <c r="CT197" s="50" t="e">
        <f t="shared" ca="1" si="1537"/>
        <v>#NAME?</v>
      </c>
      <c r="CU197" s="50" t="e">
        <f t="shared" ca="1" si="1537"/>
        <v>#NAME?</v>
      </c>
      <c r="CV197" s="50" t="e">
        <f t="shared" ca="1" si="1537"/>
        <v>#NAME?</v>
      </c>
      <c r="CW197" s="50" t="e">
        <f t="shared" ca="1" si="1537"/>
        <v>#NAME?</v>
      </c>
      <c r="CX197" s="50" t="e">
        <f t="shared" ca="1" si="1537"/>
        <v>#NAME?</v>
      </c>
      <c r="CY197" s="50" t="e">
        <f t="shared" ca="1" si="1537"/>
        <v>#NAME?</v>
      </c>
      <c r="CZ197" s="50" t="e">
        <f t="shared" ca="1" si="1537"/>
        <v>#NAME?</v>
      </c>
      <c r="DA197" s="50" t="e">
        <f t="shared" ca="1" si="1537"/>
        <v>#NAME?</v>
      </c>
      <c r="DB197" s="50" t="e">
        <f t="shared" ca="1" si="1537"/>
        <v>#NAME?</v>
      </c>
      <c r="DE197" s="138"/>
      <c r="DF197" s="115">
        <v>183.78210644569759</v>
      </c>
    </row>
    <row r="198" spans="1:110" s="7" customFormat="1" x14ac:dyDescent="0.2">
      <c r="A198" s="69" t="s">
        <v>86</v>
      </c>
      <c r="AB198" s="77"/>
      <c r="AC198" s="77"/>
      <c r="AD198" s="77"/>
      <c r="AE198" s="77"/>
      <c r="CE198" s="115"/>
      <c r="CG198" s="115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E198" s="138"/>
      <c r="DF198" s="115"/>
    </row>
    <row r="199" spans="1:110" s="86" customFormat="1" x14ac:dyDescent="0.2">
      <c r="A199" s="86" t="s">
        <v>440</v>
      </c>
      <c r="C199" s="86" t="e">
        <f t="shared" ref="C199:Y199" ca="1" si="1539">C21/B21-1</f>
        <v>#NAME?</v>
      </c>
      <c r="D199" s="86" t="e">
        <f t="shared" ca="1" si="1539"/>
        <v>#NAME?</v>
      </c>
      <c r="E199" s="86" t="e">
        <f t="shared" ca="1" si="1539"/>
        <v>#NAME?</v>
      </c>
      <c r="F199" s="86" t="e">
        <f t="shared" ca="1" si="1539"/>
        <v>#NAME?</v>
      </c>
      <c r="G199" s="86" t="e">
        <f t="shared" ca="1" si="1539"/>
        <v>#NAME?</v>
      </c>
      <c r="H199" s="86" t="e">
        <f t="shared" ca="1" si="1539"/>
        <v>#NAME?</v>
      </c>
      <c r="I199" s="86" t="e">
        <f t="shared" ca="1" si="1539"/>
        <v>#NAME?</v>
      </c>
      <c r="J199" s="86" t="e">
        <f t="shared" ca="1" si="1539"/>
        <v>#NAME?</v>
      </c>
      <c r="K199" s="86" t="e">
        <f t="shared" ca="1" si="1539"/>
        <v>#NAME?</v>
      </c>
      <c r="L199" s="86" t="e">
        <f t="shared" ca="1" si="1539"/>
        <v>#NAME?</v>
      </c>
      <c r="M199" s="86" t="e">
        <f t="shared" ca="1" si="1539"/>
        <v>#NAME?</v>
      </c>
      <c r="N199" s="86" t="e">
        <f t="shared" ca="1" si="1539"/>
        <v>#NAME?</v>
      </c>
      <c r="O199" s="86" t="e">
        <f t="shared" ca="1" si="1539"/>
        <v>#NAME?</v>
      </c>
      <c r="P199" s="86" t="e">
        <f t="shared" ca="1" si="1539"/>
        <v>#NAME?</v>
      </c>
      <c r="Q199" s="86" t="e">
        <f t="shared" ca="1" si="1539"/>
        <v>#NAME?</v>
      </c>
      <c r="R199" s="86" t="e">
        <f t="shared" ca="1" si="1539"/>
        <v>#NAME?</v>
      </c>
      <c r="S199" s="86" t="e">
        <f t="shared" ca="1" si="1539"/>
        <v>#NAME?</v>
      </c>
      <c r="T199" s="86" t="e">
        <f t="shared" ca="1" si="1539"/>
        <v>#NAME?</v>
      </c>
      <c r="U199" s="86" t="e">
        <f t="shared" ca="1" si="1539"/>
        <v>#NAME?</v>
      </c>
      <c r="V199" s="86" t="e">
        <f t="shared" ca="1" si="1539"/>
        <v>#NAME?</v>
      </c>
      <c r="W199" s="86" t="e">
        <f t="shared" ca="1" si="1539"/>
        <v>#NAME?</v>
      </c>
      <c r="X199" s="86" t="e">
        <f t="shared" ca="1" si="1539"/>
        <v>#NAME?</v>
      </c>
      <c r="Y199" s="86" t="e">
        <f t="shared" ca="1" si="1539"/>
        <v>#NAME?</v>
      </c>
      <c r="Z199" s="86" t="e">
        <f ca="1">Z21/Y21-1</f>
        <v>#NAME?</v>
      </c>
      <c r="AA199" s="86" t="e">
        <f ca="1">AA21/Z21-1</f>
        <v>#NAME?</v>
      </c>
      <c r="AB199" s="87" t="e">
        <f t="shared" ref="AA199:AE199" ca="1" si="1540">AB21/AA21-1</f>
        <v>#NAME?</v>
      </c>
      <c r="AC199" s="87">
        <f t="shared" si="1540"/>
        <v>0.31858182203414098</v>
      </c>
      <c r="AD199" s="87">
        <f t="shared" si="1540"/>
        <v>0.33346764373940396</v>
      </c>
      <c r="AE199" s="87">
        <f t="shared" si="1540"/>
        <v>0.3487424928616969</v>
      </c>
      <c r="AN199" s="86" t="e">
        <f t="shared" ref="AN199:CI199" ca="1" si="1541">+(AN21+AM21)/(AJ21+AI21)-1</f>
        <v>#NAME?</v>
      </c>
      <c r="AO199" s="86" t="e">
        <f t="shared" ca="1" si="1541"/>
        <v>#NAME?</v>
      </c>
      <c r="AP199" s="86" t="e">
        <f t="shared" ca="1" si="1541"/>
        <v>#NAME?</v>
      </c>
      <c r="AQ199" s="86" t="e">
        <f t="shared" ca="1" si="1541"/>
        <v>#NAME?</v>
      </c>
      <c r="AR199" s="86" t="e">
        <f t="shared" ca="1" si="1541"/>
        <v>#NAME?</v>
      </c>
      <c r="AS199" s="86" t="e">
        <f t="shared" ca="1" si="1541"/>
        <v>#NAME?</v>
      </c>
      <c r="AT199" s="86" t="e">
        <f t="shared" ca="1" si="1541"/>
        <v>#NAME?</v>
      </c>
      <c r="AU199" s="86" t="e">
        <f t="shared" ca="1" si="1541"/>
        <v>#NAME?</v>
      </c>
      <c r="AV199" s="86" t="e">
        <f t="shared" ca="1" si="1541"/>
        <v>#NAME?</v>
      </c>
      <c r="AW199" s="86" t="e">
        <f t="shared" ca="1" si="1541"/>
        <v>#NAME?</v>
      </c>
      <c r="AX199" s="86" t="e">
        <f t="shared" ca="1" si="1541"/>
        <v>#NAME?</v>
      </c>
      <c r="AY199" s="86" t="e">
        <f t="shared" ca="1" si="1541"/>
        <v>#NAME?</v>
      </c>
      <c r="AZ199" s="86" t="e">
        <f t="shared" ca="1" si="1541"/>
        <v>#NAME?</v>
      </c>
      <c r="BA199" s="86" t="e">
        <f t="shared" ca="1" si="1541"/>
        <v>#NAME?</v>
      </c>
      <c r="BB199" s="86" t="e">
        <f t="shared" ca="1" si="1541"/>
        <v>#NAME?</v>
      </c>
      <c r="BC199" s="86" t="e">
        <f t="shared" ca="1" si="1541"/>
        <v>#NAME?</v>
      </c>
      <c r="BD199" s="86" t="e">
        <f t="shared" ca="1" si="1541"/>
        <v>#NAME?</v>
      </c>
      <c r="BE199" s="86" t="e">
        <f t="shared" ca="1" si="1541"/>
        <v>#NAME?</v>
      </c>
      <c r="BF199" s="86" t="e">
        <f t="shared" ca="1" si="1541"/>
        <v>#NAME?</v>
      </c>
      <c r="BG199" s="86" t="e">
        <f t="shared" ca="1" si="1541"/>
        <v>#NAME?</v>
      </c>
      <c r="BH199" s="86" t="e">
        <f t="shared" ca="1" si="1541"/>
        <v>#NAME?</v>
      </c>
      <c r="BI199" s="86" t="e">
        <f t="shared" ca="1" si="1541"/>
        <v>#NAME?</v>
      </c>
      <c r="BJ199" s="86" t="e">
        <f t="shared" ca="1" si="1541"/>
        <v>#NAME?</v>
      </c>
      <c r="BK199" s="86" t="e">
        <f t="shared" ca="1" si="1541"/>
        <v>#NAME?</v>
      </c>
      <c r="BL199" s="86" t="e">
        <f t="shared" ca="1" si="1541"/>
        <v>#NAME?</v>
      </c>
      <c r="BM199" s="86" t="e">
        <f t="shared" ca="1" si="1541"/>
        <v>#NAME?</v>
      </c>
      <c r="BN199" s="86" t="e">
        <f t="shared" ca="1" si="1541"/>
        <v>#NAME?</v>
      </c>
      <c r="BO199" s="86" t="e">
        <f t="shared" ca="1" si="1541"/>
        <v>#NAME?</v>
      </c>
      <c r="BP199" s="86" t="e">
        <f t="shared" ca="1" si="1541"/>
        <v>#NAME?</v>
      </c>
      <c r="BQ199" s="86" t="e">
        <f t="shared" ca="1" si="1541"/>
        <v>#NAME?</v>
      </c>
      <c r="BR199" s="86" t="e">
        <f t="shared" ca="1" si="1541"/>
        <v>#NAME?</v>
      </c>
      <c r="BS199" s="86" t="e">
        <f t="shared" ca="1" si="1541"/>
        <v>#NAME?</v>
      </c>
      <c r="BT199" s="86" t="e">
        <f t="shared" ca="1" si="1541"/>
        <v>#NAME?</v>
      </c>
      <c r="BU199" s="86" t="e">
        <f t="shared" ca="1" si="1541"/>
        <v>#NAME?</v>
      </c>
      <c r="BV199" s="86" t="e">
        <f t="shared" ca="1" si="1541"/>
        <v>#NAME?</v>
      </c>
      <c r="BW199" s="86" t="e">
        <f t="shared" ca="1" si="1541"/>
        <v>#NAME?</v>
      </c>
      <c r="BX199" s="86" t="e">
        <f t="shared" ca="1" si="1541"/>
        <v>#NAME?</v>
      </c>
      <c r="BY199" s="86" t="e">
        <f t="shared" ca="1" si="1541"/>
        <v>#NAME?</v>
      </c>
      <c r="BZ199" s="86" t="e">
        <f t="shared" ca="1" si="1541"/>
        <v>#NAME?</v>
      </c>
      <c r="CA199" s="86" t="e">
        <f t="shared" ca="1" si="1541"/>
        <v>#NAME?</v>
      </c>
      <c r="CB199" s="86" t="e">
        <f t="shared" ca="1" si="1541"/>
        <v>#NAME?</v>
      </c>
      <c r="CC199" s="86" t="e">
        <f t="shared" ca="1" si="1541"/>
        <v>#NAME?</v>
      </c>
      <c r="CD199" s="86" t="e">
        <f t="shared" ca="1" si="1541"/>
        <v>#NAME?</v>
      </c>
      <c r="CE199" s="86" t="e">
        <f t="shared" ca="1" si="1541"/>
        <v>#NAME?</v>
      </c>
      <c r="CF199" s="86" t="e">
        <f t="shared" ca="1" si="1541"/>
        <v>#NAME?</v>
      </c>
      <c r="CG199" s="86" t="e">
        <f t="shared" ca="1" si="1541"/>
        <v>#NAME?</v>
      </c>
      <c r="CH199" s="86" t="e">
        <f t="shared" ca="1" si="1541"/>
        <v>#NAME?</v>
      </c>
      <c r="CI199" s="86" t="e">
        <f t="shared" ca="1" si="1541"/>
        <v>#NAME?</v>
      </c>
      <c r="CJ199" s="86" t="e">
        <f ca="1">+(CJ21+CI21)/(CF21+CE21)-1</f>
        <v>#NAME?</v>
      </c>
      <c r="CL199" s="86" t="e">
        <f ca="1">+(CL21+CK21)/(CH21+CG21)-1</f>
        <v>#NAME?</v>
      </c>
      <c r="CM199" s="87"/>
      <c r="CN199" s="87"/>
      <c r="CO199" s="87"/>
      <c r="CP199" s="87"/>
      <c r="CQ199" s="87"/>
      <c r="CR199" s="87"/>
      <c r="CS199" s="87"/>
      <c r="CT199" s="87"/>
      <c r="CU199" s="87"/>
      <c r="CV199" s="87"/>
      <c r="CW199" s="87"/>
      <c r="CX199" s="87"/>
      <c r="CY199" s="87"/>
      <c r="CZ199" s="87"/>
      <c r="DA199" s="87"/>
      <c r="DB199" s="87"/>
      <c r="DE199" s="141"/>
      <c r="DF199" s="86">
        <v>0.40832761701449738</v>
      </c>
    </row>
    <row r="200" spans="1:110" s="86" customFormat="1" x14ac:dyDescent="0.2">
      <c r="A200" s="86" t="s">
        <v>441</v>
      </c>
      <c r="C200" s="86" t="e">
        <f t="shared" ref="C200" ca="1" si="1542">C197/B197-1</f>
        <v>#NAME?</v>
      </c>
      <c r="D200" s="86" t="e">
        <f t="shared" ref="D200" ca="1" si="1543">D197/C197-1</f>
        <v>#NAME?</v>
      </c>
      <c r="E200" s="86" t="e">
        <f ca="1">E197/D197-1</f>
        <v>#NAME?</v>
      </c>
      <c r="F200" s="86" t="e">
        <f t="shared" ref="F200" ca="1" si="1544">F197/E197-1</f>
        <v>#NAME?</v>
      </c>
      <c r="G200" s="86" t="e">
        <f t="shared" ref="G200" ca="1" si="1545">G197/F197-1</f>
        <v>#NAME?</v>
      </c>
      <c r="H200" s="86" t="e">
        <f t="shared" ref="H200" ca="1" si="1546">H197/G197-1</f>
        <v>#NAME?</v>
      </c>
      <c r="I200" s="86" t="e">
        <f t="shared" ref="I200" ca="1" si="1547">I197/H197-1</f>
        <v>#NAME?</v>
      </c>
      <c r="J200" s="86" t="e">
        <f t="shared" ref="J200" ca="1" si="1548">J197/I197-1</f>
        <v>#NAME?</v>
      </c>
      <c r="K200" s="86" t="e">
        <f ca="1">K197/J197-1</f>
        <v>#NAME?</v>
      </c>
      <c r="L200" s="86" t="e">
        <f t="shared" ref="L200" ca="1" si="1549">L197/K197-1</f>
        <v>#NAME?</v>
      </c>
      <c r="M200" s="86" t="e">
        <f t="shared" ref="M200" ca="1" si="1550">M197/L197-1</f>
        <v>#NAME?</v>
      </c>
      <c r="N200" s="86" t="e">
        <f t="shared" ref="N200" ca="1" si="1551">N197/M197-1</f>
        <v>#NAME?</v>
      </c>
      <c r="O200" s="86" t="e">
        <f t="shared" ref="O200" ca="1" si="1552">O197/N197-1</f>
        <v>#NAME?</v>
      </c>
      <c r="P200" s="86" t="e">
        <f t="shared" ref="P200" ca="1" si="1553">P197/O197-1</f>
        <v>#NAME?</v>
      </c>
      <c r="Q200" s="86" t="e">
        <f t="shared" ref="Q200" ca="1" si="1554">Q197/P197-1</f>
        <v>#NAME?</v>
      </c>
      <c r="R200" s="86" t="e">
        <f t="shared" ref="R200" ca="1" si="1555">R197/Q197-1</f>
        <v>#NAME?</v>
      </c>
      <c r="S200" s="86" t="e">
        <f t="shared" ref="S200" ca="1" si="1556">S197/R197-1</f>
        <v>#NAME?</v>
      </c>
      <c r="T200" s="86" t="e">
        <f t="shared" ref="T200" ca="1" si="1557">T197/S197-1</f>
        <v>#NAME?</v>
      </c>
      <c r="U200" s="86" t="e">
        <f t="shared" ref="U200" ca="1" si="1558">U197/T197-1</f>
        <v>#NAME?</v>
      </c>
      <c r="V200" s="86" t="e">
        <f t="shared" ref="V200" ca="1" si="1559">V197/U197-1</f>
        <v>#NAME?</v>
      </c>
      <c r="W200" s="86" t="e">
        <f t="shared" ref="W200:AA200" ca="1" si="1560">W197/V197-1</f>
        <v>#NAME?</v>
      </c>
      <c r="X200" s="86" t="e">
        <f t="shared" ca="1" si="1560"/>
        <v>#NAME?</v>
      </c>
      <c r="Y200" s="86" t="e">
        <f t="shared" ca="1" si="1560"/>
        <v>#NAME?</v>
      </c>
      <c r="Z200" s="86" t="e">
        <f t="shared" ca="1" si="1560"/>
        <v>#NAME?</v>
      </c>
      <c r="AA200" s="86" t="e">
        <f t="shared" ca="1" si="1560"/>
        <v>#NAME?</v>
      </c>
      <c r="AB200" s="87" t="e">
        <f t="shared" ref="AB200" ca="1" si="1561">AB197/AA197-1</f>
        <v>#NAME?</v>
      </c>
      <c r="AC200" s="87" t="e">
        <f t="shared" ref="AC200" ca="1" si="1562">AC197/AB197-1</f>
        <v>#NAME?</v>
      </c>
      <c r="AD200" s="87" t="e">
        <f t="shared" ref="AD200" ca="1" si="1563">AD197/AC197-1</f>
        <v>#NAME?</v>
      </c>
      <c r="AE200" s="87" t="e">
        <f t="shared" ref="AE200" ca="1" si="1564">AE197/AD197-1</f>
        <v>#NAME?</v>
      </c>
      <c r="AN200" s="86" t="e">
        <f t="shared" ref="AN200:CI200" ca="1" si="1565">+AN197/AJ197-1</f>
        <v>#NAME?</v>
      </c>
      <c r="AO200" s="86" t="e">
        <f t="shared" ca="1" si="1565"/>
        <v>#NAME?</v>
      </c>
      <c r="AP200" s="86" t="e">
        <f t="shared" ca="1" si="1565"/>
        <v>#NAME?</v>
      </c>
      <c r="AQ200" s="86" t="e">
        <f t="shared" ca="1" si="1565"/>
        <v>#NAME?</v>
      </c>
      <c r="AR200" s="86" t="e">
        <f t="shared" ca="1" si="1565"/>
        <v>#NAME?</v>
      </c>
      <c r="AS200" s="86" t="e">
        <f t="shared" ca="1" si="1565"/>
        <v>#NAME?</v>
      </c>
      <c r="AT200" s="86" t="e">
        <f t="shared" ca="1" si="1565"/>
        <v>#NAME?</v>
      </c>
      <c r="AU200" s="86" t="e">
        <f t="shared" ca="1" si="1565"/>
        <v>#NAME?</v>
      </c>
      <c r="AV200" s="86" t="e">
        <f t="shared" ca="1" si="1565"/>
        <v>#NAME?</v>
      </c>
      <c r="AW200" s="86" t="e">
        <f t="shared" ca="1" si="1565"/>
        <v>#NAME?</v>
      </c>
      <c r="AX200" s="86" t="e">
        <f t="shared" ca="1" si="1565"/>
        <v>#NAME?</v>
      </c>
      <c r="AY200" s="86" t="e">
        <f t="shared" ca="1" si="1565"/>
        <v>#NAME?</v>
      </c>
      <c r="AZ200" s="86" t="e">
        <f t="shared" ca="1" si="1565"/>
        <v>#NAME?</v>
      </c>
      <c r="BA200" s="86" t="e">
        <f t="shared" ca="1" si="1565"/>
        <v>#NAME?</v>
      </c>
      <c r="BB200" s="86" t="e">
        <f t="shared" ca="1" si="1565"/>
        <v>#NAME?</v>
      </c>
      <c r="BC200" s="86" t="e">
        <f t="shared" ca="1" si="1565"/>
        <v>#NAME?</v>
      </c>
      <c r="BD200" s="86" t="e">
        <f t="shared" ca="1" si="1565"/>
        <v>#NAME?</v>
      </c>
      <c r="BE200" s="86" t="e">
        <f t="shared" ca="1" si="1565"/>
        <v>#NAME?</v>
      </c>
      <c r="BF200" s="86" t="e">
        <f t="shared" ca="1" si="1565"/>
        <v>#NAME?</v>
      </c>
      <c r="BG200" s="86" t="e">
        <f t="shared" ca="1" si="1565"/>
        <v>#NAME?</v>
      </c>
      <c r="BH200" s="86" t="e">
        <f t="shared" ca="1" si="1565"/>
        <v>#NAME?</v>
      </c>
      <c r="BI200" s="86" t="e">
        <f t="shared" ca="1" si="1565"/>
        <v>#NAME?</v>
      </c>
      <c r="BJ200" s="86" t="e">
        <f t="shared" ca="1" si="1565"/>
        <v>#NAME?</v>
      </c>
      <c r="BK200" s="86" t="e">
        <f t="shared" ca="1" si="1565"/>
        <v>#NAME?</v>
      </c>
      <c r="BL200" s="86" t="e">
        <f t="shared" ca="1" si="1565"/>
        <v>#NAME?</v>
      </c>
      <c r="BM200" s="86" t="e">
        <f t="shared" ca="1" si="1565"/>
        <v>#NAME?</v>
      </c>
      <c r="BN200" s="86" t="e">
        <f t="shared" ca="1" si="1565"/>
        <v>#NAME?</v>
      </c>
      <c r="BO200" s="86" t="e">
        <f t="shared" ca="1" si="1565"/>
        <v>#NAME?</v>
      </c>
      <c r="BP200" s="86" t="e">
        <f t="shared" ca="1" si="1565"/>
        <v>#NAME?</v>
      </c>
      <c r="BQ200" s="86" t="e">
        <f t="shared" ca="1" si="1565"/>
        <v>#NAME?</v>
      </c>
      <c r="BR200" s="86" t="e">
        <f t="shared" ca="1" si="1565"/>
        <v>#NAME?</v>
      </c>
      <c r="BS200" s="86" t="e">
        <f t="shared" ca="1" si="1565"/>
        <v>#NAME?</v>
      </c>
      <c r="BT200" s="86" t="e">
        <f t="shared" ca="1" si="1565"/>
        <v>#NAME?</v>
      </c>
      <c r="BU200" s="86" t="e">
        <f t="shared" ca="1" si="1565"/>
        <v>#NAME?</v>
      </c>
      <c r="BV200" s="86" t="e">
        <f t="shared" ca="1" si="1565"/>
        <v>#NAME?</v>
      </c>
      <c r="BW200" s="86" t="e">
        <f t="shared" ca="1" si="1565"/>
        <v>#NAME?</v>
      </c>
      <c r="BX200" s="86" t="e">
        <f t="shared" ca="1" si="1565"/>
        <v>#NAME?</v>
      </c>
      <c r="BY200" s="86" t="e">
        <f t="shared" ca="1" si="1565"/>
        <v>#NAME?</v>
      </c>
      <c r="BZ200" s="86" t="e">
        <f t="shared" ca="1" si="1565"/>
        <v>#NAME?</v>
      </c>
      <c r="CA200" s="86" t="e">
        <f t="shared" ca="1" si="1565"/>
        <v>#NAME?</v>
      </c>
      <c r="CB200" s="86" t="e">
        <f t="shared" ca="1" si="1565"/>
        <v>#NAME?</v>
      </c>
      <c r="CC200" s="86" t="e">
        <f t="shared" ca="1" si="1565"/>
        <v>#NAME?</v>
      </c>
      <c r="CD200" s="86" t="e">
        <f t="shared" ca="1" si="1565"/>
        <v>#NAME?</v>
      </c>
      <c r="CE200" s="86" t="e">
        <f t="shared" ca="1" si="1565"/>
        <v>#NAME?</v>
      </c>
      <c r="CF200" s="86" t="e">
        <f t="shared" ca="1" si="1565"/>
        <v>#NAME?</v>
      </c>
      <c r="CG200" s="86" t="e">
        <f t="shared" ca="1" si="1565"/>
        <v>#NAME?</v>
      </c>
      <c r="CH200" s="86" t="e">
        <f t="shared" ca="1" si="1565"/>
        <v>#NAME?</v>
      </c>
      <c r="CI200" s="86" t="e">
        <f t="shared" ca="1" si="1565"/>
        <v>#NAME?</v>
      </c>
      <c r="CJ200" s="86" t="e">
        <f ca="1">+CJ197/CF197-1</f>
        <v>#NAME?</v>
      </c>
      <c r="CL200" s="86" t="e">
        <f ca="1">+CL197/CH197-1</f>
        <v>#NAME?</v>
      </c>
      <c r="CM200" s="87"/>
      <c r="CN200" s="87"/>
      <c r="CO200" s="87"/>
      <c r="CP200" s="87"/>
      <c r="CQ200" s="87"/>
      <c r="CR200" s="87"/>
      <c r="CS200" s="87"/>
      <c r="CT200" s="87"/>
      <c r="CU200" s="87"/>
      <c r="CV200" s="87"/>
      <c r="CW200" s="87"/>
      <c r="CX200" s="87"/>
      <c r="CY200" s="87"/>
      <c r="CZ200" s="87"/>
      <c r="DA200" s="87"/>
      <c r="DB200" s="87"/>
      <c r="DE200" s="141"/>
      <c r="DF200" s="86">
        <v>-9.8146312687300008E-2</v>
      </c>
    </row>
    <row r="201" spans="1:110" s="103" customFormat="1" x14ac:dyDescent="0.2">
      <c r="A201" s="147" t="s">
        <v>87</v>
      </c>
      <c r="C201" s="103" t="e">
        <f ca="1">IF(C200&gt;C199,"RF",0)</f>
        <v>#NAME?</v>
      </c>
      <c r="D201" s="103" t="e">
        <f ca="1">IF(D200&gt;D199,"RF",0)</f>
        <v>#NAME?</v>
      </c>
      <c r="E201" s="103" t="e">
        <f t="shared" ref="E201:U201" ca="1" si="1566">IF(E200&gt;E199,"RF",0)</f>
        <v>#NAME?</v>
      </c>
      <c r="F201" s="103" t="e">
        <f t="shared" ca="1" si="1566"/>
        <v>#NAME?</v>
      </c>
      <c r="G201" s="103" t="e">
        <f t="shared" ca="1" si="1566"/>
        <v>#NAME?</v>
      </c>
      <c r="H201" s="103" t="e">
        <f t="shared" ca="1" si="1566"/>
        <v>#NAME?</v>
      </c>
      <c r="I201" s="103" t="e">
        <f t="shared" ca="1" si="1566"/>
        <v>#NAME?</v>
      </c>
      <c r="J201" s="103" t="e">
        <f t="shared" ca="1" si="1566"/>
        <v>#NAME?</v>
      </c>
      <c r="K201" s="103" t="e">
        <f t="shared" ca="1" si="1566"/>
        <v>#NAME?</v>
      </c>
      <c r="L201" s="103" t="e">
        <f t="shared" ca="1" si="1566"/>
        <v>#NAME?</v>
      </c>
      <c r="M201" s="103" t="e">
        <f t="shared" ca="1" si="1566"/>
        <v>#NAME?</v>
      </c>
      <c r="N201" s="103" t="e">
        <f t="shared" ca="1" si="1566"/>
        <v>#NAME?</v>
      </c>
      <c r="O201" s="103" t="e">
        <f t="shared" ca="1" si="1566"/>
        <v>#NAME?</v>
      </c>
      <c r="P201" s="103" t="e">
        <f t="shared" ca="1" si="1566"/>
        <v>#NAME?</v>
      </c>
      <c r="Q201" s="103" t="e">
        <f t="shared" ca="1" si="1566"/>
        <v>#NAME?</v>
      </c>
      <c r="R201" s="103" t="e">
        <f t="shared" ca="1" si="1566"/>
        <v>#NAME?</v>
      </c>
      <c r="S201" s="103" t="e">
        <f t="shared" ca="1" si="1566"/>
        <v>#NAME?</v>
      </c>
      <c r="T201" s="103" t="e">
        <f t="shared" ca="1" si="1566"/>
        <v>#NAME?</v>
      </c>
      <c r="U201" s="103" t="e">
        <f t="shared" ca="1" si="1566"/>
        <v>#NAME?</v>
      </c>
      <c r="V201" s="103" t="e">
        <f ca="1">IF(V200&gt;V199,"RF",0)</f>
        <v>#NAME?</v>
      </c>
      <c r="W201" s="103" t="e">
        <f t="shared" ref="W201" ca="1" si="1567">IF(W200&gt;W199,"RF",0)</f>
        <v>#NAME?</v>
      </c>
      <c r="X201" s="103" t="e">
        <f t="shared" ref="X201:Y201" ca="1" si="1568">IF(X200&gt;X199,"RF",0)</f>
        <v>#NAME?</v>
      </c>
      <c r="Y201" s="103" t="e">
        <f t="shared" ca="1" si="1568"/>
        <v>#NAME?</v>
      </c>
      <c r="Z201" s="103" t="e">
        <f t="shared" ref="Z201:AA201" ca="1" si="1569">IF(Z200&gt;Z199,"RF",0)</f>
        <v>#NAME?</v>
      </c>
      <c r="AA201" s="103" t="e">
        <f t="shared" ca="1" si="1569"/>
        <v>#NAME?</v>
      </c>
      <c r="AB201" s="73" t="e">
        <f t="shared" ref="AA201:AD201" ca="1" si="1570">IF(AB200&gt;AB199,"RF",0)</f>
        <v>#NAME?</v>
      </c>
      <c r="AC201" s="73" t="e">
        <f t="shared" ca="1" si="1570"/>
        <v>#NAME?</v>
      </c>
      <c r="AD201" s="73" t="e">
        <f t="shared" ca="1" si="1570"/>
        <v>#NAME?</v>
      </c>
      <c r="AE201" s="73" t="e">
        <f t="shared" ref="AE201" ca="1" si="1571">IF(AE200&gt;AE199,"RF",0)</f>
        <v>#NAME?</v>
      </c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E201" s="142"/>
      <c r="DF201" s="103">
        <v>0</v>
      </c>
    </row>
    <row r="202" spans="1:110" x14ac:dyDescent="0.2">
      <c r="A202" s="153" t="s">
        <v>494</v>
      </c>
      <c r="AA202" s="2"/>
      <c r="DF202" s="111"/>
    </row>
    <row r="203" spans="1:110" x14ac:dyDescent="0.2">
      <c r="A203" s="152" t="s">
        <v>495</v>
      </c>
      <c r="AA203" s="2"/>
      <c r="DF203" s="111"/>
    </row>
    <row r="204" spans="1:110" s="23" customFormat="1" x14ac:dyDescent="0.2">
      <c r="A204" s="23" t="s">
        <v>22</v>
      </c>
      <c r="C204" s="23" t="e">
        <f t="shared" ref="C204:AE204" ca="1" si="1572">C59</f>
        <v>#NAME?</v>
      </c>
      <c r="D204" s="23" t="e">
        <f t="shared" ca="1" si="1572"/>
        <v>#NAME?</v>
      </c>
      <c r="E204" s="23" t="e">
        <f t="shared" ca="1" si="1572"/>
        <v>#NAME?</v>
      </c>
      <c r="F204" s="23" t="e">
        <f t="shared" ca="1" si="1572"/>
        <v>#NAME?</v>
      </c>
      <c r="G204" s="23" t="e">
        <f t="shared" ca="1" si="1572"/>
        <v>#NAME?</v>
      </c>
      <c r="H204" s="23" t="e">
        <f t="shared" ca="1" si="1572"/>
        <v>#NAME?</v>
      </c>
      <c r="I204" s="23" t="e">
        <f t="shared" ca="1" si="1572"/>
        <v>#NAME?</v>
      </c>
      <c r="J204" s="23" t="e">
        <f t="shared" ca="1" si="1572"/>
        <v>#NAME?</v>
      </c>
      <c r="K204" s="23" t="e">
        <f t="shared" ca="1" si="1572"/>
        <v>#NAME?</v>
      </c>
      <c r="L204" s="23" t="e">
        <f t="shared" ca="1" si="1572"/>
        <v>#NAME?</v>
      </c>
      <c r="M204" s="23" t="e">
        <f t="shared" ca="1" si="1572"/>
        <v>#NAME?</v>
      </c>
      <c r="N204" s="23" t="e">
        <f t="shared" ca="1" si="1572"/>
        <v>#NAME?</v>
      </c>
      <c r="O204" s="23" t="e">
        <f t="shared" ca="1" si="1572"/>
        <v>#NAME?</v>
      </c>
      <c r="P204" s="23" t="e">
        <f t="shared" ca="1" si="1572"/>
        <v>#NAME?</v>
      </c>
      <c r="Q204" s="23" t="e">
        <f t="shared" ca="1" si="1572"/>
        <v>#NAME?</v>
      </c>
      <c r="R204" s="23" t="e">
        <f t="shared" ca="1" si="1572"/>
        <v>#NAME?</v>
      </c>
      <c r="S204" s="23" t="e">
        <f t="shared" ca="1" si="1572"/>
        <v>#NAME?</v>
      </c>
      <c r="T204" s="23" t="e">
        <f t="shared" ca="1" si="1572"/>
        <v>#NAME?</v>
      </c>
      <c r="U204" s="23" t="e">
        <f t="shared" ca="1" si="1572"/>
        <v>#NAME?</v>
      </c>
      <c r="V204" s="23" t="e">
        <f t="shared" ca="1" si="1572"/>
        <v>#NAME?</v>
      </c>
      <c r="W204" s="23" t="e">
        <f t="shared" ca="1" si="1572"/>
        <v>#NAME?</v>
      </c>
      <c r="X204" s="23" t="e">
        <f t="shared" ca="1" si="1572"/>
        <v>#NAME?</v>
      </c>
      <c r="Y204" s="23" t="e">
        <f t="shared" ca="1" si="1572"/>
        <v>#NAME?</v>
      </c>
      <c r="Z204" s="23" t="e">
        <f t="shared" ca="1" si="1572"/>
        <v>#NAME?</v>
      </c>
      <c r="AA204" s="23" t="e">
        <f t="shared" ref="AA204" ca="1" si="1573">AA59</f>
        <v>#NAME?</v>
      </c>
      <c r="AB204" s="24" t="e">
        <f t="shared" ca="1" si="1572"/>
        <v>#NAME?</v>
      </c>
      <c r="AC204" s="24" t="e">
        <f t="shared" ca="1" si="1572"/>
        <v>#NAME?</v>
      </c>
      <c r="AD204" s="24" t="e">
        <f t="shared" ca="1" si="1572"/>
        <v>#NAME?</v>
      </c>
      <c r="AE204" s="24" t="e">
        <f t="shared" ca="1" si="1572"/>
        <v>#NAME?</v>
      </c>
      <c r="AI204" s="23" t="e">
        <f t="shared" ref="AI204:BN204" ca="1" si="1574">AI59</f>
        <v>#NAME?</v>
      </c>
      <c r="AJ204" s="23" t="e">
        <f t="shared" ca="1" si="1574"/>
        <v>#NAME?</v>
      </c>
      <c r="AK204" s="23" t="e">
        <f t="shared" ca="1" si="1574"/>
        <v>#NAME?</v>
      </c>
      <c r="AL204" s="23" t="e">
        <f t="shared" ca="1" si="1574"/>
        <v>#NAME?</v>
      </c>
      <c r="AM204" s="23" t="e">
        <f t="shared" ca="1" si="1574"/>
        <v>#NAME?</v>
      </c>
      <c r="AN204" s="23" t="e">
        <f t="shared" ca="1" si="1574"/>
        <v>#NAME?</v>
      </c>
      <c r="AO204" s="23" t="e">
        <f t="shared" ca="1" si="1574"/>
        <v>#NAME?</v>
      </c>
      <c r="AP204" s="23" t="e">
        <f t="shared" ca="1" si="1574"/>
        <v>#NAME?</v>
      </c>
      <c r="AQ204" s="23" t="e">
        <f t="shared" ca="1" si="1574"/>
        <v>#NAME?</v>
      </c>
      <c r="AR204" s="23" t="e">
        <f t="shared" ca="1" si="1574"/>
        <v>#NAME?</v>
      </c>
      <c r="AS204" s="23" t="e">
        <f t="shared" ca="1" si="1574"/>
        <v>#NAME?</v>
      </c>
      <c r="AT204" s="23" t="e">
        <f t="shared" ca="1" si="1574"/>
        <v>#NAME?</v>
      </c>
      <c r="AU204" s="23" t="e">
        <f t="shared" ca="1" si="1574"/>
        <v>#NAME?</v>
      </c>
      <c r="AV204" s="23" t="e">
        <f t="shared" ca="1" si="1574"/>
        <v>#NAME?</v>
      </c>
      <c r="AW204" s="23" t="e">
        <f t="shared" ca="1" si="1574"/>
        <v>#NAME?</v>
      </c>
      <c r="AX204" s="23" t="e">
        <f t="shared" ca="1" si="1574"/>
        <v>#NAME?</v>
      </c>
      <c r="AY204" s="23" t="e">
        <f t="shared" ca="1" si="1574"/>
        <v>#NAME?</v>
      </c>
      <c r="AZ204" s="23" t="e">
        <f t="shared" ca="1" si="1574"/>
        <v>#NAME?</v>
      </c>
      <c r="BA204" s="23" t="e">
        <f t="shared" ca="1" si="1574"/>
        <v>#NAME?</v>
      </c>
      <c r="BB204" s="23" t="e">
        <f t="shared" ca="1" si="1574"/>
        <v>#NAME?</v>
      </c>
      <c r="BC204" s="23" t="e">
        <f t="shared" ca="1" si="1574"/>
        <v>#NAME?</v>
      </c>
      <c r="BD204" s="23" t="e">
        <f t="shared" ca="1" si="1574"/>
        <v>#NAME?</v>
      </c>
      <c r="BE204" s="23" t="e">
        <f t="shared" ca="1" si="1574"/>
        <v>#NAME?</v>
      </c>
      <c r="BF204" s="23" t="e">
        <f t="shared" ca="1" si="1574"/>
        <v>#NAME?</v>
      </c>
      <c r="BG204" s="23" t="e">
        <f t="shared" ca="1" si="1574"/>
        <v>#NAME?</v>
      </c>
      <c r="BH204" s="23" t="e">
        <f t="shared" ca="1" si="1574"/>
        <v>#NAME?</v>
      </c>
      <c r="BI204" s="23" t="e">
        <f t="shared" ca="1" si="1574"/>
        <v>#NAME?</v>
      </c>
      <c r="BJ204" s="23" t="e">
        <f t="shared" ca="1" si="1574"/>
        <v>#NAME?</v>
      </c>
      <c r="BK204" s="23" t="e">
        <f t="shared" ca="1" si="1574"/>
        <v>#NAME?</v>
      </c>
      <c r="BL204" s="23" t="e">
        <f t="shared" ca="1" si="1574"/>
        <v>#NAME?</v>
      </c>
      <c r="BM204" s="23" t="e">
        <f t="shared" ca="1" si="1574"/>
        <v>#NAME?</v>
      </c>
      <c r="BN204" s="23" t="e">
        <f t="shared" ca="1" si="1574"/>
        <v>#NAME?</v>
      </c>
      <c r="BO204" s="23" t="e">
        <f t="shared" ref="BO204:CT204" ca="1" si="1575">BO59</f>
        <v>#NAME?</v>
      </c>
      <c r="BP204" s="23" t="e">
        <f t="shared" ca="1" si="1575"/>
        <v>#NAME?</v>
      </c>
      <c r="BQ204" s="23" t="e">
        <f t="shared" ca="1" si="1575"/>
        <v>#NAME?</v>
      </c>
      <c r="BR204" s="23" t="e">
        <f t="shared" ca="1" si="1575"/>
        <v>#NAME?</v>
      </c>
      <c r="BS204" s="23" t="e">
        <f t="shared" ca="1" si="1575"/>
        <v>#NAME?</v>
      </c>
      <c r="BT204" s="23" t="e">
        <f t="shared" ca="1" si="1575"/>
        <v>#NAME?</v>
      </c>
      <c r="BU204" s="23" t="e">
        <f t="shared" ca="1" si="1575"/>
        <v>#NAME?</v>
      </c>
      <c r="BV204" s="23" t="e">
        <f t="shared" ca="1" si="1575"/>
        <v>#NAME?</v>
      </c>
      <c r="BW204" s="23" t="e">
        <f t="shared" ca="1" si="1575"/>
        <v>#NAME?</v>
      </c>
      <c r="BX204" s="23" t="e">
        <f t="shared" ca="1" si="1575"/>
        <v>#NAME?</v>
      </c>
      <c r="BY204" s="23" t="e">
        <f t="shared" ca="1" si="1575"/>
        <v>#NAME?</v>
      </c>
      <c r="BZ204" s="23" t="e">
        <f t="shared" ca="1" si="1575"/>
        <v>#NAME?</v>
      </c>
      <c r="CA204" s="23" t="e">
        <f t="shared" ca="1" si="1575"/>
        <v>#NAME?</v>
      </c>
      <c r="CB204" s="23" t="e">
        <f t="shared" ca="1" si="1575"/>
        <v>#NAME?</v>
      </c>
      <c r="CC204" s="23" t="e">
        <f t="shared" ca="1" si="1575"/>
        <v>#NAME?</v>
      </c>
      <c r="CD204" s="23" t="e">
        <f t="shared" ca="1" si="1575"/>
        <v>#NAME?</v>
      </c>
      <c r="CE204" s="23" t="e">
        <f t="shared" ca="1" si="1575"/>
        <v>#NAME?</v>
      </c>
      <c r="CF204" s="23" t="e">
        <f t="shared" ca="1" si="1575"/>
        <v>#NAME?</v>
      </c>
      <c r="CG204" s="23">
        <f t="shared" si="1575"/>
        <v>5.3329999999999806</v>
      </c>
      <c r="CH204" s="23" t="e">
        <f t="shared" ca="1" si="1575"/>
        <v>#NAME?</v>
      </c>
      <c r="CI204" s="23" t="e">
        <f t="shared" ca="1" si="1575"/>
        <v>#NAME?</v>
      </c>
      <c r="CJ204" s="23" t="e">
        <f t="shared" ca="1" si="1575"/>
        <v>#NAME?</v>
      </c>
      <c r="CK204" s="23" t="e">
        <f t="shared" ca="1" si="1575"/>
        <v>#NAME?</v>
      </c>
      <c r="CL204" s="23" t="e">
        <f t="shared" ca="1" si="1575"/>
        <v>#NAME?</v>
      </c>
      <c r="CM204" s="24" t="e">
        <f t="shared" ca="1" si="1575"/>
        <v>#NAME?</v>
      </c>
      <c r="CN204" s="24" t="e">
        <f t="shared" ca="1" si="1575"/>
        <v>#NAME?</v>
      </c>
      <c r="CO204" s="24" t="e">
        <f t="shared" ca="1" si="1575"/>
        <v>#NAME?</v>
      </c>
      <c r="CP204" s="24" t="e">
        <f t="shared" ca="1" si="1575"/>
        <v>#NAME?</v>
      </c>
      <c r="CQ204" s="24" t="e">
        <f t="shared" ca="1" si="1575"/>
        <v>#NAME?</v>
      </c>
      <c r="CR204" s="24" t="e">
        <f t="shared" ca="1" si="1575"/>
        <v>#NAME?</v>
      </c>
      <c r="CS204" s="24" t="e">
        <f t="shared" ca="1" si="1575"/>
        <v>#NAME?</v>
      </c>
      <c r="CT204" s="24" t="e">
        <f t="shared" ca="1" si="1575"/>
        <v>#NAME?</v>
      </c>
      <c r="CU204" s="24" t="e">
        <f t="shared" ref="CU204:DB204" ca="1" si="1576">CU59</f>
        <v>#NAME?</v>
      </c>
      <c r="CV204" s="24" t="e">
        <f t="shared" ca="1" si="1576"/>
        <v>#NAME?</v>
      </c>
      <c r="CW204" s="24" t="e">
        <f t="shared" ca="1" si="1576"/>
        <v>#NAME?</v>
      </c>
      <c r="CX204" s="24" t="e">
        <f t="shared" ca="1" si="1576"/>
        <v>#NAME?</v>
      </c>
      <c r="CY204" s="24" t="e">
        <f t="shared" ca="1" si="1576"/>
        <v>#NAME?</v>
      </c>
      <c r="CZ204" s="24" t="e">
        <f t="shared" ca="1" si="1576"/>
        <v>#NAME?</v>
      </c>
      <c r="DA204" s="24" t="e">
        <f t="shared" ca="1" si="1576"/>
        <v>#NAME?</v>
      </c>
      <c r="DB204" s="24" t="e">
        <f t="shared" ca="1" si="1576"/>
        <v>#NAME?</v>
      </c>
      <c r="DE204" s="123"/>
      <c r="DF204" s="23">
        <v>37.452000000000069</v>
      </c>
    </row>
    <row r="205" spans="1:110" s="23" customFormat="1" x14ac:dyDescent="0.2">
      <c r="A205" s="23" t="s">
        <v>88</v>
      </c>
      <c r="C205" s="23" t="e">
        <f t="shared" ref="C205:AE205" ca="1" si="1577">C43</f>
        <v>#NAME?</v>
      </c>
      <c r="D205" s="23" t="e">
        <f t="shared" ca="1" si="1577"/>
        <v>#NAME?</v>
      </c>
      <c r="E205" s="23" t="e">
        <f t="shared" ca="1" si="1577"/>
        <v>#NAME?</v>
      </c>
      <c r="F205" s="23" t="e">
        <f t="shared" ca="1" si="1577"/>
        <v>#NAME?</v>
      </c>
      <c r="G205" s="23" t="e">
        <f t="shared" ca="1" si="1577"/>
        <v>#NAME?</v>
      </c>
      <c r="H205" s="23" t="e">
        <f t="shared" ca="1" si="1577"/>
        <v>#NAME?</v>
      </c>
      <c r="I205" s="23" t="e">
        <f t="shared" ca="1" si="1577"/>
        <v>#NAME?</v>
      </c>
      <c r="J205" s="23" t="e">
        <f t="shared" ca="1" si="1577"/>
        <v>#NAME?</v>
      </c>
      <c r="K205" s="23" t="e">
        <f t="shared" ca="1" si="1577"/>
        <v>#NAME?</v>
      </c>
      <c r="L205" s="23" t="e">
        <f t="shared" ca="1" si="1577"/>
        <v>#NAME?</v>
      </c>
      <c r="M205" s="23" t="e">
        <f t="shared" ca="1" si="1577"/>
        <v>#NAME?</v>
      </c>
      <c r="N205" s="23" t="e">
        <f t="shared" ca="1" si="1577"/>
        <v>#NAME?</v>
      </c>
      <c r="O205" s="23" t="e">
        <f t="shared" ca="1" si="1577"/>
        <v>#NAME?</v>
      </c>
      <c r="P205" s="23" t="e">
        <f t="shared" ca="1" si="1577"/>
        <v>#NAME?</v>
      </c>
      <c r="Q205" s="23" t="e">
        <f t="shared" ca="1" si="1577"/>
        <v>#NAME?</v>
      </c>
      <c r="R205" s="23" t="e">
        <f t="shared" ca="1" si="1577"/>
        <v>#NAME?</v>
      </c>
      <c r="S205" s="23" t="e">
        <f t="shared" ca="1" si="1577"/>
        <v>#NAME?</v>
      </c>
      <c r="T205" s="23" t="e">
        <f t="shared" ca="1" si="1577"/>
        <v>#NAME?</v>
      </c>
      <c r="U205" s="23" t="e">
        <f t="shared" ca="1" si="1577"/>
        <v>#NAME?</v>
      </c>
      <c r="V205" s="23" t="e">
        <f t="shared" ca="1" si="1577"/>
        <v>#NAME?</v>
      </c>
      <c r="W205" s="23" t="e">
        <f t="shared" ca="1" si="1577"/>
        <v>#NAME?</v>
      </c>
      <c r="X205" s="23" t="e">
        <f t="shared" ca="1" si="1577"/>
        <v>#NAME?</v>
      </c>
      <c r="Y205" s="23" t="e">
        <f t="shared" ca="1" si="1577"/>
        <v>#NAME?</v>
      </c>
      <c r="Z205" s="23" t="e">
        <f t="shared" ca="1" si="1577"/>
        <v>#NAME?</v>
      </c>
      <c r="AA205" s="23" t="e">
        <f t="shared" ref="AA205" ca="1" si="1578">AA43</f>
        <v>#NAME?</v>
      </c>
      <c r="AB205" s="24" t="e">
        <f t="shared" ca="1" si="1577"/>
        <v>#NAME?</v>
      </c>
      <c r="AC205" s="24" t="e">
        <f t="shared" ca="1" si="1577"/>
        <v>#NAME?</v>
      </c>
      <c r="AD205" s="24" t="e">
        <f t="shared" ca="1" si="1577"/>
        <v>#NAME?</v>
      </c>
      <c r="AE205" s="24" t="e">
        <f t="shared" ca="1" si="1577"/>
        <v>#NAME?</v>
      </c>
      <c r="AI205" s="23" t="e">
        <f t="shared" ref="AI205:BN205" ca="1" si="1579">AI43</f>
        <v>#NAME?</v>
      </c>
      <c r="AJ205" s="23" t="e">
        <f t="shared" ca="1" si="1579"/>
        <v>#NAME?</v>
      </c>
      <c r="AK205" s="23" t="e">
        <f t="shared" ca="1" si="1579"/>
        <v>#NAME?</v>
      </c>
      <c r="AL205" s="23" t="e">
        <f t="shared" ca="1" si="1579"/>
        <v>#NAME?</v>
      </c>
      <c r="AM205" s="23" t="e">
        <f t="shared" ca="1" si="1579"/>
        <v>#NAME?</v>
      </c>
      <c r="AN205" s="23" t="e">
        <f t="shared" ca="1" si="1579"/>
        <v>#NAME?</v>
      </c>
      <c r="AO205" s="23" t="e">
        <f t="shared" ca="1" si="1579"/>
        <v>#NAME?</v>
      </c>
      <c r="AP205" s="23" t="e">
        <f t="shared" ca="1" si="1579"/>
        <v>#NAME?</v>
      </c>
      <c r="AQ205" s="23" t="e">
        <f t="shared" ca="1" si="1579"/>
        <v>#NAME?</v>
      </c>
      <c r="AR205" s="23" t="e">
        <f t="shared" ca="1" si="1579"/>
        <v>#NAME?</v>
      </c>
      <c r="AS205" s="23" t="e">
        <f t="shared" ca="1" si="1579"/>
        <v>#NAME?</v>
      </c>
      <c r="AT205" s="23" t="e">
        <f t="shared" ca="1" si="1579"/>
        <v>#NAME?</v>
      </c>
      <c r="AU205" s="23" t="e">
        <f t="shared" ca="1" si="1579"/>
        <v>#NAME?</v>
      </c>
      <c r="AV205" s="23" t="e">
        <f t="shared" ca="1" si="1579"/>
        <v>#NAME?</v>
      </c>
      <c r="AW205" s="23" t="e">
        <f t="shared" ca="1" si="1579"/>
        <v>#NAME?</v>
      </c>
      <c r="AX205" s="23" t="e">
        <f t="shared" ca="1" si="1579"/>
        <v>#NAME?</v>
      </c>
      <c r="AY205" s="23" t="e">
        <f t="shared" ca="1" si="1579"/>
        <v>#NAME?</v>
      </c>
      <c r="AZ205" s="23" t="e">
        <f t="shared" ca="1" si="1579"/>
        <v>#NAME?</v>
      </c>
      <c r="BA205" s="23" t="e">
        <f t="shared" ca="1" si="1579"/>
        <v>#NAME?</v>
      </c>
      <c r="BB205" s="23" t="e">
        <f t="shared" ca="1" si="1579"/>
        <v>#NAME?</v>
      </c>
      <c r="BC205" s="23" t="e">
        <f t="shared" ca="1" si="1579"/>
        <v>#NAME?</v>
      </c>
      <c r="BD205" s="23" t="e">
        <f t="shared" ca="1" si="1579"/>
        <v>#NAME?</v>
      </c>
      <c r="BE205" s="23" t="e">
        <f t="shared" ca="1" si="1579"/>
        <v>#NAME?</v>
      </c>
      <c r="BF205" s="23" t="e">
        <f t="shared" ca="1" si="1579"/>
        <v>#NAME?</v>
      </c>
      <c r="BG205" s="23" t="e">
        <f t="shared" ca="1" si="1579"/>
        <v>#NAME?</v>
      </c>
      <c r="BH205" s="23" t="e">
        <f t="shared" ca="1" si="1579"/>
        <v>#NAME?</v>
      </c>
      <c r="BI205" s="23" t="e">
        <f t="shared" ca="1" si="1579"/>
        <v>#NAME?</v>
      </c>
      <c r="BJ205" s="23" t="e">
        <f t="shared" ca="1" si="1579"/>
        <v>#NAME?</v>
      </c>
      <c r="BK205" s="23" t="e">
        <f t="shared" ca="1" si="1579"/>
        <v>#NAME?</v>
      </c>
      <c r="BL205" s="23" t="e">
        <f t="shared" ca="1" si="1579"/>
        <v>#NAME?</v>
      </c>
      <c r="BM205" s="23" t="e">
        <f t="shared" ca="1" si="1579"/>
        <v>#NAME?</v>
      </c>
      <c r="BN205" s="23" t="e">
        <f t="shared" ca="1" si="1579"/>
        <v>#NAME?</v>
      </c>
      <c r="BO205" s="23" t="e">
        <f t="shared" ref="BO205:CT205" ca="1" si="1580">BO43</f>
        <v>#NAME?</v>
      </c>
      <c r="BP205" s="23" t="e">
        <f t="shared" ca="1" si="1580"/>
        <v>#NAME?</v>
      </c>
      <c r="BQ205" s="23" t="e">
        <f t="shared" ca="1" si="1580"/>
        <v>#NAME?</v>
      </c>
      <c r="BR205" s="23" t="e">
        <f t="shared" ca="1" si="1580"/>
        <v>#NAME?</v>
      </c>
      <c r="BS205" s="23" t="e">
        <f t="shared" ca="1" si="1580"/>
        <v>#NAME?</v>
      </c>
      <c r="BT205" s="23" t="e">
        <f t="shared" ca="1" si="1580"/>
        <v>#NAME?</v>
      </c>
      <c r="BU205" s="23" t="e">
        <f t="shared" ca="1" si="1580"/>
        <v>#NAME?</v>
      </c>
      <c r="BV205" s="23" t="e">
        <f t="shared" ca="1" si="1580"/>
        <v>#NAME?</v>
      </c>
      <c r="BW205" s="23" t="e">
        <f t="shared" ca="1" si="1580"/>
        <v>#NAME?</v>
      </c>
      <c r="BX205" s="23" t="e">
        <f t="shared" ca="1" si="1580"/>
        <v>#NAME?</v>
      </c>
      <c r="BY205" s="23" t="e">
        <f t="shared" ca="1" si="1580"/>
        <v>#NAME?</v>
      </c>
      <c r="BZ205" s="23" t="e">
        <f t="shared" ca="1" si="1580"/>
        <v>#NAME?</v>
      </c>
      <c r="CA205" s="23" t="e">
        <f t="shared" ca="1" si="1580"/>
        <v>#NAME?</v>
      </c>
      <c r="CB205" s="23" t="e">
        <f t="shared" ca="1" si="1580"/>
        <v>#NAME?</v>
      </c>
      <c r="CC205" s="23" t="e">
        <f t="shared" ca="1" si="1580"/>
        <v>#NAME?</v>
      </c>
      <c r="CD205" s="23" t="e">
        <f t="shared" ca="1" si="1580"/>
        <v>#NAME?</v>
      </c>
      <c r="CE205" s="23" t="e">
        <f t="shared" ca="1" si="1580"/>
        <v>#NAME?</v>
      </c>
      <c r="CF205" s="23" t="e">
        <f t="shared" ca="1" si="1580"/>
        <v>#NAME?</v>
      </c>
      <c r="CG205" s="23">
        <f t="shared" si="1580"/>
        <v>1.089</v>
      </c>
      <c r="CH205" s="23" t="e">
        <f t="shared" ca="1" si="1580"/>
        <v>#NAME?</v>
      </c>
      <c r="CI205" s="23" t="e">
        <f t="shared" ca="1" si="1580"/>
        <v>#NAME?</v>
      </c>
      <c r="CJ205" s="23" t="e">
        <f t="shared" ca="1" si="1580"/>
        <v>#NAME?</v>
      </c>
      <c r="CK205" s="23" t="e">
        <f t="shared" ca="1" si="1580"/>
        <v>#NAME?</v>
      </c>
      <c r="CL205" s="23" t="e">
        <f t="shared" ca="1" si="1580"/>
        <v>#NAME?</v>
      </c>
      <c r="CM205" s="24" t="e">
        <f t="shared" ca="1" si="1580"/>
        <v>#NAME?</v>
      </c>
      <c r="CN205" s="24" t="e">
        <f t="shared" ca="1" si="1580"/>
        <v>#NAME?</v>
      </c>
      <c r="CO205" s="24" t="e">
        <f t="shared" ca="1" si="1580"/>
        <v>#NAME?</v>
      </c>
      <c r="CP205" s="24" t="e">
        <f t="shared" ca="1" si="1580"/>
        <v>#NAME?</v>
      </c>
      <c r="CQ205" s="24" t="e">
        <f t="shared" ca="1" si="1580"/>
        <v>#NAME?</v>
      </c>
      <c r="CR205" s="24" t="e">
        <f t="shared" ca="1" si="1580"/>
        <v>#NAME?</v>
      </c>
      <c r="CS205" s="24" t="e">
        <f t="shared" ca="1" si="1580"/>
        <v>#NAME?</v>
      </c>
      <c r="CT205" s="24" t="e">
        <f t="shared" ca="1" si="1580"/>
        <v>#NAME?</v>
      </c>
      <c r="CU205" s="24" t="e">
        <f t="shared" ref="CU205:DB205" ca="1" si="1581">CU43</f>
        <v>#NAME?</v>
      </c>
      <c r="CV205" s="24" t="e">
        <f t="shared" ca="1" si="1581"/>
        <v>#NAME?</v>
      </c>
      <c r="CW205" s="24" t="e">
        <f t="shared" ca="1" si="1581"/>
        <v>#NAME?</v>
      </c>
      <c r="CX205" s="24" t="e">
        <f t="shared" ca="1" si="1581"/>
        <v>#NAME?</v>
      </c>
      <c r="CY205" s="24" t="e">
        <f t="shared" ca="1" si="1581"/>
        <v>#NAME?</v>
      </c>
      <c r="CZ205" s="24" t="e">
        <f t="shared" ca="1" si="1581"/>
        <v>#NAME?</v>
      </c>
      <c r="DA205" s="24" t="e">
        <f t="shared" ca="1" si="1581"/>
        <v>#NAME?</v>
      </c>
      <c r="DB205" s="24" t="e">
        <f t="shared" ca="1" si="1581"/>
        <v>#NAME?</v>
      </c>
      <c r="DE205" s="123"/>
      <c r="DF205" s="23">
        <v>8.2469999999999999</v>
      </c>
    </row>
    <row r="206" spans="1:110" s="22" customFormat="1" x14ac:dyDescent="0.2">
      <c r="A206" s="22" t="s">
        <v>89</v>
      </c>
      <c r="C206" s="22" t="e">
        <f t="shared" ref="C206:W206" ca="1" si="1582">C204+C205</f>
        <v>#NAME?</v>
      </c>
      <c r="D206" s="22" t="e">
        <f t="shared" ca="1" si="1582"/>
        <v>#NAME?</v>
      </c>
      <c r="E206" s="22" t="e">
        <f t="shared" ca="1" si="1582"/>
        <v>#NAME?</v>
      </c>
      <c r="F206" s="22" t="e">
        <f t="shared" ca="1" si="1582"/>
        <v>#NAME?</v>
      </c>
      <c r="G206" s="22" t="e">
        <f t="shared" ca="1" si="1582"/>
        <v>#NAME?</v>
      </c>
      <c r="H206" s="22" t="e">
        <f t="shared" ca="1" si="1582"/>
        <v>#NAME?</v>
      </c>
      <c r="I206" s="22" t="e">
        <f t="shared" ca="1" si="1582"/>
        <v>#NAME?</v>
      </c>
      <c r="J206" s="22" t="e">
        <f t="shared" ca="1" si="1582"/>
        <v>#NAME?</v>
      </c>
      <c r="K206" s="22" t="e">
        <f t="shared" ca="1" si="1582"/>
        <v>#NAME?</v>
      </c>
      <c r="L206" s="22" t="e">
        <f t="shared" ca="1" si="1582"/>
        <v>#NAME?</v>
      </c>
      <c r="M206" s="22" t="e">
        <f t="shared" ca="1" si="1582"/>
        <v>#NAME?</v>
      </c>
      <c r="N206" s="22" t="e">
        <f t="shared" ca="1" si="1582"/>
        <v>#NAME?</v>
      </c>
      <c r="O206" s="22" t="e">
        <f t="shared" ca="1" si="1582"/>
        <v>#NAME?</v>
      </c>
      <c r="P206" s="22" t="e">
        <f t="shared" ca="1" si="1582"/>
        <v>#NAME?</v>
      </c>
      <c r="Q206" s="22" t="e">
        <f t="shared" ca="1" si="1582"/>
        <v>#NAME?</v>
      </c>
      <c r="R206" s="22" t="e">
        <f t="shared" ca="1" si="1582"/>
        <v>#NAME?</v>
      </c>
      <c r="S206" s="22" t="e">
        <f t="shared" ca="1" si="1582"/>
        <v>#NAME?</v>
      </c>
      <c r="T206" s="22" t="e">
        <f t="shared" ca="1" si="1582"/>
        <v>#NAME?</v>
      </c>
      <c r="U206" s="22" t="e">
        <f t="shared" ca="1" si="1582"/>
        <v>#NAME?</v>
      </c>
      <c r="V206" s="22" t="e">
        <f t="shared" ca="1" si="1582"/>
        <v>#NAME?</v>
      </c>
      <c r="W206" s="22" t="e">
        <f t="shared" ca="1" si="1582"/>
        <v>#NAME?</v>
      </c>
      <c r="X206" s="22" t="e">
        <f t="shared" ref="X206:Y206" ca="1" si="1583">X204+X205</f>
        <v>#NAME?</v>
      </c>
      <c r="Y206" s="22" t="e">
        <f t="shared" ca="1" si="1583"/>
        <v>#NAME?</v>
      </c>
      <c r="Z206" s="22" t="e">
        <f t="shared" ref="Z206:AA206" ca="1" si="1584">Z204+Z205</f>
        <v>#NAME?</v>
      </c>
      <c r="AA206" s="22" t="e">
        <f t="shared" ca="1" si="1584"/>
        <v>#NAME?</v>
      </c>
      <c r="AB206" s="21" t="e">
        <f t="shared" ref="AA206:AD206" ca="1" si="1585">AB204+AB205</f>
        <v>#NAME?</v>
      </c>
      <c r="AC206" s="21" t="e">
        <f t="shared" ca="1" si="1585"/>
        <v>#NAME?</v>
      </c>
      <c r="AD206" s="21" t="e">
        <f t="shared" ca="1" si="1585"/>
        <v>#NAME?</v>
      </c>
      <c r="AE206" s="21" t="e">
        <f t="shared" ref="AE206" ca="1" si="1586">AE204+AE205</f>
        <v>#NAME?</v>
      </c>
      <c r="AI206" s="22" t="e">
        <f t="shared" ref="AI206" ca="1" si="1587">AI204+AI205</f>
        <v>#NAME?</v>
      </c>
      <c r="AJ206" s="22" t="e">
        <f t="shared" ref="AJ206:AL206" ca="1" si="1588">AJ204+AJ205</f>
        <v>#NAME?</v>
      </c>
      <c r="AK206" s="22" t="e">
        <f t="shared" ca="1" si="1588"/>
        <v>#NAME?</v>
      </c>
      <c r="AL206" s="22" t="e">
        <f t="shared" ca="1" si="1588"/>
        <v>#NAME?</v>
      </c>
      <c r="AM206" s="22" t="e">
        <f t="shared" ref="AM206" ca="1" si="1589">AM204+AM205</f>
        <v>#NAME?</v>
      </c>
      <c r="AN206" s="22" t="e">
        <f t="shared" ref="AN206:CD206" ca="1" si="1590">AN204+AN205</f>
        <v>#NAME?</v>
      </c>
      <c r="AO206" s="22" t="e">
        <f t="shared" ca="1" si="1590"/>
        <v>#NAME?</v>
      </c>
      <c r="AP206" s="22" t="e">
        <f t="shared" ca="1" si="1590"/>
        <v>#NAME?</v>
      </c>
      <c r="AQ206" s="22" t="e">
        <f t="shared" ca="1" si="1590"/>
        <v>#NAME?</v>
      </c>
      <c r="AR206" s="22" t="e">
        <f t="shared" ca="1" si="1590"/>
        <v>#NAME?</v>
      </c>
      <c r="AS206" s="22" t="e">
        <f t="shared" ca="1" si="1590"/>
        <v>#NAME?</v>
      </c>
      <c r="AT206" s="22" t="e">
        <f t="shared" ca="1" si="1590"/>
        <v>#NAME?</v>
      </c>
      <c r="AU206" s="22" t="e">
        <f t="shared" ca="1" si="1590"/>
        <v>#NAME?</v>
      </c>
      <c r="AV206" s="22" t="e">
        <f t="shared" ca="1" si="1590"/>
        <v>#NAME?</v>
      </c>
      <c r="AW206" s="22" t="e">
        <f t="shared" ca="1" si="1590"/>
        <v>#NAME?</v>
      </c>
      <c r="AX206" s="22" t="e">
        <f t="shared" ca="1" si="1590"/>
        <v>#NAME?</v>
      </c>
      <c r="AY206" s="22" t="e">
        <f t="shared" ca="1" si="1590"/>
        <v>#NAME?</v>
      </c>
      <c r="AZ206" s="22" t="e">
        <f t="shared" ca="1" si="1590"/>
        <v>#NAME?</v>
      </c>
      <c r="BA206" s="22" t="e">
        <f t="shared" ca="1" si="1590"/>
        <v>#NAME?</v>
      </c>
      <c r="BB206" s="22" t="e">
        <f t="shared" ca="1" si="1590"/>
        <v>#NAME?</v>
      </c>
      <c r="BC206" s="22" t="e">
        <f t="shared" ca="1" si="1590"/>
        <v>#NAME?</v>
      </c>
      <c r="BD206" s="22" t="e">
        <f t="shared" ca="1" si="1590"/>
        <v>#NAME?</v>
      </c>
      <c r="BE206" s="22" t="e">
        <f t="shared" ca="1" si="1590"/>
        <v>#NAME?</v>
      </c>
      <c r="BF206" s="22" t="e">
        <f t="shared" ca="1" si="1590"/>
        <v>#NAME?</v>
      </c>
      <c r="BG206" s="22" t="e">
        <f t="shared" ca="1" si="1590"/>
        <v>#NAME?</v>
      </c>
      <c r="BH206" s="22" t="e">
        <f t="shared" ca="1" si="1590"/>
        <v>#NAME?</v>
      </c>
      <c r="BI206" s="22" t="e">
        <f t="shared" ca="1" si="1590"/>
        <v>#NAME?</v>
      </c>
      <c r="BJ206" s="22" t="e">
        <f t="shared" ca="1" si="1590"/>
        <v>#NAME?</v>
      </c>
      <c r="BK206" s="22" t="e">
        <f t="shared" ca="1" si="1590"/>
        <v>#NAME?</v>
      </c>
      <c r="BL206" s="22" t="e">
        <f t="shared" ca="1" si="1590"/>
        <v>#NAME?</v>
      </c>
      <c r="BM206" s="22" t="e">
        <f t="shared" ca="1" si="1590"/>
        <v>#NAME?</v>
      </c>
      <c r="BN206" s="22" t="e">
        <f t="shared" ca="1" si="1590"/>
        <v>#NAME?</v>
      </c>
      <c r="BO206" s="22" t="e">
        <f t="shared" ca="1" si="1590"/>
        <v>#NAME?</v>
      </c>
      <c r="BP206" s="22" t="e">
        <f t="shared" ca="1" si="1590"/>
        <v>#NAME?</v>
      </c>
      <c r="BQ206" s="22" t="e">
        <f t="shared" ca="1" si="1590"/>
        <v>#NAME?</v>
      </c>
      <c r="BR206" s="22" t="e">
        <f t="shared" ca="1" si="1590"/>
        <v>#NAME?</v>
      </c>
      <c r="BS206" s="22" t="e">
        <f t="shared" ca="1" si="1590"/>
        <v>#NAME?</v>
      </c>
      <c r="BT206" s="22" t="e">
        <f t="shared" ca="1" si="1590"/>
        <v>#NAME?</v>
      </c>
      <c r="BU206" s="22" t="e">
        <f t="shared" ca="1" si="1590"/>
        <v>#NAME?</v>
      </c>
      <c r="BV206" s="22" t="e">
        <f t="shared" ca="1" si="1590"/>
        <v>#NAME?</v>
      </c>
      <c r="BW206" s="22" t="e">
        <f t="shared" ca="1" si="1590"/>
        <v>#NAME?</v>
      </c>
      <c r="BX206" s="22" t="e">
        <f t="shared" ca="1" si="1590"/>
        <v>#NAME?</v>
      </c>
      <c r="BY206" s="22" t="e">
        <f t="shared" ca="1" si="1590"/>
        <v>#NAME?</v>
      </c>
      <c r="BZ206" s="22" t="e">
        <f t="shared" ca="1" si="1590"/>
        <v>#NAME?</v>
      </c>
      <c r="CA206" s="22" t="e">
        <f t="shared" ca="1" si="1590"/>
        <v>#NAME?</v>
      </c>
      <c r="CB206" s="22" t="e">
        <f t="shared" ca="1" si="1590"/>
        <v>#NAME?</v>
      </c>
      <c r="CC206" s="22" t="e">
        <f t="shared" ca="1" si="1590"/>
        <v>#NAME?</v>
      </c>
      <c r="CD206" s="22" t="e">
        <f t="shared" ca="1" si="1590"/>
        <v>#NAME?</v>
      </c>
      <c r="CE206" s="22" t="e">
        <f t="shared" ref="CE206:CF206" ca="1" si="1591">CE204+CE205</f>
        <v>#NAME?</v>
      </c>
      <c r="CF206" s="22" t="e">
        <f t="shared" ca="1" si="1591"/>
        <v>#NAME?</v>
      </c>
      <c r="CG206" s="22">
        <f t="shared" ref="CG206:CH206" si="1592">CG204+CG205</f>
        <v>6.4219999999999811</v>
      </c>
      <c r="CH206" s="22" t="e">
        <f t="shared" ca="1" si="1592"/>
        <v>#NAME?</v>
      </c>
      <c r="CI206" s="22" t="e">
        <f t="shared" ref="CI206:CJ206" ca="1" si="1593">CI204+CI205</f>
        <v>#NAME?</v>
      </c>
      <c r="CJ206" s="22" t="e">
        <f t="shared" ca="1" si="1593"/>
        <v>#NAME?</v>
      </c>
      <c r="CK206" s="22" t="e">
        <f t="shared" ref="CK206:DB206" ca="1" si="1594">CK204+CK205</f>
        <v>#NAME?</v>
      </c>
      <c r="CL206" s="22" t="e">
        <f t="shared" ca="1" si="1594"/>
        <v>#NAME?</v>
      </c>
      <c r="CM206" s="21" t="e">
        <f t="shared" ca="1" si="1594"/>
        <v>#NAME?</v>
      </c>
      <c r="CN206" s="21" t="e">
        <f t="shared" ca="1" si="1594"/>
        <v>#NAME?</v>
      </c>
      <c r="CO206" s="21" t="e">
        <f t="shared" ca="1" si="1594"/>
        <v>#NAME?</v>
      </c>
      <c r="CP206" s="21" t="e">
        <f t="shared" ca="1" si="1594"/>
        <v>#NAME?</v>
      </c>
      <c r="CQ206" s="21" t="e">
        <f t="shared" ca="1" si="1594"/>
        <v>#NAME?</v>
      </c>
      <c r="CR206" s="21" t="e">
        <f t="shared" ca="1" si="1594"/>
        <v>#NAME?</v>
      </c>
      <c r="CS206" s="21" t="e">
        <f t="shared" ca="1" si="1594"/>
        <v>#NAME?</v>
      </c>
      <c r="CT206" s="21" t="e">
        <f t="shared" ca="1" si="1594"/>
        <v>#NAME?</v>
      </c>
      <c r="CU206" s="21" t="e">
        <f t="shared" ca="1" si="1594"/>
        <v>#NAME?</v>
      </c>
      <c r="CV206" s="21" t="e">
        <f t="shared" ca="1" si="1594"/>
        <v>#NAME?</v>
      </c>
      <c r="CW206" s="21" t="e">
        <f t="shared" ca="1" si="1594"/>
        <v>#NAME?</v>
      </c>
      <c r="CX206" s="21" t="e">
        <f t="shared" ca="1" si="1594"/>
        <v>#NAME?</v>
      </c>
      <c r="CY206" s="21" t="e">
        <f t="shared" ca="1" si="1594"/>
        <v>#NAME?</v>
      </c>
      <c r="CZ206" s="21" t="e">
        <f t="shared" ca="1" si="1594"/>
        <v>#NAME?</v>
      </c>
      <c r="DA206" s="21" t="e">
        <f t="shared" ca="1" si="1594"/>
        <v>#NAME?</v>
      </c>
      <c r="DB206" s="21" t="e">
        <f t="shared" ca="1" si="1594"/>
        <v>#NAME?</v>
      </c>
      <c r="DE206" s="126"/>
      <c r="DF206" s="22">
        <v>45.699000000000069</v>
      </c>
    </row>
    <row r="207" spans="1:110" s="23" customFormat="1" x14ac:dyDescent="0.2">
      <c r="A207" s="23" t="s">
        <v>65</v>
      </c>
      <c r="C207" s="23" t="e">
        <f t="shared" ref="C207:AA207" ca="1" si="1595">B159-C159+B174+B175-C174-C175</f>
        <v>#NAME?</v>
      </c>
      <c r="D207" s="23" t="e">
        <f t="shared" ca="1" si="1595"/>
        <v>#NAME?</v>
      </c>
      <c r="E207" s="23" t="e">
        <f ca="1">D159-E159+D174+D175-E174-E175</f>
        <v>#NAME?</v>
      </c>
      <c r="F207" s="23" t="e">
        <f t="shared" ca="1" si="1595"/>
        <v>#NAME?</v>
      </c>
      <c r="G207" s="23" t="e">
        <f t="shared" ca="1" si="1595"/>
        <v>#NAME?</v>
      </c>
      <c r="H207" s="23" t="e">
        <f t="shared" ca="1" si="1595"/>
        <v>#NAME?</v>
      </c>
      <c r="I207" s="23" t="e">
        <f t="shared" ca="1" si="1595"/>
        <v>#NAME?</v>
      </c>
      <c r="J207" s="23" t="e">
        <f ca="1">I159-J159+I174+I175-J174-J175</f>
        <v>#NAME?</v>
      </c>
      <c r="K207" s="23" t="e">
        <f ca="1">J159-K159+J174+J175-K174-K175</f>
        <v>#NAME?</v>
      </c>
      <c r="L207" s="23" t="e">
        <f t="shared" ca="1" si="1595"/>
        <v>#NAME?</v>
      </c>
      <c r="M207" s="23" t="e">
        <f t="shared" ca="1" si="1595"/>
        <v>#NAME?</v>
      </c>
      <c r="N207" s="23" t="e">
        <f t="shared" ca="1" si="1595"/>
        <v>#NAME?</v>
      </c>
      <c r="O207" s="23" t="e">
        <f t="shared" ca="1" si="1595"/>
        <v>#NAME?</v>
      </c>
      <c r="P207" s="23" t="e">
        <f t="shared" ca="1" si="1595"/>
        <v>#NAME?</v>
      </c>
      <c r="Q207" s="23" t="e">
        <f t="shared" ca="1" si="1595"/>
        <v>#NAME?</v>
      </c>
      <c r="R207" s="23" t="e">
        <f t="shared" ca="1" si="1595"/>
        <v>#NAME?</v>
      </c>
      <c r="S207" s="23" t="e">
        <f t="shared" ca="1" si="1595"/>
        <v>#NAME?</v>
      </c>
      <c r="T207" s="23" t="e">
        <f t="shared" ca="1" si="1595"/>
        <v>#NAME?</v>
      </c>
      <c r="U207" s="23" t="e">
        <f t="shared" ca="1" si="1595"/>
        <v>#NAME?</v>
      </c>
      <c r="V207" s="23" t="e">
        <f t="shared" ca="1" si="1595"/>
        <v>#NAME?</v>
      </c>
      <c r="W207" s="23" t="e">
        <f t="shared" ca="1" si="1595"/>
        <v>#NAME?</v>
      </c>
      <c r="X207" s="23" t="e">
        <f t="shared" ca="1" si="1595"/>
        <v>#NAME?</v>
      </c>
      <c r="Y207" s="23" t="e">
        <f t="shared" ca="1" si="1595"/>
        <v>#NAME?</v>
      </c>
      <c r="Z207" s="23" t="e">
        <f t="shared" ca="1" si="1595"/>
        <v>#NAME?</v>
      </c>
      <c r="AA207" s="23" t="e">
        <f t="shared" ca="1" si="1595"/>
        <v>#NAME?</v>
      </c>
      <c r="AB207" s="24" t="e">
        <f t="shared" ref="AB207" ca="1" si="1596">AA159-AB159+AA174+AA175-AB174-AB175</f>
        <v>#NAME?</v>
      </c>
      <c r="AC207" s="24" t="e">
        <f t="shared" ref="AC207" ca="1" si="1597">AB159-AC159+AB174+AB175-AC174-AC175</f>
        <v>#NAME?</v>
      </c>
      <c r="AD207" s="24" t="e">
        <f t="shared" ref="AD207" ca="1" si="1598">AC159-AD159+AC174+AC175-AD174-AD175</f>
        <v>#NAME?</v>
      </c>
      <c r="AE207" s="24" t="e">
        <f t="shared" ref="AE207" ca="1" si="1599">AD159-AE159+AD174+AD175-AE174-AE175</f>
        <v>#NAME?</v>
      </c>
      <c r="AI207" s="23" t="e">
        <f ca="1">AH159-AI159+AH174+AH175-AI174-AJ175</f>
        <v>#NAME?</v>
      </c>
      <c r="AJ207" s="23" t="e">
        <f t="shared" ref="AJ207:AL207" ca="1" si="1600">AI159-AJ159+AI174+AI175-AJ174-AK175</f>
        <v>#NAME?</v>
      </c>
      <c r="AK207" s="23" t="e">
        <f t="shared" ca="1" si="1600"/>
        <v>#NAME?</v>
      </c>
      <c r="AL207" s="23" t="e">
        <f t="shared" ca="1" si="1600"/>
        <v>#NAME?</v>
      </c>
      <c r="AM207" s="23" t="e">
        <f t="shared" ref="AM207" ca="1" si="1601">AL159-AM159+AL174+AL175-AM174-AM175</f>
        <v>#NAME?</v>
      </c>
      <c r="AN207" s="23" t="e">
        <f t="shared" ref="AN207" ca="1" si="1602">AM159-AN159+AM174+AM175-AN174-AN175</f>
        <v>#NAME?</v>
      </c>
      <c r="AO207" s="23" t="e">
        <f t="shared" ref="AO207" ca="1" si="1603">AN159-AO159+AN174+AN175-AO174-AO175</f>
        <v>#NAME?</v>
      </c>
      <c r="AP207" s="23" t="e">
        <f t="shared" ref="AP207" ca="1" si="1604">AO159-AP159+AO174+AO175-AP174-AP175</f>
        <v>#NAME?</v>
      </c>
      <c r="AQ207" s="23" t="e">
        <f t="shared" ref="AQ207" ca="1" si="1605">AP159-AQ159+AP174+AP175-AQ174-AQ175</f>
        <v>#NAME?</v>
      </c>
      <c r="AR207" s="23" t="e">
        <f t="shared" ref="AR207" ca="1" si="1606">AQ159-AR159+AQ174+AQ175-AR174-AR175</f>
        <v>#NAME?</v>
      </c>
      <c r="AS207" s="23" t="e">
        <f t="shared" ref="AS207" ca="1" si="1607">AR159-AS159+AR174+AR175-AS174-AS175</f>
        <v>#NAME?</v>
      </c>
      <c r="AT207" s="23" t="e">
        <f t="shared" ref="AT207" ca="1" si="1608">AS159-AT159+AS174+AS175-AT174-AT175</f>
        <v>#NAME?</v>
      </c>
      <c r="AU207" s="23" t="e">
        <f t="shared" ref="AU207" ca="1" si="1609">AT159-AU159+AT174+AT175-AU174-AU175</f>
        <v>#NAME?</v>
      </c>
      <c r="AV207" s="23" t="e">
        <f t="shared" ref="AV207" ca="1" si="1610">AU159-AV159+AU174+AU175-AV174-AV175</f>
        <v>#NAME?</v>
      </c>
      <c r="AW207" s="23" t="e">
        <f t="shared" ref="AW207" ca="1" si="1611">AV159-AW159+AV174+AV175-AW174-AW175</f>
        <v>#NAME?</v>
      </c>
      <c r="AX207" s="23" t="e">
        <f t="shared" ref="AX207" ca="1" si="1612">AW159-AX159+AW174+AW175-AX174-AX175</f>
        <v>#NAME?</v>
      </c>
      <c r="AY207" s="23" t="e">
        <f t="shared" ref="AY207" ca="1" si="1613">AX159-AY159+AX174+AX175-AY174-AY175</f>
        <v>#NAME?</v>
      </c>
      <c r="AZ207" s="23" t="e">
        <f t="shared" ref="AZ207" ca="1" si="1614">AY159-AZ159+AY174+AY175-AZ174-AZ175</f>
        <v>#NAME?</v>
      </c>
      <c r="BA207" s="23" t="e">
        <f t="shared" ref="BA207" ca="1" si="1615">AZ159-BA159+AZ174+AZ175-BA174-BA175</f>
        <v>#NAME?</v>
      </c>
      <c r="BB207" s="23" t="e">
        <f t="shared" ref="BB207" ca="1" si="1616">BA159-BB159+BA174+BA175-BB174-BB175</f>
        <v>#NAME?</v>
      </c>
      <c r="BC207" s="23" t="e">
        <f t="shared" ref="BC207" ca="1" si="1617">BB159-BC159+BB174+BB175-BC174-BC175</f>
        <v>#NAME?</v>
      </c>
      <c r="BD207" s="23" t="e">
        <f t="shared" ref="BD207" ca="1" si="1618">BC159-BD159+BC174+BC175-BD174-BD175</f>
        <v>#NAME?</v>
      </c>
      <c r="BE207" s="23" t="e">
        <f t="shared" ref="BE207" ca="1" si="1619">BD159-BE159+BD174+BD175-BE174-BE175</f>
        <v>#NAME?</v>
      </c>
      <c r="BF207" s="23" t="e">
        <f t="shared" ref="BF207" ca="1" si="1620">BE159-BF159+BE174+BE175-BF174-BF175</f>
        <v>#NAME?</v>
      </c>
      <c r="BG207" s="23" t="e">
        <f t="shared" ref="BG207" ca="1" si="1621">BF159-BG159+BF174+BF175-BG174-BG175</f>
        <v>#NAME?</v>
      </c>
      <c r="BH207" s="23" t="e">
        <f t="shared" ref="BH207" ca="1" si="1622">BG159-BH159+BG174+BG175-BH174-BH175</f>
        <v>#NAME?</v>
      </c>
      <c r="BI207" s="23" t="e">
        <f t="shared" ref="BI207" ca="1" si="1623">BH159-BI159+BH174+BH175-BI174-BI175</f>
        <v>#NAME?</v>
      </c>
      <c r="BJ207" s="23" t="e">
        <f t="shared" ref="BJ207" ca="1" si="1624">BI159-BJ159+BI174+BI175-BJ174-BJ175</f>
        <v>#NAME?</v>
      </c>
      <c r="BK207" s="23" t="e">
        <f t="shared" ref="BK207" ca="1" si="1625">BJ159-BK159+BJ174+BJ175-BK174-BK175</f>
        <v>#NAME?</v>
      </c>
      <c r="BL207" s="23" t="e">
        <f t="shared" ref="BL207" ca="1" si="1626">BK159-BL159+BK174+BK175-BL174-BL175</f>
        <v>#NAME?</v>
      </c>
      <c r="BM207" s="23" t="e">
        <f t="shared" ref="BM207" ca="1" si="1627">BL159-BM159+BL174+BL175-BM174-BM175</f>
        <v>#NAME?</v>
      </c>
      <c r="BN207" s="23" t="e">
        <f t="shared" ref="BN207" ca="1" si="1628">BM159-BN159+BM174+BM175-BN174-BN175</f>
        <v>#NAME?</v>
      </c>
      <c r="BO207" s="23" t="e">
        <f t="shared" ref="BO207" ca="1" si="1629">BN159-BO159+BN174+BN175-BO174-BO175</f>
        <v>#NAME?</v>
      </c>
      <c r="BP207" s="23" t="e">
        <f t="shared" ref="BP207" ca="1" si="1630">BO159-BP159+BO174+BO175-BP174-BP175</f>
        <v>#NAME?</v>
      </c>
      <c r="BQ207" s="23" t="e">
        <f t="shared" ref="BQ207" ca="1" si="1631">BP159-BQ159+BP174+BP175-BQ174-BQ175</f>
        <v>#NAME?</v>
      </c>
      <c r="BR207" s="23" t="e">
        <f t="shared" ref="BR207" ca="1" si="1632">BQ159-BR159+BQ174+BQ175-BR174-BR175</f>
        <v>#NAME?</v>
      </c>
      <c r="BS207" s="23" t="e">
        <f t="shared" ref="BS207" ca="1" si="1633">BR159-BS159+BR174+BR175-BS174-BS175</f>
        <v>#NAME?</v>
      </c>
      <c r="BT207" s="23" t="e">
        <f t="shared" ref="BT207" ca="1" si="1634">BS159-BT159+BS174+BS175-BT174-BT175</f>
        <v>#NAME?</v>
      </c>
      <c r="BU207" s="23" t="e">
        <f t="shared" ref="BU207" ca="1" si="1635">BT159-BU159+BT174+BT175-BU174-BU175</f>
        <v>#NAME?</v>
      </c>
      <c r="BV207" s="23" t="e">
        <f t="shared" ref="BV207" ca="1" si="1636">BU159-BV159+BU174+BU175-BV174-BV175</f>
        <v>#NAME?</v>
      </c>
      <c r="BW207" s="23" t="e">
        <f t="shared" ref="BW207" ca="1" si="1637">BV159-BW159+BV174+BV175-BW174-BW175</f>
        <v>#NAME?</v>
      </c>
      <c r="BX207" s="23" t="e">
        <f t="shared" ref="BX207" ca="1" si="1638">BW159-BX159+BW174+BW175-BX174-BX175</f>
        <v>#NAME?</v>
      </c>
      <c r="BY207" s="23" t="e">
        <f t="shared" ref="BY207" ca="1" si="1639">BX159-BY159+BX174+BX175-BY174-BY175</f>
        <v>#NAME?</v>
      </c>
      <c r="BZ207" s="23" t="e">
        <f t="shared" ref="BZ207" ca="1" si="1640">BY159-BZ159+BY174+BY175-BZ174-BZ175</f>
        <v>#NAME?</v>
      </c>
      <c r="CA207" s="23" t="e">
        <f t="shared" ref="CA207" ca="1" si="1641">BZ159-CA159+BZ174+BZ175-CA174-CA175</f>
        <v>#NAME?</v>
      </c>
      <c r="CB207" s="23" t="e">
        <f t="shared" ref="CB207" ca="1" si="1642">CA159-CB159+CA174+CA175-CB174-CB175</f>
        <v>#NAME?</v>
      </c>
      <c r="CC207" s="23" t="e">
        <f t="shared" ref="CC207" ca="1" si="1643">CB159-CC159+CB174+CB175-CC174-CC175</f>
        <v>#NAME?</v>
      </c>
      <c r="CD207" s="23" t="e">
        <f t="shared" ref="CD207" ca="1" si="1644">CC159-CD159+CC174+CC175-CD174-CD175</f>
        <v>#NAME?</v>
      </c>
      <c r="CE207" s="23" t="e">
        <f t="shared" ref="CE207" ca="1" si="1645">CD159-CE159+CD174+CD175-CE174-CE175</f>
        <v>#NAME?</v>
      </c>
      <c r="CF207" s="23" t="e">
        <f t="shared" ref="CF207" ca="1" si="1646">CE159-CF159+CE174+CE175-CF174-CF175</f>
        <v>#NAME?</v>
      </c>
      <c r="CG207" s="23" t="e">
        <f t="shared" ref="CG207" ca="1" si="1647">CF159-CG159+CF174+CF175-CG174-CG175</f>
        <v>#NAME?</v>
      </c>
      <c r="CH207" s="23" t="e">
        <f t="shared" ref="CH207:CJ207" ca="1" si="1648">CG159-CH159+CG174+CG175-CH174-CH175</f>
        <v>#NAME?</v>
      </c>
      <c r="CI207" s="23" t="e">
        <f t="shared" ca="1" si="1648"/>
        <v>#NAME?</v>
      </c>
      <c r="CJ207" s="23" t="e">
        <f t="shared" ca="1" si="1648"/>
        <v>#NAME?</v>
      </c>
      <c r="CK207" s="23" t="e">
        <f t="shared" ref="CK207" ca="1" si="1649">CJ159-CK159+CJ174+CJ175-CK174-CK175</f>
        <v>#NAME?</v>
      </c>
      <c r="CL207" s="23" t="e">
        <f t="shared" ref="CL207" ca="1" si="1650">CK159-CL159+CK174+CK175-CL174-CL175</f>
        <v>#NAME?</v>
      </c>
      <c r="CM207" s="24" t="e">
        <f t="shared" ref="CM207" ca="1" si="1651">CL159-CM159+CL174+CL175-CM174-CM175</f>
        <v>#NAME?</v>
      </c>
      <c r="CN207" s="24" t="e">
        <f t="shared" ref="CN207" ca="1" si="1652">CM159-CN159+CM174+CM175-CN174-CN175</f>
        <v>#NAME?</v>
      </c>
      <c r="CO207" s="24" t="e">
        <f t="shared" ref="CO207" ca="1" si="1653">CN159-CO159+CN174+CN175-CO174-CO175</f>
        <v>#NAME?</v>
      </c>
      <c r="CP207" s="24" t="e">
        <f t="shared" ref="CP207" ca="1" si="1654">CO159-CP159+CO174+CO175-CP174-CP175</f>
        <v>#NAME?</v>
      </c>
      <c r="CQ207" s="24" t="e">
        <f t="shared" ref="CQ207" ca="1" si="1655">CP159-CQ159+CP174+CP175-CQ174-CQ175</f>
        <v>#NAME?</v>
      </c>
      <c r="CR207" s="24" t="e">
        <f t="shared" ref="CR207" ca="1" si="1656">CQ159-CR159+CQ174+CQ175-CR174-CR175</f>
        <v>#NAME?</v>
      </c>
      <c r="CS207" s="24" t="e">
        <f t="shared" ref="CS207" ca="1" si="1657">CR159-CS159+CR174+CR175-CS174-CS175</f>
        <v>#NAME?</v>
      </c>
      <c r="CT207" s="24" t="e">
        <f t="shared" ref="CT207" ca="1" si="1658">CS159-CT159+CS174+CS175-CT174-CT175</f>
        <v>#NAME?</v>
      </c>
      <c r="CU207" s="24" t="e">
        <f t="shared" ref="CU207" ca="1" si="1659">CT159-CU159+CT174+CT175-CU174-CU175</f>
        <v>#NAME?</v>
      </c>
      <c r="CV207" s="24" t="e">
        <f t="shared" ref="CV207" ca="1" si="1660">CU159-CV159+CU174+CU175-CV174-CV175</f>
        <v>#NAME?</v>
      </c>
      <c r="CW207" s="24" t="e">
        <f t="shared" ref="CW207" ca="1" si="1661">CV159-CW159+CV174+CV175-CW174-CW175</f>
        <v>#NAME?</v>
      </c>
      <c r="CX207" s="24" t="e">
        <f t="shared" ref="CX207" ca="1" si="1662">CW159-CX159+CW174+CW175-CX174-CX175</f>
        <v>#NAME?</v>
      </c>
      <c r="CY207" s="24" t="e">
        <f t="shared" ref="CY207" ca="1" si="1663">CX159-CY159+CX174+CX175-CY174-CY175</f>
        <v>#NAME?</v>
      </c>
      <c r="CZ207" s="24" t="e">
        <f t="shared" ref="CZ207" ca="1" si="1664">CY159-CZ159+CY174+CY175-CZ174-CZ175</f>
        <v>#NAME?</v>
      </c>
      <c r="DA207" s="24" t="e">
        <f t="shared" ref="DA207" ca="1" si="1665">CZ159-DA159+CZ174+CZ175-DA174-DA175</f>
        <v>#NAME?</v>
      </c>
      <c r="DB207" s="24" t="e">
        <f t="shared" ref="DB207" ca="1" si="1666">DA159-DB159+DA174+DA175-DB174-DB175</f>
        <v>#NAME?</v>
      </c>
      <c r="DE207" s="123"/>
      <c r="DF207" s="23">
        <v>-27.000599999999984</v>
      </c>
    </row>
    <row r="208" spans="1:110" s="23" customFormat="1" x14ac:dyDescent="0.2">
      <c r="A208" s="23" t="s">
        <v>73</v>
      </c>
      <c r="C208" s="23" t="e">
        <f t="shared" ref="C208:AA208" ca="1" si="1667">B167-C167</f>
        <v>#NAME?</v>
      </c>
      <c r="D208" s="23" t="e">
        <f t="shared" ca="1" si="1667"/>
        <v>#NAME?</v>
      </c>
      <c r="E208" s="23" t="e">
        <f ca="1">D167-E167</f>
        <v>#NAME?</v>
      </c>
      <c r="F208" s="23" t="e">
        <f t="shared" ca="1" si="1667"/>
        <v>#NAME?</v>
      </c>
      <c r="G208" s="23" t="e">
        <f t="shared" ca="1" si="1667"/>
        <v>#NAME?</v>
      </c>
      <c r="H208" s="23" t="e">
        <f t="shared" ca="1" si="1667"/>
        <v>#NAME?</v>
      </c>
      <c r="I208" s="23" t="e">
        <f t="shared" ca="1" si="1667"/>
        <v>#NAME?</v>
      </c>
      <c r="J208" s="23" t="e">
        <f ca="1">I167-J167</f>
        <v>#NAME?</v>
      </c>
      <c r="K208" s="23" t="e">
        <f ca="1">J167-K167</f>
        <v>#NAME?</v>
      </c>
      <c r="L208" s="23" t="e">
        <f t="shared" ca="1" si="1667"/>
        <v>#NAME?</v>
      </c>
      <c r="M208" s="23" t="e">
        <f t="shared" ca="1" si="1667"/>
        <v>#NAME?</v>
      </c>
      <c r="N208" s="23" t="e">
        <f t="shared" ca="1" si="1667"/>
        <v>#NAME?</v>
      </c>
      <c r="O208" s="23" t="e">
        <f t="shared" ca="1" si="1667"/>
        <v>#NAME?</v>
      </c>
      <c r="P208" s="23" t="e">
        <f t="shared" ca="1" si="1667"/>
        <v>#NAME?</v>
      </c>
      <c r="Q208" s="23" t="e">
        <f t="shared" ca="1" si="1667"/>
        <v>#NAME?</v>
      </c>
      <c r="R208" s="23" t="e">
        <f t="shared" ca="1" si="1667"/>
        <v>#NAME?</v>
      </c>
      <c r="S208" s="23" t="e">
        <f t="shared" ca="1" si="1667"/>
        <v>#NAME?</v>
      </c>
      <c r="T208" s="23" t="e">
        <f t="shared" ca="1" si="1667"/>
        <v>#NAME?</v>
      </c>
      <c r="U208" s="23" t="e">
        <f t="shared" ca="1" si="1667"/>
        <v>#NAME?</v>
      </c>
      <c r="V208" s="23" t="e">
        <f t="shared" ca="1" si="1667"/>
        <v>#NAME?</v>
      </c>
      <c r="W208" s="23" t="e">
        <f t="shared" ca="1" si="1667"/>
        <v>#NAME?</v>
      </c>
      <c r="X208" s="23" t="e">
        <f t="shared" ca="1" si="1667"/>
        <v>#NAME?</v>
      </c>
      <c r="Y208" s="23" t="e">
        <f t="shared" ca="1" si="1667"/>
        <v>#NAME?</v>
      </c>
      <c r="Z208" s="23" t="e">
        <f t="shared" ca="1" si="1667"/>
        <v>#NAME?</v>
      </c>
      <c r="AA208" s="23" t="e">
        <f t="shared" ca="1" si="1667"/>
        <v>#NAME?</v>
      </c>
      <c r="AB208" s="24" t="e">
        <f t="shared" ref="AB208" ca="1" si="1668">AA167-AB167</f>
        <v>#NAME?</v>
      </c>
      <c r="AC208" s="24" t="e">
        <f t="shared" ref="AC208" ca="1" si="1669">AB167-AC167</f>
        <v>#NAME?</v>
      </c>
      <c r="AD208" s="24" t="e">
        <f t="shared" ref="AD208" ca="1" si="1670">AC167-AD167</f>
        <v>#NAME?</v>
      </c>
      <c r="AE208" s="24" t="e">
        <f t="shared" ref="AE208" ca="1" si="1671">AD167-AE167</f>
        <v>#NAME?</v>
      </c>
      <c r="AI208" s="23">
        <f t="shared" ref="AI208" si="1672">AH167-AI167</f>
        <v>0</v>
      </c>
      <c r="AJ208" s="23" t="e">
        <f t="shared" ref="AJ208" ca="1" si="1673">AI167-AJ167</f>
        <v>#NAME?</v>
      </c>
      <c r="AK208" s="23" t="e">
        <f t="shared" ref="AK208" ca="1" si="1674">AJ167-AK167</f>
        <v>#NAME?</v>
      </c>
      <c r="AL208" s="23" t="e">
        <f t="shared" ref="AL208" ca="1" si="1675">AK167-AL167</f>
        <v>#NAME?</v>
      </c>
      <c r="AM208" s="23" t="e">
        <f t="shared" ref="AM208" ca="1" si="1676">AL167-AM167</f>
        <v>#NAME?</v>
      </c>
      <c r="AN208" s="23" t="e">
        <f t="shared" ref="AN208" ca="1" si="1677">AM167-AN167</f>
        <v>#NAME?</v>
      </c>
      <c r="AO208" s="23" t="e">
        <f t="shared" ref="AO208" ca="1" si="1678">AN167-AO167</f>
        <v>#NAME?</v>
      </c>
      <c r="AP208" s="23" t="e">
        <f t="shared" ref="AP208" ca="1" si="1679">AO167-AP167</f>
        <v>#NAME?</v>
      </c>
      <c r="AQ208" s="23" t="e">
        <f t="shared" ref="AQ208" ca="1" si="1680">AP167-AQ167</f>
        <v>#NAME?</v>
      </c>
      <c r="AR208" s="23" t="e">
        <f t="shared" ref="AR208" ca="1" si="1681">AQ167-AR167</f>
        <v>#NAME?</v>
      </c>
      <c r="AS208" s="23" t="e">
        <f t="shared" ref="AS208" ca="1" si="1682">AR167-AS167</f>
        <v>#NAME?</v>
      </c>
      <c r="AT208" s="23" t="e">
        <f t="shared" ref="AT208" ca="1" si="1683">AS167-AT167</f>
        <v>#NAME?</v>
      </c>
      <c r="AU208" s="23" t="e">
        <f t="shared" ref="AU208" ca="1" si="1684">AT167-AU167</f>
        <v>#NAME?</v>
      </c>
      <c r="AV208" s="23" t="e">
        <f t="shared" ref="AV208" ca="1" si="1685">AU167-AV167</f>
        <v>#NAME?</v>
      </c>
      <c r="AW208" s="23" t="e">
        <f t="shared" ref="AW208" ca="1" si="1686">AV167-AW167</f>
        <v>#NAME?</v>
      </c>
      <c r="AX208" s="23" t="e">
        <f t="shared" ref="AX208" ca="1" si="1687">AW167-AX167</f>
        <v>#NAME?</v>
      </c>
      <c r="AY208" s="23" t="e">
        <f t="shared" ref="AY208" ca="1" si="1688">AX167-AY167</f>
        <v>#NAME?</v>
      </c>
      <c r="AZ208" s="23" t="e">
        <f t="shared" ref="AZ208" ca="1" si="1689">AY167-AZ167</f>
        <v>#NAME?</v>
      </c>
      <c r="BA208" s="23" t="e">
        <f t="shared" ref="BA208" ca="1" si="1690">AZ167-BA167</f>
        <v>#NAME?</v>
      </c>
      <c r="BB208" s="23" t="e">
        <f t="shared" ref="BB208" ca="1" si="1691">BA167-BB167</f>
        <v>#NAME?</v>
      </c>
      <c r="BC208" s="23" t="e">
        <f t="shared" ref="BC208" ca="1" si="1692">BB167-BC167</f>
        <v>#NAME?</v>
      </c>
      <c r="BD208" s="23" t="e">
        <f t="shared" ref="BD208" ca="1" si="1693">BC167-BD167</f>
        <v>#NAME?</v>
      </c>
      <c r="BE208" s="23" t="e">
        <f t="shared" ref="BE208" ca="1" si="1694">BD167-BE167</f>
        <v>#NAME?</v>
      </c>
      <c r="BF208" s="23" t="e">
        <f t="shared" ref="BF208" ca="1" si="1695">BE167-BF167</f>
        <v>#NAME?</v>
      </c>
      <c r="BG208" s="23" t="e">
        <f t="shared" ref="BG208" ca="1" si="1696">BF167-BG167</f>
        <v>#NAME?</v>
      </c>
      <c r="BH208" s="23" t="e">
        <f t="shared" ref="BH208" ca="1" si="1697">BG167-BH167</f>
        <v>#NAME?</v>
      </c>
      <c r="BI208" s="23" t="e">
        <f t="shared" ref="BI208" ca="1" si="1698">BH167-BI167</f>
        <v>#NAME?</v>
      </c>
      <c r="BJ208" s="23" t="e">
        <f t="shared" ref="BJ208" ca="1" si="1699">BI167-BJ167</f>
        <v>#NAME?</v>
      </c>
      <c r="BK208" s="23" t="e">
        <f t="shared" ref="BK208" ca="1" si="1700">BJ167-BK167</f>
        <v>#NAME?</v>
      </c>
      <c r="BL208" s="23" t="e">
        <f t="shared" ref="BL208" ca="1" si="1701">BK167-BL167</f>
        <v>#NAME?</v>
      </c>
      <c r="BM208" s="23" t="e">
        <f t="shared" ref="BM208" ca="1" si="1702">BL167-BM167</f>
        <v>#NAME?</v>
      </c>
      <c r="BN208" s="23" t="e">
        <f t="shared" ref="BN208" ca="1" si="1703">BM167-BN167</f>
        <v>#NAME?</v>
      </c>
      <c r="BO208" s="23" t="e">
        <f t="shared" ref="BO208" ca="1" si="1704">BN167-BO167</f>
        <v>#NAME?</v>
      </c>
      <c r="BP208" s="23" t="e">
        <f t="shared" ref="BP208" ca="1" si="1705">BO167-BP167</f>
        <v>#NAME?</v>
      </c>
      <c r="BQ208" s="23" t="e">
        <f t="shared" ref="BQ208" ca="1" si="1706">BP167-BQ167</f>
        <v>#NAME?</v>
      </c>
      <c r="BR208" s="23" t="e">
        <f t="shared" ref="BR208" ca="1" si="1707">BQ167-BR167</f>
        <v>#NAME?</v>
      </c>
      <c r="BS208" s="23" t="e">
        <f t="shared" ref="BS208" ca="1" si="1708">BR167-BS167</f>
        <v>#NAME?</v>
      </c>
      <c r="BT208" s="23" t="e">
        <f t="shared" ref="BT208" ca="1" si="1709">BS167-BT167</f>
        <v>#NAME?</v>
      </c>
      <c r="BU208" s="23" t="e">
        <f t="shared" ref="BU208" ca="1" si="1710">BT167-BU167</f>
        <v>#NAME?</v>
      </c>
      <c r="BV208" s="23" t="e">
        <f t="shared" ref="BV208" ca="1" si="1711">BU167-BV167</f>
        <v>#NAME?</v>
      </c>
      <c r="BW208" s="23" t="e">
        <f t="shared" ref="BW208" ca="1" si="1712">BV167-BW167</f>
        <v>#NAME?</v>
      </c>
      <c r="BX208" s="23" t="e">
        <f t="shared" ref="BX208" ca="1" si="1713">BW167-BX167</f>
        <v>#NAME?</v>
      </c>
      <c r="BY208" s="23" t="e">
        <f t="shared" ref="BY208" ca="1" si="1714">BX167-BY167</f>
        <v>#NAME?</v>
      </c>
      <c r="BZ208" s="23" t="e">
        <f t="shared" ref="BZ208" ca="1" si="1715">BY167-BZ167</f>
        <v>#NAME?</v>
      </c>
      <c r="CA208" s="23" t="e">
        <f t="shared" ref="CA208" ca="1" si="1716">BZ167-CA167</f>
        <v>#NAME?</v>
      </c>
      <c r="CB208" s="23" t="e">
        <f t="shared" ref="CB208" ca="1" si="1717">CA167-CB167</f>
        <v>#NAME?</v>
      </c>
      <c r="CC208" s="23" t="e">
        <f t="shared" ref="CC208" ca="1" si="1718">CB167-CC167</f>
        <v>#NAME?</v>
      </c>
      <c r="CD208" s="23" t="e">
        <f t="shared" ref="CD208" ca="1" si="1719">CC167-CD167</f>
        <v>#NAME?</v>
      </c>
      <c r="CE208" s="23" t="e">
        <f t="shared" ref="CE208" ca="1" si="1720">CD167-CE167</f>
        <v>#NAME?</v>
      </c>
      <c r="CF208" s="23" t="e">
        <f t="shared" ref="CF208" ca="1" si="1721">CE167-CF167</f>
        <v>#NAME?</v>
      </c>
      <c r="CG208" s="23" t="e">
        <f t="shared" ref="CG208" ca="1" si="1722">CF167-CG167</f>
        <v>#NAME?</v>
      </c>
      <c r="CH208" s="23" t="e">
        <f t="shared" ref="CH208:CJ208" ca="1" si="1723">CG167-CH167</f>
        <v>#NAME?</v>
      </c>
      <c r="CI208" s="23" t="e">
        <f t="shared" ca="1" si="1723"/>
        <v>#NAME?</v>
      </c>
      <c r="CJ208" s="23" t="e">
        <f t="shared" ca="1" si="1723"/>
        <v>#NAME?</v>
      </c>
      <c r="CK208" s="23" t="e">
        <f t="shared" ref="CK208" ca="1" si="1724">CJ167-CK167</f>
        <v>#NAME?</v>
      </c>
      <c r="CL208" s="23" t="e">
        <f t="shared" ref="CL208" ca="1" si="1725">CK167-CL167</f>
        <v>#NAME?</v>
      </c>
      <c r="CM208" s="24" t="e">
        <f t="shared" ref="CM208" ca="1" si="1726">CL167-CM167</f>
        <v>#NAME?</v>
      </c>
      <c r="CN208" s="24" t="e">
        <f t="shared" ref="CN208" ca="1" si="1727">CM167-CN167</f>
        <v>#NAME?</v>
      </c>
      <c r="CO208" s="24" t="e">
        <f t="shared" ref="CO208" ca="1" si="1728">CN167-CO167</f>
        <v>#NAME?</v>
      </c>
      <c r="CP208" s="24" t="e">
        <f t="shared" ref="CP208" ca="1" si="1729">CO167-CP167</f>
        <v>#NAME?</v>
      </c>
      <c r="CQ208" s="24" t="e">
        <f t="shared" ref="CQ208" ca="1" si="1730">CP167-CQ167</f>
        <v>#NAME?</v>
      </c>
      <c r="CR208" s="24" t="e">
        <f t="shared" ref="CR208" ca="1" si="1731">CQ167-CR167</f>
        <v>#NAME?</v>
      </c>
      <c r="CS208" s="24" t="e">
        <f t="shared" ref="CS208" ca="1" si="1732">CR167-CS167</f>
        <v>#NAME?</v>
      </c>
      <c r="CT208" s="24" t="e">
        <f t="shared" ref="CT208" ca="1" si="1733">CS167-CT167</f>
        <v>#NAME?</v>
      </c>
      <c r="CU208" s="24" t="e">
        <f t="shared" ref="CU208" ca="1" si="1734">CT167-CU167</f>
        <v>#NAME?</v>
      </c>
      <c r="CV208" s="24" t="e">
        <f t="shared" ref="CV208" ca="1" si="1735">CU167-CV167</f>
        <v>#NAME?</v>
      </c>
      <c r="CW208" s="24" t="e">
        <f t="shared" ref="CW208" ca="1" si="1736">CV167-CW167</f>
        <v>#NAME?</v>
      </c>
      <c r="CX208" s="24" t="e">
        <f t="shared" ref="CX208" ca="1" si="1737">CW167-CX167</f>
        <v>#NAME?</v>
      </c>
      <c r="CY208" s="24" t="e">
        <f t="shared" ref="CY208" ca="1" si="1738">CX167-CY167</f>
        <v>#NAME?</v>
      </c>
      <c r="CZ208" s="24" t="e">
        <f t="shared" ref="CZ208" ca="1" si="1739">CY167-CZ167</f>
        <v>#NAME?</v>
      </c>
      <c r="DA208" s="24" t="e">
        <f t="shared" ref="DA208" ca="1" si="1740">CZ167-DA167</f>
        <v>#NAME?</v>
      </c>
      <c r="DB208" s="24" t="e">
        <f t="shared" ref="DB208" ca="1" si="1741">DA167-DB167</f>
        <v>#NAME?</v>
      </c>
      <c r="DE208" s="123"/>
      <c r="DF208" s="23">
        <v>39.372099999999989</v>
      </c>
    </row>
    <row r="209" spans="1:110" s="22" customFormat="1" x14ac:dyDescent="0.2">
      <c r="A209" s="22" t="s">
        <v>90</v>
      </c>
      <c r="C209" s="22" t="e">
        <f t="shared" ref="C209:W209" ca="1" si="1742">C207-C208</f>
        <v>#NAME?</v>
      </c>
      <c r="D209" s="22" t="e">
        <f t="shared" ca="1" si="1742"/>
        <v>#NAME?</v>
      </c>
      <c r="E209" s="22" t="e">
        <f t="shared" ca="1" si="1742"/>
        <v>#NAME?</v>
      </c>
      <c r="F209" s="22" t="e">
        <f t="shared" ca="1" si="1742"/>
        <v>#NAME?</v>
      </c>
      <c r="G209" s="22" t="e">
        <f t="shared" ca="1" si="1742"/>
        <v>#NAME?</v>
      </c>
      <c r="H209" s="22" t="e">
        <f t="shared" ca="1" si="1742"/>
        <v>#NAME?</v>
      </c>
      <c r="I209" s="22" t="e">
        <f t="shared" ca="1" si="1742"/>
        <v>#NAME?</v>
      </c>
      <c r="J209" s="22" t="e">
        <f ca="1">J207-J208</f>
        <v>#NAME?</v>
      </c>
      <c r="K209" s="22" t="e">
        <f t="shared" ca="1" si="1742"/>
        <v>#NAME?</v>
      </c>
      <c r="L209" s="22" t="e">
        <f t="shared" ca="1" si="1742"/>
        <v>#NAME?</v>
      </c>
      <c r="M209" s="22" t="e">
        <f t="shared" ca="1" si="1742"/>
        <v>#NAME?</v>
      </c>
      <c r="N209" s="22" t="e">
        <f t="shared" ca="1" si="1742"/>
        <v>#NAME?</v>
      </c>
      <c r="O209" s="22" t="e">
        <f t="shared" ca="1" si="1742"/>
        <v>#NAME?</v>
      </c>
      <c r="P209" s="22" t="e">
        <f t="shared" ca="1" si="1742"/>
        <v>#NAME?</v>
      </c>
      <c r="Q209" s="22" t="e">
        <f t="shared" ca="1" si="1742"/>
        <v>#NAME?</v>
      </c>
      <c r="R209" s="22" t="e">
        <f t="shared" ca="1" si="1742"/>
        <v>#NAME?</v>
      </c>
      <c r="S209" s="22" t="e">
        <f t="shared" ca="1" si="1742"/>
        <v>#NAME?</v>
      </c>
      <c r="T209" s="22" t="e">
        <f t="shared" ca="1" si="1742"/>
        <v>#NAME?</v>
      </c>
      <c r="U209" s="22" t="e">
        <f t="shared" ca="1" si="1742"/>
        <v>#NAME?</v>
      </c>
      <c r="V209" s="22" t="e">
        <f t="shared" ca="1" si="1742"/>
        <v>#NAME?</v>
      </c>
      <c r="W209" s="22" t="e">
        <f t="shared" ca="1" si="1742"/>
        <v>#NAME?</v>
      </c>
      <c r="X209" s="22" t="e">
        <f t="shared" ref="X209:Y209" ca="1" si="1743">X207-X208</f>
        <v>#NAME?</v>
      </c>
      <c r="Y209" s="22" t="e">
        <f t="shared" ca="1" si="1743"/>
        <v>#NAME?</v>
      </c>
      <c r="Z209" s="22" t="e">
        <f t="shared" ref="Z209:AA209" ca="1" si="1744">Z207-Z208</f>
        <v>#NAME?</v>
      </c>
      <c r="AA209" s="22" t="e">
        <f t="shared" ca="1" si="1744"/>
        <v>#NAME?</v>
      </c>
      <c r="AB209" s="21" t="e">
        <f t="shared" ref="AA209:AD209" ca="1" si="1745">AB207-AB208</f>
        <v>#NAME?</v>
      </c>
      <c r="AC209" s="21" t="e">
        <f t="shared" ca="1" si="1745"/>
        <v>#NAME?</v>
      </c>
      <c r="AD209" s="21" t="e">
        <f t="shared" ca="1" si="1745"/>
        <v>#NAME?</v>
      </c>
      <c r="AE209" s="21" t="e">
        <f t="shared" ref="AE209" ca="1" si="1746">AE207-AE208</f>
        <v>#NAME?</v>
      </c>
      <c r="AI209" s="22" t="e">
        <f t="shared" ref="AI209" ca="1" si="1747">AI207-AI208</f>
        <v>#NAME?</v>
      </c>
      <c r="AJ209" s="22" t="e">
        <f t="shared" ref="AJ209:AL209" ca="1" si="1748">AJ207-AJ208</f>
        <v>#NAME?</v>
      </c>
      <c r="AK209" s="22" t="e">
        <f t="shared" ca="1" si="1748"/>
        <v>#NAME?</v>
      </c>
      <c r="AL209" s="22" t="e">
        <f t="shared" ca="1" si="1748"/>
        <v>#NAME?</v>
      </c>
      <c r="AM209" s="22" t="e">
        <f t="shared" ref="AM209" ca="1" si="1749">AM207-AM208</f>
        <v>#NAME?</v>
      </c>
      <c r="AN209" s="22" t="e">
        <f t="shared" ref="AN209:CD209" ca="1" si="1750">AN207-AN208</f>
        <v>#NAME?</v>
      </c>
      <c r="AO209" s="22" t="e">
        <f t="shared" ca="1" si="1750"/>
        <v>#NAME?</v>
      </c>
      <c r="AP209" s="22" t="e">
        <f t="shared" ca="1" si="1750"/>
        <v>#NAME?</v>
      </c>
      <c r="AQ209" s="22" t="e">
        <f t="shared" ca="1" si="1750"/>
        <v>#NAME?</v>
      </c>
      <c r="AR209" s="22" t="e">
        <f t="shared" ca="1" si="1750"/>
        <v>#NAME?</v>
      </c>
      <c r="AS209" s="22" t="e">
        <f t="shared" ca="1" si="1750"/>
        <v>#NAME?</v>
      </c>
      <c r="AT209" s="22" t="e">
        <f t="shared" ca="1" si="1750"/>
        <v>#NAME?</v>
      </c>
      <c r="AU209" s="22" t="e">
        <f t="shared" ca="1" si="1750"/>
        <v>#NAME?</v>
      </c>
      <c r="AV209" s="22" t="e">
        <f t="shared" ca="1" si="1750"/>
        <v>#NAME?</v>
      </c>
      <c r="AW209" s="22" t="e">
        <f t="shared" ca="1" si="1750"/>
        <v>#NAME?</v>
      </c>
      <c r="AX209" s="22" t="e">
        <f t="shared" ca="1" si="1750"/>
        <v>#NAME?</v>
      </c>
      <c r="AY209" s="22" t="e">
        <f t="shared" ca="1" si="1750"/>
        <v>#NAME?</v>
      </c>
      <c r="AZ209" s="22" t="e">
        <f t="shared" ca="1" si="1750"/>
        <v>#NAME?</v>
      </c>
      <c r="BA209" s="22" t="e">
        <f t="shared" ca="1" si="1750"/>
        <v>#NAME?</v>
      </c>
      <c r="BB209" s="22" t="e">
        <f t="shared" ca="1" si="1750"/>
        <v>#NAME?</v>
      </c>
      <c r="BC209" s="22" t="e">
        <f t="shared" ca="1" si="1750"/>
        <v>#NAME?</v>
      </c>
      <c r="BD209" s="22" t="e">
        <f t="shared" ca="1" si="1750"/>
        <v>#NAME?</v>
      </c>
      <c r="BE209" s="22" t="e">
        <f t="shared" ca="1" si="1750"/>
        <v>#NAME?</v>
      </c>
      <c r="BF209" s="22" t="e">
        <f t="shared" ca="1" si="1750"/>
        <v>#NAME?</v>
      </c>
      <c r="BG209" s="22" t="e">
        <f t="shared" ca="1" si="1750"/>
        <v>#NAME?</v>
      </c>
      <c r="BH209" s="22" t="e">
        <f t="shared" ca="1" si="1750"/>
        <v>#NAME?</v>
      </c>
      <c r="BI209" s="22" t="e">
        <f t="shared" ca="1" si="1750"/>
        <v>#NAME?</v>
      </c>
      <c r="BJ209" s="22" t="e">
        <f t="shared" ca="1" si="1750"/>
        <v>#NAME?</v>
      </c>
      <c r="BK209" s="22" t="e">
        <f t="shared" ca="1" si="1750"/>
        <v>#NAME?</v>
      </c>
      <c r="BL209" s="22" t="e">
        <f t="shared" ca="1" si="1750"/>
        <v>#NAME?</v>
      </c>
      <c r="BM209" s="22" t="e">
        <f t="shared" ca="1" si="1750"/>
        <v>#NAME?</v>
      </c>
      <c r="BN209" s="22" t="e">
        <f t="shared" ca="1" si="1750"/>
        <v>#NAME?</v>
      </c>
      <c r="BO209" s="22" t="e">
        <f t="shared" ca="1" si="1750"/>
        <v>#NAME?</v>
      </c>
      <c r="BP209" s="22" t="e">
        <f t="shared" ca="1" si="1750"/>
        <v>#NAME?</v>
      </c>
      <c r="BQ209" s="22" t="e">
        <f t="shared" ca="1" si="1750"/>
        <v>#NAME?</v>
      </c>
      <c r="BR209" s="22" t="e">
        <f t="shared" ca="1" si="1750"/>
        <v>#NAME?</v>
      </c>
      <c r="BS209" s="22" t="e">
        <f t="shared" ca="1" si="1750"/>
        <v>#NAME?</v>
      </c>
      <c r="BT209" s="22" t="e">
        <f t="shared" ca="1" si="1750"/>
        <v>#NAME?</v>
      </c>
      <c r="BU209" s="22" t="e">
        <f t="shared" ca="1" si="1750"/>
        <v>#NAME?</v>
      </c>
      <c r="BV209" s="22" t="e">
        <f t="shared" ca="1" si="1750"/>
        <v>#NAME?</v>
      </c>
      <c r="BW209" s="22" t="e">
        <f t="shared" ca="1" si="1750"/>
        <v>#NAME?</v>
      </c>
      <c r="BX209" s="22" t="e">
        <f t="shared" ca="1" si="1750"/>
        <v>#NAME?</v>
      </c>
      <c r="BY209" s="22" t="e">
        <f t="shared" ca="1" si="1750"/>
        <v>#NAME?</v>
      </c>
      <c r="BZ209" s="22" t="e">
        <f t="shared" ca="1" si="1750"/>
        <v>#NAME?</v>
      </c>
      <c r="CA209" s="22" t="e">
        <f t="shared" ca="1" si="1750"/>
        <v>#NAME?</v>
      </c>
      <c r="CB209" s="22" t="e">
        <f t="shared" ca="1" si="1750"/>
        <v>#NAME?</v>
      </c>
      <c r="CC209" s="22" t="e">
        <f t="shared" ca="1" si="1750"/>
        <v>#NAME?</v>
      </c>
      <c r="CD209" s="22" t="e">
        <f t="shared" ca="1" si="1750"/>
        <v>#NAME?</v>
      </c>
      <c r="CE209" s="22" t="e">
        <f t="shared" ref="CE209:CF209" ca="1" si="1751">CE207-CE208</f>
        <v>#NAME?</v>
      </c>
      <c r="CF209" s="22" t="e">
        <f t="shared" ca="1" si="1751"/>
        <v>#NAME?</v>
      </c>
      <c r="CG209" s="22" t="e">
        <f t="shared" ref="CG209:CH209" ca="1" si="1752">CG207-CG208</f>
        <v>#NAME?</v>
      </c>
      <c r="CH209" s="22" t="e">
        <f t="shared" ca="1" si="1752"/>
        <v>#NAME?</v>
      </c>
      <c r="CI209" s="22" t="e">
        <f t="shared" ref="CI209:CJ209" ca="1" si="1753">CI207-CI208</f>
        <v>#NAME?</v>
      </c>
      <c r="CJ209" s="22" t="e">
        <f t="shared" ca="1" si="1753"/>
        <v>#NAME?</v>
      </c>
      <c r="CK209" s="22" t="e">
        <f t="shared" ref="CK209:DB209" ca="1" si="1754">CK207-CK208</f>
        <v>#NAME?</v>
      </c>
      <c r="CL209" s="22" t="e">
        <f t="shared" ca="1" si="1754"/>
        <v>#NAME?</v>
      </c>
      <c r="CM209" s="21" t="e">
        <f t="shared" ca="1" si="1754"/>
        <v>#NAME?</v>
      </c>
      <c r="CN209" s="21" t="e">
        <f t="shared" ca="1" si="1754"/>
        <v>#NAME?</v>
      </c>
      <c r="CO209" s="21" t="e">
        <f t="shared" ca="1" si="1754"/>
        <v>#NAME?</v>
      </c>
      <c r="CP209" s="21" t="e">
        <f t="shared" ca="1" si="1754"/>
        <v>#NAME?</v>
      </c>
      <c r="CQ209" s="21" t="e">
        <f t="shared" ca="1" si="1754"/>
        <v>#NAME?</v>
      </c>
      <c r="CR209" s="21" t="e">
        <f t="shared" ca="1" si="1754"/>
        <v>#NAME?</v>
      </c>
      <c r="CS209" s="21" t="e">
        <f t="shared" ca="1" si="1754"/>
        <v>#NAME?</v>
      </c>
      <c r="CT209" s="21" t="e">
        <f t="shared" ca="1" si="1754"/>
        <v>#NAME?</v>
      </c>
      <c r="CU209" s="21" t="e">
        <f t="shared" ca="1" si="1754"/>
        <v>#NAME?</v>
      </c>
      <c r="CV209" s="21" t="e">
        <f t="shared" ca="1" si="1754"/>
        <v>#NAME?</v>
      </c>
      <c r="CW209" s="21" t="e">
        <f t="shared" ca="1" si="1754"/>
        <v>#NAME?</v>
      </c>
      <c r="CX209" s="21" t="e">
        <f t="shared" ca="1" si="1754"/>
        <v>#NAME?</v>
      </c>
      <c r="CY209" s="21" t="e">
        <f t="shared" ca="1" si="1754"/>
        <v>#NAME?</v>
      </c>
      <c r="CZ209" s="21" t="e">
        <f t="shared" ca="1" si="1754"/>
        <v>#NAME?</v>
      </c>
      <c r="DA209" s="21" t="e">
        <f t="shared" ca="1" si="1754"/>
        <v>#NAME?</v>
      </c>
      <c r="DB209" s="21" t="e">
        <f t="shared" ca="1" si="1754"/>
        <v>#NAME?</v>
      </c>
      <c r="DE209" s="126"/>
      <c r="DF209" s="22">
        <v>-66.37269999999998</v>
      </c>
    </row>
    <row r="210" spans="1:110" s="22" customFormat="1" x14ac:dyDescent="0.2">
      <c r="A210" s="22" t="s">
        <v>91</v>
      </c>
      <c r="C210" s="22" t="e">
        <f t="shared" ref="C210:W210" ca="1" si="1755">C206+C209</f>
        <v>#NAME?</v>
      </c>
      <c r="D210" s="22" t="e">
        <f ca="1">D206+D209</f>
        <v>#NAME?</v>
      </c>
      <c r="E210" s="22" t="e">
        <f t="shared" ca="1" si="1755"/>
        <v>#NAME?</v>
      </c>
      <c r="F210" s="22" t="e">
        <f t="shared" ca="1" si="1755"/>
        <v>#NAME?</v>
      </c>
      <c r="G210" s="22" t="e">
        <f t="shared" ca="1" si="1755"/>
        <v>#NAME?</v>
      </c>
      <c r="H210" s="22" t="e">
        <f t="shared" ca="1" si="1755"/>
        <v>#NAME?</v>
      </c>
      <c r="I210" s="22" t="e">
        <f t="shared" ca="1" si="1755"/>
        <v>#NAME?</v>
      </c>
      <c r="J210" s="22" t="e">
        <f ca="1">J206+J209</f>
        <v>#NAME?</v>
      </c>
      <c r="K210" s="22" t="e">
        <f t="shared" ca="1" si="1755"/>
        <v>#NAME?</v>
      </c>
      <c r="L210" s="22" t="e">
        <f t="shared" ca="1" si="1755"/>
        <v>#NAME?</v>
      </c>
      <c r="M210" s="22" t="e">
        <f t="shared" ca="1" si="1755"/>
        <v>#NAME?</v>
      </c>
      <c r="N210" s="22" t="e">
        <f t="shared" ca="1" si="1755"/>
        <v>#NAME?</v>
      </c>
      <c r="O210" s="22" t="e">
        <f t="shared" ca="1" si="1755"/>
        <v>#NAME?</v>
      </c>
      <c r="P210" s="22" t="e">
        <f t="shared" ca="1" si="1755"/>
        <v>#NAME?</v>
      </c>
      <c r="Q210" s="22" t="e">
        <f t="shared" ca="1" si="1755"/>
        <v>#NAME?</v>
      </c>
      <c r="R210" s="22" t="e">
        <f t="shared" ca="1" si="1755"/>
        <v>#NAME?</v>
      </c>
      <c r="S210" s="22" t="e">
        <f t="shared" ca="1" si="1755"/>
        <v>#NAME?</v>
      </c>
      <c r="T210" s="22" t="e">
        <f t="shared" ca="1" si="1755"/>
        <v>#NAME?</v>
      </c>
      <c r="U210" s="22" t="e">
        <f t="shared" ca="1" si="1755"/>
        <v>#NAME?</v>
      </c>
      <c r="V210" s="22" t="e">
        <f t="shared" ca="1" si="1755"/>
        <v>#NAME?</v>
      </c>
      <c r="W210" s="22" t="e">
        <f t="shared" ca="1" si="1755"/>
        <v>#NAME?</v>
      </c>
      <c r="X210" s="22" t="e">
        <f t="shared" ref="X210:Y210" ca="1" si="1756">X206+X209</f>
        <v>#NAME?</v>
      </c>
      <c r="Y210" s="22" t="e">
        <f t="shared" ca="1" si="1756"/>
        <v>#NAME?</v>
      </c>
      <c r="Z210" s="22" t="e">
        <f t="shared" ref="Z210:AA210" ca="1" si="1757">Z206+Z209</f>
        <v>#NAME?</v>
      </c>
      <c r="AA210" s="22" t="e">
        <f t="shared" ca="1" si="1757"/>
        <v>#NAME?</v>
      </c>
      <c r="AB210" s="21" t="e">
        <f t="shared" ref="AA210:AD210" ca="1" si="1758">AB206+AB209</f>
        <v>#NAME?</v>
      </c>
      <c r="AC210" s="21" t="e">
        <f t="shared" ca="1" si="1758"/>
        <v>#NAME?</v>
      </c>
      <c r="AD210" s="21" t="e">
        <f t="shared" ca="1" si="1758"/>
        <v>#NAME?</v>
      </c>
      <c r="AE210" s="21" t="e">
        <f t="shared" ref="AE210" ca="1" si="1759">AE206+AE209</f>
        <v>#NAME?</v>
      </c>
      <c r="AI210" s="22" t="e">
        <f t="shared" ref="AI210" ca="1" si="1760">AI206+AI209</f>
        <v>#NAME?</v>
      </c>
      <c r="AJ210" s="22" t="e">
        <f t="shared" ref="AJ210:AL210" ca="1" si="1761">AJ206+AJ209</f>
        <v>#NAME?</v>
      </c>
      <c r="AK210" s="22" t="e">
        <f t="shared" ca="1" si="1761"/>
        <v>#NAME?</v>
      </c>
      <c r="AL210" s="22" t="e">
        <f t="shared" ca="1" si="1761"/>
        <v>#NAME?</v>
      </c>
      <c r="AM210" s="22" t="e">
        <f t="shared" ref="AM210" ca="1" si="1762">AM206+AM209</f>
        <v>#NAME?</v>
      </c>
      <c r="AN210" s="22" t="e">
        <f t="shared" ref="AN210:CD210" ca="1" si="1763">AN206+AN209</f>
        <v>#NAME?</v>
      </c>
      <c r="AO210" s="22" t="e">
        <f t="shared" ca="1" si="1763"/>
        <v>#NAME?</v>
      </c>
      <c r="AP210" s="22" t="e">
        <f t="shared" ca="1" si="1763"/>
        <v>#NAME?</v>
      </c>
      <c r="AQ210" s="22" t="e">
        <f t="shared" ca="1" si="1763"/>
        <v>#NAME?</v>
      </c>
      <c r="AR210" s="22" t="e">
        <f t="shared" ca="1" si="1763"/>
        <v>#NAME?</v>
      </c>
      <c r="AS210" s="22" t="e">
        <f t="shared" ca="1" si="1763"/>
        <v>#NAME?</v>
      </c>
      <c r="AT210" s="22" t="e">
        <f t="shared" ca="1" si="1763"/>
        <v>#NAME?</v>
      </c>
      <c r="AU210" s="22" t="e">
        <f t="shared" ca="1" si="1763"/>
        <v>#NAME?</v>
      </c>
      <c r="AV210" s="22" t="e">
        <f t="shared" ca="1" si="1763"/>
        <v>#NAME?</v>
      </c>
      <c r="AW210" s="22" t="e">
        <f t="shared" ca="1" si="1763"/>
        <v>#NAME?</v>
      </c>
      <c r="AX210" s="22" t="e">
        <f t="shared" ca="1" si="1763"/>
        <v>#NAME?</v>
      </c>
      <c r="AY210" s="22" t="e">
        <f t="shared" ca="1" si="1763"/>
        <v>#NAME?</v>
      </c>
      <c r="AZ210" s="22" t="e">
        <f t="shared" ca="1" si="1763"/>
        <v>#NAME?</v>
      </c>
      <c r="BA210" s="22" t="e">
        <f t="shared" ca="1" si="1763"/>
        <v>#NAME?</v>
      </c>
      <c r="BB210" s="22" t="e">
        <f t="shared" ca="1" si="1763"/>
        <v>#NAME?</v>
      </c>
      <c r="BC210" s="22" t="e">
        <f t="shared" ca="1" si="1763"/>
        <v>#NAME?</v>
      </c>
      <c r="BD210" s="22" t="e">
        <f t="shared" ca="1" si="1763"/>
        <v>#NAME?</v>
      </c>
      <c r="BE210" s="22" t="e">
        <f t="shared" ca="1" si="1763"/>
        <v>#NAME?</v>
      </c>
      <c r="BF210" s="22" t="e">
        <f t="shared" ca="1" si="1763"/>
        <v>#NAME?</v>
      </c>
      <c r="BG210" s="22" t="e">
        <f t="shared" ca="1" si="1763"/>
        <v>#NAME?</v>
      </c>
      <c r="BH210" s="22" t="e">
        <f t="shared" ca="1" si="1763"/>
        <v>#NAME?</v>
      </c>
      <c r="BI210" s="22" t="e">
        <f t="shared" ca="1" si="1763"/>
        <v>#NAME?</v>
      </c>
      <c r="BJ210" s="22" t="e">
        <f t="shared" ca="1" si="1763"/>
        <v>#NAME?</v>
      </c>
      <c r="BK210" s="22" t="e">
        <f t="shared" ca="1" si="1763"/>
        <v>#NAME?</v>
      </c>
      <c r="BL210" s="22" t="e">
        <f t="shared" ca="1" si="1763"/>
        <v>#NAME?</v>
      </c>
      <c r="BM210" s="22" t="e">
        <f t="shared" ca="1" si="1763"/>
        <v>#NAME?</v>
      </c>
      <c r="BN210" s="22" t="e">
        <f t="shared" ca="1" si="1763"/>
        <v>#NAME?</v>
      </c>
      <c r="BO210" s="22" t="e">
        <f t="shared" ca="1" si="1763"/>
        <v>#NAME?</v>
      </c>
      <c r="BP210" s="22" t="e">
        <f t="shared" ca="1" si="1763"/>
        <v>#NAME?</v>
      </c>
      <c r="BQ210" s="22" t="e">
        <f t="shared" ca="1" si="1763"/>
        <v>#NAME?</v>
      </c>
      <c r="BR210" s="22" t="e">
        <f t="shared" ca="1" si="1763"/>
        <v>#NAME?</v>
      </c>
      <c r="BS210" s="22" t="e">
        <f t="shared" ca="1" si="1763"/>
        <v>#NAME?</v>
      </c>
      <c r="BT210" s="22" t="e">
        <f t="shared" ca="1" si="1763"/>
        <v>#NAME?</v>
      </c>
      <c r="BU210" s="22" t="e">
        <f t="shared" ca="1" si="1763"/>
        <v>#NAME?</v>
      </c>
      <c r="BV210" s="22" t="e">
        <f t="shared" ca="1" si="1763"/>
        <v>#NAME?</v>
      </c>
      <c r="BW210" s="22" t="e">
        <f t="shared" ca="1" si="1763"/>
        <v>#NAME?</v>
      </c>
      <c r="BX210" s="22" t="e">
        <f t="shared" ca="1" si="1763"/>
        <v>#NAME?</v>
      </c>
      <c r="BY210" s="22" t="e">
        <f t="shared" ca="1" si="1763"/>
        <v>#NAME?</v>
      </c>
      <c r="BZ210" s="22" t="e">
        <f t="shared" ca="1" si="1763"/>
        <v>#NAME?</v>
      </c>
      <c r="CA210" s="22" t="e">
        <f t="shared" ca="1" si="1763"/>
        <v>#NAME?</v>
      </c>
      <c r="CB210" s="22" t="e">
        <f t="shared" ca="1" si="1763"/>
        <v>#NAME?</v>
      </c>
      <c r="CC210" s="22" t="e">
        <f t="shared" ca="1" si="1763"/>
        <v>#NAME?</v>
      </c>
      <c r="CD210" s="22" t="e">
        <f t="shared" ca="1" si="1763"/>
        <v>#NAME?</v>
      </c>
      <c r="CE210" s="22" t="e">
        <f t="shared" ref="CE210:CF210" ca="1" si="1764">CE206+CE209</f>
        <v>#NAME?</v>
      </c>
      <c r="CF210" s="22" t="e">
        <f t="shared" ca="1" si="1764"/>
        <v>#NAME?</v>
      </c>
      <c r="CG210" s="22" t="e">
        <f t="shared" ref="CG210:CH210" ca="1" si="1765">CG206+CG209</f>
        <v>#NAME?</v>
      </c>
      <c r="CH210" s="22" t="e">
        <f t="shared" ca="1" si="1765"/>
        <v>#NAME?</v>
      </c>
      <c r="CI210" s="22" t="e">
        <f t="shared" ref="CI210:CJ210" ca="1" si="1766">CI206+CI209</f>
        <v>#NAME?</v>
      </c>
      <c r="CJ210" s="22" t="e">
        <f t="shared" ca="1" si="1766"/>
        <v>#NAME?</v>
      </c>
      <c r="CK210" s="22" t="e">
        <f t="shared" ref="CK210:DB210" ca="1" si="1767">CK206+CK209</f>
        <v>#NAME?</v>
      </c>
      <c r="CL210" s="22" t="e">
        <f t="shared" ca="1" si="1767"/>
        <v>#NAME?</v>
      </c>
      <c r="CM210" s="21" t="e">
        <f t="shared" ca="1" si="1767"/>
        <v>#NAME?</v>
      </c>
      <c r="CN210" s="21" t="e">
        <f t="shared" ca="1" si="1767"/>
        <v>#NAME?</v>
      </c>
      <c r="CO210" s="21" t="e">
        <f t="shared" ca="1" si="1767"/>
        <v>#NAME?</v>
      </c>
      <c r="CP210" s="21" t="e">
        <f t="shared" ca="1" si="1767"/>
        <v>#NAME?</v>
      </c>
      <c r="CQ210" s="21" t="e">
        <f t="shared" ca="1" si="1767"/>
        <v>#NAME?</v>
      </c>
      <c r="CR210" s="21" t="e">
        <f t="shared" ca="1" si="1767"/>
        <v>#NAME?</v>
      </c>
      <c r="CS210" s="21" t="e">
        <f t="shared" ca="1" si="1767"/>
        <v>#NAME?</v>
      </c>
      <c r="CT210" s="21" t="e">
        <f t="shared" ca="1" si="1767"/>
        <v>#NAME?</v>
      </c>
      <c r="CU210" s="21" t="e">
        <f t="shared" ca="1" si="1767"/>
        <v>#NAME?</v>
      </c>
      <c r="CV210" s="21" t="e">
        <f t="shared" ca="1" si="1767"/>
        <v>#NAME?</v>
      </c>
      <c r="CW210" s="21" t="e">
        <f t="shared" ca="1" si="1767"/>
        <v>#NAME?</v>
      </c>
      <c r="CX210" s="21" t="e">
        <f t="shared" ca="1" si="1767"/>
        <v>#NAME?</v>
      </c>
      <c r="CY210" s="21" t="e">
        <f t="shared" ca="1" si="1767"/>
        <v>#NAME?</v>
      </c>
      <c r="CZ210" s="21" t="e">
        <f t="shared" ca="1" si="1767"/>
        <v>#NAME?</v>
      </c>
      <c r="DA210" s="21" t="e">
        <f t="shared" ca="1" si="1767"/>
        <v>#NAME?</v>
      </c>
      <c r="DB210" s="21" t="e">
        <f t="shared" ca="1" si="1767"/>
        <v>#NAME?</v>
      </c>
      <c r="DE210" s="126"/>
      <c r="DF210" s="22">
        <v>-20.673699999999911</v>
      </c>
    </row>
    <row r="211" spans="1:110" s="23" customFormat="1" x14ac:dyDescent="0.2">
      <c r="AB211" s="24"/>
      <c r="AC211" s="24"/>
      <c r="AD211" s="24"/>
      <c r="AE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E211" s="123"/>
    </row>
    <row r="212" spans="1:110" s="22" customFormat="1" x14ac:dyDescent="0.2">
      <c r="A212" s="22" t="s">
        <v>92</v>
      </c>
      <c r="C212" s="22" t="e">
        <f t="shared" ref="C212:W212" ca="1" si="1768">C213+C214</f>
        <v>#NAME?</v>
      </c>
      <c r="D212" s="22" t="e">
        <f ca="1">D213+D214</f>
        <v>#NAME?</v>
      </c>
      <c r="E212" s="22" t="e">
        <f t="shared" ca="1" si="1768"/>
        <v>#NAME?</v>
      </c>
      <c r="F212" s="22" t="e">
        <f t="shared" ca="1" si="1768"/>
        <v>#NAME?</v>
      </c>
      <c r="G212" s="22" t="e">
        <f t="shared" ca="1" si="1768"/>
        <v>#NAME?</v>
      </c>
      <c r="H212" s="22" t="e">
        <f t="shared" ca="1" si="1768"/>
        <v>#NAME?</v>
      </c>
      <c r="I212" s="22" t="e">
        <f t="shared" ca="1" si="1768"/>
        <v>#NAME?</v>
      </c>
      <c r="J212" s="22" t="e">
        <f t="shared" ca="1" si="1768"/>
        <v>#NAME?</v>
      </c>
      <c r="K212" s="22" t="e">
        <f t="shared" ca="1" si="1768"/>
        <v>#NAME?</v>
      </c>
      <c r="L212" s="22" t="e">
        <f t="shared" ca="1" si="1768"/>
        <v>#NAME?</v>
      </c>
      <c r="M212" s="22" t="e">
        <f t="shared" ca="1" si="1768"/>
        <v>#NAME?</v>
      </c>
      <c r="N212" s="22" t="e">
        <f t="shared" ca="1" si="1768"/>
        <v>#NAME?</v>
      </c>
      <c r="O212" s="22" t="e">
        <f t="shared" ca="1" si="1768"/>
        <v>#NAME?</v>
      </c>
      <c r="P212" s="22" t="e">
        <f t="shared" ca="1" si="1768"/>
        <v>#NAME?</v>
      </c>
      <c r="Q212" s="22" t="e">
        <f t="shared" ca="1" si="1768"/>
        <v>#NAME?</v>
      </c>
      <c r="R212" s="22" t="e">
        <f t="shared" ca="1" si="1768"/>
        <v>#NAME?</v>
      </c>
      <c r="S212" s="22" t="e">
        <f t="shared" ca="1" si="1768"/>
        <v>#NAME?</v>
      </c>
      <c r="T212" s="22" t="e">
        <f t="shared" ca="1" si="1768"/>
        <v>#NAME?</v>
      </c>
      <c r="U212" s="22" t="e">
        <f t="shared" ca="1" si="1768"/>
        <v>#NAME?</v>
      </c>
      <c r="V212" s="22" t="e">
        <f t="shared" ca="1" si="1768"/>
        <v>#NAME?</v>
      </c>
      <c r="W212" s="22" t="e">
        <f t="shared" ca="1" si="1768"/>
        <v>#NAME?</v>
      </c>
      <c r="X212" s="22" t="e">
        <f t="shared" ref="X212:Y212" ca="1" si="1769">X213+X214</f>
        <v>#NAME?</v>
      </c>
      <c r="Y212" s="22" t="e">
        <f t="shared" ca="1" si="1769"/>
        <v>#NAME?</v>
      </c>
      <c r="Z212" s="22" t="e">
        <f t="shared" ref="Z212:AA212" ca="1" si="1770">Z213+Z214</f>
        <v>#NAME?</v>
      </c>
      <c r="AA212" s="22" t="e">
        <f t="shared" ca="1" si="1770"/>
        <v>#NAME?</v>
      </c>
      <c r="AB212" s="21" t="e">
        <f t="shared" ref="AA212:AD212" ca="1" si="1771">AB213+AB214</f>
        <v>#NAME?</v>
      </c>
      <c r="AC212" s="21" t="e">
        <f t="shared" ca="1" si="1771"/>
        <v>#NAME?</v>
      </c>
      <c r="AD212" s="21" t="e">
        <f t="shared" ca="1" si="1771"/>
        <v>#NAME?</v>
      </c>
      <c r="AE212" s="21" t="e">
        <f t="shared" ref="AE212" ca="1" si="1772">AE213+AE214</f>
        <v>#NAME?</v>
      </c>
      <c r="AI212" s="22" t="e">
        <f t="shared" ref="AI212" ca="1" si="1773">AI213+AI214</f>
        <v>#NAME?</v>
      </c>
      <c r="AJ212" s="22" t="e">
        <f t="shared" ref="AJ212:AL212" ca="1" si="1774">AJ213+AJ214</f>
        <v>#NAME?</v>
      </c>
      <c r="AK212" s="22" t="e">
        <f t="shared" ca="1" si="1774"/>
        <v>#NAME?</v>
      </c>
      <c r="AL212" s="22" t="e">
        <f t="shared" ca="1" si="1774"/>
        <v>#NAME?</v>
      </c>
      <c r="AM212" s="22" t="e">
        <f t="shared" ref="AM212" ca="1" si="1775">AM213+AM214</f>
        <v>#NAME?</v>
      </c>
      <c r="AN212" s="22" t="e">
        <f t="shared" ref="AN212:CD212" ca="1" si="1776">AN213+AN214</f>
        <v>#NAME?</v>
      </c>
      <c r="AO212" s="22" t="e">
        <f t="shared" ca="1" si="1776"/>
        <v>#NAME?</v>
      </c>
      <c r="AP212" s="22" t="e">
        <f t="shared" ca="1" si="1776"/>
        <v>#NAME?</v>
      </c>
      <c r="AQ212" s="22" t="e">
        <f t="shared" ca="1" si="1776"/>
        <v>#NAME?</v>
      </c>
      <c r="AR212" s="22" t="e">
        <f t="shared" ca="1" si="1776"/>
        <v>#NAME?</v>
      </c>
      <c r="AS212" s="22" t="e">
        <f t="shared" ca="1" si="1776"/>
        <v>#NAME?</v>
      </c>
      <c r="AT212" s="22" t="e">
        <f t="shared" ca="1" si="1776"/>
        <v>#NAME?</v>
      </c>
      <c r="AU212" s="22" t="e">
        <f t="shared" ca="1" si="1776"/>
        <v>#NAME?</v>
      </c>
      <c r="AV212" s="22" t="e">
        <f t="shared" ca="1" si="1776"/>
        <v>#NAME?</v>
      </c>
      <c r="AW212" s="22" t="e">
        <f t="shared" ca="1" si="1776"/>
        <v>#NAME?</v>
      </c>
      <c r="AX212" s="22" t="e">
        <f t="shared" ca="1" si="1776"/>
        <v>#NAME?</v>
      </c>
      <c r="AY212" s="22" t="e">
        <f t="shared" ca="1" si="1776"/>
        <v>#NAME?</v>
      </c>
      <c r="AZ212" s="22" t="e">
        <f t="shared" ca="1" si="1776"/>
        <v>#NAME?</v>
      </c>
      <c r="BA212" s="22" t="e">
        <f t="shared" ca="1" si="1776"/>
        <v>#NAME?</v>
      </c>
      <c r="BB212" s="22" t="e">
        <f t="shared" ca="1" si="1776"/>
        <v>#NAME?</v>
      </c>
      <c r="BC212" s="22" t="e">
        <f t="shared" ca="1" si="1776"/>
        <v>#NAME?</v>
      </c>
      <c r="BD212" s="22" t="e">
        <f t="shared" ca="1" si="1776"/>
        <v>#NAME?</v>
      </c>
      <c r="BE212" s="22" t="e">
        <f t="shared" ca="1" si="1776"/>
        <v>#NAME?</v>
      </c>
      <c r="BF212" s="22" t="e">
        <f t="shared" ca="1" si="1776"/>
        <v>#NAME?</v>
      </c>
      <c r="BG212" s="22" t="e">
        <f t="shared" ca="1" si="1776"/>
        <v>#NAME?</v>
      </c>
      <c r="BH212" s="22" t="e">
        <f t="shared" ca="1" si="1776"/>
        <v>#NAME?</v>
      </c>
      <c r="BI212" s="22" t="e">
        <f t="shared" ca="1" si="1776"/>
        <v>#NAME?</v>
      </c>
      <c r="BJ212" s="22" t="e">
        <f t="shared" ca="1" si="1776"/>
        <v>#NAME?</v>
      </c>
      <c r="BK212" s="22" t="e">
        <f t="shared" ca="1" si="1776"/>
        <v>#NAME?</v>
      </c>
      <c r="BL212" s="22" t="e">
        <f t="shared" ca="1" si="1776"/>
        <v>#NAME?</v>
      </c>
      <c r="BM212" s="22" t="e">
        <f t="shared" ca="1" si="1776"/>
        <v>#NAME?</v>
      </c>
      <c r="BN212" s="22" t="e">
        <f t="shared" ca="1" si="1776"/>
        <v>#NAME?</v>
      </c>
      <c r="BO212" s="22" t="e">
        <f t="shared" ca="1" si="1776"/>
        <v>#NAME?</v>
      </c>
      <c r="BP212" s="22" t="e">
        <f t="shared" ca="1" si="1776"/>
        <v>#NAME?</v>
      </c>
      <c r="BQ212" s="22" t="e">
        <f t="shared" ca="1" si="1776"/>
        <v>#NAME?</v>
      </c>
      <c r="BR212" s="22" t="e">
        <f t="shared" ca="1" si="1776"/>
        <v>#NAME?</v>
      </c>
      <c r="BS212" s="22" t="e">
        <f t="shared" ca="1" si="1776"/>
        <v>#NAME?</v>
      </c>
      <c r="BT212" s="22" t="e">
        <f t="shared" ca="1" si="1776"/>
        <v>#NAME?</v>
      </c>
      <c r="BU212" s="22" t="e">
        <f t="shared" ca="1" si="1776"/>
        <v>#NAME?</v>
      </c>
      <c r="BV212" s="22" t="e">
        <f t="shared" ca="1" si="1776"/>
        <v>#NAME?</v>
      </c>
      <c r="BW212" s="22" t="e">
        <f t="shared" ca="1" si="1776"/>
        <v>#NAME?</v>
      </c>
      <c r="BX212" s="22" t="e">
        <f t="shared" ca="1" si="1776"/>
        <v>#NAME?</v>
      </c>
      <c r="BY212" s="22" t="e">
        <f t="shared" ca="1" si="1776"/>
        <v>#NAME?</v>
      </c>
      <c r="BZ212" s="22" t="e">
        <f t="shared" ca="1" si="1776"/>
        <v>#NAME?</v>
      </c>
      <c r="CA212" s="22" t="e">
        <f t="shared" ca="1" si="1776"/>
        <v>#NAME?</v>
      </c>
      <c r="CB212" s="22" t="e">
        <f t="shared" ca="1" si="1776"/>
        <v>#NAME?</v>
      </c>
      <c r="CC212" s="22" t="e">
        <f t="shared" ca="1" si="1776"/>
        <v>#NAME?</v>
      </c>
      <c r="CD212" s="22" t="e">
        <f t="shared" ca="1" si="1776"/>
        <v>#NAME?</v>
      </c>
      <c r="CE212" s="22" t="e">
        <f t="shared" ref="CE212:CF212" ca="1" si="1777">CE213+CE214</f>
        <v>#NAME?</v>
      </c>
      <c r="CF212" s="22" t="e">
        <f t="shared" ca="1" si="1777"/>
        <v>#NAME?</v>
      </c>
      <c r="CG212" s="22" t="e">
        <f t="shared" ref="CG212:CH212" ca="1" si="1778">CG213+CG214</f>
        <v>#NAME?</v>
      </c>
      <c r="CH212" s="22" t="e">
        <f t="shared" ca="1" si="1778"/>
        <v>#NAME?</v>
      </c>
      <c r="CI212" s="22" t="e">
        <f t="shared" ref="CI212:CJ212" ca="1" si="1779">CI213+CI214</f>
        <v>#NAME?</v>
      </c>
      <c r="CJ212" s="22" t="e">
        <f t="shared" ca="1" si="1779"/>
        <v>#NAME?</v>
      </c>
      <c r="CK212" s="22" t="e">
        <f t="shared" ref="CK212:DB212" ca="1" si="1780">CK213+CK214</f>
        <v>#NAME?</v>
      </c>
      <c r="CL212" s="22" t="e">
        <f t="shared" ca="1" si="1780"/>
        <v>#NAME?</v>
      </c>
      <c r="CM212" s="21" t="e">
        <f t="shared" ca="1" si="1780"/>
        <v>#NAME?</v>
      </c>
      <c r="CN212" s="21" t="e">
        <f t="shared" ca="1" si="1780"/>
        <v>#NAME?</v>
      </c>
      <c r="CO212" s="21" t="e">
        <f t="shared" ca="1" si="1780"/>
        <v>#NAME?</v>
      </c>
      <c r="CP212" s="21" t="e">
        <f t="shared" ca="1" si="1780"/>
        <v>#NAME?</v>
      </c>
      <c r="CQ212" s="21" t="e">
        <f t="shared" ca="1" si="1780"/>
        <v>#NAME?</v>
      </c>
      <c r="CR212" s="21" t="e">
        <f t="shared" ca="1" si="1780"/>
        <v>#NAME?</v>
      </c>
      <c r="CS212" s="21" t="e">
        <f t="shared" ca="1" si="1780"/>
        <v>#NAME?</v>
      </c>
      <c r="CT212" s="21" t="e">
        <f t="shared" ca="1" si="1780"/>
        <v>#NAME?</v>
      </c>
      <c r="CU212" s="21" t="e">
        <f t="shared" ca="1" si="1780"/>
        <v>#NAME?</v>
      </c>
      <c r="CV212" s="21" t="e">
        <f t="shared" ca="1" si="1780"/>
        <v>#NAME?</v>
      </c>
      <c r="CW212" s="21" t="e">
        <f t="shared" ca="1" si="1780"/>
        <v>#NAME?</v>
      </c>
      <c r="CX212" s="21" t="e">
        <f t="shared" ca="1" si="1780"/>
        <v>#NAME?</v>
      </c>
      <c r="CY212" s="21" t="e">
        <f t="shared" ca="1" si="1780"/>
        <v>#NAME?</v>
      </c>
      <c r="CZ212" s="21" t="e">
        <f t="shared" ca="1" si="1780"/>
        <v>#NAME?</v>
      </c>
      <c r="DA212" s="21" t="e">
        <f t="shared" ca="1" si="1780"/>
        <v>#NAME?</v>
      </c>
      <c r="DB212" s="21" t="e">
        <f t="shared" ca="1" si="1780"/>
        <v>#NAME?</v>
      </c>
      <c r="DE212" s="126"/>
      <c r="DF212" s="22">
        <v>-74.845199999999991</v>
      </c>
    </row>
    <row r="213" spans="1:110" s="23" customFormat="1" x14ac:dyDescent="0.2">
      <c r="A213" s="23" t="s">
        <v>93</v>
      </c>
      <c r="C213" s="23" t="e">
        <f t="shared" ref="C213:AA213" ca="1" si="1781">B151-C151</f>
        <v>#NAME?</v>
      </c>
      <c r="D213" s="23" t="e">
        <f t="shared" ca="1" si="1781"/>
        <v>#NAME?</v>
      </c>
      <c r="E213" s="23" t="e">
        <f ca="1">D151-E151</f>
        <v>#NAME?</v>
      </c>
      <c r="F213" s="23" t="e">
        <f t="shared" ca="1" si="1781"/>
        <v>#NAME?</v>
      </c>
      <c r="G213" s="23" t="e">
        <f t="shared" ca="1" si="1781"/>
        <v>#NAME?</v>
      </c>
      <c r="H213" s="23" t="e">
        <f t="shared" ca="1" si="1781"/>
        <v>#NAME?</v>
      </c>
      <c r="I213" s="23" t="e">
        <f t="shared" ca="1" si="1781"/>
        <v>#NAME?</v>
      </c>
      <c r="J213" s="23" t="e">
        <f ca="1">I151-J151</f>
        <v>#NAME?</v>
      </c>
      <c r="K213" s="23" t="e">
        <f ca="1">J151-K151</f>
        <v>#NAME?</v>
      </c>
      <c r="L213" s="23" t="e">
        <f t="shared" ca="1" si="1781"/>
        <v>#NAME?</v>
      </c>
      <c r="M213" s="23" t="e">
        <f t="shared" ca="1" si="1781"/>
        <v>#NAME?</v>
      </c>
      <c r="N213" s="23" t="e">
        <f t="shared" ca="1" si="1781"/>
        <v>#NAME?</v>
      </c>
      <c r="O213" s="23" t="e">
        <f t="shared" ca="1" si="1781"/>
        <v>#NAME?</v>
      </c>
      <c r="P213" s="23" t="e">
        <f t="shared" ca="1" si="1781"/>
        <v>#NAME?</v>
      </c>
      <c r="Q213" s="23" t="e">
        <f t="shared" ca="1" si="1781"/>
        <v>#NAME?</v>
      </c>
      <c r="R213" s="23" t="e">
        <f t="shared" ca="1" si="1781"/>
        <v>#NAME?</v>
      </c>
      <c r="S213" s="23" t="e">
        <f t="shared" ca="1" si="1781"/>
        <v>#NAME?</v>
      </c>
      <c r="T213" s="23" t="e">
        <f t="shared" ca="1" si="1781"/>
        <v>#NAME?</v>
      </c>
      <c r="U213" s="23" t="e">
        <f t="shared" ca="1" si="1781"/>
        <v>#NAME?</v>
      </c>
      <c r="V213" s="23" t="e">
        <f t="shared" ca="1" si="1781"/>
        <v>#NAME?</v>
      </c>
      <c r="W213" s="23" t="e">
        <f t="shared" ca="1" si="1781"/>
        <v>#NAME?</v>
      </c>
      <c r="X213" s="23" t="e">
        <f t="shared" ca="1" si="1781"/>
        <v>#NAME?</v>
      </c>
      <c r="Y213" s="23" t="e">
        <f t="shared" ca="1" si="1781"/>
        <v>#NAME?</v>
      </c>
      <c r="Z213" s="23" t="e">
        <f t="shared" ca="1" si="1781"/>
        <v>#NAME?</v>
      </c>
      <c r="AA213" s="23" t="e">
        <f t="shared" ca="1" si="1781"/>
        <v>#NAME?</v>
      </c>
      <c r="AB213" s="24" t="e">
        <f t="shared" ref="AB213" ca="1" si="1782">AA151-AB151</f>
        <v>#NAME?</v>
      </c>
      <c r="AC213" s="24" t="e">
        <f t="shared" ref="AC213" ca="1" si="1783">AB151-AC151</f>
        <v>#NAME?</v>
      </c>
      <c r="AD213" s="24" t="e">
        <f t="shared" ref="AD213" ca="1" si="1784">AC151-AD151</f>
        <v>#NAME?</v>
      </c>
      <c r="AE213" s="24" t="e">
        <f t="shared" ref="AE213" ca="1" si="1785">AD151-AE151</f>
        <v>#NAME?</v>
      </c>
      <c r="AI213" s="23">
        <f t="shared" ref="AI213" si="1786">AH151-AI151</f>
        <v>0</v>
      </c>
      <c r="AJ213" s="23" t="e">
        <f t="shared" ref="AJ213" ca="1" si="1787">AI151-AJ151</f>
        <v>#NAME?</v>
      </c>
      <c r="AK213" s="23" t="e">
        <f t="shared" ref="AK213" ca="1" si="1788">AJ151-AK151</f>
        <v>#NAME?</v>
      </c>
      <c r="AL213" s="23" t="e">
        <f t="shared" ref="AL213" ca="1" si="1789">AK151-AL151</f>
        <v>#NAME?</v>
      </c>
      <c r="AM213" s="23" t="e">
        <f t="shared" ref="AM213" ca="1" si="1790">AL151-AM151</f>
        <v>#NAME?</v>
      </c>
      <c r="AN213" s="23" t="e">
        <f t="shared" ref="AN213" ca="1" si="1791">AM151-AN151</f>
        <v>#NAME?</v>
      </c>
      <c r="AO213" s="23" t="e">
        <f t="shared" ref="AO213" ca="1" si="1792">AN151-AO151</f>
        <v>#NAME?</v>
      </c>
      <c r="AP213" s="23" t="e">
        <f t="shared" ref="AP213" ca="1" si="1793">AO151-AP151</f>
        <v>#NAME?</v>
      </c>
      <c r="AQ213" s="23" t="e">
        <f t="shared" ref="AQ213" ca="1" si="1794">AP151-AQ151</f>
        <v>#NAME?</v>
      </c>
      <c r="AR213" s="23" t="e">
        <f t="shared" ref="AR213" ca="1" si="1795">AQ151-AR151</f>
        <v>#NAME?</v>
      </c>
      <c r="AS213" s="23" t="e">
        <f t="shared" ref="AS213" ca="1" si="1796">AR151-AS151</f>
        <v>#NAME?</v>
      </c>
      <c r="AT213" s="23" t="e">
        <f t="shared" ref="AT213" ca="1" si="1797">AS151-AT151</f>
        <v>#NAME?</v>
      </c>
      <c r="AU213" s="23" t="e">
        <f t="shared" ref="AU213" ca="1" si="1798">AT151-AU151</f>
        <v>#NAME?</v>
      </c>
      <c r="AV213" s="23" t="e">
        <f t="shared" ref="AV213" ca="1" si="1799">AU151-AV151</f>
        <v>#NAME?</v>
      </c>
      <c r="AW213" s="23" t="e">
        <f t="shared" ref="AW213" ca="1" si="1800">AV151-AW151</f>
        <v>#NAME?</v>
      </c>
      <c r="AX213" s="23" t="e">
        <f t="shared" ref="AX213" ca="1" si="1801">AW151-AX151</f>
        <v>#NAME?</v>
      </c>
      <c r="AY213" s="23" t="e">
        <f t="shared" ref="AY213" ca="1" si="1802">AX151-AY151</f>
        <v>#NAME?</v>
      </c>
      <c r="AZ213" s="23" t="e">
        <f t="shared" ref="AZ213" ca="1" si="1803">AY151-AZ151</f>
        <v>#NAME?</v>
      </c>
      <c r="BA213" s="23" t="e">
        <f t="shared" ref="BA213" ca="1" si="1804">AZ151-BA151</f>
        <v>#NAME?</v>
      </c>
      <c r="BB213" s="23" t="e">
        <f t="shared" ref="BB213" ca="1" si="1805">BA151-BB151</f>
        <v>#NAME?</v>
      </c>
      <c r="BC213" s="23" t="e">
        <f t="shared" ref="BC213" ca="1" si="1806">BB151-BC151</f>
        <v>#NAME?</v>
      </c>
      <c r="BD213" s="23" t="e">
        <f t="shared" ref="BD213" ca="1" si="1807">BC151-BD151</f>
        <v>#NAME?</v>
      </c>
      <c r="BE213" s="23" t="e">
        <f t="shared" ref="BE213" ca="1" si="1808">BD151-BE151</f>
        <v>#NAME?</v>
      </c>
      <c r="BF213" s="23" t="e">
        <f t="shared" ref="BF213" ca="1" si="1809">BE151-BF151</f>
        <v>#NAME?</v>
      </c>
      <c r="BG213" s="23" t="e">
        <f t="shared" ref="BG213" ca="1" si="1810">BF151-BG151</f>
        <v>#NAME?</v>
      </c>
      <c r="BH213" s="23" t="e">
        <f t="shared" ref="BH213" ca="1" si="1811">BG151-BH151</f>
        <v>#NAME?</v>
      </c>
      <c r="BI213" s="23" t="e">
        <f t="shared" ref="BI213" ca="1" si="1812">BH151-BI151</f>
        <v>#NAME?</v>
      </c>
      <c r="BJ213" s="23" t="e">
        <f t="shared" ref="BJ213" ca="1" si="1813">BI151-BJ151</f>
        <v>#NAME?</v>
      </c>
      <c r="BK213" s="23" t="e">
        <f t="shared" ref="BK213" ca="1" si="1814">BJ151-BK151</f>
        <v>#NAME?</v>
      </c>
      <c r="BL213" s="23" t="e">
        <f t="shared" ref="BL213" ca="1" si="1815">BK151-BL151</f>
        <v>#NAME?</v>
      </c>
      <c r="BM213" s="23" t="e">
        <f t="shared" ref="BM213" ca="1" si="1816">BL151-BM151</f>
        <v>#NAME?</v>
      </c>
      <c r="BN213" s="23" t="e">
        <f t="shared" ref="BN213" ca="1" si="1817">BM151-BN151</f>
        <v>#NAME?</v>
      </c>
      <c r="BO213" s="23" t="e">
        <f t="shared" ref="BO213" ca="1" si="1818">BN151-BO151</f>
        <v>#NAME?</v>
      </c>
      <c r="BP213" s="23" t="e">
        <f t="shared" ref="BP213" ca="1" si="1819">BO151-BP151</f>
        <v>#NAME?</v>
      </c>
      <c r="BQ213" s="23" t="e">
        <f t="shared" ref="BQ213" ca="1" si="1820">BP151-BQ151</f>
        <v>#NAME?</v>
      </c>
      <c r="BR213" s="23" t="e">
        <f t="shared" ref="BR213" ca="1" si="1821">BQ151-BR151</f>
        <v>#NAME?</v>
      </c>
      <c r="BS213" s="23" t="e">
        <f t="shared" ref="BS213" ca="1" si="1822">BR151-BS151</f>
        <v>#NAME?</v>
      </c>
      <c r="BT213" s="23" t="e">
        <f t="shared" ref="BT213" ca="1" si="1823">BS151-BT151</f>
        <v>#NAME?</v>
      </c>
      <c r="BU213" s="23" t="e">
        <f t="shared" ref="BU213" ca="1" si="1824">BT151-BU151</f>
        <v>#NAME?</v>
      </c>
      <c r="BV213" s="23" t="e">
        <f t="shared" ref="BV213" ca="1" si="1825">BU151-BV151</f>
        <v>#NAME?</v>
      </c>
      <c r="BW213" s="23" t="e">
        <f t="shared" ref="BW213" ca="1" si="1826">BV151-BW151</f>
        <v>#NAME?</v>
      </c>
      <c r="BX213" s="23" t="e">
        <f t="shared" ref="BX213" ca="1" si="1827">BW151-BX151</f>
        <v>#NAME?</v>
      </c>
      <c r="BY213" s="23" t="e">
        <f t="shared" ref="BY213" ca="1" si="1828">BX151-BY151</f>
        <v>#NAME?</v>
      </c>
      <c r="BZ213" s="23" t="e">
        <f t="shared" ref="BZ213" ca="1" si="1829">BY151-BZ151</f>
        <v>#NAME?</v>
      </c>
      <c r="CA213" s="23" t="e">
        <f t="shared" ref="CA213" ca="1" si="1830">BZ151-CA151</f>
        <v>#NAME?</v>
      </c>
      <c r="CB213" s="23" t="e">
        <f t="shared" ref="CB213" ca="1" si="1831">CA151-CB151</f>
        <v>#NAME?</v>
      </c>
      <c r="CC213" s="23" t="e">
        <f t="shared" ref="CC213" ca="1" si="1832">CB151-CC151</f>
        <v>#NAME?</v>
      </c>
      <c r="CD213" s="23" t="e">
        <f t="shared" ref="CD213" ca="1" si="1833">CC151-CD151</f>
        <v>#NAME?</v>
      </c>
      <c r="CE213" s="23" t="e">
        <f t="shared" ref="CE213" ca="1" si="1834">CD151-CE151</f>
        <v>#NAME?</v>
      </c>
      <c r="CF213" s="23" t="e">
        <f t="shared" ref="CF213" ca="1" si="1835">CE151-CF151</f>
        <v>#NAME?</v>
      </c>
      <c r="CG213" s="23" t="e">
        <f t="shared" ref="CG213" ca="1" si="1836">CF151-CG151</f>
        <v>#NAME?</v>
      </c>
      <c r="CH213" s="23" t="e">
        <f t="shared" ref="CH213:CJ213" ca="1" si="1837">CG151-CH151</f>
        <v>#NAME?</v>
      </c>
      <c r="CI213" s="23" t="e">
        <f t="shared" ca="1" si="1837"/>
        <v>#NAME?</v>
      </c>
      <c r="CJ213" s="23" t="e">
        <f t="shared" ca="1" si="1837"/>
        <v>#NAME?</v>
      </c>
      <c r="CK213" s="23" t="e">
        <f t="shared" ref="CK213" ca="1" si="1838">CJ151-CK151</f>
        <v>#NAME?</v>
      </c>
      <c r="CL213" s="23" t="e">
        <f t="shared" ref="CL213" ca="1" si="1839">CK151-CL151</f>
        <v>#NAME?</v>
      </c>
      <c r="CM213" s="24" t="e">
        <f t="shared" ref="CM213" ca="1" si="1840">CL151-CM151</f>
        <v>#NAME?</v>
      </c>
      <c r="CN213" s="24" t="e">
        <f t="shared" ref="CN213" ca="1" si="1841">CM151-CN151</f>
        <v>#NAME?</v>
      </c>
      <c r="CO213" s="24" t="e">
        <f t="shared" ref="CO213" ca="1" si="1842">CN151-CO151</f>
        <v>#NAME?</v>
      </c>
      <c r="CP213" s="24" t="e">
        <f t="shared" ref="CP213" ca="1" si="1843">CO151-CP151</f>
        <v>#NAME?</v>
      </c>
      <c r="CQ213" s="24" t="e">
        <f t="shared" ref="CQ213" ca="1" si="1844">CP151-CQ151</f>
        <v>#NAME?</v>
      </c>
      <c r="CR213" s="24" t="e">
        <f t="shared" ref="CR213" ca="1" si="1845">CQ151-CR151</f>
        <v>#NAME?</v>
      </c>
      <c r="CS213" s="24" t="e">
        <f t="shared" ref="CS213" ca="1" si="1846">CR151-CS151</f>
        <v>#NAME?</v>
      </c>
      <c r="CT213" s="24" t="e">
        <f t="shared" ref="CT213" ca="1" si="1847">CS151-CT151</f>
        <v>#NAME?</v>
      </c>
      <c r="CU213" s="24" t="e">
        <f t="shared" ref="CU213" ca="1" si="1848">CT151-CU151</f>
        <v>#NAME?</v>
      </c>
      <c r="CV213" s="24" t="e">
        <f t="shared" ref="CV213" ca="1" si="1849">CU151-CV151</f>
        <v>#NAME?</v>
      </c>
      <c r="CW213" s="24" t="e">
        <f t="shared" ref="CW213" ca="1" si="1850">CV151-CW151</f>
        <v>#NAME?</v>
      </c>
      <c r="CX213" s="24" t="e">
        <f t="shared" ref="CX213" ca="1" si="1851">CW151-CX151</f>
        <v>#NAME?</v>
      </c>
      <c r="CY213" s="24" t="e">
        <f t="shared" ref="CY213" ca="1" si="1852">CX151-CY151</f>
        <v>#NAME?</v>
      </c>
      <c r="CZ213" s="24" t="e">
        <f t="shared" ref="CZ213" ca="1" si="1853">CY151-CZ151</f>
        <v>#NAME?</v>
      </c>
      <c r="DA213" s="24" t="e">
        <f t="shared" ref="DA213" ca="1" si="1854">CZ151-DA151</f>
        <v>#NAME?</v>
      </c>
      <c r="DB213" s="24" t="e">
        <f t="shared" ref="DB213" ca="1" si="1855">DA151-DB151</f>
        <v>#NAME?</v>
      </c>
      <c r="DE213" s="123"/>
      <c r="DF213" s="23">
        <v>-1.2537000000000003</v>
      </c>
    </row>
    <row r="214" spans="1:110" s="23" customFormat="1" x14ac:dyDescent="0.2">
      <c r="A214" s="23" t="s">
        <v>94</v>
      </c>
      <c r="C214" s="23" t="e">
        <f t="shared" ref="C214:AE214" ca="1" si="1856">B149-C43-C149</f>
        <v>#NAME?</v>
      </c>
      <c r="D214" s="23" t="e">
        <f t="shared" ca="1" si="1856"/>
        <v>#NAME?</v>
      </c>
      <c r="E214" s="23" t="e">
        <f t="shared" ca="1" si="1856"/>
        <v>#NAME?</v>
      </c>
      <c r="F214" s="23" t="e">
        <f t="shared" ca="1" si="1856"/>
        <v>#NAME?</v>
      </c>
      <c r="G214" s="23" t="e">
        <f t="shared" ca="1" si="1856"/>
        <v>#NAME?</v>
      </c>
      <c r="H214" s="23" t="e">
        <f t="shared" ca="1" si="1856"/>
        <v>#NAME?</v>
      </c>
      <c r="I214" s="23" t="e">
        <f t="shared" ca="1" si="1856"/>
        <v>#NAME?</v>
      </c>
      <c r="J214" s="23" t="e">
        <f t="shared" ca="1" si="1856"/>
        <v>#NAME?</v>
      </c>
      <c r="K214" s="23" t="e">
        <f t="shared" ca="1" si="1856"/>
        <v>#NAME?</v>
      </c>
      <c r="L214" s="23" t="e">
        <f t="shared" ca="1" si="1856"/>
        <v>#NAME?</v>
      </c>
      <c r="M214" s="23" t="e">
        <f t="shared" ca="1" si="1856"/>
        <v>#NAME?</v>
      </c>
      <c r="N214" s="23" t="e">
        <f t="shared" ca="1" si="1856"/>
        <v>#NAME?</v>
      </c>
      <c r="O214" s="23" t="e">
        <f t="shared" ca="1" si="1856"/>
        <v>#NAME?</v>
      </c>
      <c r="P214" s="23" t="e">
        <f t="shared" ca="1" si="1856"/>
        <v>#NAME?</v>
      </c>
      <c r="Q214" s="23" t="e">
        <f t="shared" ca="1" si="1856"/>
        <v>#NAME?</v>
      </c>
      <c r="R214" s="23" t="e">
        <f t="shared" ca="1" si="1856"/>
        <v>#NAME?</v>
      </c>
      <c r="S214" s="23" t="e">
        <f t="shared" ca="1" si="1856"/>
        <v>#NAME?</v>
      </c>
      <c r="T214" s="23" t="e">
        <f t="shared" ca="1" si="1856"/>
        <v>#NAME?</v>
      </c>
      <c r="U214" s="23" t="e">
        <f t="shared" ca="1" si="1856"/>
        <v>#NAME?</v>
      </c>
      <c r="V214" s="23" t="e">
        <f t="shared" ca="1" si="1856"/>
        <v>#NAME?</v>
      </c>
      <c r="W214" s="23" t="e">
        <f t="shared" ca="1" si="1856"/>
        <v>#NAME?</v>
      </c>
      <c r="X214" s="23" t="e">
        <f t="shared" ca="1" si="1856"/>
        <v>#NAME?</v>
      </c>
      <c r="Y214" s="23" t="e">
        <f t="shared" ca="1" si="1856"/>
        <v>#NAME?</v>
      </c>
      <c r="Z214" s="23" t="e">
        <f t="shared" ca="1" si="1856"/>
        <v>#NAME?</v>
      </c>
      <c r="AA214" s="23" t="e">
        <f t="shared" ca="1" si="1856"/>
        <v>#NAME?</v>
      </c>
      <c r="AB214" s="24" t="e">
        <f t="shared" ca="1" si="1856"/>
        <v>#NAME?</v>
      </c>
      <c r="AC214" s="24" t="e">
        <f t="shared" ca="1" si="1856"/>
        <v>#NAME?</v>
      </c>
      <c r="AD214" s="24" t="e">
        <f t="shared" ca="1" si="1856"/>
        <v>#NAME?</v>
      </c>
      <c r="AE214" s="24" t="e">
        <f t="shared" ca="1" si="1856"/>
        <v>#NAME?</v>
      </c>
      <c r="AI214" s="23" t="e">
        <f t="shared" ref="AI214:BN214" ca="1" si="1857">AH149-AI43-AI149</f>
        <v>#NAME?</v>
      </c>
      <c r="AJ214" s="23" t="e">
        <f t="shared" ca="1" si="1857"/>
        <v>#NAME?</v>
      </c>
      <c r="AK214" s="23" t="e">
        <f t="shared" ca="1" si="1857"/>
        <v>#NAME?</v>
      </c>
      <c r="AL214" s="23" t="e">
        <f t="shared" ca="1" si="1857"/>
        <v>#NAME?</v>
      </c>
      <c r="AM214" s="23" t="e">
        <f t="shared" ca="1" si="1857"/>
        <v>#NAME?</v>
      </c>
      <c r="AN214" s="23" t="e">
        <f t="shared" ca="1" si="1857"/>
        <v>#NAME?</v>
      </c>
      <c r="AO214" s="23" t="e">
        <f t="shared" ca="1" si="1857"/>
        <v>#NAME?</v>
      </c>
      <c r="AP214" s="23" t="e">
        <f t="shared" ca="1" si="1857"/>
        <v>#NAME?</v>
      </c>
      <c r="AQ214" s="23" t="e">
        <f t="shared" ca="1" si="1857"/>
        <v>#NAME?</v>
      </c>
      <c r="AR214" s="23" t="e">
        <f t="shared" ca="1" si="1857"/>
        <v>#NAME?</v>
      </c>
      <c r="AS214" s="23" t="e">
        <f t="shared" ca="1" si="1857"/>
        <v>#NAME?</v>
      </c>
      <c r="AT214" s="23" t="e">
        <f t="shared" ca="1" si="1857"/>
        <v>#NAME?</v>
      </c>
      <c r="AU214" s="23" t="e">
        <f t="shared" ca="1" si="1857"/>
        <v>#NAME?</v>
      </c>
      <c r="AV214" s="23" t="e">
        <f t="shared" ca="1" si="1857"/>
        <v>#NAME?</v>
      </c>
      <c r="AW214" s="23" t="e">
        <f t="shared" ca="1" si="1857"/>
        <v>#NAME?</v>
      </c>
      <c r="AX214" s="23" t="e">
        <f t="shared" ca="1" si="1857"/>
        <v>#NAME?</v>
      </c>
      <c r="AY214" s="23" t="e">
        <f t="shared" ca="1" si="1857"/>
        <v>#NAME?</v>
      </c>
      <c r="AZ214" s="23" t="e">
        <f t="shared" ca="1" si="1857"/>
        <v>#NAME?</v>
      </c>
      <c r="BA214" s="23" t="e">
        <f t="shared" ca="1" si="1857"/>
        <v>#NAME?</v>
      </c>
      <c r="BB214" s="23" t="e">
        <f t="shared" ca="1" si="1857"/>
        <v>#NAME?</v>
      </c>
      <c r="BC214" s="23" t="e">
        <f t="shared" ca="1" si="1857"/>
        <v>#NAME?</v>
      </c>
      <c r="BD214" s="23" t="e">
        <f t="shared" ca="1" si="1857"/>
        <v>#NAME?</v>
      </c>
      <c r="BE214" s="23" t="e">
        <f t="shared" ca="1" si="1857"/>
        <v>#NAME?</v>
      </c>
      <c r="BF214" s="23" t="e">
        <f t="shared" ca="1" si="1857"/>
        <v>#NAME?</v>
      </c>
      <c r="BG214" s="23" t="e">
        <f t="shared" ca="1" si="1857"/>
        <v>#NAME?</v>
      </c>
      <c r="BH214" s="23" t="e">
        <f t="shared" ca="1" si="1857"/>
        <v>#NAME?</v>
      </c>
      <c r="BI214" s="23" t="e">
        <f t="shared" ca="1" si="1857"/>
        <v>#NAME?</v>
      </c>
      <c r="BJ214" s="23" t="e">
        <f t="shared" ca="1" si="1857"/>
        <v>#NAME?</v>
      </c>
      <c r="BK214" s="23" t="e">
        <f t="shared" ca="1" si="1857"/>
        <v>#NAME?</v>
      </c>
      <c r="BL214" s="23" t="e">
        <f t="shared" ca="1" si="1857"/>
        <v>#NAME?</v>
      </c>
      <c r="BM214" s="23" t="e">
        <f t="shared" ca="1" si="1857"/>
        <v>#NAME?</v>
      </c>
      <c r="BN214" s="23" t="e">
        <f t="shared" ca="1" si="1857"/>
        <v>#NAME?</v>
      </c>
      <c r="BO214" s="23" t="e">
        <f t="shared" ref="BO214:CT214" ca="1" si="1858">BN149-BO43-BO149</f>
        <v>#NAME?</v>
      </c>
      <c r="BP214" s="23" t="e">
        <f t="shared" ca="1" si="1858"/>
        <v>#NAME?</v>
      </c>
      <c r="BQ214" s="23" t="e">
        <f t="shared" ca="1" si="1858"/>
        <v>#NAME?</v>
      </c>
      <c r="BR214" s="23" t="e">
        <f t="shared" ca="1" si="1858"/>
        <v>#NAME?</v>
      </c>
      <c r="BS214" s="23" t="e">
        <f t="shared" ca="1" si="1858"/>
        <v>#NAME?</v>
      </c>
      <c r="BT214" s="23" t="e">
        <f t="shared" ca="1" si="1858"/>
        <v>#NAME?</v>
      </c>
      <c r="BU214" s="23" t="e">
        <f t="shared" ca="1" si="1858"/>
        <v>#NAME?</v>
      </c>
      <c r="BV214" s="23" t="e">
        <f t="shared" ca="1" si="1858"/>
        <v>#NAME?</v>
      </c>
      <c r="BW214" s="23" t="e">
        <f t="shared" ca="1" si="1858"/>
        <v>#NAME?</v>
      </c>
      <c r="BX214" s="23" t="e">
        <f t="shared" ca="1" si="1858"/>
        <v>#NAME?</v>
      </c>
      <c r="BY214" s="23" t="e">
        <f t="shared" ca="1" si="1858"/>
        <v>#NAME?</v>
      </c>
      <c r="BZ214" s="23" t="e">
        <f t="shared" ca="1" si="1858"/>
        <v>#NAME?</v>
      </c>
      <c r="CA214" s="23" t="e">
        <f t="shared" ca="1" si="1858"/>
        <v>#NAME?</v>
      </c>
      <c r="CB214" s="23" t="e">
        <f t="shared" ca="1" si="1858"/>
        <v>#NAME?</v>
      </c>
      <c r="CC214" s="23" t="e">
        <f t="shared" ca="1" si="1858"/>
        <v>#NAME?</v>
      </c>
      <c r="CD214" s="23" t="e">
        <f t="shared" ca="1" si="1858"/>
        <v>#NAME?</v>
      </c>
      <c r="CE214" s="23" t="e">
        <f t="shared" ca="1" si="1858"/>
        <v>#NAME?</v>
      </c>
      <c r="CF214" s="23" t="e">
        <f t="shared" ca="1" si="1858"/>
        <v>#NAME?</v>
      </c>
      <c r="CG214" s="23" t="e">
        <f t="shared" ca="1" si="1858"/>
        <v>#NAME?</v>
      </c>
      <c r="CH214" s="23" t="e">
        <f t="shared" ca="1" si="1858"/>
        <v>#NAME?</v>
      </c>
      <c r="CI214" s="23" t="e">
        <f t="shared" ca="1" si="1858"/>
        <v>#NAME?</v>
      </c>
      <c r="CJ214" s="23" t="e">
        <f t="shared" ca="1" si="1858"/>
        <v>#NAME?</v>
      </c>
      <c r="CK214" s="23" t="e">
        <f t="shared" ca="1" si="1858"/>
        <v>#NAME?</v>
      </c>
      <c r="CL214" s="23" t="e">
        <f t="shared" ca="1" si="1858"/>
        <v>#NAME?</v>
      </c>
      <c r="CM214" s="24" t="e">
        <f t="shared" ca="1" si="1858"/>
        <v>#NAME?</v>
      </c>
      <c r="CN214" s="24" t="e">
        <f t="shared" ca="1" si="1858"/>
        <v>#NAME?</v>
      </c>
      <c r="CO214" s="24" t="e">
        <f t="shared" ca="1" si="1858"/>
        <v>#NAME?</v>
      </c>
      <c r="CP214" s="24" t="e">
        <f t="shared" ca="1" si="1858"/>
        <v>#NAME?</v>
      </c>
      <c r="CQ214" s="24" t="e">
        <f t="shared" ca="1" si="1858"/>
        <v>#NAME?</v>
      </c>
      <c r="CR214" s="24" t="e">
        <f t="shared" ca="1" si="1858"/>
        <v>#NAME?</v>
      </c>
      <c r="CS214" s="24" t="e">
        <f t="shared" ca="1" si="1858"/>
        <v>#NAME?</v>
      </c>
      <c r="CT214" s="24" t="e">
        <f t="shared" ca="1" si="1858"/>
        <v>#NAME?</v>
      </c>
      <c r="CU214" s="24" t="e">
        <f t="shared" ref="CU214:DB214" ca="1" si="1859">CT149-CU43-CU149</f>
        <v>#NAME?</v>
      </c>
      <c r="CV214" s="24" t="e">
        <f t="shared" ca="1" si="1859"/>
        <v>#NAME?</v>
      </c>
      <c r="CW214" s="24" t="e">
        <f t="shared" ca="1" si="1859"/>
        <v>#NAME?</v>
      </c>
      <c r="CX214" s="24" t="e">
        <f t="shared" ca="1" si="1859"/>
        <v>#NAME?</v>
      </c>
      <c r="CY214" s="24" t="e">
        <f t="shared" ca="1" si="1859"/>
        <v>#NAME?</v>
      </c>
      <c r="CZ214" s="24" t="e">
        <f t="shared" ca="1" si="1859"/>
        <v>#NAME?</v>
      </c>
      <c r="DA214" s="24" t="e">
        <f t="shared" ca="1" si="1859"/>
        <v>#NAME?</v>
      </c>
      <c r="DB214" s="24" t="e">
        <f t="shared" ca="1" si="1859"/>
        <v>#NAME?</v>
      </c>
      <c r="DE214" s="123"/>
      <c r="DF214" s="23">
        <v>-73.591499999999996</v>
      </c>
    </row>
    <row r="215" spans="1:110" s="23" customFormat="1" x14ac:dyDescent="0.2">
      <c r="AB215" s="24"/>
      <c r="AC215" s="24"/>
      <c r="AD215" s="24"/>
      <c r="AE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2" customFormat="1" x14ac:dyDescent="0.2">
      <c r="A216" s="22" t="s">
        <v>95</v>
      </c>
      <c r="C216" s="22" t="e">
        <f t="shared" ref="C216:W216" ca="1" si="1860">C217+C218</f>
        <v>#NAME?</v>
      </c>
      <c r="D216" s="22" t="e">
        <f t="shared" ca="1" si="1860"/>
        <v>#NAME?</v>
      </c>
      <c r="E216" s="22" t="e">
        <f t="shared" ca="1" si="1860"/>
        <v>#NAME?</v>
      </c>
      <c r="F216" s="22" t="e">
        <f t="shared" ca="1" si="1860"/>
        <v>#NAME?</v>
      </c>
      <c r="G216" s="22" t="e">
        <f t="shared" ca="1" si="1860"/>
        <v>#NAME?</v>
      </c>
      <c r="H216" s="22" t="e">
        <f t="shared" ca="1" si="1860"/>
        <v>#NAME?</v>
      </c>
      <c r="I216" s="22" t="e">
        <f t="shared" ca="1" si="1860"/>
        <v>#NAME?</v>
      </c>
      <c r="J216" s="22" t="e">
        <f t="shared" ca="1" si="1860"/>
        <v>#NAME?</v>
      </c>
      <c r="K216" s="22" t="e">
        <f t="shared" ca="1" si="1860"/>
        <v>#NAME?</v>
      </c>
      <c r="L216" s="22" t="e">
        <f t="shared" ca="1" si="1860"/>
        <v>#NAME?</v>
      </c>
      <c r="M216" s="22" t="e">
        <f t="shared" ca="1" si="1860"/>
        <v>#NAME?</v>
      </c>
      <c r="N216" s="22" t="e">
        <f t="shared" ca="1" si="1860"/>
        <v>#NAME?</v>
      </c>
      <c r="O216" s="22" t="e">
        <f t="shared" ca="1" si="1860"/>
        <v>#NAME?</v>
      </c>
      <c r="P216" s="22" t="e">
        <f t="shared" ca="1" si="1860"/>
        <v>#NAME?</v>
      </c>
      <c r="Q216" s="22" t="e">
        <f t="shared" ca="1" si="1860"/>
        <v>#NAME?</v>
      </c>
      <c r="R216" s="22" t="e">
        <f t="shared" ca="1" si="1860"/>
        <v>#NAME?</v>
      </c>
      <c r="S216" s="22" t="e">
        <f t="shared" ca="1" si="1860"/>
        <v>#NAME?</v>
      </c>
      <c r="T216" s="22" t="e">
        <f t="shared" ca="1" si="1860"/>
        <v>#NAME?</v>
      </c>
      <c r="U216" s="22" t="e">
        <f t="shared" ca="1" si="1860"/>
        <v>#NAME?</v>
      </c>
      <c r="V216" s="22" t="e">
        <f t="shared" ca="1" si="1860"/>
        <v>#NAME?</v>
      </c>
      <c r="W216" s="22" t="e">
        <f t="shared" ca="1" si="1860"/>
        <v>#NAME?</v>
      </c>
      <c r="X216" s="22" t="e">
        <f t="shared" ref="X216:Y216" ca="1" si="1861">X217+X218</f>
        <v>#NAME?</v>
      </c>
      <c r="Y216" s="22" t="e">
        <f t="shared" ca="1" si="1861"/>
        <v>#NAME?</v>
      </c>
      <c r="Z216" s="22" t="e">
        <f t="shared" ref="Z216:AA216" ca="1" si="1862">Z217+Z218</f>
        <v>#NAME?</v>
      </c>
      <c r="AA216" s="22" t="e">
        <f t="shared" ca="1" si="1862"/>
        <v>#NAME?</v>
      </c>
      <c r="AB216" s="21" t="e">
        <f t="shared" ref="AA216:AD216" ca="1" si="1863">AB217+AB218</f>
        <v>#NAME?</v>
      </c>
      <c r="AC216" s="21" t="e">
        <f t="shared" ca="1" si="1863"/>
        <v>#NAME?</v>
      </c>
      <c r="AD216" s="21" t="e">
        <f t="shared" ca="1" si="1863"/>
        <v>#NAME?</v>
      </c>
      <c r="AE216" s="21" t="e">
        <f t="shared" ref="AE216" ca="1" si="1864">AE217+AE218</f>
        <v>#NAME?</v>
      </c>
      <c r="AI216" s="22" t="e">
        <f t="shared" ref="AI216" ca="1" si="1865">AI217+AI218</f>
        <v>#NAME?</v>
      </c>
      <c r="AJ216" s="22" t="e">
        <f t="shared" ref="AJ216:AL216" ca="1" si="1866">AJ217+AJ218</f>
        <v>#NAME?</v>
      </c>
      <c r="AK216" s="22" t="e">
        <f t="shared" ca="1" si="1866"/>
        <v>#NAME?</v>
      </c>
      <c r="AL216" s="22" t="e">
        <f t="shared" ca="1" si="1866"/>
        <v>#NAME?</v>
      </c>
      <c r="AM216" s="22" t="e">
        <f t="shared" ref="AM216" ca="1" si="1867">AM217+AM218</f>
        <v>#NAME?</v>
      </c>
      <c r="AN216" s="22" t="e">
        <f t="shared" ref="AN216:CD216" ca="1" si="1868">AN217+AN218</f>
        <v>#NAME?</v>
      </c>
      <c r="AO216" s="22" t="e">
        <f t="shared" ca="1" si="1868"/>
        <v>#NAME?</v>
      </c>
      <c r="AP216" s="22" t="e">
        <f t="shared" ca="1" si="1868"/>
        <v>#NAME?</v>
      </c>
      <c r="AQ216" s="22" t="e">
        <f t="shared" ca="1" si="1868"/>
        <v>#NAME?</v>
      </c>
      <c r="AR216" s="22" t="e">
        <f t="shared" ca="1" si="1868"/>
        <v>#NAME?</v>
      </c>
      <c r="AS216" s="22" t="e">
        <f t="shared" ca="1" si="1868"/>
        <v>#NAME?</v>
      </c>
      <c r="AT216" s="22" t="e">
        <f t="shared" ca="1" si="1868"/>
        <v>#NAME?</v>
      </c>
      <c r="AU216" s="22" t="e">
        <f t="shared" ca="1" si="1868"/>
        <v>#NAME?</v>
      </c>
      <c r="AV216" s="22" t="e">
        <f t="shared" ca="1" si="1868"/>
        <v>#NAME?</v>
      </c>
      <c r="AW216" s="22" t="e">
        <f t="shared" ca="1" si="1868"/>
        <v>#NAME?</v>
      </c>
      <c r="AX216" s="22" t="e">
        <f t="shared" ca="1" si="1868"/>
        <v>#NAME?</v>
      </c>
      <c r="AY216" s="22" t="e">
        <f t="shared" ca="1" si="1868"/>
        <v>#NAME?</v>
      </c>
      <c r="AZ216" s="22" t="e">
        <f t="shared" ca="1" si="1868"/>
        <v>#NAME?</v>
      </c>
      <c r="BA216" s="22" t="e">
        <f t="shared" ca="1" si="1868"/>
        <v>#NAME?</v>
      </c>
      <c r="BB216" s="22" t="e">
        <f t="shared" ca="1" si="1868"/>
        <v>#NAME?</v>
      </c>
      <c r="BC216" s="22" t="e">
        <f t="shared" ca="1" si="1868"/>
        <v>#NAME?</v>
      </c>
      <c r="BD216" s="22" t="e">
        <f t="shared" ca="1" si="1868"/>
        <v>#NAME?</v>
      </c>
      <c r="BE216" s="22" t="e">
        <f t="shared" ca="1" si="1868"/>
        <v>#NAME?</v>
      </c>
      <c r="BF216" s="22" t="e">
        <f t="shared" ca="1" si="1868"/>
        <v>#NAME?</v>
      </c>
      <c r="BG216" s="22" t="e">
        <f t="shared" ca="1" si="1868"/>
        <v>#NAME?</v>
      </c>
      <c r="BH216" s="22" t="e">
        <f t="shared" ca="1" si="1868"/>
        <v>#NAME?</v>
      </c>
      <c r="BI216" s="22" t="e">
        <f t="shared" ca="1" si="1868"/>
        <v>#NAME?</v>
      </c>
      <c r="BJ216" s="22" t="e">
        <f t="shared" ca="1" si="1868"/>
        <v>#NAME?</v>
      </c>
      <c r="BK216" s="22" t="e">
        <f t="shared" ca="1" si="1868"/>
        <v>#NAME?</v>
      </c>
      <c r="BL216" s="22" t="e">
        <f t="shared" ca="1" si="1868"/>
        <v>#NAME?</v>
      </c>
      <c r="BM216" s="22" t="e">
        <f t="shared" ca="1" si="1868"/>
        <v>#NAME?</v>
      </c>
      <c r="BN216" s="22" t="e">
        <f t="shared" ca="1" si="1868"/>
        <v>#NAME?</v>
      </c>
      <c r="BO216" s="22" t="e">
        <f t="shared" ca="1" si="1868"/>
        <v>#NAME?</v>
      </c>
      <c r="BP216" s="22" t="e">
        <f t="shared" ca="1" si="1868"/>
        <v>#NAME?</v>
      </c>
      <c r="BQ216" s="22" t="e">
        <f t="shared" ca="1" si="1868"/>
        <v>#NAME?</v>
      </c>
      <c r="BR216" s="22" t="e">
        <f t="shared" ca="1" si="1868"/>
        <v>#NAME?</v>
      </c>
      <c r="BS216" s="22" t="e">
        <f t="shared" ca="1" si="1868"/>
        <v>#NAME?</v>
      </c>
      <c r="BT216" s="22" t="e">
        <f t="shared" ca="1" si="1868"/>
        <v>#NAME?</v>
      </c>
      <c r="BU216" s="22" t="e">
        <f t="shared" ca="1" si="1868"/>
        <v>#NAME?</v>
      </c>
      <c r="BV216" s="22" t="e">
        <f t="shared" ca="1" si="1868"/>
        <v>#NAME?</v>
      </c>
      <c r="BW216" s="22" t="e">
        <f t="shared" ca="1" si="1868"/>
        <v>#NAME?</v>
      </c>
      <c r="BX216" s="22" t="e">
        <f t="shared" ca="1" si="1868"/>
        <v>#NAME?</v>
      </c>
      <c r="BY216" s="22" t="e">
        <f t="shared" ca="1" si="1868"/>
        <v>#NAME?</v>
      </c>
      <c r="BZ216" s="22" t="e">
        <f t="shared" ca="1" si="1868"/>
        <v>#NAME?</v>
      </c>
      <c r="CA216" s="22" t="e">
        <f t="shared" ca="1" si="1868"/>
        <v>#NAME?</v>
      </c>
      <c r="CB216" s="22" t="e">
        <f t="shared" ca="1" si="1868"/>
        <v>#NAME?</v>
      </c>
      <c r="CC216" s="22" t="e">
        <f t="shared" ca="1" si="1868"/>
        <v>#NAME?</v>
      </c>
      <c r="CD216" s="22" t="e">
        <f t="shared" ca="1" si="1868"/>
        <v>#NAME?</v>
      </c>
      <c r="CE216" s="22" t="e">
        <f t="shared" ref="CE216:CF216" ca="1" si="1869">CE217+CE218</f>
        <v>#NAME?</v>
      </c>
      <c r="CF216" s="22" t="e">
        <f t="shared" ca="1" si="1869"/>
        <v>#NAME?</v>
      </c>
      <c r="CG216" s="22" t="e">
        <f t="shared" ref="CG216:CH216" ca="1" si="1870">CG217+CG218</f>
        <v>#NAME?</v>
      </c>
      <c r="CH216" s="22" t="e">
        <f t="shared" ca="1" si="1870"/>
        <v>#NAME?</v>
      </c>
      <c r="CI216" s="22" t="e">
        <f t="shared" ref="CI216:CJ216" ca="1" si="1871">CI217+CI218</f>
        <v>#NAME?</v>
      </c>
      <c r="CJ216" s="22" t="e">
        <f t="shared" ca="1" si="1871"/>
        <v>#NAME?</v>
      </c>
      <c r="CK216" s="22" t="e">
        <f t="shared" ref="CK216:DB216" ca="1" si="1872">CK217+CK218</f>
        <v>#NAME?</v>
      </c>
      <c r="CL216" s="22" t="e">
        <f t="shared" ca="1" si="1872"/>
        <v>#NAME?</v>
      </c>
      <c r="CM216" s="21" t="e">
        <f t="shared" ca="1" si="1872"/>
        <v>#NAME?</v>
      </c>
      <c r="CN216" s="21" t="e">
        <f t="shared" ca="1" si="1872"/>
        <v>#NAME?</v>
      </c>
      <c r="CO216" s="21" t="e">
        <f t="shared" ca="1" si="1872"/>
        <v>#NAME?</v>
      </c>
      <c r="CP216" s="21" t="e">
        <f t="shared" ca="1" si="1872"/>
        <v>#NAME?</v>
      </c>
      <c r="CQ216" s="21" t="e">
        <f t="shared" ca="1" si="1872"/>
        <v>#NAME?</v>
      </c>
      <c r="CR216" s="21" t="e">
        <f t="shared" ca="1" si="1872"/>
        <v>#NAME?</v>
      </c>
      <c r="CS216" s="21" t="e">
        <f t="shared" ca="1" si="1872"/>
        <v>#NAME?</v>
      </c>
      <c r="CT216" s="21" t="e">
        <f t="shared" ca="1" si="1872"/>
        <v>#NAME?</v>
      </c>
      <c r="CU216" s="21" t="e">
        <f t="shared" ca="1" si="1872"/>
        <v>#NAME?</v>
      </c>
      <c r="CV216" s="21" t="e">
        <f t="shared" ca="1" si="1872"/>
        <v>#NAME?</v>
      </c>
      <c r="CW216" s="21" t="e">
        <f t="shared" ca="1" si="1872"/>
        <v>#NAME?</v>
      </c>
      <c r="CX216" s="21" t="e">
        <f t="shared" ca="1" si="1872"/>
        <v>#NAME?</v>
      </c>
      <c r="CY216" s="21" t="e">
        <f t="shared" ca="1" si="1872"/>
        <v>#NAME?</v>
      </c>
      <c r="CZ216" s="21" t="e">
        <f t="shared" ca="1" si="1872"/>
        <v>#NAME?</v>
      </c>
      <c r="DA216" s="21" t="e">
        <f t="shared" ca="1" si="1872"/>
        <v>#NAME?</v>
      </c>
      <c r="DB216" s="21" t="e">
        <f t="shared" ca="1" si="1872"/>
        <v>#NAME?</v>
      </c>
      <c r="DE216" s="126"/>
      <c r="DF216" s="22">
        <v>154.52669999999995</v>
      </c>
    </row>
    <row r="217" spans="1:110" s="23" customFormat="1" x14ac:dyDescent="0.2">
      <c r="A217" s="23" t="s">
        <v>49</v>
      </c>
      <c r="C217" s="23" t="e">
        <f t="shared" ref="C217:AA217" ca="1" si="1873">C139-B139</f>
        <v>#NAME?</v>
      </c>
      <c r="D217" s="23" t="e">
        <f t="shared" ca="1" si="1873"/>
        <v>#NAME?</v>
      </c>
      <c r="E217" s="23" t="e">
        <f ca="1">E139-D139</f>
        <v>#NAME?</v>
      </c>
      <c r="F217" s="23" t="e">
        <f t="shared" ca="1" si="1873"/>
        <v>#NAME?</v>
      </c>
      <c r="G217" s="23" t="e">
        <f t="shared" ca="1" si="1873"/>
        <v>#NAME?</v>
      </c>
      <c r="H217" s="23" t="e">
        <f t="shared" ca="1" si="1873"/>
        <v>#NAME?</v>
      </c>
      <c r="I217" s="23" t="e">
        <f t="shared" ca="1" si="1873"/>
        <v>#NAME?</v>
      </c>
      <c r="J217" s="23" t="e">
        <f ca="1">J139-I139</f>
        <v>#NAME?</v>
      </c>
      <c r="K217" s="23" t="e">
        <f ca="1">K139-J139</f>
        <v>#NAME?</v>
      </c>
      <c r="L217" s="23" t="e">
        <f t="shared" ca="1" si="1873"/>
        <v>#NAME?</v>
      </c>
      <c r="M217" s="23" t="e">
        <f t="shared" ca="1" si="1873"/>
        <v>#NAME?</v>
      </c>
      <c r="N217" s="23" t="e">
        <f t="shared" ca="1" si="1873"/>
        <v>#NAME?</v>
      </c>
      <c r="O217" s="23" t="e">
        <f t="shared" ca="1" si="1873"/>
        <v>#NAME?</v>
      </c>
      <c r="P217" s="23" t="e">
        <f t="shared" ca="1" si="1873"/>
        <v>#NAME?</v>
      </c>
      <c r="Q217" s="23" t="e">
        <f t="shared" ca="1" si="1873"/>
        <v>#NAME?</v>
      </c>
      <c r="R217" s="23" t="e">
        <f t="shared" ca="1" si="1873"/>
        <v>#NAME?</v>
      </c>
      <c r="S217" s="23" t="e">
        <f t="shared" ca="1" si="1873"/>
        <v>#NAME?</v>
      </c>
      <c r="T217" s="23" t="e">
        <f t="shared" ca="1" si="1873"/>
        <v>#NAME?</v>
      </c>
      <c r="U217" s="23" t="e">
        <f t="shared" ca="1" si="1873"/>
        <v>#NAME?</v>
      </c>
      <c r="V217" s="23" t="e">
        <f t="shared" ca="1" si="1873"/>
        <v>#NAME?</v>
      </c>
      <c r="W217" s="23" t="e">
        <f t="shared" ca="1" si="1873"/>
        <v>#NAME?</v>
      </c>
      <c r="X217" s="23" t="e">
        <f t="shared" ca="1" si="1873"/>
        <v>#NAME?</v>
      </c>
      <c r="Y217" s="23" t="e">
        <f t="shared" ca="1" si="1873"/>
        <v>#NAME?</v>
      </c>
      <c r="Z217" s="23" t="e">
        <f t="shared" ca="1" si="1873"/>
        <v>#NAME?</v>
      </c>
      <c r="AA217" s="23" t="e">
        <f t="shared" ca="1" si="1873"/>
        <v>#NAME?</v>
      </c>
      <c r="AB217" s="24" t="e">
        <f t="shared" ref="AB217" ca="1" si="1874">AB139-AA139</f>
        <v>#NAME?</v>
      </c>
      <c r="AC217" s="24" t="e">
        <f t="shared" ref="AC217" ca="1" si="1875">AC139-AB139</f>
        <v>#NAME?</v>
      </c>
      <c r="AD217" s="24" t="e">
        <f t="shared" ref="AD217" ca="1" si="1876">AD139-AC139</f>
        <v>#NAME?</v>
      </c>
      <c r="AE217" s="24" t="e">
        <f t="shared" ref="AE217" ca="1" si="1877">AE139-AD139</f>
        <v>#NAME?</v>
      </c>
      <c r="AI217" s="23">
        <f t="shared" ref="AI217" si="1878">AI139-AH139</f>
        <v>0</v>
      </c>
      <c r="AJ217" s="23" t="e">
        <f t="shared" ref="AJ217" ca="1" si="1879">AJ139-AI139</f>
        <v>#NAME?</v>
      </c>
      <c r="AK217" s="23" t="e">
        <f t="shared" ref="AK217" ca="1" si="1880">AK139-AJ139</f>
        <v>#NAME?</v>
      </c>
      <c r="AL217" s="23" t="e">
        <f t="shared" ref="AL217" ca="1" si="1881">AL139-AK139</f>
        <v>#NAME?</v>
      </c>
      <c r="AM217" s="23" t="e">
        <f t="shared" ref="AM217" ca="1" si="1882">AM139-AL139</f>
        <v>#NAME?</v>
      </c>
      <c r="AN217" s="23" t="e">
        <f t="shared" ref="AN217" ca="1" si="1883">AN139-AM139</f>
        <v>#NAME?</v>
      </c>
      <c r="AO217" s="23" t="e">
        <f t="shared" ref="AO217" ca="1" si="1884">AO139-AN139</f>
        <v>#NAME?</v>
      </c>
      <c r="AP217" s="23" t="e">
        <f t="shared" ref="AP217" ca="1" si="1885">AP139-AO139</f>
        <v>#NAME?</v>
      </c>
      <c r="AQ217" s="23" t="e">
        <f t="shared" ref="AQ217" ca="1" si="1886">AQ139-AP139</f>
        <v>#NAME?</v>
      </c>
      <c r="AR217" s="23" t="e">
        <f t="shared" ref="AR217" ca="1" si="1887">AR139-AQ139</f>
        <v>#NAME?</v>
      </c>
      <c r="AS217" s="23" t="e">
        <f t="shared" ref="AS217" ca="1" si="1888">AS139-AR139</f>
        <v>#NAME?</v>
      </c>
      <c r="AT217" s="23" t="e">
        <f t="shared" ref="AT217" ca="1" si="1889">AT139-AS139</f>
        <v>#NAME?</v>
      </c>
      <c r="AU217" s="23" t="e">
        <f t="shared" ref="AU217" ca="1" si="1890">AU139-AT139</f>
        <v>#NAME?</v>
      </c>
      <c r="AV217" s="23" t="e">
        <f t="shared" ref="AV217" ca="1" si="1891">AV139-AU139</f>
        <v>#NAME?</v>
      </c>
      <c r="AW217" s="23" t="e">
        <f t="shared" ref="AW217" ca="1" si="1892">AW139-AV139</f>
        <v>#NAME?</v>
      </c>
      <c r="AX217" s="23" t="e">
        <f t="shared" ref="AX217" ca="1" si="1893">AX139-AW139</f>
        <v>#NAME?</v>
      </c>
      <c r="AY217" s="23" t="e">
        <f t="shared" ref="AY217" ca="1" si="1894">AY139-AX139</f>
        <v>#NAME?</v>
      </c>
      <c r="AZ217" s="23" t="e">
        <f t="shared" ref="AZ217" ca="1" si="1895">AZ139-AY139</f>
        <v>#NAME?</v>
      </c>
      <c r="BA217" s="23" t="e">
        <f t="shared" ref="BA217" ca="1" si="1896">BA139-AZ139</f>
        <v>#NAME?</v>
      </c>
      <c r="BB217" s="23" t="e">
        <f t="shared" ref="BB217" ca="1" si="1897">BB139-BA139</f>
        <v>#NAME?</v>
      </c>
      <c r="BC217" s="23" t="e">
        <f t="shared" ref="BC217" ca="1" si="1898">BC139-BB139</f>
        <v>#NAME?</v>
      </c>
      <c r="BD217" s="23" t="e">
        <f t="shared" ref="BD217" ca="1" si="1899">BD139-BC139</f>
        <v>#NAME?</v>
      </c>
      <c r="BE217" s="23" t="e">
        <f t="shared" ref="BE217" ca="1" si="1900">BE139-BD139</f>
        <v>#NAME?</v>
      </c>
      <c r="BF217" s="23" t="e">
        <f t="shared" ref="BF217" ca="1" si="1901">BF139-BE139</f>
        <v>#NAME?</v>
      </c>
      <c r="BG217" s="23" t="e">
        <f t="shared" ref="BG217" ca="1" si="1902">BG139-BF139</f>
        <v>#NAME?</v>
      </c>
      <c r="BH217" s="23" t="e">
        <f t="shared" ref="BH217" ca="1" si="1903">BH139-BG139</f>
        <v>#NAME?</v>
      </c>
      <c r="BI217" s="23" t="e">
        <f t="shared" ref="BI217" ca="1" si="1904">BI139-BH139</f>
        <v>#NAME?</v>
      </c>
      <c r="BJ217" s="23" t="e">
        <f t="shared" ref="BJ217" ca="1" si="1905">BJ139-BI139</f>
        <v>#NAME?</v>
      </c>
      <c r="BK217" s="23" t="e">
        <f t="shared" ref="BK217" ca="1" si="1906">BK139-BJ139</f>
        <v>#NAME?</v>
      </c>
      <c r="BL217" s="23" t="e">
        <f t="shared" ref="BL217" ca="1" si="1907">BL139-BK139</f>
        <v>#NAME?</v>
      </c>
      <c r="BM217" s="23" t="e">
        <f t="shared" ref="BM217" ca="1" si="1908">BM139-BL139</f>
        <v>#NAME?</v>
      </c>
      <c r="BN217" s="23" t="e">
        <f t="shared" ref="BN217" ca="1" si="1909">BN139-BM139</f>
        <v>#NAME?</v>
      </c>
      <c r="BO217" s="23" t="e">
        <f t="shared" ref="BO217" ca="1" si="1910">BO139-BN139</f>
        <v>#NAME?</v>
      </c>
      <c r="BP217" s="23" t="e">
        <f t="shared" ref="BP217" ca="1" si="1911">BP139-BO139</f>
        <v>#NAME?</v>
      </c>
      <c r="BQ217" s="23" t="e">
        <f t="shared" ref="BQ217" ca="1" si="1912">BQ139-BP139</f>
        <v>#NAME?</v>
      </c>
      <c r="BR217" s="23" t="e">
        <f t="shared" ref="BR217" ca="1" si="1913">BR139-BQ139</f>
        <v>#NAME?</v>
      </c>
      <c r="BS217" s="23" t="e">
        <f t="shared" ref="BS217" ca="1" si="1914">BS139-BR139</f>
        <v>#NAME?</v>
      </c>
      <c r="BT217" s="23" t="e">
        <f t="shared" ref="BT217" ca="1" si="1915">BT139-BS139</f>
        <v>#NAME?</v>
      </c>
      <c r="BU217" s="23" t="e">
        <f t="shared" ref="BU217" ca="1" si="1916">BU139-BT139</f>
        <v>#NAME?</v>
      </c>
      <c r="BV217" s="23" t="e">
        <f t="shared" ref="BV217" ca="1" si="1917">BV139-BU139</f>
        <v>#NAME?</v>
      </c>
      <c r="BW217" s="23" t="e">
        <f t="shared" ref="BW217" ca="1" si="1918">BW139-BV139</f>
        <v>#NAME?</v>
      </c>
      <c r="BX217" s="23" t="e">
        <f t="shared" ref="BX217" ca="1" si="1919">BX139-BW139</f>
        <v>#NAME?</v>
      </c>
      <c r="BY217" s="23" t="e">
        <f t="shared" ref="BY217" ca="1" si="1920">BY139-BX139</f>
        <v>#NAME?</v>
      </c>
      <c r="BZ217" s="23" t="e">
        <f t="shared" ref="BZ217" ca="1" si="1921">BZ139-BY139</f>
        <v>#NAME?</v>
      </c>
      <c r="CA217" s="23" t="e">
        <f t="shared" ref="CA217" ca="1" si="1922">CA139-BZ139</f>
        <v>#NAME?</v>
      </c>
      <c r="CB217" s="23" t="e">
        <f t="shared" ref="CB217" ca="1" si="1923">CB139-CA139</f>
        <v>#NAME?</v>
      </c>
      <c r="CC217" s="23" t="e">
        <f t="shared" ref="CC217" ca="1" si="1924">CC139-CB139</f>
        <v>#NAME?</v>
      </c>
      <c r="CD217" s="23" t="e">
        <f t="shared" ref="CD217" ca="1" si="1925">CD139-CC139</f>
        <v>#NAME?</v>
      </c>
      <c r="CE217" s="23" t="e">
        <f t="shared" ref="CE217" ca="1" si="1926">CE139-CD139</f>
        <v>#NAME?</v>
      </c>
      <c r="CF217" s="23" t="e">
        <f t="shared" ref="CF217" ca="1" si="1927">CF139-CE139</f>
        <v>#NAME?</v>
      </c>
      <c r="CG217" s="23" t="e">
        <f t="shared" ref="CG217" ca="1" si="1928">CG139-CF139</f>
        <v>#NAME?</v>
      </c>
      <c r="CH217" s="23" t="e">
        <f t="shared" ref="CH217:CJ217" ca="1" si="1929">CH139-CG139</f>
        <v>#NAME?</v>
      </c>
      <c r="CI217" s="23" t="e">
        <f t="shared" ca="1" si="1929"/>
        <v>#NAME?</v>
      </c>
      <c r="CJ217" s="23" t="e">
        <f t="shared" ca="1" si="1929"/>
        <v>#NAME?</v>
      </c>
      <c r="CK217" s="23" t="e">
        <f t="shared" ref="CK217" ca="1" si="1930">CK139-CJ139</f>
        <v>#NAME?</v>
      </c>
      <c r="CL217" s="23" t="e">
        <f t="shared" ref="CL217" ca="1" si="1931">CL139-CK139</f>
        <v>#NAME?</v>
      </c>
      <c r="CM217" s="24" t="e">
        <f t="shared" ref="CM217" ca="1" si="1932">CM139-CL139</f>
        <v>#NAME?</v>
      </c>
      <c r="CN217" s="24" t="e">
        <f t="shared" ref="CN217" ca="1" si="1933">CN139-CM139</f>
        <v>#NAME?</v>
      </c>
      <c r="CO217" s="24" t="e">
        <f t="shared" ref="CO217" ca="1" si="1934">CO139-CN139</f>
        <v>#NAME?</v>
      </c>
      <c r="CP217" s="24" t="e">
        <f t="shared" ref="CP217" ca="1" si="1935">CP139-CO139</f>
        <v>#NAME?</v>
      </c>
      <c r="CQ217" s="24" t="e">
        <f t="shared" ref="CQ217" ca="1" si="1936">CQ139-CP139</f>
        <v>#NAME?</v>
      </c>
      <c r="CR217" s="24" t="e">
        <f t="shared" ref="CR217" ca="1" si="1937">CR139-CQ139</f>
        <v>#NAME?</v>
      </c>
      <c r="CS217" s="24" t="e">
        <f t="shared" ref="CS217" ca="1" si="1938">CS139-CR139</f>
        <v>#NAME?</v>
      </c>
      <c r="CT217" s="24" t="e">
        <f t="shared" ref="CT217" ca="1" si="1939">CT139-CS139</f>
        <v>#NAME?</v>
      </c>
      <c r="CU217" s="24" t="e">
        <f t="shared" ref="CU217" ca="1" si="1940">CU139-CT139</f>
        <v>#NAME?</v>
      </c>
      <c r="CV217" s="24" t="e">
        <f t="shared" ref="CV217" ca="1" si="1941">CV139-CU139</f>
        <v>#NAME?</v>
      </c>
      <c r="CW217" s="24" t="e">
        <f t="shared" ref="CW217" ca="1" si="1942">CW139-CV139</f>
        <v>#NAME?</v>
      </c>
      <c r="CX217" s="24" t="e">
        <f t="shared" ref="CX217" ca="1" si="1943">CX139-CW139</f>
        <v>#NAME?</v>
      </c>
      <c r="CY217" s="24" t="e">
        <f t="shared" ref="CY217" ca="1" si="1944">CY139-CX139</f>
        <v>#NAME?</v>
      </c>
      <c r="CZ217" s="24" t="e">
        <f t="shared" ref="CZ217" ca="1" si="1945">CZ139-CY139</f>
        <v>#NAME?</v>
      </c>
      <c r="DA217" s="24" t="e">
        <f t="shared" ref="DA217" ca="1" si="1946">DA139-CZ139</f>
        <v>#NAME?</v>
      </c>
      <c r="DB217" s="24" t="e">
        <f t="shared" ref="DB217" ca="1" si="1947">DB139-DA139</f>
        <v>#NAME?</v>
      </c>
      <c r="DE217" s="123"/>
      <c r="DF217" s="23">
        <v>55.253399999999999</v>
      </c>
    </row>
    <row r="218" spans="1:110" s="23" customFormat="1" x14ac:dyDescent="0.2">
      <c r="A218" s="23" t="s">
        <v>27</v>
      </c>
      <c r="C218" s="23" t="e">
        <f t="shared" ref="C218:AE218" ca="1" si="1948">C131-C59-B131+C133-B133</f>
        <v>#NAME?</v>
      </c>
      <c r="D218" s="23" t="e">
        <f t="shared" ca="1" si="1948"/>
        <v>#NAME?</v>
      </c>
      <c r="E218" s="23" t="e">
        <f t="shared" ca="1" si="1948"/>
        <v>#NAME?</v>
      </c>
      <c r="F218" s="23" t="e">
        <f t="shared" ca="1" si="1948"/>
        <v>#NAME?</v>
      </c>
      <c r="G218" s="23" t="e">
        <f t="shared" ca="1" si="1948"/>
        <v>#NAME?</v>
      </c>
      <c r="H218" s="23" t="e">
        <f t="shared" ca="1" si="1948"/>
        <v>#NAME?</v>
      </c>
      <c r="I218" s="23" t="e">
        <f t="shared" ca="1" si="1948"/>
        <v>#NAME?</v>
      </c>
      <c r="J218" s="23" t="e">
        <f t="shared" ca="1" si="1948"/>
        <v>#NAME?</v>
      </c>
      <c r="K218" s="23" t="e">
        <f t="shared" ca="1" si="1948"/>
        <v>#NAME?</v>
      </c>
      <c r="L218" s="23" t="e">
        <f t="shared" ca="1" si="1948"/>
        <v>#NAME?</v>
      </c>
      <c r="M218" s="23" t="e">
        <f t="shared" ca="1" si="1948"/>
        <v>#NAME?</v>
      </c>
      <c r="N218" s="23" t="e">
        <f t="shared" ca="1" si="1948"/>
        <v>#NAME?</v>
      </c>
      <c r="O218" s="23" t="e">
        <f t="shared" ca="1" si="1948"/>
        <v>#NAME?</v>
      </c>
      <c r="P218" s="23" t="e">
        <f t="shared" ca="1" si="1948"/>
        <v>#NAME?</v>
      </c>
      <c r="Q218" s="23" t="e">
        <f t="shared" ca="1" si="1948"/>
        <v>#NAME?</v>
      </c>
      <c r="R218" s="23" t="e">
        <f t="shared" ca="1" si="1948"/>
        <v>#NAME?</v>
      </c>
      <c r="S218" s="23" t="e">
        <f t="shared" ca="1" si="1948"/>
        <v>#NAME?</v>
      </c>
      <c r="T218" s="23" t="e">
        <f t="shared" ca="1" si="1948"/>
        <v>#NAME?</v>
      </c>
      <c r="U218" s="23" t="e">
        <f t="shared" ca="1" si="1948"/>
        <v>#NAME?</v>
      </c>
      <c r="V218" s="23" t="e">
        <f t="shared" ca="1" si="1948"/>
        <v>#NAME?</v>
      </c>
      <c r="W218" s="23" t="e">
        <f t="shared" ca="1" si="1948"/>
        <v>#NAME?</v>
      </c>
      <c r="X218" s="23" t="e">
        <f t="shared" ca="1" si="1948"/>
        <v>#NAME?</v>
      </c>
      <c r="Y218" s="23" t="e">
        <f t="shared" ca="1" si="1948"/>
        <v>#NAME?</v>
      </c>
      <c r="Z218" s="23" t="e">
        <f t="shared" ca="1" si="1948"/>
        <v>#NAME?</v>
      </c>
      <c r="AA218" s="23" t="e">
        <f t="shared" ca="1" si="1948"/>
        <v>#NAME?</v>
      </c>
      <c r="AB218" s="24" t="e">
        <f t="shared" ca="1" si="1948"/>
        <v>#NAME?</v>
      </c>
      <c r="AC218" s="24" t="e">
        <f t="shared" ca="1" si="1948"/>
        <v>#NAME?</v>
      </c>
      <c r="AD218" s="24" t="e">
        <f t="shared" ca="1" si="1948"/>
        <v>#NAME?</v>
      </c>
      <c r="AE218" s="24" t="e">
        <f t="shared" ca="1" si="1948"/>
        <v>#NAME?</v>
      </c>
      <c r="AI218" s="23" t="e">
        <f t="shared" ref="AI218:BN218" ca="1" si="1949">AI131-AI59-AH131+AI133-AH133</f>
        <v>#NAME?</v>
      </c>
      <c r="AJ218" s="23" t="e">
        <f t="shared" ca="1" si="1949"/>
        <v>#NAME?</v>
      </c>
      <c r="AK218" s="23" t="e">
        <f t="shared" ca="1" si="1949"/>
        <v>#NAME?</v>
      </c>
      <c r="AL218" s="23" t="e">
        <f t="shared" ca="1" si="1949"/>
        <v>#NAME?</v>
      </c>
      <c r="AM218" s="23" t="e">
        <f t="shared" ca="1" si="1949"/>
        <v>#NAME?</v>
      </c>
      <c r="AN218" s="23" t="e">
        <f t="shared" ca="1" si="1949"/>
        <v>#NAME?</v>
      </c>
      <c r="AO218" s="23" t="e">
        <f t="shared" ca="1" si="1949"/>
        <v>#NAME?</v>
      </c>
      <c r="AP218" s="23" t="e">
        <f t="shared" ca="1" si="1949"/>
        <v>#NAME?</v>
      </c>
      <c r="AQ218" s="23" t="e">
        <f t="shared" ca="1" si="1949"/>
        <v>#NAME?</v>
      </c>
      <c r="AR218" s="23" t="e">
        <f t="shared" ca="1" si="1949"/>
        <v>#NAME?</v>
      </c>
      <c r="AS218" s="23" t="e">
        <f t="shared" ca="1" si="1949"/>
        <v>#NAME?</v>
      </c>
      <c r="AT218" s="23" t="e">
        <f t="shared" ca="1" si="1949"/>
        <v>#NAME?</v>
      </c>
      <c r="AU218" s="23" t="e">
        <f t="shared" ca="1" si="1949"/>
        <v>#NAME?</v>
      </c>
      <c r="AV218" s="23" t="e">
        <f t="shared" ca="1" si="1949"/>
        <v>#NAME?</v>
      </c>
      <c r="AW218" s="23" t="e">
        <f t="shared" ca="1" si="1949"/>
        <v>#NAME?</v>
      </c>
      <c r="AX218" s="23" t="e">
        <f t="shared" ca="1" si="1949"/>
        <v>#NAME?</v>
      </c>
      <c r="AY218" s="23" t="e">
        <f t="shared" ca="1" si="1949"/>
        <v>#NAME?</v>
      </c>
      <c r="AZ218" s="23" t="e">
        <f t="shared" ca="1" si="1949"/>
        <v>#NAME?</v>
      </c>
      <c r="BA218" s="23" t="e">
        <f t="shared" ca="1" si="1949"/>
        <v>#NAME?</v>
      </c>
      <c r="BB218" s="23" t="e">
        <f t="shared" ca="1" si="1949"/>
        <v>#NAME?</v>
      </c>
      <c r="BC218" s="23" t="e">
        <f t="shared" ca="1" si="1949"/>
        <v>#NAME?</v>
      </c>
      <c r="BD218" s="23" t="e">
        <f t="shared" ca="1" si="1949"/>
        <v>#NAME?</v>
      </c>
      <c r="BE218" s="23" t="e">
        <f t="shared" ca="1" si="1949"/>
        <v>#NAME?</v>
      </c>
      <c r="BF218" s="23" t="e">
        <f t="shared" ca="1" si="1949"/>
        <v>#NAME?</v>
      </c>
      <c r="BG218" s="23" t="e">
        <f t="shared" ca="1" si="1949"/>
        <v>#NAME?</v>
      </c>
      <c r="BH218" s="23" t="e">
        <f t="shared" ca="1" si="1949"/>
        <v>#NAME?</v>
      </c>
      <c r="BI218" s="23" t="e">
        <f t="shared" ca="1" si="1949"/>
        <v>#NAME?</v>
      </c>
      <c r="BJ218" s="23" t="e">
        <f t="shared" ca="1" si="1949"/>
        <v>#NAME?</v>
      </c>
      <c r="BK218" s="23" t="e">
        <f t="shared" ca="1" si="1949"/>
        <v>#NAME?</v>
      </c>
      <c r="BL218" s="23" t="e">
        <f t="shared" ca="1" si="1949"/>
        <v>#NAME?</v>
      </c>
      <c r="BM218" s="23" t="e">
        <f t="shared" ca="1" si="1949"/>
        <v>#NAME?</v>
      </c>
      <c r="BN218" s="23" t="e">
        <f t="shared" ca="1" si="1949"/>
        <v>#NAME?</v>
      </c>
      <c r="BO218" s="23" t="e">
        <f t="shared" ref="BO218:CT218" ca="1" si="1950">BO131-BO59-BN131+BO133-BN133</f>
        <v>#NAME?</v>
      </c>
      <c r="BP218" s="23" t="e">
        <f t="shared" ca="1" si="1950"/>
        <v>#NAME?</v>
      </c>
      <c r="BQ218" s="23" t="e">
        <f t="shared" ca="1" si="1950"/>
        <v>#NAME?</v>
      </c>
      <c r="BR218" s="23" t="e">
        <f t="shared" ca="1" si="1950"/>
        <v>#NAME?</v>
      </c>
      <c r="BS218" s="23" t="e">
        <f t="shared" ca="1" si="1950"/>
        <v>#NAME?</v>
      </c>
      <c r="BT218" s="23" t="e">
        <f t="shared" ca="1" si="1950"/>
        <v>#NAME?</v>
      </c>
      <c r="BU218" s="23" t="e">
        <f t="shared" ca="1" si="1950"/>
        <v>#NAME?</v>
      </c>
      <c r="BV218" s="23" t="e">
        <f t="shared" ca="1" si="1950"/>
        <v>#NAME?</v>
      </c>
      <c r="BW218" s="23" t="e">
        <f t="shared" ca="1" si="1950"/>
        <v>#NAME?</v>
      </c>
      <c r="BX218" s="23" t="e">
        <f t="shared" ca="1" si="1950"/>
        <v>#NAME?</v>
      </c>
      <c r="BY218" s="23" t="e">
        <f t="shared" ca="1" si="1950"/>
        <v>#NAME?</v>
      </c>
      <c r="BZ218" s="23" t="e">
        <f t="shared" ca="1" si="1950"/>
        <v>#NAME?</v>
      </c>
      <c r="CA218" s="23" t="e">
        <f t="shared" ca="1" si="1950"/>
        <v>#NAME?</v>
      </c>
      <c r="CB218" s="23" t="e">
        <f t="shared" ca="1" si="1950"/>
        <v>#NAME?</v>
      </c>
      <c r="CC218" s="23" t="e">
        <f t="shared" ca="1" si="1950"/>
        <v>#NAME?</v>
      </c>
      <c r="CD218" s="23" t="e">
        <f t="shared" ca="1" si="1950"/>
        <v>#NAME?</v>
      </c>
      <c r="CE218" s="23" t="e">
        <f t="shared" ca="1" si="1950"/>
        <v>#NAME?</v>
      </c>
      <c r="CF218" s="23" t="e">
        <f t="shared" ca="1" si="1950"/>
        <v>#NAME?</v>
      </c>
      <c r="CG218" s="23" t="e">
        <f t="shared" ca="1" si="1950"/>
        <v>#NAME?</v>
      </c>
      <c r="CH218" s="23" t="e">
        <f t="shared" ca="1" si="1950"/>
        <v>#NAME?</v>
      </c>
      <c r="CI218" s="23" t="e">
        <f t="shared" ca="1" si="1950"/>
        <v>#NAME?</v>
      </c>
      <c r="CJ218" s="23" t="e">
        <f t="shared" ca="1" si="1950"/>
        <v>#NAME?</v>
      </c>
      <c r="CK218" s="23" t="e">
        <f t="shared" ca="1" si="1950"/>
        <v>#NAME?</v>
      </c>
      <c r="CL218" s="23" t="e">
        <f t="shared" ca="1" si="1950"/>
        <v>#NAME?</v>
      </c>
      <c r="CM218" s="24" t="e">
        <f t="shared" ca="1" si="1950"/>
        <v>#NAME?</v>
      </c>
      <c r="CN218" s="24" t="e">
        <f t="shared" ca="1" si="1950"/>
        <v>#NAME?</v>
      </c>
      <c r="CO218" s="24" t="e">
        <f t="shared" ca="1" si="1950"/>
        <v>#NAME?</v>
      </c>
      <c r="CP218" s="24" t="e">
        <f t="shared" ca="1" si="1950"/>
        <v>#NAME?</v>
      </c>
      <c r="CQ218" s="24" t="e">
        <f t="shared" ca="1" si="1950"/>
        <v>#NAME?</v>
      </c>
      <c r="CR218" s="24" t="e">
        <f t="shared" ca="1" si="1950"/>
        <v>#NAME?</v>
      </c>
      <c r="CS218" s="24" t="e">
        <f t="shared" ca="1" si="1950"/>
        <v>#NAME?</v>
      </c>
      <c r="CT218" s="24" t="e">
        <f t="shared" ca="1" si="1950"/>
        <v>#NAME?</v>
      </c>
      <c r="CU218" s="24" t="e">
        <f t="shared" ref="CU218:DB218" ca="1" si="1951">CU131-CU59-CT131+CU133-CT133</f>
        <v>#NAME?</v>
      </c>
      <c r="CV218" s="24" t="e">
        <f t="shared" ca="1" si="1951"/>
        <v>#NAME?</v>
      </c>
      <c r="CW218" s="24" t="e">
        <f t="shared" ca="1" si="1951"/>
        <v>#NAME?</v>
      </c>
      <c r="CX218" s="24" t="e">
        <f t="shared" ca="1" si="1951"/>
        <v>#NAME?</v>
      </c>
      <c r="CY218" s="24" t="e">
        <f t="shared" ca="1" si="1951"/>
        <v>#NAME?</v>
      </c>
      <c r="CZ218" s="24" t="e">
        <f t="shared" ca="1" si="1951"/>
        <v>#NAME?</v>
      </c>
      <c r="DA218" s="24" t="e">
        <f t="shared" ca="1" si="1951"/>
        <v>#NAME?</v>
      </c>
      <c r="DB218" s="24" t="e">
        <f t="shared" ca="1" si="1951"/>
        <v>#NAME?</v>
      </c>
      <c r="DE218" s="123"/>
      <c r="DF218" s="23">
        <v>99.273299999999949</v>
      </c>
    </row>
    <row r="219" spans="1:110" s="23" customFormat="1" x14ac:dyDescent="0.2">
      <c r="AB219" s="24"/>
      <c r="AC219" s="24"/>
      <c r="AD219" s="24"/>
      <c r="AE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3" customFormat="1" x14ac:dyDescent="0.2">
      <c r="A220" s="23" t="s">
        <v>442</v>
      </c>
      <c r="C220" s="23" t="e">
        <f t="shared" ref="C220" ca="1" si="1952">B172</f>
        <v>#NAME?</v>
      </c>
      <c r="D220" s="23" t="e">
        <f t="shared" ref="D220" ca="1" si="1953">C172</f>
        <v>#NAME?</v>
      </c>
      <c r="E220" s="23" t="e">
        <f ca="1">D172</f>
        <v>#NAME?</v>
      </c>
      <c r="F220" s="23" t="e">
        <f t="shared" ref="F220" ca="1" si="1954">E172</f>
        <v>#NAME?</v>
      </c>
      <c r="G220" s="23" t="e">
        <f t="shared" ref="G220" ca="1" si="1955">F172</f>
        <v>#NAME?</v>
      </c>
      <c r="H220" s="23" t="e">
        <f t="shared" ref="H220" ca="1" si="1956">G172</f>
        <v>#NAME?</v>
      </c>
      <c r="I220" s="23" t="e">
        <f t="shared" ref="I220" ca="1" si="1957">H172</f>
        <v>#NAME?</v>
      </c>
      <c r="J220" s="23" t="e">
        <f ca="1">I172</f>
        <v>#NAME?</v>
      </c>
      <c r="K220" s="23" t="e">
        <f ca="1">J172</f>
        <v>#NAME?</v>
      </c>
      <c r="L220" s="23" t="e">
        <f t="shared" ref="L220" ca="1" si="1958">K172</f>
        <v>#NAME?</v>
      </c>
      <c r="M220" s="23" t="e">
        <f t="shared" ref="M220" ca="1" si="1959">L172</f>
        <v>#NAME?</v>
      </c>
      <c r="N220" s="23" t="e">
        <f t="shared" ref="N220" ca="1" si="1960">M172</f>
        <v>#NAME?</v>
      </c>
      <c r="O220" s="23" t="e">
        <f t="shared" ref="O220" ca="1" si="1961">N172</f>
        <v>#NAME?</v>
      </c>
      <c r="P220" s="23" t="e">
        <f t="shared" ref="P220" ca="1" si="1962">O172</f>
        <v>#NAME?</v>
      </c>
      <c r="Q220" s="23" t="e">
        <f t="shared" ref="Q220" ca="1" si="1963">P172</f>
        <v>#NAME?</v>
      </c>
      <c r="R220" s="23" t="e">
        <f t="shared" ref="R220" ca="1" si="1964">Q172</f>
        <v>#NAME?</v>
      </c>
      <c r="S220" s="23" t="e">
        <f t="shared" ref="S220" ca="1" si="1965">R172</f>
        <v>#NAME?</v>
      </c>
      <c r="T220" s="23" t="e">
        <f t="shared" ref="T220" ca="1" si="1966">S172</f>
        <v>#NAME?</v>
      </c>
      <c r="U220" s="23" t="e">
        <f t="shared" ref="U220" ca="1" si="1967">T172</f>
        <v>#NAME?</v>
      </c>
      <c r="V220" s="23" t="e">
        <f t="shared" ref="V220" ca="1" si="1968">U172</f>
        <v>#NAME?</v>
      </c>
      <c r="W220" s="23" t="e">
        <f t="shared" ref="W220:AA220" ca="1" si="1969">V172</f>
        <v>#NAME?</v>
      </c>
      <c r="X220" s="23" t="e">
        <f t="shared" ca="1" si="1969"/>
        <v>#NAME?</v>
      </c>
      <c r="Y220" s="23" t="e">
        <f t="shared" ca="1" si="1969"/>
        <v>#NAME?</v>
      </c>
      <c r="Z220" s="23" t="e">
        <f t="shared" ca="1" si="1969"/>
        <v>#NAME?</v>
      </c>
      <c r="AA220" s="23" t="e">
        <f t="shared" ca="1" si="1969"/>
        <v>#NAME?</v>
      </c>
      <c r="AB220" s="24" t="e">
        <f t="shared" ref="AB220" ca="1" si="1970">AA172</f>
        <v>#NAME?</v>
      </c>
      <c r="AC220" s="24" t="e">
        <f t="shared" ref="AC220" ca="1" si="1971">AB172</f>
        <v>#NAME?</v>
      </c>
      <c r="AD220" s="24" t="e">
        <f t="shared" ref="AD220" ca="1" si="1972">AC172</f>
        <v>#NAME?</v>
      </c>
      <c r="AE220" s="24" t="e">
        <f t="shared" ref="AE220" ca="1" si="1973">AD172</f>
        <v>#NAME?</v>
      </c>
      <c r="AI220" s="23">
        <f t="shared" ref="AI220" si="1974">AH172</f>
        <v>0</v>
      </c>
      <c r="AJ220" s="23">
        <f t="shared" ref="AJ220" si="1975">AI172</f>
        <v>0</v>
      </c>
      <c r="AK220" s="23" t="e">
        <f t="shared" ref="AK220" ca="1" si="1976">AJ172</f>
        <v>#NAME?</v>
      </c>
      <c r="AL220" s="23" t="e">
        <f t="shared" ref="AL220" ca="1" si="1977">AK172</f>
        <v>#NAME?</v>
      </c>
      <c r="AM220" s="23" t="e">
        <f t="shared" ref="AM220" ca="1" si="1978">AL172</f>
        <v>#NAME?</v>
      </c>
      <c r="AN220" s="23" t="e">
        <f t="shared" ref="AN220" ca="1" si="1979">AM172</f>
        <v>#NAME?</v>
      </c>
      <c r="AO220" s="23" t="e">
        <f t="shared" ref="AO220" ca="1" si="1980">AN172</f>
        <v>#NAME?</v>
      </c>
      <c r="AP220" s="23" t="e">
        <f t="shared" ref="AP220" ca="1" si="1981">AO172</f>
        <v>#NAME?</v>
      </c>
      <c r="AQ220" s="23" t="e">
        <f t="shared" ref="AQ220" ca="1" si="1982">AP172</f>
        <v>#NAME?</v>
      </c>
      <c r="AR220" s="23" t="e">
        <f t="shared" ref="AR220" ca="1" si="1983">AQ172</f>
        <v>#NAME?</v>
      </c>
      <c r="AS220" s="23" t="e">
        <f t="shared" ref="AS220" ca="1" si="1984">AR172</f>
        <v>#NAME?</v>
      </c>
      <c r="AT220" s="23" t="e">
        <f t="shared" ref="AT220" ca="1" si="1985">AS172</f>
        <v>#NAME?</v>
      </c>
      <c r="AU220" s="23" t="e">
        <f t="shared" ref="AU220" ca="1" si="1986">AT172</f>
        <v>#NAME?</v>
      </c>
      <c r="AV220" s="23" t="e">
        <f t="shared" ref="AV220" ca="1" si="1987">AU172</f>
        <v>#NAME?</v>
      </c>
      <c r="AW220" s="23" t="e">
        <f t="shared" ref="AW220" ca="1" si="1988">AV172</f>
        <v>#NAME?</v>
      </c>
      <c r="AX220" s="23" t="e">
        <f t="shared" ref="AX220" ca="1" si="1989">AW172</f>
        <v>#NAME?</v>
      </c>
      <c r="AY220" s="23" t="e">
        <f t="shared" ref="AY220" ca="1" si="1990">AX172</f>
        <v>#NAME?</v>
      </c>
      <c r="AZ220" s="23" t="e">
        <f t="shared" ref="AZ220" ca="1" si="1991">AY172</f>
        <v>#NAME?</v>
      </c>
      <c r="BA220" s="23" t="e">
        <f t="shared" ref="BA220" ca="1" si="1992">AZ172</f>
        <v>#NAME?</v>
      </c>
      <c r="BB220" s="23" t="e">
        <f t="shared" ref="BB220" ca="1" si="1993">BA172</f>
        <v>#NAME?</v>
      </c>
      <c r="BC220" s="23" t="e">
        <f t="shared" ref="BC220" ca="1" si="1994">BB172</f>
        <v>#NAME?</v>
      </c>
      <c r="BD220" s="23" t="e">
        <f t="shared" ref="BD220" ca="1" si="1995">BC172</f>
        <v>#NAME?</v>
      </c>
      <c r="BE220" s="23" t="e">
        <f t="shared" ref="BE220" ca="1" si="1996">BD172</f>
        <v>#NAME?</v>
      </c>
      <c r="BF220" s="23" t="e">
        <f t="shared" ref="BF220" ca="1" si="1997">BE172</f>
        <v>#NAME?</v>
      </c>
      <c r="BG220" s="23" t="e">
        <f t="shared" ref="BG220" ca="1" si="1998">BF172</f>
        <v>#NAME?</v>
      </c>
      <c r="BH220" s="23" t="e">
        <f t="shared" ref="BH220" ca="1" si="1999">BG172</f>
        <v>#NAME?</v>
      </c>
      <c r="BI220" s="23" t="e">
        <f t="shared" ref="BI220" ca="1" si="2000">BH172</f>
        <v>#NAME?</v>
      </c>
      <c r="BJ220" s="23" t="e">
        <f t="shared" ref="BJ220" ca="1" si="2001">BI172</f>
        <v>#NAME?</v>
      </c>
      <c r="BK220" s="23" t="e">
        <f t="shared" ref="BK220" ca="1" si="2002">BJ172</f>
        <v>#NAME?</v>
      </c>
      <c r="BL220" s="23" t="e">
        <f t="shared" ref="BL220" ca="1" si="2003">BK172</f>
        <v>#NAME?</v>
      </c>
      <c r="BM220" s="23" t="e">
        <f t="shared" ref="BM220" ca="1" si="2004">BL172</f>
        <v>#NAME?</v>
      </c>
      <c r="BN220" s="23" t="e">
        <f t="shared" ref="BN220" ca="1" si="2005">BM172</f>
        <v>#NAME?</v>
      </c>
      <c r="BO220" s="23" t="e">
        <f t="shared" ref="BO220" ca="1" si="2006">BN172</f>
        <v>#NAME?</v>
      </c>
      <c r="BP220" s="23" t="e">
        <f t="shared" ref="BP220" ca="1" si="2007">BO172</f>
        <v>#NAME?</v>
      </c>
      <c r="BQ220" s="23" t="e">
        <f t="shared" ref="BQ220" ca="1" si="2008">BP172</f>
        <v>#NAME?</v>
      </c>
      <c r="BR220" s="23" t="e">
        <f t="shared" ref="BR220" ca="1" si="2009">BQ172</f>
        <v>#NAME?</v>
      </c>
      <c r="BS220" s="23" t="e">
        <f t="shared" ref="BS220" ca="1" si="2010">BR172</f>
        <v>#NAME?</v>
      </c>
      <c r="BT220" s="23" t="e">
        <f t="shared" ref="BT220" ca="1" si="2011">BS172</f>
        <v>#NAME?</v>
      </c>
      <c r="BU220" s="23" t="e">
        <f t="shared" ref="BU220" ca="1" si="2012">BT172</f>
        <v>#NAME?</v>
      </c>
      <c r="BV220" s="23" t="e">
        <f t="shared" ref="BV220" ca="1" si="2013">BU172</f>
        <v>#NAME?</v>
      </c>
      <c r="BW220" s="23" t="e">
        <f t="shared" ref="BW220" ca="1" si="2014">BV172</f>
        <v>#NAME?</v>
      </c>
      <c r="BX220" s="23" t="e">
        <f t="shared" ref="BX220" ca="1" si="2015">BW172</f>
        <v>#NAME?</v>
      </c>
      <c r="BY220" s="23" t="e">
        <f t="shared" ref="BY220" ca="1" si="2016">BX172</f>
        <v>#NAME?</v>
      </c>
      <c r="BZ220" s="23" t="e">
        <f t="shared" ref="BZ220" ca="1" si="2017">BY172</f>
        <v>#NAME?</v>
      </c>
      <c r="CA220" s="23" t="e">
        <f t="shared" ref="CA220" ca="1" si="2018">BZ172</f>
        <v>#NAME?</v>
      </c>
      <c r="CB220" s="23" t="e">
        <f t="shared" ref="CB220" ca="1" si="2019">CA172</f>
        <v>#NAME?</v>
      </c>
      <c r="CC220" s="23" t="e">
        <f t="shared" ref="CC220" ca="1" si="2020">CB172</f>
        <v>#NAME?</v>
      </c>
      <c r="CD220" s="23" t="e">
        <f t="shared" ref="CD220" ca="1" si="2021">CC172</f>
        <v>#NAME?</v>
      </c>
      <c r="CE220" s="23" t="e">
        <f t="shared" ref="CE220" ca="1" si="2022">CD172</f>
        <v>#NAME?</v>
      </c>
      <c r="CF220" s="23" t="e">
        <f t="shared" ref="CF220" ca="1" si="2023">CE172</f>
        <v>#NAME?</v>
      </c>
      <c r="CG220" s="23" t="e">
        <f t="shared" ref="CG220" ca="1" si="2024">CF172</f>
        <v>#NAME?</v>
      </c>
      <c r="CH220" s="23" t="e">
        <f t="shared" ref="CH220:CJ220" ca="1" si="2025">CG172</f>
        <v>#NAME?</v>
      </c>
      <c r="CI220" s="23" t="e">
        <f t="shared" ca="1" si="2025"/>
        <v>#NAME?</v>
      </c>
      <c r="CJ220" s="23" t="e">
        <f t="shared" ca="1" si="2025"/>
        <v>#NAME?</v>
      </c>
      <c r="CK220" s="23" t="e">
        <f t="shared" ref="CK220" ca="1" si="2026">CJ172</f>
        <v>#NAME?</v>
      </c>
      <c r="CL220" s="23" t="e">
        <f t="shared" ref="CL220" ca="1" si="2027">CK172</f>
        <v>#NAME?</v>
      </c>
      <c r="CM220" s="24" t="e">
        <f t="shared" ref="CM220" ca="1" si="2028">CL172</f>
        <v>#NAME?</v>
      </c>
      <c r="CN220" s="24" t="e">
        <f t="shared" ref="CN220" ca="1" si="2029">CM172</f>
        <v>#NAME?</v>
      </c>
      <c r="CO220" s="24" t="e">
        <f t="shared" ref="CO220" ca="1" si="2030">CN172</f>
        <v>#NAME?</v>
      </c>
      <c r="CP220" s="24" t="e">
        <f t="shared" ref="CP220" ca="1" si="2031">CO172</f>
        <v>#NAME?</v>
      </c>
      <c r="CQ220" s="24" t="e">
        <f t="shared" ref="CQ220" ca="1" si="2032">CP172</f>
        <v>#NAME?</v>
      </c>
      <c r="CR220" s="24" t="e">
        <f t="shared" ref="CR220" ca="1" si="2033">CQ172</f>
        <v>#NAME?</v>
      </c>
      <c r="CS220" s="24" t="e">
        <f t="shared" ref="CS220" ca="1" si="2034">CR172</f>
        <v>#NAME?</v>
      </c>
      <c r="CT220" s="24" t="e">
        <f t="shared" ref="CT220" ca="1" si="2035">CS172</f>
        <v>#NAME?</v>
      </c>
      <c r="CU220" s="24" t="e">
        <f t="shared" ref="CU220" ca="1" si="2036">CT172</f>
        <v>#NAME?</v>
      </c>
      <c r="CV220" s="24" t="e">
        <f t="shared" ref="CV220" ca="1" si="2037">CU172</f>
        <v>#NAME?</v>
      </c>
      <c r="CW220" s="24" t="e">
        <f t="shared" ref="CW220" ca="1" si="2038">CV172</f>
        <v>#NAME?</v>
      </c>
      <c r="CX220" s="24" t="e">
        <f t="shared" ref="CX220" ca="1" si="2039">CW172</f>
        <v>#NAME?</v>
      </c>
      <c r="CY220" s="24" t="e">
        <f t="shared" ref="CY220" ca="1" si="2040">CX172</f>
        <v>#NAME?</v>
      </c>
      <c r="CZ220" s="24" t="e">
        <f t="shared" ref="CZ220" ca="1" si="2041">CY172</f>
        <v>#NAME?</v>
      </c>
      <c r="DA220" s="24" t="e">
        <f t="shared" ref="DA220" ca="1" si="2042">CZ172</f>
        <v>#NAME?</v>
      </c>
      <c r="DB220" s="24" t="e">
        <f t="shared" ref="DB220" ca="1" si="2043">DA172</f>
        <v>#NAME?</v>
      </c>
      <c r="DE220" s="123"/>
      <c r="DF220" s="23">
        <v>5.9732000000000003</v>
      </c>
    </row>
    <row r="221" spans="1:110" s="23" customFormat="1" x14ac:dyDescent="0.2">
      <c r="A221" s="23" t="s">
        <v>443</v>
      </c>
      <c r="C221" s="23" t="e">
        <f t="shared" ref="C221:W221" ca="1" si="2044">C220+C216+C212+C210</f>
        <v>#NAME?</v>
      </c>
      <c r="D221" s="23" t="e">
        <f t="shared" ca="1" si="2044"/>
        <v>#NAME?</v>
      </c>
      <c r="E221" s="23" t="e">
        <f t="shared" ca="1" si="2044"/>
        <v>#NAME?</v>
      </c>
      <c r="F221" s="23" t="e">
        <f t="shared" ca="1" si="2044"/>
        <v>#NAME?</v>
      </c>
      <c r="G221" s="23" t="e">
        <f t="shared" ca="1" si="2044"/>
        <v>#NAME?</v>
      </c>
      <c r="H221" s="23" t="e">
        <f t="shared" ca="1" si="2044"/>
        <v>#NAME?</v>
      </c>
      <c r="I221" s="23" t="e">
        <f t="shared" ca="1" si="2044"/>
        <v>#NAME?</v>
      </c>
      <c r="J221" s="23" t="e">
        <f ca="1">J220+J216+J212+J210</f>
        <v>#NAME?</v>
      </c>
      <c r="K221" s="23" t="e">
        <f ca="1">K220+K216+K212+K210</f>
        <v>#NAME?</v>
      </c>
      <c r="L221" s="23" t="e">
        <f ca="1">L220+L216+L212+L210</f>
        <v>#NAME?</v>
      </c>
      <c r="M221" s="23" t="e">
        <f ca="1">M220+M216+M212+M210</f>
        <v>#NAME?</v>
      </c>
      <c r="N221" s="23" t="e">
        <f t="shared" ca="1" si="2044"/>
        <v>#NAME?</v>
      </c>
      <c r="O221" s="23" t="e">
        <f t="shared" ca="1" si="2044"/>
        <v>#NAME?</v>
      </c>
      <c r="P221" s="23" t="e">
        <f t="shared" ca="1" si="2044"/>
        <v>#NAME?</v>
      </c>
      <c r="Q221" s="23" t="e">
        <f t="shared" ca="1" si="2044"/>
        <v>#NAME?</v>
      </c>
      <c r="R221" s="23" t="e">
        <f t="shared" ca="1" si="2044"/>
        <v>#NAME?</v>
      </c>
      <c r="S221" s="23" t="e">
        <f t="shared" ca="1" si="2044"/>
        <v>#NAME?</v>
      </c>
      <c r="T221" s="23" t="e">
        <f t="shared" ca="1" si="2044"/>
        <v>#NAME?</v>
      </c>
      <c r="U221" s="23" t="e">
        <f t="shared" ca="1" si="2044"/>
        <v>#NAME?</v>
      </c>
      <c r="V221" s="23" t="e">
        <f t="shared" ca="1" si="2044"/>
        <v>#NAME?</v>
      </c>
      <c r="W221" s="23" t="e">
        <f t="shared" ca="1" si="2044"/>
        <v>#NAME?</v>
      </c>
      <c r="X221" s="23" t="e">
        <f t="shared" ref="X221:Y221" ca="1" si="2045">X220+X216+X212+X210</f>
        <v>#NAME?</v>
      </c>
      <c r="Y221" s="23" t="e">
        <f t="shared" ca="1" si="2045"/>
        <v>#NAME?</v>
      </c>
      <c r="Z221" s="23" t="e">
        <f t="shared" ref="Z221:AA221" ca="1" si="2046">Z220+Z216+Z212+Z210</f>
        <v>#NAME?</v>
      </c>
      <c r="AA221" s="23" t="e">
        <f t="shared" ca="1" si="2046"/>
        <v>#NAME?</v>
      </c>
      <c r="AB221" s="24" t="e">
        <f t="shared" ref="AA221:AD221" ca="1" si="2047">AB220+AB216+AB212+AB210</f>
        <v>#NAME?</v>
      </c>
      <c r="AC221" s="24" t="e">
        <f t="shared" ca="1" si="2047"/>
        <v>#NAME?</v>
      </c>
      <c r="AD221" s="24" t="e">
        <f t="shared" ca="1" si="2047"/>
        <v>#NAME?</v>
      </c>
      <c r="AE221" s="24" t="e">
        <f t="shared" ref="AE221" ca="1" si="2048">AE220+AE216+AE212+AE210</f>
        <v>#NAME?</v>
      </c>
      <c r="AI221" s="23" t="e">
        <f t="shared" ref="AI221" ca="1" si="2049">AI220+AI216+AI212+AI210</f>
        <v>#NAME?</v>
      </c>
      <c r="AJ221" s="23" t="e">
        <f t="shared" ref="AJ221:AL221" ca="1" si="2050">AJ220+AJ216+AJ212+AJ210</f>
        <v>#NAME?</v>
      </c>
      <c r="AK221" s="23" t="e">
        <f t="shared" ca="1" si="2050"/>
        <v>#NAME?</v>
      </c>
      <c r="AL221" s="23" t="e">
        <f t="shared" ca="1" si="2050"/>
        <v>#NAME?</v>
      </c>
      <c r="AM221" s="23" t="e">
        <f t="shared" ref="AM221" ca="1" si="2051">AM220+AM216+AM212+AM210</f>
        <v>#NAME?</v>
      </c>
      <c r="AN221" s="23" t="e">
        <f t="shared" ref="AN221:CD221" ca="1" si="2052">AN220+AN216+AN212+AN210</f>
        <v>#NAME?</v>
      </c>
      <c r="AO221" s="23" t="e">
        <f t="shared" ca="1" si="2052"/>
        <v>#NAME?</v>
      </c>
      <c r="AP221" s="23" t="e">
        <f t="shared" ca="1" si="2052"/>
        <v>#NAME?</v>
      </c>
      <c r="AQ221" s="23" t="e">
        <f t="shared" ca="1" si="2052"/>
        <v>#NAME?</v>
      </c>
      <c r="AR221" s="23" t="e">
        <f t="shared" ca="1" si="2052"/>
        <v>#NAME?</v>
      </c>
      <c r="AS221" s="23" t="e">
        <f t="shared" ca="1" si="2052"/>
        <v>#NAME?</v>
      </c>
      <c r="AT221" s="23" t="e">
        <f t="shared" ca="1" si="2052"/>
        <v>#NAME?</v>
      </c>
      <c r="AU221" s="23" t="e">
        <f t="shared" ca="1" si="2052"/>
        <v>#NAME?</v>
      </c>
      <c r="AV221" s="23" t="e">
        <f t="shared" ca="1" si="2052"/>
        <v>#NAME?</v>
      </c>
      <c r="AW221" s="23" t="e">
        <f t="shared" ca="1" si="2052"/>
        <v>#NAME?</v>
      </c>
      <c r="AX221" s="23" t="e">
        <f t="shared" ca="1" si="2052"/>
        <v>#NAME?</v>
      </c>
      <c r="AY221" s="23" t="e">
        <f t="shared" ca="1" si="2052"/>
        <v>#NAME?</v>
      </c>
      <c r="AZ221" s="23" t="e">
        <f t="shared" ca="1" si="2052"/>
        <v>#NAME?</v>
      </c>
      <c r="BA221" s="23" t="e">
        <f t="shared" ca="1" si="2052"/>
        <v>#NAME?</v>
      </c>
      <c r="BB221" s="23" t="e">
        <f t="shared" ca="1" si="2052"/>
        <v>#NAME?</v>
      </c>
      <c r="BC221" s="23" t="e">
        <f t="shared" ca="1" si="2052"/>
        <v>#NAME?</v>
      </c>
      <c r="BD221" s="23" t="e">
        <f t="shared" ca="1" si="2052"/>
        <v>#NAME?</v>
      </c>
      <c r="BE221" s="23" t="e">
        <f t="shared" ca="1" si="2052"/>
        <v>#NAME?</v>
      </c>
      <c r="BF221" s="23" t="e">
        <f t="shared" ca="1" si="2052"/>
        <v>#NAME?</v>
      </c>
      <c r="BG221" s="23" t="e">
        <f t="shared" ca="1" si="2052"/>
        <v>#NAME?</v>
      </c>
      <c r="BH221" s="23" t="e">
        <f t="shared" ca="1" si="2052"/>
        <v>#NAME?</v>
      </c>
      <c r="BI221" s="23" t="e">
        <f t="shared" ca="1" si="2052"/>
        <v>#NAME?</v>
      </c>
      <c r="BJ221" s="23" t="e">
        <f t="shared" ca="1" si="2052"/>
        <v>#NAME?</v>
      </c>
      <c r="BK221" s="23" t="e">
        <f t="shared" ca="1" si="2052"/>
        <v>#NAME?</v>
      </c>
      <c r="BL221" s="23" t="e">
        <f t="shared" ca="1" si="2052"/>
        <v>#NAME?</v>
      </c>
      <c r="BM221" s="23" t="e">
        <f t="shared" ca="1" si="2052"/>
        <v>#NAME?</v>
      </c>
      <c r="BN221" s="23" t="e">
        <f t="shared" ca="1" si="2052"/>
        <v>#NAME?</v>
      </c>
      <c r="BO221" s="23" t="e">
        <f t="shared" ca="1" si="2052"/>
        <v>#NAME?</v>
      </c>
      <c r="BP221" s="23" t="e">
        <f t="shared" ca="1" si="2052"/>
        <v>#NAME?</v>
      </c>
      <c r="BQ221" s="23" t="e">
        <f t="shared" ca="1" si="2052"/>
        <v>#NAME?</v>
      </c>
      <c r="BR221" s="23" t="e">
        <f t="shared" ca="1" si="2052"/>
        <v>#NAME?</v>
      </c>
      <c r="BS221" s="23" t="e">
        <f t="shared" ca="1" si="2052"/>
        <v>#NAME?</v>
      </c>
      <c r="BT221" s="23" t="e">
        <f t="shared" ca="1" si="2052"/>
        <v>#NAME?</v>
      </c>
      <c r="BU221" s="23" t="e">
        <f t="shared" ca="1" si="2052"/>
        <v>#NAME?</v>
      </c>
      <c r="BV221" s="23" t="e">
        <f t="shared" ca="1" si="2052"/>
        <v>#NAME?</v>
      </c>
      <c r="BW221" s="23" t="e">
        <f t="shared" ca="1" si="2052"/>
        <v>#NAME?</v>
      </c>
      <c r="BX221" s="23" t="e">
        <f t="shared" ca="1" si="2052"/>
        <v>#NAME?</v>
      </c>
      <c r="BY221" s="23" t="e">
        <f t="shared" ca="1" si="2052"/>
        <v>#NAME?</v>
      </c>
      <c r="BZ221" s="23" t="e">
        <f t="shared" ca="1" si="2052"/>
        <v>#NAME?</v>
      </c>
      <c r="CA221" s="23" t="e">
        <f t="shared" ca="1" si="2052"/>
        <v>#NAME?</v>
      </c>
      <c r="CB221" s="23" t="e">
        <f t="shared" ca="1" si="2052"/>
        <v>#NAME?</v>
      </c>
      <c r="CC221" s="23" t="e">
        <f t="shared" ca="1" si="2052"/>
        <v>#NAME?</v>
      </c>
      <c r="CD221" s="23" t="e">
        <f t="shared" ca="1" si="2052"/>
        <v>#NAME?</v>
      </c>
      <c r="CE221" s="23" t="e">
        <f t="shared" ref="CE221:CF221" ca="1" si="2053">CE220+CE216+CE212+CE210</f>
        <v>#NAME?</v>
      </c>
      <c r="CF221" s="23" t="e">
        <f t="shared" ca="1" si="2053"/>
        <v>#NAME?</v>
      </c>
      <c r="CG221" s="23" t="e">
        <f t="shared" ref="CG221:CH221" ca="1" si="2054">CG220+CG216+CG212+CG210</f>
        <v>#NAME?</v>
      </c>
      <c r="CH221" s="23" t="e">
        <f t="shared" ca="1" si="2054"/>
        <v>#NAME?</v>
      </c>
      <c r="CI221" s="23" t="e">
        <f t="shared" ref="CI221:CJ221" ca="1" si="2055">CI220+CI216+CI212+CI210</f>
        <v>#NAME?</v>
      </c>
      <c r="CJ221" s="23" t="e">
        <f t="shared" ca="1" si="2055"/>
        <v>#NAME?</v>
      </c>
      <c r="CK221" s="23" t="e">
        <f t="shared" ref="CK221:DB221" ca="1" si="2056">CK220+CK216+CK212+CK210</f>
        <v>#NAME?</v>
      </c>
      <c r="CL221" s="23" t="e">
        <f t="shared" ca="1" si="2056"/>
        <v>#NAME?</v>
      </c>
      <c r="CM221" s="24" t="e">
        <f t="shared" ca="1" si="2056"/>
        <v>#NAME?</v>
      </c>
      <c r="CN221" s="24" t="e">
        <f t="shared" ca="1" si="2056"/>
        <v>#NAME?</v>
      </c>
      <c r="CO221" s="24" t="e">
        <f t="shared" ca="1" si="2056"/>
        <v>#NAME?</v>
      </c>
      <c r="CP221" s="24" t="e">
        <f t="shared" ca="1" si="2056"/>
        <v>#NAME?</v>
      </c>
      <c r="CQ221" s="24" t="e">
        <f t="shared" ca="1" si="2056"/>
        <v>#NAME?</v>
      </c>
      <c r="CR221" s="24" t="e">
        <f t="shared" ca="1" si="2056"/>
        <v>#NAME?</v>
      </c>
      <c r="CS221" s="24" t="e">
        <f t="shared" ca="1" si="2056"/>
        <v>#NAME?</v>
      </c>
      <c r="CT221" s="24" t="e">
        <f t="shared" ca="1" si="2056"/>
        <v>#NAME?</v>
      </c>
      <c r="CU221" s="24" t="e">
        <f t="shared" ca="1" si="2056"/>
        <v>#NAME?</v>
      </c>
      <c r="CV221" s="24" t="e">
        <f t="shared" ca="1" si="2056"/>
        <v>#NAME?</v>
      </c>
      <c r="CW221" s="24" t="e">
        <f t="shared" ca="1" si="2056"/>
        <v>#NAME?</v>
      </c>
      <c r="CX221" s="24" t="e">
        <f t="shared" ca="1" si="2056"/>
        <v>#NAME?</v>
      </c>
      <c r="CY221" s="24" t="e">
        <f t="shared" ca="1" si="2056"/>
        <v>#NAME?</v>
      </c>
      <c r="CZ221" s="24" t="e">
        <f t="shared" ca="1" si="2056"/>
        <v>#NAME?</v>
      </c>
      <c r="DA221" s="24" t="e">
        <f t="shared" ca="1" si="2056"/>
        <v>#NAME?</v>
      </c>
      <c r="DB221" s="24" t="e">
        <f t="shared" ca="1" si="2056"/>
        <v>#NAME?</v>
      </c>
      <c r="DE221" s="123"/>
      <c r="DF221" s="23">
        <v>64.981000000000037</v>
      </c>
    </row>
    <row r="222" spans="1:110" s="28" customFormat="1" x14ac:dyDescent="0.2">
      <c r="A222" s="28" t="s">
        <v>444</v>
      </c>
      <c r="C222" s="28" t="e">
        <f t="shared" ref="C222:W222" ca="1" si="2057">C221-C172</f>
        <v>#NAME?</v>
      </c>
      <c r="D222" s="28" t="e">
        <f t="shared" ca="1" si="2057"/>
        <v>#NAME?</v>
      </c>
      <c r="E222" s="28" t="e">
        <f t="shared" ca="1" si="2057"/>
        <v>#NAME?</v>
      </c>
      <c r="F222" s="28" t="e">
        <f t="shared" ca="1" si="2057"/>
        <v>#NAME?</v>
      </c>
      <c r="G222" s="28" t="e">
        <f t="shared" ca="1" si="2057"/>
        <v>#NAME?</v>
      </c>
      <c r="H222" s="28" t="e">
        <f t="shared" ca="1" si="2057"/>
        <v>#NAME?</v>
      </c>
      <c r="I222" s="28" t="e">
        <f t="shared" ca="1" si="2057"/>
        <v>#NAME?</v>
      </c>
      <c r="J222" s="28" t="e">
        <f ca="1">J221-J172</f>
        <v>#NAME?</v>
      </c>
      <c r="K222" s="28" t="e">
        <f t="shared" ca="1" si="2057"/>
        <v>#NAME?</v>
      </c>
      <c r="L222" s="28" t="e">
        <f t="shared" ca="1" si="2057"/>
        <v>#NAME?</v>
      </c>
      <c r="M222" s="28" t="e">
        <f t="shared" ca="1" si="2057"/>
        <v>#NAME?</v>
      </c>
      <c r="N222" s="28" t="e">
        <f t="shared" ca="1" si="2057"/>
        <v>#NAME?</v>
      </c>
      <c r="O222" s="28" t="e">
        <f t="shared" ca="1" si="2057"/>
        <v>#NAME?</v>
      </c>
      <c r="P222" s="28" t="e">
        <f t="shared" ca="1" si="2057"/>
        <v>#NAME?</v>
      </c>
      <c r="Q222" s="28" t="e">
        <f t="shared" ca="1" si="2057"/>
        <v>#NAME?</v>
      </c>
      <c r="R222" s="28" t="e">
        <f t="shared" ca="1" si="2057"/>
        <v>#NAME?</v>
      </c>
      <c r="S222" s="28" t="e">
        <f t="shared" ca="1" si="2057"/>
        <v>#NAME?</v>
      </c>
      <c r="T222" s="28" t="e">
        <f t="shared" ca="1" si="2057"/>
        <v>#NAME?</v>
      </c>
      <c r="U222" s="28" t="e">
        <f t="shared" ca="1" si="2057"/>
        <v>#NAME?</v>
      </c>
      <c r="V222" s="28" t="e">
        <f t="shared" ca="1" si="2057"/>
        <v>#NAME?</v>
      </c>
      <c r="W222" s="28" t="e">
        <f t="shared" ca="1" si="2057"/>
        <v>#NAME?</v>
      </c>
      <c r="X222" s="28" t="e">
        <f t="shared" ref="X222:Y222" ca="1" si="2058">X221-X172</f>
        <v>#NAME?</v>
      </c>
      <c r="Y222" s="28" t="e">
        <f t="shared" ca="1" si="2058"/>
        <v>#NAME?</v>
      </c>
      <c r="Z222" s="28" t="e">
        <f t="shared" ref="Z222:AA222" ca="1" si="2059">Z221-Z172</f>
        <v>#NAME?</v>
      </c>
      <c r="AA222" s="28" t="e">
        <f t="shared" ca="1" si="2059"/>
        <v>#NAME?</v>
      </c>
      <c r="AB222" s="30" t="e">
        <f t="shared" ref="AA222:AD222" ca="1" si="2060">AB221-AB172</f>
        <v>#NAME?</v>
      </c>
      <c r="AC222" s="30" t="e">
        <f t="shared" ca="1" si="2060"/>
        <v>#NAME?</v>
      </c>
      <c r="AD222" s="30" t="e">
        <f t="shared" ca="1" si="2060"/>
        <v>#NAME?</v>
      </c>
      <c r="AE222" s="30" t="e">
        <f t="shared" ref="AE222" ca="1" si="2061">AE221-AE172</f>
        <v>#NAME?</v>
      </c>
      <c r="AI222" s="28" t="e">
        <f t="shared" ref="AI222" ca="1" si="2062">AI221-AI172</f>
        <v>#NAME?</v>
      </c>
      <c r="AJ222" s="28" t="e">
        <f t="shared" ref="AJ222:AL222" ca="1" si="2063">AJ221-AJ172</f>
        <v>#NAME?</v>
      </c>
      <c r="AK222" s="28" t="e">
        <f t="shared" ca="1" si="2063"/>
        <v>#NAME?</v>
      </c>
      <c r="AL222" s="28" t="e">
        <f t="shared" ca="1" si="2063"/>
        <v>#NAME?</v>
      </c>
      <c r="AM222" s="28" t="e">
        <f t="shared" ref="AM222" ca="1" si="2064">AM221-AM172</f>
        <v>#NAME?</v>
      </c>
      <c r="AN222" s="28" t="e">
        <f t="shared" ref="AN222:CD222" ca="1" si="2065">AN221-AN172</f>
        <v>#NAME?</v>
      </c>
      <c r="AO222" s="28" t="e">
        <f t="shared" ca="1" si="2065"/>
        <v>#NAME?</v>
      </c>
      <c r="AP222" s="28" t="e">
        <f t="shared" ca="1" si="2065"/>
        <v>#NAME?</v>
      </c>
      <c r="AQ222" s="28" t="e">
        <f t="shared" ca="1" si="2065"/>
        <v>#NAME?</v>
      </c>
      <c r="AR222" s="28" t="e">
        <f t="shared" ca="1" si="2065"/>
        <v>#NAME?</v>
      </c>
      <c r="AS222" s="28" t="e">
        <f t="shared" ca="1" si="2065"/>
        <v>#NAME?</v>
      </c>
      <c r="AT222" s="28" t="e">
        <f t="shared" ca="1" si="2065"/>
        <v>#NAME?</v>
      </c>
      <c r="AU222" s="28" t="e">
        <f t="shared" ca="1" si="2065"/>
        <v>#NAME?</v>
      </c>
      <c r="AV222" s="28" t="e">
        <f t="shared" ca="1" si="2065"/>
        <v>#NAME?</v>
      </c>
      <c r="AW222" s="28" t="e">
        <f t="shared" ca="1" si="2065"/>
        <v>#NAME?</v>
      </c>
      <c r="AX222" s="28" t="e">
        <f t="shared" ca="1" si="2065"/>
        <v>#NAME?</v>
      </c>
      <c r="AY222" s="28" t="e">
        <f t="shared" ca="1" si="2065"/>
        <v>#NAME?</v>
      </c>
      <c r="AZ222" s="28" t="e">
        <f t="shared" ca="1" si="2065"/>
        <v>#NAME?</v>
      </c>
      <c r="BA222" s="28" t="e">
        <f t="shared" ca="1" si="2065"/>
        <v>#NAME?</v>
      </c>
      <c r="BB222" s="28" t="e">
        <f t="shared" ca="1" si="2065"/>
        <v>#NAME?</v>
      </c>
      <c r="BC222" s="28" t="e">
        <f t="shared" ca="1" si="2065"/>
        <v>#NAME?</v>
      </c>
      <c r="BD222" s="28" t="e">
        <f t="shared" ca="1" si="2065"/>
        <v>#NAME?</v>
      </c>
      <c r="BE222" s="28" t="e">
        <f t="shared" ca="1" si="2065"/>
        <v>#NAME?</v>
      </c>
      <c r="BF222" s="28" t="e">
        <f t="shared" ca="1" si="2065"/>
        <v>#NAME?</v>
      </c>
      <c r="BG222" s="28" t="e">
        <f t="shared" ca="1" si="2065"/>
        <v>#NAME?</v>
      </c>
      <c r="BH222" s="28" t="e">
        <f t="shared" ca="1" si="2065"/>
        <v>#NAME?</v>
      </c>
      <c r="BI222" s="28" t="e">
        <f t="shared" ca="1" si="2065"/>
        <v>#NAME?</v>
      </c>
      <c r="BJ222" s="28" t="e">
        <f t="shared" ca="1" si="2065"/>
        <v>#NAME?</v>
      </c>
      <c r="BK222" s="28" t="e">
        <f t="shared" ca="1" si="2065"/>
        <v>#NAME?</v>
      </c>
      <c r="BL222" s="28" t="e">
        <f t="shared" ca="1" si="2065"/>
        <v>#NAME?</v>
      </c>
      <c r="BM222" s="28" t="e">
        <f t="shared" ca="1" si="2065"/>
        <v>#NAME?</v>
      </c>
      <c r="BN222" s="28" t="e">
        <f t="shared" ca="1" si="2065"/>
        <v>#NAME?</v>
      </c>
      <c r="BO222" s="28" t="e">
        <f t="shared" ca="1" si="2065"/>
        <v>#NAME?</v>
      </c>
      <c r="BP222" s="28" t="e">
        <f t="shared" ca="1" si="2065"/>
        <v>#NAME?</v>
      </c>
      <c r="BQ222" s="28" t="e">
        <f t="shared" ca="1" si="2065"/>
        <v>#NAME?</v>
      </c>
      <c r="BR222" s="28" t="e">
        <f t="shared" ca="1" si="2065"/>
        <v>#NAME?</v>
      </c>
      <c r="BS222" s="28" t="e">
        <f t="shared" ca="1" si="2065"/>
        <v>#NAME?</v>
      </c>
      <c r="BT222" s="28" t="e">
        <f t="shared" ca="1" si="2065"/>
        <v>#NAME?</v>
      </c>
      <c r="BU222" s="28" t="e">
        <f t="shared" ca="1" si="2065"/>
        <v>#NAME?</v>
      </c>
      <c r="BV222" s="28" t="e">
        <f t="shared" ca="1" si="2065"/>
        <v>#NAME?</v>
      </c>
      <c r="BW222" s="28" t="e">
        <f t="shared" ca="1" si="2065"/>
        <v>#NAME?</v>
      </c>
      <c r="BX222" s="28" t="e">
        <f t="shared" ca="1" si="2065"/>
        <v>#NAME?</v>
      </c>
      <c r="BY222" s="28" t="e">
        <f t="shared" ca="1" si="2065"/>
        <v>#NAME?</v>
      </c>
      <c r="BZ222" s="28" t="e">
        <f t="shared" ca="1" si="2065"/>
        <v>#NAME?</v>
      </c>
      <c r="CA222" s="28" t="e">
        <f t="shared" ca="1" si="2065"/>
        <v>#NAME?</v>
      </c>
      <c r="CB222" s="28" t="e">
        <f t="shared" ca="1" si="2065"/>
        <v>#NAME?</v>
      </c>
      <c r="CC222" s="28" t="e">
        <f t="shared" ca="1" si="2065"/>
        <v>#NAME?</v>
      </c>
      <c r="CD222" s="28" t="e">
        <f t="shared" ca="1" si="2065"/>
        <v>#NAME?</v>
      </c>
      <c r="CE222" s="28" t="e">
        <f t="shared" ref="CE222:CF222" ca="1" si="2066">CE221-CE172</f>
        <v>#NAME?</v>
      </c>
      <c r="CF222" s="28" t="e">
        <f t="shared" ca="1" si="2066"/>
        <v>#NAME?</v>
      </c>
      <c r="CG222" s="28" t="e">
        <f t="shared" ref="CG222:CH222" ca="1" si="2067">CG221-CG172</f>
        <v>#NAME?</v>
      </c>
      <c r="CH222" s="28" t="e">
        <f t="shared" ca="1" si="2067"/>
        <v>#NAME?</v>
      </c>
      <c r="CI222" s="28" t="e">
        <f t="shared" ref="CI222:CJ222" ca="1" si="2068">CI221-CI172</f>
        <v>#NAME?</v>
      </c>
      <c r="CJ222" s="28" t="e">
        <f t="shared" ca="1" si="2068"/>
        <v>#NAME?</v>
      </c>
      <c r="CK222" s="28" t="e">
        <f t="shared" ref="CK222:DB222" ca="1" si="2069">CK221-CK172</f>
        <v>#NAME?</v>
      </c>
      <c r="CL222" s="28" t="e">
        <f t="shared" ca="1" si="2069"/>
        <v>#NAME?</v>
      </c>
      <c r="CM222" s="30" t="e">
        <f t="shared" ca="1" si="2069"/>
        <v>#NAME?</v>
      </c>
      <c r="CN222" s="30" t="e">
        <f t="shared" ca="1" si="2069"/>
        <v>#NAME?</v>
      </c>
      <c r="CO222" s="30" t="e">
        <f t="shared" ca="1" si="2069"/>
        <v>#NAME?</v>
      </c>
      <c r="CP222" s="30" t="e">
        <f t="shared" ca="1" si="2069"/>
        <v>#NAME?</v>
      </c>
      <c r="CQ222" s="30" t="e">
        <f t="shared" ca="1" si="2069"/>
        <v>#NAME?</v>
      </c>
      <c r="CR222" s="30" t="e">
        <f t="shared" ca="1" si="2069"/>
        <v>#NAME?</v>
      </c>
      <c r="CS222" s="30" t="e">
        <f t="shared" ca="1" si="2069"/>
        <v>#NAME?</v>
      </c>
      <c r="CT222" s="30" t="e">
        <f t="shared" ca="1" si="2069"/>
        <v>#NAME?</v>
      </c>
      <c r="CU222" s="30" t="e">
        <f t="shared" ca="1" si="2069"/>
        <v>#NAME?</v>
      </c>
      <c r="CV222" s="30" t="e">
        <f t="shared" ca="1" si="2069"/>
        <v>#NAME?</v>
      </c>
      <c r="CW222" s="30" t="e">
        <f t="shared" ca="1" si="2069"/>
        <v>#NAME?</v>
      </c>
      <c r="CX222" s="30" t="e">
        <f t="shared" ca="1" si="2069"/>
        <v>#NAME?</v>
      </c>
      <c r="CY222" s="30" t="e">
        <f t="shared" ca="1" si="2069"/>
        <v>#NAME?</v>
      </c>
      <c r="CZ222" s="30" t="e">
        <f t="shared" ca="1" si="2069"/>
        <v>#NAME?</v>
      </c>
      <c r="DA222" s="30" t="e">
        <f t="shared" ca="1" si="2069"/>
        <v>#NAME?</v>
      </c>
      <c r="DB222" s="30" t="e">
        <f t="shared" ca="1" si="2069"/>
        <v>#NAME?</v>
      </c>
      <c r="DE222" s="139"/>
      <c r="DF222" s="28">
        <v>0</v>
      </c>
    </row>
    <row r="223" spans="1:110" s="23" customFormat="1" x14ac:dyDescent="0.2">
      <c r="AB223" s="24"/>
      <c r="AC223" s="24"/>
      <c r="AD223" s="24"/>
      <c r="AE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96</v>
      </c>
      <c r="C224" s="22" t="e">
        <f t="shared" ref="C224:W224" ca="1" si="2070">C210+C212</f>
        <v>#NAME?</v>
      </c>
      <c r="D224" s="22" t="e">
        <f t="shared" ca="1" si="2070"/>
        <v>#NAME?</v>
      </c>
      <c r="E224" s="22" t="e">
        <f t="shared" ca="1" si="2070"/>
        <v>#NAME?</v>
      </c>
      <c r="F224" s="22" t="e">
        <f t="shared" ca="1" si="2070"/>
        <v>#NAME?</v>
      </c>
      <c r="G224" s="22" t="e">
        <f t="shared" ca="1" si="2070"/>
        <v>#NAME?</v>
      </c>
      <c r="H224" s="22" t="e">
        <f t="shared" ca="1" si="2070"/>
        <v>#NAME?</v>
      </c>
      <c r="I224" s="22" t="e">
        <f t="shared" ca="1" si="2070"/>
        <v>#NAME?</v>
      </c>
      <c r="J224" s="22" t="e">
        <f ca="1">J210+J212</f>
        <v>#NAME?</v>
      </c>
      <c r="K224" s="22" t="e">
        <f t="shared" ca="1" si="2070"/>
        <v>#NAME?</v>
      </c>
      <c r="L224" s="22" t="e">
        <f t="shared" ca="1" si="2070"/>
        <v>#NAME?</v>
      </c>
      <c r="M224" s="22" t="e">
        <f t="shared" ca="1" si="2070"/>
        <v>#NAME?</v>
      </c>
      <c r="N224" s="22" t="e">
        <f t="shared" ca="1" si="2070"/>
        <v>#NAME?</v>
      </c>
      <c r="O224" s="22" t="e">
        <f t="shared" ca="1" si="2070"/>
        <v>#NAME?</v>
      </c>
      <c r="P224" s="22" t="e">
        <f t="shared" ca="1" si="2070"/>
        <v>#NAME?</v>
      </c>
      <c r="Q224" s="22" t="e">
        <f t="shared" ca="1" si="2070"/>
        <v>#NAME?</v>
      </c>
      <c r="R224" s="22" t="e">
        <f t="shared" ca="1" si="2070"/>
        <v>#NAME?</v>
      </c>
      <c r="S224" s="22" t="e">
        <f t="shared" ca="1" si="2070"/>
        <v>#NAME?</v>
      </c>
      <c r="T224" s="22" t="e">
        <f t="shared" ca="1" si="2070"/>
        <v>#NAME?</v>
      </c>
      <c r="U224" s="22" t="e">
        <f t="shared" ca="1" si="2070"/>
        <v>#NAME?</v>
      </c>
      <c r="V224" s="22" t="e">
        <f t="shared" ca="1" si="2070"/>
        <v>#NAME?</v>
      </c>
      <c r="W224" s="22" t="e">
        <f t="shared" ca="1" si="2070"/>
        <v>#NAME?</v>
      </c>
      <c r="X224" s="22" t="e">
        <f t="shared" ref="X224:Y224" ca="1" si="2071">X210+X212</f>
        <v>#NAME?</v>
      </c>
      <c r="Y224" s="22" t="e">
        <f t="shared" ca="1" si="2071"/>
        <v>#NAME?</v>
      </c>
      <c r="Z224" s="22" t="e">
        <f t="shared" ref="Z224:AA224" ca="1" si="2072">Z210+Z212</f>
        <v>#NAME?</v>
      </c>
      <c r="AA224" s="22" t="e">
        <f t="shared" ca="1" si="2072"/>
        <v>#NAME?</v>
      </c>
      <c r="AB224" s="21" t="e">
        <f t="shared" ref="AA224:AD224" ca="1" si="2073">AB210+AB212</f>
        <v>#NAME?</v>
      </c>
      <c r="AC224" s="21" t="e">
        <f t="shared" ca="1" si="2073"/>
        <v>#NAME?</v>
      </c>
      <c r="AD224" s="21" t="e">
        <f t="shared" ca="1" si="2073"/>
        <v>#NAME?</v>
      </c>
      <c r="AE224" s="21" t="e">
        <f t="shared" ref="AE224" ca="1" si="2074">AE210+AE212</f>
        <v>#NAME?</v>
      </c>
      <c r="AI224" s="22" t="e">
        <f t="shared" ref="AI224" ca="1" si="2075">AI210+AI212</f>
        <v>#NAME?</v>
      </c>
      <c r="AJ224" s="22" t="e">
        <f t="shared" ref="AJ224:AL224" ca="1" si="2076">AJ210+AJ212</f>
        <v>#NAME?</v>
      </c>
      <c r="AK224" s="22" t="e">
        <f t="shared" ca="1" si="2076"/>
        <v>#NAME?</v>
      </c>
      <c r="AL224" s="22" t="e">
        <f t="shared" ca="1" si="2076"/>
        <v>#NAME?</v>
      </c>
      <c r="AM224" s="22" t="e">
        <f t="shared" ref="AM224" ca="1" si="2077">AM210+AM212</f>
        <v>#NAME?</v>
      </c>
      <c r="AN224" s="22" t="e">
        <f t="shared" ref="AN224:CD224" ca="1" si="2078">AN210+AN212</f>
        <v>#NAME?</v>
      </c>
      <c r="AO224" s="22" t="e">
        <f t="shared" ca="1" si="2078"/>
        <v>#NAME?</v>
      </c>
      <c r="AP224" s="22" t="e">
        <f t="shared" ca="1" si="2078"/>
        <v>#NAME?</v>
      </c>
      <c r="AQ224" s="22" t="e">
        <f t="shared" ca="1" si="2078"/>
        <v>#NAME?</v>
      </c>
      <c r="AR224" s="22" t="e">
        <f t="shared" ca="1" si="2078"/>
        <v>#NAME?</v>
      </c>
      <c r="AS224" s="22" t="e">
        <f t="shared" ca="1" si="2078"/>
        <v>#NAME?</v>
      </c>
      <c r="AT224" s="22" t="e">
        <f t="shared" ca="1" si="2078"/>
        <v>#NAME?</v>
      </c>
      <c r="AU224" s="22" t="e">
        <f t="shared" ca="1" si="2078"/>
        <v>#NAME?</v>
      </c>
      <c r="AV224" s="22" t="e">
        <f t="shared" ca="1" si="2078"/>
        <v>#NAME?</v>
      </c>
      <c r="AW224" s="22" t="e">
        <f t="shared" ca="1" si="2078"/>
        <v>#NAME?</v>
      </c>
      <c r="AX224" s="22" t="e">
        <f t="shared" ca="1" si="2078"/>
        <v>#NAME?</v>
      </c>
      <c r="AY224" s="22" t="e">
        <f t="shared" ca="1" si="2078"/>
        <v>#NAME?</v>
      </c>
      <c r="AZ224" s="22" t="e">
        <f t="shared" ca="1" si="2078"/>
        <v>#NAME?</v>
      </c>
      <c r="BA224" s="22" t="e">
        <f t="shared" ca="1" si="2078"/>
        <v>#NAME?</v>
      </c>
      <c r="BB224" s="22" t="e">
        <f t="shared" ca="1" si="2078"/>
        <v>#NAME?</v>
      </c>
      <c r="BC224" s="22" t="e">
        <f t="shared" ca="1" si="2078"/>
        <v>#NAME?</v>
      </c>
      <c r="BD224" s="22" t="e">
        <f t="shared" ca="1" si="2078"/>
        <v>#NAME?</v>
      </c>
      <c r="BE224" s="22" t="e">
        <f t="shared" ca="1" si="2078"/>
        <v>#NAME?</v>
      </c>
      <c r="BF224" s="22" t="e">
        <f t="shared" ca="1" si="2078"/>
        <v>#NAME?</v>
      </c>
      <c r="BG224" s="22" t="e">
        <f t="shared" ca="1" si="2078"/>
        <v>#NAME?</v>
      </c>
      <c r="BH224" s="22" t="e">
        <f t="shared" ca="1" si="2078"/>
        <v>#NAME?</v>
      </c>
      <c r="BI224" s="22" t="e">
        <f t="shared" ca="1" si="2078"/>
        <v>#NAME?</v>
      </c>
      <c r="BJ224" s="22" t="e">
        <f t="shared" ca="1" si="2078"/>
        <v>#NAME?</v>
      </c>
      <c r="BK224" s="22" t="e">
        <f t="shared" ca="1" si="2078"/>
        <v>#NAME?</v>
      </c>
      <c r="BL224" s="22" t="e">
        <f t="shared" ca="1" si="2078"/>
        <v>#NAME?</v>
      </c>
      <c r="BM224" s="22" t="e">
        <f t="shared" ca="1" si="2078"/>
        <v>#NAME?</v>
      </c>
      <c r="BN224" s="22" t="e">
        <f t="shared" ca="1" si="2078"/>
        <v>#NAME?</v>
      </c>
      <c r="BO224" s="22" t="e">
        <f t="shared" ca="1" si="2078"/>
        <v>#NAME?</v>
      </c>
      <c r="BP224" s="22" t="e">
        <f t="shared" ca="1" si="2078"/>
        <v>#NAME?</v>
      </c>
      <c r="BQ224" s="22" t="e">
        <f t="shared" ca="1" si="2078"/>
        <v>#NAME?</v>
      </c>
      <c r="BR224" s="22" t="e">
        <f t="shared" ca="1" si="2078"/>
        <v>#NAME?</v>
      </c>
      <c r="BS224" s="22" t="e">
        <f t="shared" ca="1" si="2078"/>
        <v>#NAME?</v>
      </c>
      <c r="BT224" s="22" t="e">
        <f t="shared" ca="1" si="2078"/>
        <v>#NAME?</v>
      </c>
      <c r="BU224" s="22" t="e">
        <f t="shared" ca="1" si="2078"/>
        <v>#NAME?</v>
      </c>
      <c r="BV224" s="22" t="e">
        <f t="shared" ca="1" si="2078"/>
        <v>#NAME?</v>
      </c>
      <c r="BW224" s="22" t="e">
        <f t="shared" ca="1" si="2078"/>
        <v>#NAME?</v>
      </c>
      <c r="BX224" s="22" t="e">
        <f t="shared" ca="1" si="2078"/>
        <v>#NAME?</v>
      </c>
      <c r="BY224" s="22" t="e">
        <f t="shared" ca="1" si="2078"/>
        <v>#NAME?</v>
      </c>
      <c r="BZ224" s="22" t="e">
        <f t="shared" ca="1" si="2078"/>
        <v>#NAME?</v>
      </c>
      <c r="CA224" s="22" t="e">
        <f t="shared" ca="1" si="2078"/>
        <v>#NAME?</v>
      </c>
      <c r="CB224" s="22" t="e">
        <f t="shared" ca="1" si="2078"/>
        <v>#NAME?</v>
      </c>
      <c r="CC224" s="22" t="e">
        <f t="shared" ca="1" si="2078"/>
        <v>#NAME?</v>
      </c>
      <c r="CD224" s="22" t="e">
        <f t="shared" ca="1" si="2078"/>
        <v>#NAME?</v>
      </c>
      <c r="CE224" s="22" t="e">
        <f t="shared" ref="CE224:CF224" ca="1" si="2079">CE210+CE212</f>
        <v>#NAME?</v>
      </c>
      <c r="CF224" s="22" t="e">
        <f t="shared" ca="1" si="2079"/>
        <v>#NAME?</v>
      </c>
      <c r="CG224" s="22" t="e">
        <f t="shared" ref="CG224:CH224" ca="1" si="2080">CG210+CG212</f>
        <v>#NAME?</v>
      </c>
      <c r="CH224" s="22" t="e">
        <f t="shared" ca="1" si="2080"/>
        <v>#NAME?</v>
      </c>
      <c r="CI224" s="22" t="e">
        <f t="shared" ref="CI224:CJ224" ca="1" si="2081">CI210+CI212</f>
        <v>#NAME?</v>
      </c>
      <c r="CJ224" s="22" t="e">
        <f t="shared" ca="1" si="2081"/>
        <v>#NAME?</v>
      </c>
      <c r="CK224" s="22" t="e">
        <f t="shared" ref="CK224:DB224" ca="1" si="2082">CK210+CK212</f>
        <v>#NAME?</v>
      </c>
      <c r="CL224" s="22" t="e">
        <f t="shared" ca="1" si="2082"/>
        <v>#NAME?</v>
      </c>
      <c r="CM224" s="21" t="e">
        <f t="shared" ca="1" si="2082"/>
        <v>#NAME?</v>
      </c>
      <c r="CN224" s="21" t="e">
        <f t="shared" ca="1" si="2082"/>
        <v>#NAME?</v>
      </c>
      <c r="CO224" s="21" t="e">
        <f t="shared" ca="1" si="2082"/>
        <v>#NAME?</v>
      </c>
      <c r="CP224" s="21" t="e">
        <f t="shared" ca="1" si="2082"/>
        <v>#NAME?</v>
      </c>
      <c r="CQ224" s="21" t="e">
        <f t="shared" ca="1" si="2082"/>
        <v>#NAME?</v>
      </c>
      <c r="CR224" s="21" t="e">
        <f t="shared" ca="1" si="2082"/>
        <v>#NAME?</v>
      </c>
      <c r="CS224" s="21" t="e">
        <f t="shared" ca="1" si="2082"/>
        <v>#NAME?</v>
      </c>
      <c r="CT224" s="21" t="e">
        <f t="shared" ca="1" si="2082"/>
        <v>#NAME?</v>
      </c>
      <c r="CU224" s="21" t="e">
        <f t="shared" ca="1" si="2082"/>
        <v>#NAME?</v>
      </c>
      <c r="CV224" s="21" t="e">
        <f t="shared" ca="1" si="2082"/>
        <v>#NAME?</v>
      </c>
      <c r="CW224" s="21" t="e">
        <f t="shared" ca="1" si="2082"/>
        <v>#NAME?</v>
      </c>
      <c r="CX224" s="21" t="e">
        <f t="shared" ca="1" si="2082"/>
        <v>#NAME?</v>
      </c>
      <c r="CY224" s="21" t="e">
        <f t="shared" ca="1" si="2082"/>
        <v>#NAME?</v>
      </c>
      <c r="CZ224" s="21" t="e">
        <f t="shared" ca="1" si="2082"/>
        <v>#NAME?</v>
      </c>
      <c r="DA224" s="21" t="e">
        <f t="shared" ca="1" si="2082"/>
        <v>#NAME?</v>
      </c>
      <c r="DB224" s="21" t="e">
        <f t="shared" ca="1" si="2082"/>
        <v>#NAME?</v>
      </c>
      <c r="DE224" s="126"/>
      <c r="DF224" s="22">
        <v>-95.518899999999903</v>
      </c>
    </row>
    <row r="225" spans="1:110" x14ac:dyDescent="0.2">
      <c r="A225" s="152" t="s">
        <v>496</v>
      </c>
      <c r="AA225" s="2"/>
      <c r="DF225" s="111"/>
    </row>
    <row r="226" spans="1:110" x14ac:dyDescent="0.2">
      <c r="AA226" s="2"/>
      <c r="DF226" s="111"/>
    </row>
    <row r="227" spans="1:110" s="7" customFormat="1" hidden="1" outlineLevel="1" x14ac:dyDescent="0.2">
      <c r="A227" s="61" t="s">
        <v>97</v>
      </c>
      <c r="AB227" s="77"/>
      <c r="AC227" s="77"/>
      <c r="AD227" s="77"/>
      <c r="AE227" s="77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E227" s="138"/>
      <c r="DF227" s="115"/>
    </row>
    <row r="228" spans="1:110" s="62" customFormat="1" hidden="1" outlineLevel="1" x14ac:dyDescent="0.2">
      <c r="A228" s="62" t="s">
        <v>98</v>
      </c>
      <c r="AB228" s="63"/>
      <c r="AC228" s="63"/>
      <c r="AD228" s="63"/>
      <c r="AE228" s="63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  <c r="DF228" s="114"/>
    </row>
    <row r="229" spans="1:110" s="62" customFormat="1" hidden="1" outlineLevel="1" x14ac:dyDescent="0.2">
      <c r="A229" s="62" t="s">
        <v>99</v>
      </c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  <c r="DF229" s="114"/>
    </row>
    <row r="230" spans="1:110" s="62" customFormat="1" hidden="1" outlineLevel="1" x14ac:dyDescent="0.2">
      <c r="A230" s="62" t="s">
        <v>100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  <c r="DF230" s="114"/>
    </row>
    <row r="231" spans="1:110" s="62" customFormat="1" hidden="1" outlineLevel="1" x14ac:dyDescent="0.2">
      <c r="AB231" s="63"/>
      <c r="AC231" s="63"/>
      <c r="AD231" s="63"/>
      <c r="AE231" s="63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E231" s="139"/>
      <c r="DF231" s="114"/>
    </row>
    <row r="232" spans="1:110" s="62" customFormat="1" hidden="1" outlineLevel="1" x14ac:dyDescent="0.2">
      <c r="AB232" s="63"/>
      <c r="AC232" s="63"/>
      <c r="AD232" s="63"/>
      <c r="AE232" s="63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E232" s="139"/>
      <c r="DF232" s="114"/>
    </row>
    <row r="233" spans="1:110" s="62" customFormat="1" hidden="1" outlineLevel="1" x14ac:dyDescent="0.2"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  <c r="DF233" s="114"/>
    </row>
    <row r="234" spans="1:110" s="11" customFormat="1" collapsed="1" x14ac:dyDescent="0.2"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  <c r="DF234" s="198"/>
    </row>
    <row r="235" spans="1:110" s="83" customFormat="1" x14ac:dyDescent="0.2">
      <c r="A235" s="82" t="s">
        <v>101</v>
      </c>
      <c r="AB235" s="72"/>
      <c r="AC235" s="72"/>
      <c r="AD235" s="72"/>
      <c r="AE235" s="72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6" customFormat="1" x14ac:dyDescent="0.2">
      <c r="A236" s="66" t="s">
        <v>471</v>
      </c>
      <c r="AB236" s="50"/>
      <c r="AC236" s="50"/>
      <c r="AD236" s="50"/>
      <c r="AE236" s="50"/>
      <c r="AL236" s="66" t="e">
        <f t="shared" ref="AL236:BQ236" ca="1" si="2083">SUM(AI21:AL21)</f>
        <v>#NAME?</v>
      </c>
      <c r="AM236" s="66" t="e">
        <f t="shared" ca="1" si="2083"/>
        <v>#NAME?</v>
      </c>
      <c r="AN236" s="66" t="e">
        <f t="shared" ca="1" si="2083"/>
        <v>#NAME?</v>
      </c>
      <c r="AO236" s="66" t="e">
        <f t="shared" ca="1" si="2083"/>
        <v>#NAME?</v>
      </c>
      <c r="AP236" s="66" t="e">
        <f t="shared" ca="1" si="2083"/>
        <v>#NAME?</v>
      </c>
      <c r="AQ236" s="66" t="e">
        <f t="shared" ca="1" si="2083"/>
        <v>#NAME?</v>
      </c>
      <c r="AR236" s="66" t="e">
        <f t="shared" ca="1" si="2083"/>
        <v>#NAME?</v>
      </c>
      <c r="AS236" s="66" t="e">
        <f t="shared" ca="1" si="2083"/>
        <v>#NAME?</v>
      </c>
      <c r="AT236" s="66" t="e">
        <f t="shared" ca="1" si="2083"/>
        <v>#NAME?</v>
      </c>
      <c r="AU236" s="66" t="e">
        <f t="shared" ca="1" si="2083"/>
        <v>#NAME?</v>
      </c>
      <c r="AV236" s="66" t="e">
        <f t="shared" ca="1" si="2083"/>
        <v>#NAME?</v>
      </c>
      <c r="AW236" s="66" t="e">
        <f t="shared" ca="1" si="2083"/>
        <v>#NAME?</v>
      </c>
      <c r="AX236" s="66" t="e">
        <f t="shared" ca="1" si="2083"/>
        <v>#NAME?</v>
      </c>
      <c r="AY236" s="66" t="e">
        <f t="shared" ca="1" si="2083"/>
        <v>#NAME?</v>
      </c>
      <c r="AZ236" s="66" t="e">
        <f t="shared" ca="1" si="2083"/>
        <v>#NAME?</v>
      </c>
      <c r="BA236" s="66" t="e">
        <f t="shared" ca="1" si="2083"/>
        <v>#NAME?</v>
      </c>
      <c r="BB236" s="66" t="e">
        <f t="shared" ca="1" si="2083"/>
        <v>#NAME?</v>
      </c>
      <c r="BC236" s="66" t="e">
        <f t="shared" ca="1" si="2083"/>
        <v>#NAME?</v>
      </c>
      <c r="BD236" s="66" t="e">
        <f t="shared" ca="1" si="2083"/>
        <v>#NAME?</v>
      </c>
      <c r="BE236" s="66" t="e">
        <f t="shared" ca="1" si="2083"/>
        <v>#NAME?</v>
      </c>
      <c r="BF236" s="66" t="e">
        <f t="shared" ca="1" si="2083"/>
        <v>#NAME?</v>
      </c>
      <c r="BG236" s="66" t="e">
        <f t="shared" ca="1" si="2083"/>
        <v>#NAME?</v>
      </c>
      <c r="BH236" s="66" t="e">
        <f t="shared" ca="1" si="2083"/>
        <v>#NAME?</v>
      </c>
      <c r="BI236" s="66" t="e">
        <f t="shared" ca="1" si="2083"/>
        <v>#NAME?</v>
      </c>
      <c r="BJ236" s="66" t="e">
        <f t="shared" ca="1" si="2083"/>
        <v>#NAME?</v>
      </c>
      <c r="BK236" s="66" t="e">
        <f t="shared" ca="1" si="2083"/>
        <v>#NAME?</v>
      </c>
      <c r="BL236" s="66" t="e">
        <f t="shared" ca="1" si="2083"/>
        <v>#NAME?</v>
      </c>
      <c r="BM236" s="66" t="e">
        <f t="shared" ca="1" si="2083"/>
        <v>#NAME?</v>
      </c>
      <c r="BN236" s="66" t="e">
        <f t="shared" ca="1" si="2083"/>
        <v>#NAME?</v>
      </c>
      <c r="BO236" s="66" t="e">
        <f t="shared" ca="1" si="2083"/>
        <v>#NAME?</v>
      </c>
      <c r="BP236" s="66" t="e">
        <f t="shared" ca="1" si="2083"/>
        <v>#NAME?</v>
      </c>
      <c r="BQ236" s="66" t="e">
        <f t="shared" ca="1" si="2083"/>
        <v>#NAME?</v>
      </c>
      <c r="BR236" s="66" t="e">
        <f t="shared" ref="BR236:CW236" ca="1" si="2084">SUM(BO21:BR21)</f>
        <v>#NAME?</v>
      </c>
      <c r="BS236" s="66" t="e">
        <f t="shared" ca="1" si="2084"/>
        <v>#NAME?</v>
      </c>
      <c r="BT236" s="66" t="e">
        <f t="shared" ca="1" si="2084"/>
        <v>#NAME?</v>
      </c>
      <c r="BU236" s="66" t="e">
        <f t="shared" ca="1" si="2084"/>
        <v>#NAME?</v>
      </c>
      <c r="BV236" s="66" t="e">
        <f t="shared" ca="1" si="2084"/>
        <v>#NAME?</v>
      </c>
      <c r="BW236" s="66" t="e">
        <f t="shared" ca="1" si="2084"/>
        <v>#NAME?</v>
      </c>
      <c r="BX236" s="66" t="e">
        <f t="shared" ca="1" si="2084"/>
        <v>#NAME?</v>
      </c>
      <c r="BY236" s="66" t="e">
        <f t="shared" ca="1" si="2084"/>
        <v>#NAME?</v>
      </c>
      <c r="BZ236" s="66" t="e">
        <f t="shared" ca="1" si="2084"/>
        <v>#NAME?</v>
      </c>
      <c r="CA236" s="66" t="e">
        <f t="shared" ca="1" si="2084"/>
        <v>#NAME?</v>
      </c>
      <c r="CB236" s="66" t="e">
        <f t="shared" ca="1" si="2084"/>
        <v>#NAME?</v>
      </c>
      <c r="CC236" s="66" t="e">
        <f t="shared" ca="1" si="2084"/>
        <v>#NAME?</v>
      </c>
      <c r="CD236" s="66" t="e">
        <f t="shared" ca="1" si="2084"/>
        <v>#NAME?</v>
      </c>
      <c r="CE236" s="66" t="e">
        <f t="shared" ca="1" si="2084"/>
        <v>#NAME?</v>
      </c>
      <c r="CF236" s="66" t="e">
        <f t="shared" ca="1" si="2084"/>
        <v>#NAME?</v>
      </c>
      <c r="CG236" s="66" t="e">
        <f t="shared" ca="1" si="2084"/>
        <v>#NAME?</v>
      </c>
      <c r="CH236" s="66" t="e">
        <f t="shared" ca="1" si="2084"/>
        <v>#NAME?</v>
      </c>
      <c r="CI236" s="66" t="e">
        <f t="shared" ca="1" si="2084"/>
        <v>#NAME?</v>
      </c>
      <c r="CJ236" s="66" t="e">
        <f t="shared" ca="1" si="2084"/>
        <v>#NAME?</v>
      </c>
      <c r="CK236" s="66" t="e">
        <f t="shared" ca="1" si="2084"/>
        <v>#NAME?</v>
      </c>
      <c r="CL236" s="66" t="e">
        <f t="shared" ca="1" si="2084"/>
        <v>#NAME?</v>
      </c>
      <c r="CM236" s="50" t="e">
        <f t="shared" ca="1" si="2084"/>
        <v>#NAME?</v>
      </c>
      <c r="CN236" s="50" t="e">
        <f t="shared" ca="1" si="2084"/>
        <v>#NAME?</v>
      </c>
      <c r="CO236" s="50" t="e">
        <f t="shared" ca="1" si="2084"/>
        <v>#NAME?</v>
      </c>
      <c r="CP236" s="50">
        <f t="shared" si="2084"/>
        <v>838.2192</v>
      </c>
      <c r="CQ236" s="50">
        <f t="shared" si="2084"/>
        <v>886.36919999999998</v>
      </c>
      <c r="CR236" s="50">
        <f t="shared" si="2084"/>
        <v>945.19920000000002</v>
      </c>
      <c r="CS236" s="50">
        <f t="shared" si="2084"/>
        <v>1011.3492</v>
      </c>
      <c r="CT236" s="50">
        <f t="shared" si="2084"/>
        <v>1105.2606000000001</v>
      </c>
      <c r="CU236" s="50">
        <f t="shared" si="2084"/>
        <v>1171.3055999999999</v>
      </c>
      <c r="CV236" s="50">
        <f t="shared" si="2084"/>
        <v>1252.1226000000001</v>
      </c>
      <c r="CW236" s="50">
        <f t="shared" si="2084"/>
        <v>1343.3375999999998</v>
      </c>
      <c r="CX236" s="50">
        <f t="shared" ref="CX236:DB236" si="2085">SUM(CU21:CX21)</f>
        <v>1473.829248</v>
      </c>
      <c r="CY236" s="50">
        <f t="shared" si="2085"/>
        <v>1565.402748</v>
      </c>
      <c r="CZ236" s="50">
        <f t="shared" si="2085"/>
        <v>1677.6054479999998</v>
      </c>
      <c r="DA236" s="50">
        <f t="shared" si="2085"/>
        <v>1804.698948</v>
      </c>
      <c r="DB236" s="50">
        <f t="shared" si="2085"/>
        <v>1987.8161340000001</v>
      </c>
      <c r="DE236" s="138"/>
    </row>
    <row r="237" spans="1:110" s="66" customFormat="1" x14ac:dyDescent="0.2">
      <c r="A237" s="66" t="s">
        <v>472</v>
      </c>
      <c r="AB237" s="50"/>
      <c r="AC237" s="50"/>
      <c r="AD237" s="50"/>
      <c r="AE237" s="50"/>
      <c r="AL237" s="66" t="e">
        <f t="shared" ref="AL237:BQ237" ca="1" si="2086">SUM(AI39:AL39)</f>
        <v>#NAME?</v>
      </c>
      <c r="AM237" s="66" t="e">
        <f t="shared" ca="1" si="2086"/>
        <v>#NAME?</v>
      </c>
      <c r="AN237" s="66" t="e">
        <f t="shared" ca="1" si="2086"/>
        <v>#NAME?</v>
      </c>
      <c r="AO237" s="66" t="e">
        <f t="shared" ca="1" si="2086"/>
        <v>#NAME?</v>
      </c>
      <c r="AP237" s="66" t="e">
        <f t="shared" ca="1" si="2086"/>
        <v>#NAME?</v>
      </c>
      <c r="AQ237" s="66" t="e">
        <f t="shared" ca="1" si="2086"/>
        <v>#NAME?</v>
      </c>
      <c r="AR237" s="66" t="e">
        <f t="shared" ca="1" si="2086"/>
        <v>#NAME?</v>
      </c>
      <c r="AS237" s="66" t="e">
        <f t="shared" ca="1" si="2086"/>
        <v>#NAME?</v>
      </c>
      <c r="AT237" s="66" t="e">
        <f t="shared" ca="1" si="2086"/>
        <v>#NAME?</v>
      </c>
      <c r="AU237" s="66" t="e">
        <f t="shared" ca="1" si="2086"/>
        <v>#NAME?</v>
      </c>
      <c r="AV237" s="66" t="e">
        <f t="shared" ca="1" si="2086"/>
        <v>#NAME?</v>
      </c>
      <c r="AW237" s="66" t="e">
        <f t="shared" ca="1" si="2086"/>
        <v>#NAME?</v>
      </c>
      <c r="AX237" s="66" t="e">
        <f t="shared" ca="1" si="2086"/>
        <v>#NAME?</v>
      </c>
      <c r="AY237" s="66" t="e">
        <f t="shared" ca="1" si="2086"/>
        <v>#NAME?</v>
      </c>
      <c r="AZ237" s="66" t="e">
        <f t="shared" ca="1" si="2086"/>
        <v>#NAME?</v>
      </c>
      <c r="BA237" s="66" t="e">
        <f t="shared" ca="1" si="2086"/>
        <v>#NAME?</v>
      </c>
      <c r="BB237" s="66" t="e">
        <f t="shared" ca="1" si="2086"/>
        <v>#NAME?</v>
      </c>
      <c r="BC237" s="66" t="e">
        <f t="shared" ca="1" si="2086"/>
        <v>#NAME?</v>
      </c>
      <c r="BD237" s="66" t="e">
        <f t="shared" ca="1" si="2086"/>
        <v>#NAME?</v>
      </c>
      <c r="BE237" s="66" t="e">
        <f t="shared" ca="1" si="2086"/>
        <v>#NAME?</v>
      </c>
      <c r="BF237" s="66" t="e">
        <f t="shared" ca="1" si="2086"/>
        <v>#NAME?</v>
      </c>
      <c r="BG237" s="66" t="e">
        <f t="shared" ca="1" si="2086"/>
        <v>#NAME?</v>
      </c>
      <c r="BH237" s="66" t="e">
        <f t="shared" ca="1" si="2086"/>
        <v>#NAME?</v>
      </c>
      <c r="BI237" s="66" t="e">
        <f t="shared" ca="1" si="2086"/>
        <v>#NAME?</v>
      </c>
      <c r="BJ237" s="66" t="e">
        <f t="shared" ca="1" si="2086"/>
        <v>#NAME?</v>
      </c>
      <c r="BK237" s="66" t="e">
        <f t="shared" ca="1" si="2086"/>
        <v>#NAME?</v>
      </c>
      <c r="BL237" s="66" t="e">
        <f t="shared" ca="1" si="2086"/>
        <v>#NAME?</v>
      </c>
      <c r="BM237" s="66" t="e">
        <f t="shared" ca="1" si="2086"/>
        <v>#NAME?</v>
      </c>
      <c r="BN237" s="66" t="e">
        <f t="shared" ca="1" si="2086"/>
        <v>#NAME?</v>
      </c>
      <c r="BO237" s="66" t="e">
        <f t="shared" ca="1" si="2086"/>
        <v>#NAME?</v>
      </c>
      <c r="BP237" s="66" t="e">
        <f t="shared" ca="1" si="2086"/>
        <v>#NAME?</v>
      </c>
      <c r="BQ237" s="66" t="e">
        <f t="shared" ca="1" si="2086"/>
        <v>#NAME?</v>
      </c>
      <c r="BR237" s="66" t="e">
        <f t="shared" ref="BR237:CW237" ca="1" si="2087">SUM(BO39:BR39)</f>
        <v>#NAME?</v>
      </c>
      <c r="BS237" s="66" t="e">
        <f t="shared" ca="1" si="2087"/>
        <v>#NAME?</v>
      </c>
      <c r="BT237" s="66" t="e">
        <f t="shared" ca="1" si="2087"/>
        <v>#NAME?</v>
      </c>
      <c r="BU237" s="66" t="e">
        <f t="shared" ca="1" si="2087"/>
        <v>#NAME?</v>
      </c>
      <c r="BV237" s="66" t="e">
        <f t="shared" ca="1" si="2087"/>
        <v>#NAME?</v>
      </c>
      <c r="BW237" s="66" t="e">
        <f t="shared" ca="1" si="2087"/>
        <v>#NAME?</v>
      </c>
      <c r="BX237" s="66" t="e">
        <f t="shared" ca="1" si="2087"/>
        <v>#NAME?</v>
      </c>
      <c r="BY237" s="66" t="e">
        <f t="shared" ca="1" si="2087"/>
        <v>#NAME?</v>
      </c>
      <c r="BZ237" s="66" t="e">
        <f t="shared" ca="1" si="2087"/>
        <v>#NAME?</v>
      </c>
      <c r="CA237" s="66" t="e">
        <f t="shared" ca="1" si="2087"/>
        <v>#NAME?</v>
      </c>
      <c r="CB237" s="66" t="e">
        <f t="shared" ca="1" si="2087"/>
        <v>#NAME?</v>
      </c>
      <c r="CC237" s="66" t="e">
        <f t="shared" ca="1" si="2087"/>
        <v>#NAME?</v>
      </c>
      <c r="CD237" s="66" t="e">
        <f t="shared" ca="1" si="2087"/>
        <v>#NAME?</v>
      </c>
      <c r="CE237" s="66" t="e">
        <f t="shared" ca="1" si="2087"/>
        <v>#NAME?</v>
      </c>
      <c r="CF237" s="66" t="e">
        <f t="shared" ca="1" si="2087"/>
        <v>#NAME?</v>
      </c>
      <c r="CG237" s="66" t="e">
        <f t="shared" ca="1" si="2087"/>
        <v>#NAME?</v>
      </c>
      <c r="CH237" s="66" t="e">
        <f t="shared" ca="1" si="2087"/>
        <v>#NAME?</v>
      </c>
      <c r="CI237" s="66" t="e">
        <f t="shared" ca="1" si="2087"/>
        <v>#NAME?</v>
      </c>
      <c r="CJ237" s="66" t="e">
        <f t="shared" ca="1" si="2087"/>
        <v>#NAME?</v>
      </c>
      <c r="CK237" s="66" t="e">
        <f t="shared" ca="1" si="2087"/>
        <v>#NAME?</v>
      </c>
      <c r="CL237" s="66" t="e">
        <f t="shared" ca="1" si="2087"/>
        <v>#NAME?</v>
      </c>
      <c r="CM237" s="50" t="e">
        <f t="shared" ca="1" si="2087"/>
        <v>#NAME?</v>
      </c>
      <c r="CN237" s="50" t="e">
        <f t="shared" ca="1" si="2087"/>
        <v>#NAME?</v>
      </c>
      <c r="CO237" s="50" t="e">
        <f t="shared" ca="1" si="2087"/>
        <v>#NAME?</v>
      </c>
      <c r="CP237" s="50" t="e">
        <f t="shared" ca="1" si="2087"/>
        <v>#NAME?</v>
      </c>
      <c r="CQ237" s="50" t="e">
        <f t="shared" ca="1" si="2087"/>
        <v>#NAME?</v>
      </c>
      <c r="CR237" s="50" t="e">
        <f t="shared" ca="1" si="2087"/>
        <v>#NAME?</v>
      </c>
      <c r="CS237" s="50" t="e">
        <f t="shared" ca="1" si="2087"/>
        <v>#NAME?</v>
      </c>
      <c r="CT237" s="50" t="e">
        <f t="shared" ca="1" si="2087"/>
        <v>#NAME?</v>
      </c>
      <c r="CU237" s="50" t="e">
        <f t="shared" ca="1" si="2087"/>
        <v>#NAME?</v>
      </c>
      <c r="CV237" s="50" t="e">
        <f t="shared" ca="1" si="2087"/>
        <v>#NAME?</v>
      </c>
      <c r="CW237" s="50" t="e">
        <f t="shared" ca="1" si="2087"/>
        <v>#NAME?</v>
      </c>
      <c r="CX237" s="50" t="e">
        <f t="shared" ref="CX237:DB237" ca="1" si="2088">SUM(CU39:CX39)</f>
        <v>#NAME?</v>
      </c>
      <c r="CY237" s="50" t="e">
        <f t="shared" ca="1" si="2088"/>
        <v>#NAME?</v>
      </c>
      <c r="CZ237" s="50" t="e">
        <f t="shared" ca="1" si="2088"/>
        <v>#NAME?</v>
      </c>
      <c r="DA237" s="50" t="e">
        <f t="shared" ca="1" si="2088"/>
        <v>#NAME?</v>
      </c>
      <c r="DB237" s="50" t="e">
        <f t="shared" ca="1" si="2088"/>
        <v>#NAME?</v>
      </c>
      <c r="DE237" s="138"/>
    </row>
    <row r="238" spans="1:110" s="66" customFormat="1" x14ac:dyDescent="0.2">
      <c r="A238" s="66" t="s">
        <v>473</v>
      </c>
      <c r="AB238" s="50"/>
      <c r="AC238" s="50"/>
      <c r="AD238" s="50"/>
      <c r="AE238" s="50"/>
      <c r="AL238" s="66" t="e">
        <f t="shared" ref="AL238:BQ238" ca="1" si="2089">SUM(AI52:AL52)</f>
        <v>#NAME?</v>
      </c>
      <c r="AM238" s="66" t="e">
        <f t="shared" ca="1" si="2089"/>
        <v>#NAME?</v>
      </c>
      <c r="AN238" s="66" t="e">
        <f t="shared" ca="1" si="2089"/>
        <v>#NAME?</v>
      </c>
      <c r="AO238" s="66" t="e">
        <f t="shared" ca="1" si="2089"/>
        <v>#NAME?</v>
      </c>
      <c r="AP238" s="66" t="e">
        <f t="shared" ca="1" si="2089"/>
        <v>#NAME?</v>
      </c>
      <c r="AQ238" s="66" t="e">
        <f t="shared" ca="1" si="2089"/>
        <v>#NAME?</v>
      </c>
      <c r="AR238" s="66" t="e">
        <f t="shared" ca="1" si="2089"/>
        <v>#NAME?</v>
      </c>
      <c r="AS238" s="66" t="e">
        <f t="shared" ca="1" si="2089"/>
        <v>#NAME?</v>
      </c>
      <c r="AT238" s="66" t="e">
        <f t="shared" ca="1" si="2089"/>
        <v>#NAME?</v>
      </c>
      <c r="AU238" s="66" t="e">
        <f t="shared" ca="1" si="2089"/>
        <v>#NAME?</v>
      </c>
      <c r="AV238" s="66" t="e">
        <f t="shared" ca="1" si="2089"/>
        <v>#NAME?</v>
      </c>
      <c r="AW238" s="66" t="e">
        <f t="shared" ca="1" si="2089"/>
        <v>#NAME?</v>
      </c>
      <c r="AX238" s="66" t="e">
        <f t="shared" ca="1" si="2089"/>
        <v>#NAME?</v>
      </c>
      <c r="AY238" s="66" t="e">
        <f t="shared" ca="1" si="2089"/>
        <v>#NAME?</v>
      </c>
      <c r="AZ238" s="66" t="e">
        <f t="shared" ca="1" si="2089"/>
        <v>#NAME?</v>
      </c>
      <c r="BA238" s="66" t="e">
        <f t="shared" ca="1" si="2089"/>
        <v>#NAME?</v>
      </c>
      <c r="BB238" s="66" t="e">
        <f t="shared" ca="1" si="2089"/>
        <v>#NAME?</v>
      </c>
      <c r="BC238" s="66" t="e">
        <f t="shared" ca="1" si="2089"/>
        <v>#NAME?</v>
      </c>
      <c r="BD238" s="66" t="e">
        <f t="shared" ca="1" si="2089"/>
        <v>#NAME?</v>
      </c>
      <c r="BE238" s="66" t="e">
        <f t="shared" ca="1" si="2089"/>
        <v>#NAME?</v>
      </c>
      <c r="BF238" s="66" t="e">
        <f t="shared" ca="1" si="2089"/>
        <v>#NAME?</v>
      </c>
      <c r="BG238" s="66" t="e">
        <f t="shared" ca="1" si="2089"/>
        <v>#NAME?</v>
      </c>
      <c r="BH238" s="66" t="e">
        <f t="shared" ca="1" si="2089"/>
        <v>#NAME?</v>
      </c>
      <c r="BI238" s="66" t="e">
        <f t="shared" ca="1" si="2089"/>
        <v>#NAME?</v>
      </c>
      <c r="BJ238" s="66" t="e">
        <f t="shared" ca="1" si="2089"/>
        <v>#NAME?</v>
      </c>
      <c r="BK238" s="66" t="e">
        <f t="shared" ca="1" si="2089"/>
        <v>#NAME?</v>
      </c>
      <c r="BL238" s="66" t="e">
        <f t="shared" ca="1" si="2089"/>
        <v>#NAME?</v>
      </c>
      <c r="BM238" s="66" t="e">
        <f t="shared" ca="1" si="2089"/>
        <v>#NAME?</v>
      </c>
      <c r="BN238" s="66" t="e">
        <f t="shared" ca="1" si="2089"/>
        <v>#NAME?</v>
      </c>
      <c r="BO238" s="66" t="e">
        <f t="shared" ca="1" si="2089"/>
        <v>#NAME?</v>
      </c>
      <c r="BP238" s="66" t="e">
        <f t="shared" ca="1" si="2089"/>
        <v>#NAME?</v>
      </c>
      <c r="BQ238" s="66" t="e">
        <f t="shared" ca="1" si="2089"/>
        <v>#NAME?</v>
      </c>
      <c r="BR238" s="66" t="e">
        <f t="shared" ref="BR238:CW238" ca="1" si="2090">SUM(BO52:BR52)</f>
        <v>#NAME?</v>
      </c>
      <c r="BS238" s="66" t="e">
        <f t="shared" ca="1" si="2090"/>
        <v>#NAME?</v>
      </c>
      <c r="BT238" s="66" t="e">
        <f t="shared" ca="1" si="2090"/>
        <v>#NAME?</v>
      </c>
      <c r="BU238" s="66" t="e">
        <f t="shared" ca="1" si="2090"/>
        <v>#NAME?</v>
      </c>
      <c r="BV238" s="66" t="e">
        <f t="shared" ca="1" si="2090"/>
        <v>#NAME?</v>
      </c>
      <c r="BW238" s="66" t="e">
        <f t="shared" ca="1" si="2090"/>
        <v>#NAME?</v>
      </c>
      <c r="BX238" s="66" t="e">
        <f t="shared" ca="1" si="2090"/>
        <v>#NAME?</v>
      </c>
      <c r="BY238" s="66" t="e">
        <f t="shared" ca="1" si="2090"/>
        <v>#NAME?</v>
      </c>
      <c r="BZ238" s="66" t="e">
        <f t="shared" ca="1" si="2090"/>
        <v>#NAME?</v>
      </c>
      <c r="CA238" s="66" t="e">
        <f t="shared" ca="1" si="2090"/>
        <v>#NAME?</v>
      </c>
      <c r="CB238" s="66" t="e">
        <f t="shared" ca="1" si="2090"/>
        <v>#NAME?</v>
      </c>
      <c r="CC238" s="66" t="e">
        <f t="shared" ca="1" si="2090"/>
        <v>#NAME?</v>
      </c>
      <c r="CD238" s="66" t="e">
        <f t="shared" ca="1" si="2090"/>
        <v>#NAME?</v>
      </c>
      <c r="CE238" s="66" t="e">
        <f t="shared" ca="1" si="2090"/>
        <v>#NAME?</v>
      </c>
      <c r="CF238" s="66" t="e">
        <f t="shared" ca="1" si="2090"/>
        <v>#NAME?</v>
      </c>
      <c r="CG238" s="66" t="e">
        <f t="shared" ca="1" si="2090"/>
        <v>#NAME?</v>
      </c>
      <c r="CH238" s="66" t="e">
        <f t="shared" ca="1" si="2090"/>
        <v>#NAME?</v>
      </c>
      <c r="CI238" s="66" t="e">
        <f t="shared" ca="1" si="2090"/>
        <v>#NAME?</v>
      </c>
      <c r="CJ238" s="66" t="e">
        <f t="shared" ca="1" si="2090"/>
        <v>#NAME?</v>
      </c>
      <c r="CK238" s="66" t="e">
        <f t="shared" ca="1" si="2090"/>
        <v>#NAME?</v>
      </c>
      <c r="CL238" s="66" t="e">
        <f t="shared" ca="1" si="2090"/>
        <v>#NAME?</v>
      </c>
      <c r="CM238" s="50" t="e">
        <f t="shared" ca="1" si="2090"/>
        <v>#NAME?</v>
      </c>
      <c r="CN238" s="50" t="e">
        <f t="shared" ca="1" si="2090"/>
        <v>#NAME?</v>
      </c>
      <c r="CO238" s="50" t="e">
        <f t="shared" ca="1" si="2090"/>
        <v>#NAME?</v>
      </c>
      <c r="CP238" s="50" t="e">
        <f t="shared" ca="1" si="2090"/>
        <v>#NAME?</v>
      </c>
      <c r="CQ238" s="50" t="e">
        <f t="shared" ca="1" si="2090"/>
        <v>#NAME?</v>
      </c>
      <c r="CR238" s="50" t="e">
        <f t="shared" ca="1" si="2090"/>
        <v>#NAME?</v>
      </c>
      <c r="CS238" s="50" t="e">
        <f t="shared" ca="1" si="2090"/>
        <v>#NAME?</v>
      </c>
      <c r="CT238" s="50" t="e">
        <f t="shared" ca="1" si="2090"/>
        <v>#NAME?</v>
      </c>
      <c r="CU238" s="50" t="e">
        <f t="shared" ca="1" si="2090"/>
        <v>#NAME?</v>
      </c>
      <c r="CV238" s="50" t="e">
        <f t="shared" ca="1" si="2090"/>
        <v>#NAME?</v>
      </c>
      <c r="CW238" s="50" t="e">
        <f t="shared" ca="1" si="2090"/>
        <v>#NAME?</v>
      </c>
      <c r="CX238" s="50" t="e">
        <f t="shared" ref="CX238:DB238" ca="1" si="2091">SUM(CU52:CX52)</f>
        <v>#NAME?</v>
      </c>
      <c r="CY238" s="50" t="e">
        <f t="shared" ca="1" si="2091"/>
        <v>#NAME?</v>
      </c>
      <c r="CZ238" s="50" t="e">
        <f t="shared" ca="1" si="2091"/>
        <v>#NAME?</v>
      </c>
      <c r="DA238" s="50" t="e">
        <f t="shared" ca="1" si="2091"/>
        <v>#NAME?</v>
      </c>
      <c r="DB238" s="50" t="e">
        <f t="shared" ca="1" si="2091"/>
        <v>#NAME?</v>
      </c>
      <c r="DE238" s="138"/>
    </row>
    <row r="239" spans="1:110" s="93" customFormat="1" x14ac:dyDescent="0.2">
      <c r="AB239" s="30"/>
      <c r="AC239" s="30"/>
      <c r="AD239" s="30"/>
      <c r="AE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11" customFormat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198"/>
    </row>
    <row r="241" spans="1:110" s="62" customFormat="1" hidden="1" outlineLevel="1" x14ac:dyDescent="0.2">
      <c r="A241" s="61" t="s">
        <v>339</v>
      </c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14"/>
    </row>
    <row r="242" spans="1:110" s="64" customFormat="1" hidden="1" outlineLevel="1" x14ac:dyDescent="0.2">
      <c r="A242" s="64" t="s">
        <v>474</v>
      </c>
      <c r="B242" s="64" t="e">
        <f t="shared" ref="B242:Z242" ca="1" si="2092">B19-B248</f>
        <v>#NAME?</v>
      </c>
      <c r="C242" s="64" t="e">
        <f t="shared" ca="1" si="2092"/>
        <v>#NAME?</v>
      </c>
      <c r="D242" s="64" t="e">
        <f t="shared" ca="1" si="2092"/>
        <v>#NAME?</v>
      </c>
      <c r="E242" s="64" t="e">
        <f t="shared" ca="1" si="2092"/>
        <v>#NAME?</v>
      </c>
      <c r="F242" s="64" t="e">
        <f t="shared" ca="1" si="2092"/>
        <v>#NAME?</v>
      </c>
      <c r="G242" s="64" t="e">
        <f t="shared" ca="1" si="2092"/>
        <v>#NAME?</v>
      </c>
      <c r="H242" s="64" t="e">
        <f t="shared" ca="1" si="2092"/>
        <v>#NAME?</v>
      </c>
      <c r="I242" s="64" t="e">
        <f t="shared" ca="1" si="2092"/>
        <v>#NAME?</v>
      </c>
      <c r="J242" s="64" t="e">
        <f t="shared" ca="1" si="2092"/>
        <v>#NAME?</v>
      </c>
      <c r="K242" s="64" t="e">
        <f t="shared" ca="1" si="2092"/>
        <v>#NAME?</v>
      </c>
      <c r="L242" s="64" t="e">
        <f t="shared" ca="1" si="2092"/>
        <v>#NAME?</v>
      </c>
      <c r="M242" s="64" t="e">
        <f t="shared" ca="1" si="2092"/>
        <v>#NAME?</v>
      </c>
      <c r="N242" s="64" t="e">
        <f t="shared" ca="1" si="2092"/>
        <v>#NAME?</v>
      </c>
      <c r="O242" s="64" t="e">
        <f t="shared" ca="1" si="2092"/>
        <v>#NAME?</v>
      </c>
      <c r="P242" s="64" t="e">
        <f t="shared" ca="1" si="2092"/>
        <v>#NAME?</v>
      </c>
      <c r="Q242" s="64" t="e">
        <f t="shared" ca="1" si="2092"/>
        <v>#NAME?</v>
      </c>
      <c r="R242" s="64" t="e">
        <f t="shared" ca="1" si="2092"/>
        <v>#NAME?</v>
      </c>
      <c r="S242" s="64" t="e">
        <f t="shared" ca="1" si="2092"/>
        <v>#NAME?</v>
      </c>
      <c r="T242" s="64" t="e">
        <f t="shared" ca="1" si="2092"/>
        <v>#NAME?</v>
      </c>
      <c r="U242" s="64" t="e">
        <f t="shared" ca="1" si="2092"/>
        <v>#NAME?</v>
      </c>
      <c r="V242" s="64" t="e">
        <f t="shared" ca="1" si="2092"/>
        <v>#NAME?</v>
      </c>
      <c r="W242" s="64" t="e">
        <f t="shared" ca="1" si="2092"/>
        <v>#NAME?</v>
      </c>
      <c r="X242" s="64" t="e">
        <f t="shared" ca="1" si="2092"/>
        <v>#NAME?</v>
      </c>
      <c r="Y242" s="64" t="e">
        <f t="shared" ca="1" si="2092"/>
        <v>#NAME?</v>
      </c>
      <c r="Z242" s="64" t="e">
        <f t="shared" ca="1" si="2092"/>
        <v>#NAME?</v>
      </c>
      <c r="AA242" s="64" t="e">
        <f t="shared" ref="AA242" ca="1" si="2093">AA19-AA248</f>
        <v>#NAME?</v>
      </c>
      <c r="AB242" s="30"/>
      <c r="AC242" s="30"/>
      <c r="AD242" s="30"/>
      <c r="AE242" s="30"/>
      <c r="AI242" s="64" t="e">
        <f t="shared" ref="AI242:BN242" ca="1" si="2094">AI19-AI248</f>
        <v>#NAME?</v>
      </c>
      <c r="AJ242" s="64" t="e">
        <f t="shared" ca="1" si="2094"/>
        <v>#NAME?</v>
      </c>
      <c r="AK242" s="64" t="e">
        <f t="shared" ca="1" si="2094"/>
        <v>#NAME?</v>
      </c>
      <c r="AL242" s="64" t="e">
        <f t="shared" ca="1" si="2094"/>
        <v>#NAME?</v>
      </c>
      <c r="AM242" s="64" t="e">
        <f t="shared" ca="1" si="2094"/>
        <v>#NAME?</v>
      </c>
      <c r="AN242" s="64" t="e">
        <f t="shared" ca="1" si="2094"/>
        <v>#NAME?</v>
      </c>
      <c r="AO242" s="64" t="e">
        <f t="shared" ca="1" si="2094"/>
        <v>#NAME?</v>
      </c>
      <c r="AP242" s="64" t="e">
        <f t="shared" ca="1" si="2094"/>
        <v>#NAME?</v>
      </c>
      <c r="AQ242" s="64" t="e">
        <f t="shared" ca="1" si="2094"/>
        <v>#NAME?</v>
      </c>
      <c r="AR242" s="64" t="e">
        <f t="shared" ca="1" si="2094"/>
        <v>#NAME?</v>
      </c>
      <c r="AS242" s="64" t="e">
        <f t="shared" ca="1" si="2094"/>
        <v>#NAME?</v>
      </c>
      <c r="AT242" s="64" t="e">
        <f t="shared" ca="1" si="2094"/>
        <v>#NAME?</v>
      </c>
      <c r="AU242" s="64" t="e">
        <f t="shared" ca="1" si="2094"/>
        <v>#NAME?</v>
      </c>
      <c r="AV242" s="64" t="e">
        <f t="shared" ca="1" si="2094"/>
        <v>#NAME?</v>
      </c>
      <c r="AW242" s="64" t="e">
        <f t="shared" ca="1" si="2094"/>
        <v>#NAME?</v>
      </c>
      <c r="AX242" s="64" t="e">
        <f t="shared" ca="1" si="2094"/>
        <v>#NAME?</v>
      </c>
      <c r="AY242" s="64" t="e">
        <f t="shared" ca="1" si="2094"/>
        <v>#NAME?</v>
      </c>
      <c r="AZ242" s="64" t="e">
        <f t="shared" ca="1" si="2094"/>
        <v>#NAME?</v>
      </c>
      <c r="BA242" s="64" t="e">
        <f t="shared" ca="1" si="2094"/>
        <v>#NAME?</v>
      </c>
      <c r="BB242" s="64" t="e">
        <f t="shared" ca="1" si="2094"/>
        <v>#NAME?</v>
      </c>
      <c r="BC242" s="64" t="e">
        <f t="shared" ca="1" si="2094"/>
        <v>#NAME?</v>
      </c>
      <c r="BD242" s="64" t="e">
        <f t="shared" ca="1" si="2094"/>
        <v>#NAME?</v>
      </c>
      <c r="BE242" s="64" t="e">
        <f t="shared" ca="1" si="2094"/>
        <v>#NAME?</v>
      </c>
      <c r="BF242" s="64" t="e">
        <f t="shared" ca="1" si="2094"/>
        <v>#NAME?</v>
      </c>
      <c r="BG242" s="64" t="e">
        <f t="shared" ca="1" si="2094"/>
        <v>#NAME?</v>
      </c>
      <c r="BH242" s="64" t="e">
        <f t="shared" ca="1" si="2094"/>
        <v>#NAME?</v>
      </c>
      <c r="BI242" s="64" t="e">
        <f t="shared" ca="1" si="2094"/>
        <v>#NAME?</v>
      </c>
      <c r="BJ242" s="64" t="e">
        <f t="shared" ca="1" si="2094"/>
        <v>#NAME?</v>
      </c>
      <c r="BK242" s="64" t="e">
        <f t="shared" ca="1" si="2094"/>
        <v>#NAME?</v>
      </c>
      <c r="BL242" s="64" t="e">
        <f t="shared" ca="1" si="2094"/>
        <v>#NAME?</v>
      </c>
      <c r="BM242" s="64" t="e">
        <f t="shared" ca="1" si="2094"/>
        <v>#NAME?</v>
      </c>
      <c r="BN242" s="64" t="e">
        <f t="shared" ca="1" si="2094"/>
        <v>#NAME?</v>
      </c>
      <c r="BO242" s="64" t="e">
        <f t="shared" ref="BO242:CT242" ca="1" si="2095">BO19-BO248</f>
        <v>#NAME?</v>
      </c>
      <c r="BP242" s="64" t="e">
        <f t="shared" ca="1" si="2095"/>
        <v>#NAME?</v>
      </c>
      <c r="BQ242" s="64" t="e">
        <f t="shared" ca="1" si="2095"/>
        <v>#NAME?</v>
      </c>
      <c r="BR242" s="64" t="e">
        <f t="shared" ca="1" si="2095"/>
        <v>#NAME?</v>
      </c>
      <c r="BS242" s="64" t="e">
        <f t="shared" ca="1" si="2095"/>
        <v>#NAME?</v>
      </c>
      <c r="BT242" s="64" t="e">
        <f t="shared" ca="1" si="2095"/>
        <v>#NAME?</v>
      </c>
      <c r="BU242" s="64" t="e">
        <f t="shared" ca="1" si="2095"/>
        <v>#NAME?</v>
      </c>
      <c r="BV242" s="64" t="e">
        <f t="shared" ca="1" si="2095"/>
        <v>#NAME?</v>
      </c>
      <c r="BW242" s="64" t="e">
        <f t="shared" ca="1" si="2095"/>
        <v>#NAME?</v>
      </c>
      <c r="BX242" s="64" t="e">
        <f t="shared" ca="1" si="2095"/>
        <v>#NAME?</v>
      </c>
      <c r="BY242" s="64" t="e">
        <f t="shared" ca="1" si="2095"/>
        <v>#NAME?</v>
      </c>
      <c r="BZ242" s="64" t="e">
        <f t="shared" ca="1" si="2095"/>
        <v>#NAME?</v>
      </c>
      <c r="CA242" s="64" t="e">
        <f t="shared" ca="1" si="2095"/>
        <v>#NAME?</v>
      </c>
      <c r="CB242" s="64" t="e">
        <f t="shared" ca="1" si="2095"/>
        <v>#NAME?</v>
      </c>
      <c r="CC242" s="64" t="e">
        <f t="shared" ca="1" si="2095"/>
        <v>#NAME?</v>
      </c>
      <c r="CD242" s="64" t="e">
        <f t="shared" ca="1" si="2095"/>
        <v>#NAME?</v>
      </c>
      <c r="CE242" s="64" t="e">
        <f t="shared" ca="1" si="2095"/>
        <v>#NAME?</v>
      </c>
      <c r="CF242" s="64" t="e">
        <f t="shared" ca="1" si="2095"/>
        <v>#NAME?</v>
      </c>
      <c r="CG242" s="64">
        <f t="shared" si="2095"/>
        <v>102.69699999999999</v>
      </c>
      <c r="CH242" s="64" t="e">
        <f t="shared" ca="1" si="2095"/>
        <v>#NAME?</v>
      </c>
      <c r="CI242" s="64" t="e">
        <f t="shared" ca="1" si="2095"/>
        <v>#NAME?</v>
      </c>
      <c r="CJ242" s="64" t="e">
        <f t="shared" ca="1" si="2095"/>
        <v>#NAME?</v>
      </c>
      <c r="CK242" s="64" t="e">
        <f t="shared" ca="1" si="2095"/>
        <v>#NAME?</v>
      </c>
      <c r="CL242" s="64" t="e">
        <f t="shared" ca="1" si="2095"/>
        <v>#NAME?</v>
      </c>
      <c r="CM242" s="30">
        <f t="shared" si="2095"/>
        <v>155.5</v>
      </c>
      <c r="CN242" s="30">
        <f t="shared" si="2095"/>
        <v>188.3</v>
      </c>
      <c r="CO242" s="30">
        <f t="shared" si="2095"/>
        <v>208.5</v>
      </c>
      <c r="CP242" s="30">
        <f t="shared" si="2095"/>
        <v>285.91919999999999</v>
      </c>
      <c r="CQ242" s="30">
        <f t="shared" si="2095"/>
        <v>203.65</v>
      </c>
      <c r="CR242" s="30">
        <f t="shared" si="2095"/>
        <v>247.13</v>
      </c>
      <c r="CS242" s="30">
        <f t="shared" si="2095"/>
        <v>274.64999999999998</v>
      </c>
      <c r="CT242" s="30">
        <f t="shared" si="2095"/>
        <v>379.8306</v>
      </c>
      <c r="CU242" s="30">
        <f t="shared" ref="CU242:DB242" si="2096">CU19-CU248</f>
        <v>269.69499999999999</v>
      </c>
      <c r="CV242" s="30">
        <f t="shared" si="2096"/>
        <v>327.947</v>
      </c>
      <c r="CW242" s="30">
        <f t="shared" si="2096"/>
        <v>365.86500000000001</v>
      </c>
      <c r="CX242" s="30">
        <f t="shared" si="2096"/>
        <v>510.32224799999995</v>
      </c>
      <c r="CY242" s="30">
        <f t="shared" si="2096"/>
        <v>361.26850000000002</v>
      </c>
      <c r="CZ242" s="30">
        <f t="shared" si="2096"/>
        <v>440.1497</v>
      </c>
      <c r="DA242" s="30">
        <f t="shared" si="2096"/>
        <v>492.95850000000002</v>
      </c>
      <c r="DB242" s="30">
        <f t="shared" si="2096"/>
        <v>693.43943400000001</v>
      </c>
      <c r="DE242" s="139"/>
    </row>
    <row r="243" spans="1:110" s="64" customFormat="1" hidden="1" outlineLevel="1" x14ac:dyDescent="0.2">
      <c r="A243" s="64" t="s">
        <v>475</v>
      </c>
      <c r="B243" s="64" t="e">
        <f t="shared" ref="B243:Z243" ca="1" si="2097">B39-B249</f>
        <v>#NAME?</v>
      </c>
      <c r="C243" s="64" t="e">
        <f t="shared" ca="1" si="2097"/>
        <v>#NAME?</v>
      </c>
      <c r="D243" s="64" t="e">
        <f t="shared" ca="1" si="2097"/>
        <v>#NAME?</v>
      </c>
      <c r="E243" s="64" t="e">
        <f t="shared" ca="1" si="2097"/>
        <v>#NAME?</v>
      </c>
      <c r="F243" s="64" t="e">
        <f t="shared" ca="1" si="2097"/>
        <v>#NAME?</v>
      </c>
      <c r="G243" s="64" t="e">
        <f t="shared" ca="1" si="2097"/>
        <v>#NAME?</v>
      </c>
      <c r="H243" s="64" t="e">
        <f t="shared" ca="1" si="2097"/>
        <v>#NAME?</v>
      </c>
      <c r="I243" s="64" t="e">
        <f t="shared" ca="1" si="2097"/>
        <v>#NAME?</v>
      </c>
      <c r="J243" s="64" t="e">
        <f t="shared" ca="1" si="2097"/>
        <v>#NAME?</v>
      </c>
      <c r="K243" s="64" t="e">
        <f t="shared" ca="1" si="2097"/>
        <v>#NAME?</v>
      </c>
      <c r="L243" s="64" t="e">
        <f t="shared" ca="1" si="2097"/>
        <v>#NAME?</v>
      </c>
      <c r="M243" s="64" t="e">
        <f t="shared" ca="1" si="2097"/>
        <v>#NAME?</v>
      </c>
      <c r="N243" s="64" t="e">
        <f t="shared" ca="1" si="2097"/>
        <v>#NAME?</v>
      </c>
      <c r="O243" s="64" t="e">
        <f t="shared" ca="1" si="2097"/>
        <v>#NAME?</v>
      </c>
      <c r="P243" s="64" t="e">
        <f t="shared" ca="1" si="2097"/>
        <v>#NAME?</v>
      </c>
      <c r="Q243" s="64" t="e">
        <f t="shared" ca="1" si="2097"/>
        <v>#NAME?</v>
      </c>
      <c r="R243" s="64" t="e">
        <f t="shared" ca="1" si="2097"/>
        <v>#NAME?</v>
      </c>
      <c r="S243" s="64" t="e">
        <f t="shared" ca="1" si="2097"/>
        <v>#NAME?</v>
      </c>
      <c r="T243" s="64" t="e">
        <f t="shared" ca="1" si="2097"/>
        <v>#NAME?</v>
      </c>
      <c r="U243" s="64" t="e">
        <f t="shared" ca="1" si="2097"/>
        <v>#NAME?</v>
      </c>
      <c r="V243" s="64" t="e">
        <f t="shared" ca="1" si="2097"/>
        <v>#NAME?</v>
      </c>
      <c r="W243" s="64" t="e">
        <f t="shared" ca="1" si="2097"/>
        <v>#NAME?</v>
      </c>
      <c r="X243" s="64" t="e">
        <f t="shared" ca="1" si="2097"/>
        <v>#NAME?</v>
      </c>
      <c r="Y243" s="64" t="e">
        <f t="shared" ca="1" si="2097"/>
        <v>#NAME?</v>
      </c>
      <c r="Z243" s="64" t="e">
        <f t="shared" ca="1" si="2097"/>
        <v>#NAME?</v>
      </c>
      <c r="AA243" s="64" t="e">
        <f t="shared" ref="AA243" ca="1" si="2098">AA39-AA249</f>
        <v>#NAME?</v>
      </c>
      <c r="AB243" s="30"/>
      <c r="AC243" s="30"/>
      <c r="AD243" s="30"/>
      <c r="AE243" s="30"/>
      <c r="AI243" s="64" t="e">
        <f t="shared" ref="AI243:BN243" ca="1" si="2099">AI39-AI249</f>
        <v>#NAME?</v>
      </c>
      <c r="AJ243" s="64" t="e">
        <f t="shared" ca="1" si="2099"/>
        <v>#NAME?</v>
      </c>
      <c r="AK243" s="64" t="e">
        <f t="shared" ca="1" si="2099"/>
        <v>#NAME?</v>
      </c>
      <c r="AL243" s="64" t="e">
        <f t="shared" ca="1" si="2099"/>
        <v>#NAME?</v>
      </c>
      <c r="AM243" s="64" t="e">
        <f t="shared" ca="1" si="2099"/>
        <v>#NAME?</v>
      </c>
      <c r="AN243" s="64" t="e">
        <f t="shared" ca="1" si="2099"/>
        <v>#NAME?</v>
      </c>
      <c r="AO243" s="64" t="e">
        <f t="shared" ca="1" si="2099"/>
        <v>#NAME?</v>
      </c>
      <c r="AP243" s="64" t="e">
        <f t="shared" ca="1" si="2099"/>
        <v>#NAME?</v>
      </c>
      <c r="AQ243" s="64" t="e">
        <f t="shared" ca="1" si="2099"/>
        <v>#NAME?</v>
      </c>
      <c r="AR243" s="64" t="e">
        <f t="shared" ca="1" si="2099"/>
        <v>#NAME?</v>
      </c>
      <c r="AS243" s="64" t="e">
        <f t="shared" ca="1" si="2099"/>
        <v>#NAME?</v>
      </c>
      <c r="AT243" s="64" t="e">
        <f t="shared" ca="1" si="2099"/>
        <v>#NAME?</v>
      </c>
      <c r="AU243" s="64" t="e">
        <f t="shared" ca="1" si="2099"/>
        <v>#NAME?</v>
      </c>
      <c r="AV243" s="64" t="e">
        <f t="shared" ca="1" si="2099"/>
        <v>#NAME?</v>
      </c>
      <c r="AW243" s="64" t="e">
        <f t="shared" ca="1" si="2099"/>
        <v>#NAME?</v>
      </c>
      <c r="AX243" s="64" t="e">
        <f t="shared" ca="1" si="2099"/>
        <v>#NAME?</v>
      </c>
      <c r="AY243" s="64" t="e">
        <f t="shared" ca="1" si="2099"/>
        <v>#NAME?</v>
      </c>
      <c r="AZ243" s="64" t="e">
        <f t="shared" ca="1" si="2099"/>
        <v>#NAME?</v>
      </c>
      <c r="BA243" s="64" t="e">
        <f t="shared" ca="1" si="2099"/>
        <v>#NAME?</v>
      </c>
      <c r="BB243" s="64" t="e">
        <f t="shared" ca="1" si="2099"/>
        <v>#NAME?</v>
      </c>
      <c r="BC243" s="64" t="e">
        <f t="shared" ca="1" si="2099"/>
        <v>#NAME?</v>
      </c>
      <c r="BD243" s="64" t="e">
        <f t="shared" ca="1" si="2099"/>
        <v>#NAME?</v>
      </c>
      <c r="BE243" s="64" t="e">
        <f t="shared" ca="1" si="2099"/>
        <v>#NAME?</v>
      </c>
      <c r="BF243" s="64" t="e">
        <f t="shared" ca="1" si="2099"/>
        <v>#NAME?</v>
      </c>
      <c r="BG243" s="64" t="e">
        <f t="shared" ca="1" si="2099"/>
        <v>#NAME?</v>
      </c>
      <c r="BH243" s="64" t="e">
        <f t="shared" ca="1" si="2099"/>
        <v>#NAME?</v>
      </c>
      <c r="BI243" s="64" t="e">
        <f t="shared" ca="1" si="2099"/>
        <v>#NAME?</v>
      </c>
      <c r="BJ243" s="64" t="e">
        <f t="shared" ca="1" si="2099"/>
        <v>#NAME?</v>
      </c>
      <c r="BK243" s="64" t="e">
        <f t="shared" ca="1" si="2099"/>
        <v>#NAME?</v>
      </c>
      <c r="BL243" s="64" t="e">
        <f t="shared" ca="1" si="2099"/>
        <v>#NAME?</v>
      </c>
      <c r="BM243" s="64" t="e">
        <f t="shared" ca="1" si="2099"/>
        <v>#NAME?</v>
      </c>
      <c r="BN243" s="64" t="e">
        <f t="shared" ca="1" si="2099"/>
        <v>#NAME?</v>
      </c>
      <c r="BO243" s="64" t="e">
        <f t="shared" ref="BO243:CT243" ca="1" si="2100">BO39-BO249</f>
        <v>#NAME?</v>
      </c>
      <c r="BP243" s="64" t="e">
        <f t="shared" ca="1" si="2100"/>
        <v>#NAME?</v>
      </c>
      <c r="BQ243" s="64" t="e">
        <f t="shared" ca="1" si="2100"/>
        <v>#NAME?</v>
      </c>
      <c r="BR243" s="64" t="e">
        <f t="shared" ca="1" si="2100"/>
        <v>#NAME?</v>
      </c>
      <c r="BS243" s="64" t="e">
        <f t="shared" ca="1" si="2100"/>
        <v>#NAME?</v>
      </c>
      <c r="BT243" s="64" t="e">
        <f t="shared" ca="1" si="2100"/>
        <v>#NAME?</v>
      </c>
      <c r="BU243" s="64" t="e">
        <f t="shared" ca="1" si="2100"/>
        <v>#NAME?</v>
      </c>
      <c r="BV243" s="64" t="e">
        <f t="shared" ca="1" si="2100"/>
        <v>#NAME?</v>
      </c>
      <c r="BW243" s="64" t="e">
        <f t="shared" ca="1" si="2100"/>
        <v>#NAME?</v>
      </c>
      <c r="BX243" s="64" t="e">
        <f t="shared" ca="1" si="2100"/>
        <v>#NAME?</v>
      </c>
      <c r="BY243" s="64" t="e">
        <f t="shared" ca="1" si="2100"/>
        <v>#NAME?</v>
      </c>
      <c r="BZ243" s="64" t="e">
        <f t="shared" ca="1" si="2100"/>
        <v>#NAME?</v>
      </c>
      <c r="CA243" s="64" t="e">
        <f t="shared" ca="1" si="2100"/>
        <v>#NAME?</v>
      </c>
      <c r="CB243" s="64" t="e">
        <f t="shared" ca="1" si="2100"/>
        <v>#NAME?</v>
      </c>
      <c r="CC243" s="64" t="e">
        <f t="shared" ca="1" si="2100"/>
        <v>#NAME?</v>
      </c>
      <c r="CD243" s="64" t="e">
        <f t="shared" ca="1" si="2100"/>
        <v>#NAME?</v>
      </c>
      <c r="CE243" s="64" t="e">
        <f t="shared" ca="1" si="2100"/>
        <v>#NAME?</v>
      </c>
      <c r="CF243" s="64" t="e">
        <f t="shared" ca="1" si="2100"/>
        <v>#NAME?</v>
      </c>
      <c r="CG243" s="64">
        <f t="shared" si="2100"/>
        <v>13.228999999999981</v>
      </c>
      <c r="CH243" s="64" t="e">
        <f t="shared" ca="1" si="2100"/>
        <v>#NAME?</v>
      </c>
      <c r="CI243" s="64" t="e">
        <f t="shared" ca="1" si="2100"/>
        <v>#NAME?</v>
      </c>
      <c r="CJ243" s="64" t="e">
        <f t="shared" ca="1" si="2100"/>
        <v>#NAME?</v>
      </c>
      <c r="CK243" s="64" t="e">
        <f t="shared" ca="1" si="2100"/>
        <v>#NAME?</v>
      </c>
      <c r="CL243" s="64" t="e">
        <f t="shared" ca="1" si="2100"/>
        <v>#NAME?</v>
      </c>
      <c r="CM243" s="30" t="e">
        <f t="shared" ca="1" si="2100"/>
        <v>#NAME?</v>
      </c>
      <c r="CN243" s="30" t="e">
        <f t="shared" ca="1" si="2100"/>
        <v>#NAME?</v>
      </c>
      <c r="CO243" s="30" t="e">
        <f t="shared" ca="1" si="2100"/>
        <v>#NAME?</v>
      </c>
      <c r="CP243" s="30" t="e">
        <f t="shared" ca="1" si="2100"/>
        <v>#NAME?</v>
      </c>
      <c r="CQ243" s="30" t="e">
        <f t="shared" ca="1" si="2100"/>
        <v>#NAME?</v>
      </c>
      <c r="CR243" s="30" t="e">
        <f t="shared" ca="1" si="2100"/>
        <v>#NAME?</v>
      </c>
      <c r="CS243" s="30" t="e">
        <f t="shared" ca="1" si="2100"/>
        <v>#NAME?</v>
      </c>
      <c r="CT243" s="30" t="e">
        <f t="shared" ca="1" si="2100"/>
        <v>#NAME?</v>
      </c>
      <c r="CU243" s="30" t="e">
        <f t="shared" ref="CU243:DB243" ca="1" si="2101">CU39-CU249</f>
        <v>#NAME?</v>
      </c>
      <c r="CV243" s="30" t="e">
        <f t="shared" ca="1" si="2101"/>
        <v>#NAME?</v>
      </c>
      <c r="CW243" s="30" t="e">
        <f t="shared" ca="1" si="2101"/>
        <v>#NAME?</v>
      </c>
      <c r="CX243" s="30" t="e">
        <f t="shared" ca="1" si="2101"/>
        <v>#NAME?</v>
      </c>
      <c r="CY243" s="30" t="e">
        <f t="shared" ca="1" si="2101"/>
        <v>#NAME?</v>
      </c>
      <c r="CZ243" s="30" t="e">
        <f t="shared" ca="1" si="2101"/>
        <v>#NAME?</v>
      </c>
      <c r="DA243" s="30" t="e">
        <f t="shared" ca="1" si="2101"/>
        <v>#NAME?</v>
      </c>
      <c r="DB243" s="30" t="e">
        <f t="shared" ca="1" si="2101"/>
        <v>#NAME?</v>
      </c>
      <c r="DE243" s="139"/>
    </row>
    <row r="244" spans="1:110" s="89" customFormat="1" hidden="1" outlineLevel="1" x14ac:dyDescent="0.2">
      <c r="A244" s="86" t="s">
        <v>476</v>
      </c>
      <c r="B244" s="86" t="e">
        <f ca="1">+B243/B242</f>
        <v>#NAME?</v>
      </c>
      <c r="C244" s="86" t="e">
        <f t="shared" ref="C244" ca="1" si="2102">+C243/C242</f>
        <v>#NAME?</v>
      </c>
      <c r="D244" s="86" t="e">
        <f t="shared" ref="D244" ca="1" si="2103">+D243/D242</f>
        <v>#NAME?</v>
      </c>
      <c r="E244" s="86" t="e">
        <f t="shared" ref="E244" ca="1" si="2104">+E243/E242</f>
        <v>#NAME?</v>
      </c>
      <c r="F244" s="86" t="e">
        <f t="shared" ref="F244" ca="1" si="2105">+F243/F242</f>
        <v>#NAME?</v>
      </c>
      <c r="G244" s="86" t="e">
        <f t="shared" ref="G244" ca="1" si="2106">+G243/G242</f>
        <v>#NAME?</v>
      </c>
      <c r="H244" s="86" t="e">
        <f t="shared" ref="H244" ca="1" si="2107">+H243/H242</f>
        <v>#NAME?</v>
      </c>
      <c r="I244" s="86" t="e">
        <f t="shared" ref="I244" ca="1" si="2108">+I243/I242</f>
        <v>#NAME?</v>
      </c>
      <c r="J244" s="86" t="e">
        <f t="shared" ref="J244" ca="1" si="2109">+J243/J242</f>
        <v>#NAME?</v>
      </c>
      <c r="K244" s="86" t="e">
        <f t="shared" ref="K244" ca="1" si="2110">+K243/K242</f>
        <v>#NAME?</v>
      </c>
      <c r="L244" s="86" t="e">
        <f t="shared" ref="L244" ca="1" si="2111">+L243/L242</f>
        <v>#NAME?</v>
      </c>
      <c r="M244" s="86" t="e">
        <f t="shared" ref="M244" ca="1" si="2112">+M243/M242</f>
        <v>#NAME?</v>
      </c>
      <c r="N244" s="86" t="e">
        <f t="shared" ref="N244" ca="1" si="2113">+N243/N242</f>
        <v>#NAME?</v>
      </c>
      <c r="O244" s="86" t="e">
        <f t="shared" ref="O244" ca="1" si="2114">+O243/O242</f>
        <v>#NAME?</v>
      </c>
      <c r="P244" s="86" t="e">
        <f t="shared" ref="P244" ca="1" si="2115">+P243/P242</f>
        <v>#NAME?</v>
      </c>
      <c r="Q244" s="86" t="e">
        <f t="shared" ref="Q244" ca="1" si="2116">+Q243/Q242</f>
        <v>#NAME?</v>
      </c>
      <c r="R244" s="86" t="e">
        <f t="shared" ref="R244" ca="1" si="2117">+R243/R242</f>
        <v>#NAME?</v>
      </c>
      <c r="S244" s="86" t="e">
        <f t="shared" ref="S244" ca="1" si="2118">+S243/S242</f>
        <v>#NAME?</v>
      </c>
      <c r="T244" s="86" t="e">
        <f t="shared" ref="T244" ca="1" si="2119">+T243/T242</f>
        <v>#NAME?</v>
      </c>
      <c r="U244" s="86" t="e">
        <f t="shared" ref="U244" ca="1" si="2120">+U243/U242</f>
        <v>#NAME?</v>
      </c>
      <c r="V244" s="86" t="e">
        <f t="shared" ref="V244" ca="1" si="2121">+V243/V242</f>
        <v>#NAME?</v>
      </c>
      <c r="W244" s="86" t="e">
        <f t="shared" ref="W244" ca="1" si="2122">+W243/W242</f>
        <v>#NAME?</v>
      </c>
      <c r="X244" s="86" t="e">
        <f t="shared" ref="X244:Y244" ca="1" si="2123">+X243/X242</f>
        <v>#NAME?</v>
      </c>
      <c r="Y244" s="86" t="e">
        <f t="shared" ca="1" si="2123"/>
        <v>#NAME?</v>
      </c>
      <c r="Z244" s="86" t="e">
        <f t="shared" ref="Z244:AA244" ca="1" si="2124">+Z243/Z242</f>
        <v>#NAME?</v>
      </c>
      <c r="AA244" s="86" t="e">
        <f t="shared" ca="1" si="2124"/>
        <v>#NAME?</v>
      </c>
      <c r="AB244" s="87"/>
      <c r="AC244" s="87"/>
      <c r="AD244" s="87"/>
      <c r="AE244" s="87"/>
      <c r="AF244" s="86"/>
      <c r="AG244" s="86"/>
      <c r="AH244" s="86"/>
      <c r="AI244" s="86" t="e">
        <f t="shared" ref="AI244" ca="1" si="2125">+AI243/AI242</f>
        <v>#NAME?</v>
      </c>
      <c r="AJ244" s="86" t="e">
        <f t="shared" ref="AJ244" ca="1" si="2126">+AJ243/AJ242</f>
        <v>#NAME?</v>
      </c>
      <c r="AK244" s="86" t="e">
        <f t="shared" ref="AK244" ca="1" si="2127">+AK243/AK242</f>
        <v>#NAME?</v>
      </c>
      <c r="AL244" s="86" t="e">
        <f t="shared" ref="AL244" ca="1" si="2128">+AL243/AL242</f>
        <v>#NAME?</v>
      </c>
      <c r="AM244" s="86" t="e">
        <f t="shared" ref="AM244" ca="1" si="2129">+AM243/AM242</f>
        <v>#NAME?</v>
      </c>
      <c r="AN244" s="86" t="e">
        <f t="shared" ref="AN244" ca="1" si="2130">+AN243/AN242</f>
        <v>#NAME?</v>
      </c>
      <c r="AO244" s="86" t="e">
        <f t="shared" ref="AO244" ca="1" si="2131">+AO243/AO242</f>
        <v>#NAME?</v>
      </c>
      <c r="AP244" s="86" t="e">
        <f t="shared" ref="AP244" ca="1" si="2132">+AP243/AP242</f>
        <v>#NAME?</v>
      </c>
      <c r="AQ244" s="86" t="e">
        <f t="shared" ref="AQ244" ca="1" si="2133">+AQ243/AQ242</f>
        <v>#NAME?</v>
      </c>
      <c r="AR244" s="86" t="e">
        <f t="shared" ref="AR244" ca="1" si="2134">+AR243/AR242</f>
        <v>#NAME?</v>
      </c>
      <c r="AS244" s="86" t="e">
        <f t="shared" ref="AS244" ca="1" si="2135">+AS243/AS242</f>
        <v>#NAME?</v>
      </c>
      <c r="AT244" s="86" t="e">
        <f t="shared" ref="AT244" ca="1" si="2136">+AT243/AT242</f>
        <v>#NAME?</v>
      </c>
      <c r="AU244" s="86" t="e">
        <f t="shared" ref="AU244" ca="1" si="2137">+AU243/AU242</f>
        <v>#NAME?</v>
      </c>
      <c r="AV244" s="86" t="e">
        <f t="shared" ref="AV244" ca="1" si="2138">+AV243/AV242</f>
        <v>#NAME?</v>
      </c>
      <c r="AW244" s="86" t="e">
        <f t="shared" ref="AW244" ca="1" si="2139">+AW243/AW242</f>
        <v>#NAME?</v>
      </c>
      <c r="AX244" s="86" t="e">
        <f t="shared" ref="AX244" ca="1" si="2140">+AX243/AX242</f>
        <v>#NAME?</v>
      </c>
      <c r="AY244" s="86" t="e">
        <f t="shared" ref="AY244" ca="1" si="2141">+AY243/AY242</f>
        <v>#NAME?</v>
      </c>
      <c r="AZ244" s="86" t="e">
        <f t="shared" ref="AZ244" ca="1" si="2142">+AZ243/AZ242</f>
        <v>#NAME?</v>
      </c>
      <c r="BA244" s="86" t="e">
        <f t="shared" ref="BA244" ca="1" si="2143">+BA243/BA242</f>
        <v>#NAME?</v>
      </c>
      <c r="BB244" s="86" t="e">
        <f t="shared" ref="BB244" ca="1" si="2144">+BB243/BB242</f>
        <v>#NAME?</v>
      </c>
      <c r="BC244" s="86" t="e">
        <f t="shared" ref="BC244" ca="1" si="2145">+BC243/BC242</f>
        <v>#NAME?</v>
      </c>
      <c r="BD244" s="86" t="e">
        <f t="shared" ref="BD244" ca="1" si="2146">+BD243/BD242</f>
        <v>#NAME?</v>
      </c>
      <c r="BE244" s="86" t="e">
        <f t="shared" ref="BE244" ca="1" si="2147">+BE243/BE242</f>
        <v>#NAME?</v>
      </c>
      <c r="BF244" s="86" t="e">
        <f t="shared" ref="BF244" ca="1" si="2148">+BF243/BF242</f>
        <v>#NAME?</v>
      </c>
      <c r="BG244" s="86" t="e">
        <f t="shared" ref="BG244" ca="1" si="2149">+BG243/BG242</f>
        <v>#NAME?</v>
      </c>
      <c r="BH244" s="86" t="e">
        <f t="shared" ref="BH244" ca="1" si="2150">+BH243/BH242</f>
        <v>#NAME?</v>
      </c>
      <c r="BI244" s="86" t="e">
        <f t="shared" ref="BI244" ca="1" si="2151">+BI243/BI242</f>
        <v>#NAME?</v>
      </c>
      <c r="BJ244" s="86" t="e">
        <f t="shared" ref="BJ244" ca="1" si="2152">+BJ243/BJ242</f>
        <v>#NAME?</v>
      </c>
      <c r="BK244" s="86" t="e">
        <f t="shared" ref="BK244" ca="1" si="2153">+BK243/BK242</f>
        <v>#NAME?</v>
      </c>
      <c r="BL244" s="86" t="e">
        <f t="shared" ref="BL244" ca="1" si="2154">+BL243/BL242</f>
        <v>#NAME?</v>
      </c>
      <c r="BM244" s="86" t="e">
        <f t="shared" ref="BM244" ca="1" si="2155">+BM243/BM242</f>
        <v>#NAME?</v>
      </c>
      <c r="BN244" s="86" t="e">
        <f t="shared" ref="BN244" ca="1" si="2156">+BN243/BN242</f>
        <v>#NAME?</v>
      </c>
      <c r="BO244" s="86" t="e">
        <f t="shared" ref="BO244" ca="1" si="2157">+BO243/BO242</f>
        <v>#NAME?</v>
      </c>
      <c r="BP244" s="86" t="e">
        <f t="shared" ref="BP244" ca="1" si="2158">+BP243/BP242</f>
        <v>#NAME?</v>
      </c>
      <c r="BQ244" s="86" t="e">
        <f t="shared" ref="BQ244" ca="1" si="2159">+BQ243/BQ242</f>
        <v>#NAME?</v>
      </c>
      <c r="BR244" s="86" t="e">
        <f t="shared" ref="BR244" ca="1" si="2160">+BR243/BR242</f>
        <v>#NAME?</v>
      </c>
      <c r="BS244" s="86" t="e">
        <f t="shared" ref="BS244" ca="1" si="2161">+BS243/BS242</f>
        <v>#NAME?</v>
      </c>
      <c r="BT244" s="86" t="e">
        <f t="shared" ref="BT244" ca="1" si="2162">+BT243/BT242</f>
        <v>#NAME?</v>
      </c>
      <c r="BU244" s="86" t="e">
        <f t="shared" ref="BU244" ca="1" si="2163">+BU243/BU242</f>
        <v>#NAME?</v>
      </c>
      <c r="BV244" s="86" t="e">
        <f t="shared" ref="BV244" ca="1" si="2164">+BV243/BV242</f>
        <v>#NAME?</v>
      </c>
      <c r="BW244" s="86" t="e">
        <f t="shared" ref="BW244" ca="1" si="2165">+BW243/BW242</f>
        <v>#NAME?</v>
      </c>
      <c r="BX244" s="86" t="e">
        <f t="shared" ref="BX244" ca="1" si="2166">+BX243/BX242</f>
        <v>#NAME?</v>
      </c>
      <c r="BY244" s="86" t="e">
        <f t="shared" ref="BY244" ca="1" si="2167">+BY243/BY242</f>
        <v>#NAME?</v>
      </c>
      <c r="BZ244" s="86" t="e">
        <f t="shared" ref="BZ244" ca="1" si="2168">+BZ243/BZ242</f>
        <v>#NAME?</v>
      </c>
      <c r="CA244" s="86" t="e">
        <f t="shared" ref="CA244" ca="1" si="2169">+CA243/CA242</f>
        <v>#NAME?</v>
      </c>
      <c r="CB244" s="86" t="e">
        <f t="shared" ref="CB244:CC244" ca="1" si="2170">+CB243/CB242</f>
        <v>#NAME?</v>
      </c>
      <c r="CC244" s="86" t="e">
        <f t="shared" ca="1" si="2170"/>
        <v>#NAME?</v>
      </c>
      <c r="CD244" s="86" t="e">
        <f t="shared" ref="CD244" ca="1" si="2171">+CD243/CD242</f>
        <v>#NAME?</v>
      </c>
      <c r="CE244" s="86" t="e">
        <f t="shared" ref="CE244:CF244" ca="1" si="2172">+CE243/CE242</f>
        <v>#NAME?</v>
      </c>
      <c r="CF244" s="86" t="e">
        <f t="shared" ca="1" si="2172"/>
        <v>#NAME?</v>
      </c>
      <c r="CG244" s="86">
        <f t="shared" ref="CG244:CH244" si="2173">+CG243/CG242</f>
        <v>0.1288158368793634</v>
      </c>
      <c r="CH244" s="86" t="e">
        <f t="shared" ca="1" si="2173"/>
        <v>#NAME?</v>
      </c>
      <c r="CI244" s="86" t="e">
        <f t="shared" ref="CI244:CJ244" ca="1" si="2174">+CI243/CI242</f>
        <v>#NAME?</v>
      </c>
      <c r="CJ244" s="86" t="e">
        <f t="shared" ca="1" si="2174"/>
        <v>#NAME?</v>
      </c>
      <c r="CK244" s="86" t="e">
        <f t="shared" ref="CK244:DB244" ca="1" si="2175">+CK243/CK242</f>
        <v>#NAME?</v>
      </c>
      <c r="CL244" s="86" t="e">
        <f t="shared" ca="1" si="2175"/>
        <v>#NAME?</v>
      </c>
      <c r="CM244" s="47" t="e">
        <f t="shared" ca="1" si="2175"/>
        <v>#NAME?</v>
      </c>
      <c r="CN244" s="47" t="e">
        <f t="shared" ca="1" si="2175"/>
        <v>#NAME?</v>
      </c>
      <c r="CO244" s="47" t="e">
        <f t="shared" ca="1" si="2175"/>
        <v>#NAME?</v>
      </c>
      <c r="CP244" s="47" t="e">
        <f t="shared" ca="1" si="2175"/>
        <v>#NAME?</v>
      </c>
      <c r="CQ244" s="47" t="e">
        <f t="shared" ca="1" si="2175"/>
        <v>#NAME?</v>
      </c>
      <c r="CR244" s="47" t="e">
        <f t="shared" ca="1" si="2175"/>
        <v>#NAME?</v>
      </c>
      <c r="CS244" s="47" t="e">
        <f t="shared" ca="1" si="2175"/>
        <v>#NAME?</v>
      </c>
      <c r="CT244" s="47" t="e">
        <f t="shared" ca="1" si="2175"/>
        <v>#NAME?</v>
      </c>
      <c r="CU244" s="47" t="e">
        <f t="shared" ca="1" si="2175"/>
        <v>#NAME?</v>
      </c>
      <c r="CV244" s="47" t="e">
        <f t="shared" ca="1" si="2175"/>
        <v>#NAME?</v>
      </c>
      <c r="CW244" s="47" t="e">
        <f t="shared" ca="1" si="2175"/>
        <v>#NAME?</v>
      </c>
      <c r="CX244" s="47" t="e">
        <f t="shared" ca="1" si="2175"/>
        <v>#NAME?</v>
      </c>
      <c r="CY244" s="47" t="e">
        <f t="shared" ca="1" si="2175"/>
        <v>#NAME?</v>
      </c>
      <c r="CZ244" s="47" t="e">
        <f t="shared" ca="1" si="2175"/>
        <v>#NAME?</v>
      </c>
      <c r="DA244" s="47" t="e">
        <f t="shared" ca="1" si="2175"/>
        <v>#NAME?</v>
      </c>
      <c r="DB244" s="47" t="e">
        <f t="shared" ca="1" si="2175"/>
        <v>#NAME?</v>
      </c>
      <c r="DE244" s="130"/>
    </row>
    <row r="245" spans="1:110" s="64" customFormat="1" hidden="1" outlineLevel="1" x14ac:dyDescent="0.2">
      <c r="A245" s="64" t="s">
        <v>477</v>
      </c>
      <c r="B245" s="64" t="e">
        <f t="shared" ref="B245:Z245" ca="1" si="2176">B52-B251</f>
        <v>#NAME?</v>
      </c>
      <c r="C245" s="64" t="e">
        <f t="shared" ca="1" si="2176"/>
        <v>#NAME?</v>
      </c>
      <c r="D245" s="64" t="e">
        <f t="shared" ca="1" si="2176"/>
        <v>#NAME?</v>
      </c>
      <c r="E245" s="64" t="e">
        <f t="shared" ca="1" si="2176"/>
        <v>#NAME?</v>
      </c>
      <c r="F245" s="64" t="e">
        <f t="shared" ca="1" si="2176"/>
        <v>#NAME?</v>
      </c>
      <c r="G245" s="64" t="e">
        <f t="shared" ca="1" si="2176"/>
        <v>#NAME?</v>
      </c>
      <c r="H245" s="64" t="e">
        <f t="shared" ca="1" si="2176"/>
        <v>#NAME?</v>
      </c>
      <c r="I245" s="64" t="e">
        <f t="shared" ca="1" si="2176"/>
        <v>#NAME?</v>
      </c>
      <c r="J245" s="64" t="e">
        <f t="shared" ca="1" si="2176"/>
        <v>#NAME?</v>
      </c>
      <c r="K245" s="64" t="e">
        <f t="shared" ca="1" si="2176"/>
        <v>#NAME?</v>
      </c>
      <c r="L245" s="64" t="e">
        <f t="shared" ca="1" si="2176"/>
        <v>#NAME?</v>
      </c>
      <c r="M245" s="64" t="e">
        <f t="shared" ca="1" si="2176"/>
        <v>#NAME?</v>
      </c>
      <c r="N245" s="64" t="e">
        <f t="shared" ca="1" si="2176"/>
        <v>#NAME?</v>
      </c>
      <c r="O245" s="64" t="e">
        <f t="shared" ca="1" si="2176"/>
        <v>#NAME?</v>
      </c>
      <c r="P245" s="64" t="e">
        <f t="shared" ca="1" si="2176"/>
        <v>#NAME?</v>
      </c>
      <c r="Q245" s="64" t="e">
        <f t="shared" ca="1" si="2176"/>
        <v>#NAME?</v>
      </c>
      <c r="R245" s="64" t="e">
        <f t="shared" ca="1" si="2176"/>
        <v>#NAME?</v>
      </c>
      <c r="S245" s="64" t="e">
        <f t="shared" ca="1" si="2176"/>
        <v>#NAME?</v>
      </c>
      <c r="T245" s="64" t="e">
        <f t="shared" ca="1" si="2176"/>
        <v>#NAME?</v>
      </c>
      <c r="U245" s="64" t="e">
        <f t="shared" ca="1" si="2176"/>
        <v>#NAME?</v>
      </c>
      <c r="V245" s="64" t="e">
        <f t="shared" ca="1" si="2176"/>
        <v>#NAME?</v>
      </c>
      <c r="W245" s="64" t="e">
        <f t="shared" ca="1" si="2176"/>
        <v>#NAME?</v>
      </c>
      <c r="X245" s="64" t="e">
        <f t="shared" ca="1" si="2176"/>
        <v>#NAME?</v>
      </c>
      <c r="Y245" s="64" t="e">
        <f t="shared" ca="1" si="2176"/>
        <v>#NAME?</v>
      </c>
      <c r="Z245" s="64" t="e">
        <f t="shared" ca="1" si="2176"/>
        <v>#NAME?</v>
      </c>
      <c r="AA245" s="64" t="e">
        <f t="shared" ref="AA245" ca="1" si="2177">AA52-AA251</f>
        <v>#NAME?</v>
      </c>
      <c r="AB245" s="30"/>
      <c r="AC245" s="30"/>
      <c r="AD245" s="30"/>
      <c r="AE245" s="30"/>
      <c r="AI245" s="64" t="e">
        <f t="shared" ref="AI245:BN245" ca="1" si="2178">AI52-AI251</f>
        <v>#NAME?</v>
      </c>
      <c r="AJ245" s="64" t="e">
        <f t="shared" ca="1" si="2178"/>
        <v>#NAME?</v>
      </c>
      <c r="AK245" s="64" t="e">
        <f t="shared" ca="1" si="2178"/>
        <v>#NAME?</v>
      </c>
      <c r="AL245" s="64" t="e">
        <f t="shared" ca="1" si="2178"/>
        <v>#NAME?</v>
      </c>
      <c r="AM245" s="64" t="e">
        <f t="shared" ca="1" si="2178"/>
        <v>#NAME?</v>
      </c>
      <c r="AN245" s="64" t="e">
        <f t="shared" ca="1" si="2178"/>
        <v>#NAME?</v>
      </c>
      <c r="AO245" s="64" t="e">
        <f t="shared" ca="1" si="2178"/>
        <v>#NAME?</v>
      </c>
      <c r="AP245" s="64" t="e">
        <f t="shared" ca="1" si="2178"/>
        <v>#NAME?</v>
      </c>
      <c r="AQ245" s="64" t="e">
        <f t="shared" ca="1" si="2178"/>
        <v>#NAME?</v>
      </c>
      <c r="AR245" s="64" t="e">
        <f t="shared" ca="1" si="2178"/>
        <v>#NAME?</v>
      </c>
      <c r="AS245" s="64" t="e">
        <f t="shared" ca="1" si="2178"/>
        <v>#NAME?</v>
      </c>
      <c r="AT245" s="64" t="e">
        <f t="shared" ca="1" si="2178"/>
        <v>#NAME?</v>
      </c>
      <c r="AU245" s="64" t="e">
        <f t="shared" ca="1" si="2178"/>
        <v>#NAME?</v>
      </c>
      <c r="AV245" s="64" t="e">
        <f t="shared" ca="1" si="2178"/>
        <v>#NAME?</v>
      </c>
      <c r="AW245" s="64" t="e">
        <f t="shared" ca="1" si="2178"/>
        <v>#NAME?</v>
      </c>
      <c r="AX245" s="64" t="e">
        <f t="shared" ca="1" si="2178"/>
        <v>#NAME?</v>
      </c>
      <c r="AY245" s="64" t="e">
        <f t="shared" ca="1" si="2178"/>
        <v>#NAME?</v>
      </c>
      <c r="AZ245" s="64" t="e">
        <f t="shared" ca="1" si="2178"/>
        <v>#NAME?</v>
      </c>
      <c r="BA245" s="64" t="e">
        <f t="shared" ca="1" si="2178"/>
        <v>#NAME?</v>
      </c>
      <c r="BB245" s="64" t="e">
        <f t="shared" ca="1" si="2178"/>
        <v>#NAME?</v>
      </c>
      <c r="BC245" s="64" t="e">
        <f t="shared" ca="1" si="2178"/>
        <v>#NAME?</v>
      </c>
      <c r="BD245" s="64" t="e">
        <f t="shared" ca="1" si="2178"/>
        <v>#NAME?</v>
      </c>
      <c r="BE245" s="64" t="e">
        <f t="shared" ca="1" si="2178"/>
        <v>#NAME?</v>
      </c>
      <c r="BF245" s="64" t="e">
        <f t="shared" ca="1" si="2178"/>
        <v>#NAME?</v>
      </c>
      <c r="BG245" s="64" t="e">
        <f t="shared" ca="1" si="2178"/>
        <v>#NAME?</v>
      </c>
      <c r="BH245" s="64" t="e">
        <f t="shared" ca="1" si="2178"/>
        <v>#NAME?</v>
      </c>
      <c r="BI245" s="64" t="e">
        <f t="shared" ca="1" si="2178"/>
        <v>#NAME?</v>
      </c>
      <c r="BJ245" s="64" t="e">
        <f t="shared" ca="1" si="2178"/>
        <v>#NAME?</v>
      </c>
      <c r="BK245" s="64" t="e">
        <f t="shared" ca="1" si="2178"/>
        <v>#NAME?</v>
      </c>
      <c r="BL245" s="64" t="e">
        <f t="shared" ca="1" si="2178"/>
        <v>#NAME?</v>
      </c>
      <c r="BM245" s="64" t="e">
        <f t="shared" ca="1" si="2178"/>
        <v>#NAME?</v>
      </c>
      <c r="BN245" s="64" t="e">
        <f t="shared" ca="1" si="2178"/>
        <v>#NAME?</v>
      </c>
      <c r="BO245" s="64" t="e">
        <f t="shared" ref="BO245:CT245" ca="1" si="2179">BO52-BO251</f>
        <v>#NAME?</v>
      </c>
      <c r="BP245" s="64" t="e">
        <f t="shared" ca="1" si="2179"/>
        <v>#NAME?</v>
      </c>
      <c r="BQ245" s="64" t="e">
        <f t="shared" ca="1" si="2179"/>
        <v>#NAME?</v>
      </c>
      <c r="BR245" s="64" t="e">
        <f t="shared" ca="1" si="2179"/>
        <v>#NAME?</v>
      </c>
      <c r="BS245" s="64" t="e">
        <f t="shared" ca="1" si="2179"/>
        <v>#NAME?</v>
      </c>
      <c r="BT245" s="64" t="e">
        <f t="shared" ca="1" si="2179"/>
        <v>#NAME?</v>
      </c>
      <c r="BU245" s="64" t="e">
        <f t="shared" ca="1" si="2179"/>
        <v>#NAME?</v>
      </c>
      <c r="BV245" s="64" t="e">
        <f t="shared" ca="1" si="2179"/>
        <v>#NAME?</v>
      </c>
      <c r="BW245" s="64" t="e">
        <f t="shared" ca="1" si="2179"/>
        <v>#NAME?</v>
      </c>
      <c r="BX245" s="64" t="e">
        <f t="shared" ca="1" si="2179"/>
        <v>#NAME?</v>
      </c>
      <c r="BY245" s="64" t="e">
        <f t="shared" ca="1" si="2179"/>
        <v>#NAME?</v>
      </c>
      <c r="BZ245" s="64" t="e">
        <f t="shared" ca="1" si="2179"/>
        <v>#NAME?</v>
      </c>
      <c r="CA245" s="64" t="e">
        <f t="shared" ca="1" si="2179"/>
        <v>#NAME?</v>
      </c>
      <c r="CB245" s="64" t="e">
        <f t="shared" ca="1" si="2179"/>
        <v>#NAME?</v>
      </c>
      <c r="CC245" s="64" t="e">
        <f t="shared" ca="1" si="2179"/>
        <v>#NAME?</v>
      </c>
      <c r="CD245" s="64" t="e">
        <f t="shared" ca="1" si="2179"/>
        <v>#NAME?</v>
      </c>
      <c r="CE245" s="64" t="e">
        <f t="shared" ca="1" si="2179"/>
        <v>#NAME?</v>
      </c>
      <c r="CF245" s="64" t="e">
        <f t="shared" ca="1" si="2179"/>
        <v>#NAME?</v>
      </c>
      <c r="CG245" s="64">
        <f t="shared" si="2179"/>
        <v>5.3329999999999806</v>
      </c>
      <c r="CH245" s="64" t="e">
        <f t="shared" ca="1" si="2179"/>
        <v>#NAME?</v>
      </c>
      <c r="CI245" s="64" t="e">
        <f t="shared" ca="1" si="2179"/>
        <v>#NAME?</v>
      </c>
      <c r="CJ245" s="64" t="e">
        <f t="shared" ca="1" si="2179"/>
        <v>#NAME?</v>
      </c>
      <c r="CK245" s="64" t="e">
        <f t="shared" ca="1" si="2179"/>
        <v>#NAME?</v>
      </c>
      <c r="CL245" s="64" t="e">
        <f t="shared" ca="1" si="2179"/>
        <v>#NAME?</v>
      </c>
      <c r="CM245" s="30" t="e">
        <f t="shared" ca="1" si="2179"/>
        <v>#NAME?</v>
      </c>
      <c r="CN245" s="30" t="e">
        <f t="shared" ca="1" si="2179"/>
        <v>#NAME?</v>
      </c>
      <c r="CO245" s="30" t="e">
        <f t="shared" ca="1" si="2179"/>
        <v>#NAME?</v>
      </c>
      <c r="CP245" s="30" t="e">
        <f t="shared" ca="1" si="2179"/>
        <v>#NAME?</v>
      </c>
      <c r="CQ245" s="30" t="e">
        <f t="shared" ca="1" si="2179"/>
        <v>#NAME?</v>
      </c>
      <c r="CR245" s="30" t="e">
        <f t="shared" ca="1" si="2179"/>
        <v>#NAME?</v>
      </c>
      <c r="CS245" s="30" t="e">
        <f t="shared" ca="1" si="2179"/>
        <v>#NAME?</v>
      </c>
      <c r="CT245" s="30" t="e">
        <f t="shared" ca="1" si="2179"/>
        <v>#NAME?</v>
      </c>
      <c r="CU245" s="30" t="e">
        <f t="shared" ref="CU245:DB245" ca="1" si="2180">CU52-CU251</f>
        <v>#NAME?</v>
      </c>
      <c r="CV245" s="30" t="e">
        <f t="shared" ca="1" si="2180"/>
        <v>#NAME?</v>
      </c>
      <c r="CW245" s="30" t="e">
        <f t="shared" ca="1" si="2180"/>
        <v>#NAME?</v>
      </c>
      <c r="CX245" s="30" t="e">
        <f t="shared" ca="1" si="2180"/>
        <v>#NAME?</v>
      </c>
      <c r="CY245" s="30" t="e">
        <f t="shared" ca="1" si="2180"/>
        <v>#NAME?</v>
      </c>
      <c r="CZ245" s="30" t="e">
        <f t="shared" ca="1" si="2180"/>
        <v>#NAME?</v>
      </c>
      <c r="DA245" s="30" t="e">
        <f t="shared" ca="1" si="2180"/>
        <v>#NAME?</v>
      </c>
      <c r="DB245" s="30" t="e">
        <f t="shared" ca="1" si="2180"/>
        <v>#NAME?</v>
      </c>
      <c r="DE245" s="139"/>
    </row>
    <row r="246" spans="1:110" s="64" customFormat="1" hidden="1" outlineLevel="1" x14ac:dyDescent="0.2"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5" t="s">
        <v>352</v>
      </c>
      <c r="AB247" s="30"/>
      <c r="AC247" s="30"/>
      <c r="AD247" s="30"/>
      <c r="AE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64" customFormat="1" hidden="1" outlineLevel="1" x14ac:dyDescent="0.2">
      <c r="A248" s="64" t="s">
        <v>478</v>
      </c>
      <c r="AB248" s="30"/>
      <c r="AC248" s="30"/>
      <c r="AD248" s="30"/>
      <c r="AE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4" customFormat="1" hidden="1" outlineLevel="1" x14ac:dyDescent="0.2">
      <c r="A249" s="64" t="s">
        <v>479</v>
      </c>
      <c r="AB249" s="30"/>
      <c r="AC249" s="30"/>
      <c r="AD249" s="30"/>
      <c r="AE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89" customFormat="1" hidden="1" outlineLevel="1" x14ac:dyDescent="0.2">
      <c r="A250" s="86" t="s">
        <v>480</v>
      </c>
      <c r="B250" s="86" t="e">
        <f>+B249/B248</f>
        <v>#DIV/0!</v>
      </c>
      <c r="C250" s="86" t="e">
        <f t="shared" ref="C250:X250" si="2181">+C249/C248</f>
        <v>#DIV/0!</v>
      </c>
      <c r="D250" s="86" t="e">
        <f t="shared" si="2181"/>
        <v>#DIV/0!</v>
      </c>
      <c r="E250" s="86" t="e">
        <f t="shared" si="2181"/>
        <v>#DIV/0!</v>
      </c>
      <c r="F250" s="86" t="e">
        <f t="shared" si="2181"/>
        <v>#DIV/0!</v>
      </c>
      <c r="G250" s="86" t="e">
        <f t="shared" si="2181"/>
        <v>#DIV/0!</v>
      </c>
      <c r="H250" s="86" t="e">
        <f t="shared" si="2181"/>
        <v>#DIV/0!</v>
      </c>
      <c r="I250" s="86" t="e">
        <f t="shared" si="2181"/>
        <v>#DIV/0!</v>
      </c>
      <c r="J250" s="86" t="e">
        <f t="shared" si="2181"/>
        <v>#DIV/0!</v>
      </c>
      <c r="K250" s="86" t="e">
        <f t="shared" si="2181"/>
        <v>#DIV/0!</v>
      </c>
      <c r="L250" s="86" t="e">
        <f t="shared" si="2181"/>
        <v>#DIV/0!</v>
      </c>
      <c r="M250" s="86" t="e">
        <f t="shared" si="2181"/>
        <v>#DIV/0!</v>
      </c>
      <c r="N250" s="86" t="e">
        <f t="shared" si="2181"/>
        <v>#DIV/0!</v>
      </c>
      <c r="O250" s="86" t="e">
        <f t="shared" si="2181"/>
        <v>#DIV/0!</v>
      </c>
      <c r="P250" s="86" t="e">
        <f t="shared" si="2181"/>
        <v>#DIV/0!</v>
      </c>
      <c r="Q250" s="86" t="e">
        <f t="shared" si="2181"/>
        <v>#DIV/0!</v>
      </c>
      <c r="R250" s="86" t="e">
        <f t="shared" si="2181"/>
        <v>#DIV/0!</v>
      </c>
      <c r="S250" s="86" t="e">
        <f t="shared" si="2181"/>
        <v>#DIV/0!</v>
      </c>
      <c r="T250" s="86" t="e">
        <f t="shared" si="2181"/>
        <v>#DIV/0!</v>
      </c>
      <c r="U250" s="86" t="e">
        <f t="shared" si="2181"/>
        <v>#DIV/0!</v>
      </c>
      <c r="V250" s="86" t="e">
        <f t="shared" si="2181"/>
        <v>#DIV/0!</v>
      </c>
      <c r="W250" s="86" t="e">
        <f t="shared" si="2181"/>
        <v>#DIV/0!</v>
      </c>
      <c r="X250" s="86" t="e">
        <f t="shared" si="2181"/>
        <v>#DIV/0!</v>
      </c>
      <c r="Y250" s="86" t="e">
        <f t="shared" ref="Y250:Z250" si="2182">+Y249/Y248</f>
        <v>#DIV/0!</v>
      </c>
      <c r="Z250" s="86" t="e">
        <f t="shared" si="2182"/>
        <v>#DIV/0!</v>
      </c>
      <c r="AA250" s="86" t="e">
        <f t="shared" ref="AA250" si="2183">+AA249/AA248</f>
        <v>#DIV/0!</v>
      </c>
      <c r="AB250" s="87"/>
      <c r="AC250" s="87"/>
      <c r="AD250" s="87"/>
      <c r="AE250" s="87"/>
      <c r="AF250" s="86"/>
      <c r="AG250" s="86"/>
      <c r="AH250" s="86"/>
      <c r="AI250" s="86" t="e">
        <f t="shared" ref="AI250" si="2184">+AI249/AI248</f>
        <v>#DIV/0!</v>
      </c>
      <c r="AJ250" s="86" t="e">
        <f t="shared" ref="AJ250" si="2185">+AJ249/AJ248</f>
        <v>#DIV/0!</v>
      </c>
      <c r="AK250" s="86" t="e">
        <f t="shared" ref="AK250" si="2186">+AK249/AK248</f>
        <v>#DIV/0!</v>
      </c>
      <c r="AL250" s="86" t="e">
        <f t="shared" ref="AL250" si="2187">+AL249/AL248</f>
        <v>#DIV/0!</v>
      </c>
      <c r="AM250" s="86" t="e">
        <f t="shared" ref="AM250" si="2188">+AM249/AM248</f>
        <v>#DIV/0!</v>
      </c>
      <c r="AN250" s="86" t="e">
        <f t="shared" ref="AN250" si="2189">+AN249/AN248</f>
        <v>#DIV/0!</v>
      </c>
      <c r="AO250" s="86" t="e">
        <f t="shared" ref="AO250" si="2190">+AO249/AO248</f>
        <v>#DIV/0!</v>
      </c>
      <c r="AP250" s="86" t="e">
        <f t="shared" ref="AP250" si="2191">+AP249/AP248</f>
        <v>#DIV/0!</v>
      </c>
      <c r="AQ250" s="86" t="e">
        <f t="shared" ref="AQ250" si="2192">+AQ249/AQ248</f>
        <v>#DIV/0!</v>
      </c>
      <c r="AR250" s="86" t="e">
        <f t="shared" ref="AR250" si="2193">+AR249/AR248</f>
        <v>#DIV/0!</v>
      </c>
      <c r="AS250" s="86" t="e">
        <f t="shared" ref="AS250" si="2194">+AS249/AS248</f>
        <v>#DIV/0!</v>
      </c>
      <c r="AT250" s="86" t="e">
        <f t="shared" ref="AT250" si="2195">+AT249/AT248</f>
        <v>#DIV/0!</v>
      </c>
      <c r="AU250" s="86" t="e">
        <f t="shared" ref="AU250" si="2196">+AU249/AU248</f>
        <v>#DIV/0!</v>
      </c>
      <c r="AV250" s="86" t="e">
        <f t="shared" ref="AV250" si="2197">+AV249/AV248</f>
        <v>#DIV/0!</v>
      </c>
      <c r="AW250" s="86" t="e">
        <f t="shared" ref="AW250" si="2198">+AW249/AW248</f>
        <v>#DIV/0!</v>
      </c>
      <c r="AX250" s="86" t="e">
        <f t="shared" ref="AX250" si="2199">+AX249/AX248</f>
        <v>#DIV/0!</v>
      </c>
      <c r="AY250" s="86" t="e">
        <f t="shared" ref="AY250" si="2200">+AY249/AY248</f>
        <v>#DIV/0!</v>
      </c>
      <c r="AZ250" s="86" t="e">
        <f t="shared" ref="AZ250" si="2201">+AZ249/AZ248</f>
        <v>#DIV/0!</v>
      </c>
      <c r="BA250" s="86" t="e">
        <f t="shared" ref="BA250" si="2202">+BA249/BA248</f>
        <v>#DIV/0!</v>
      </c>
      <c r="BB250" s="86" t="e">
        <f t="shared" ref="BB250" si="2203">+BB249/BB248</f>
        <v>#DIV/0!</v>
      </c>
      <c r="BC250" s="86" t="e">
        <f t="shared" ref="BC250" si="2204">+BC249/BC248</f>
        <v>#DIV/0!</v>
      </c>
      <c r="BD250" s="86" t="e">
        <f t="shared" ref="BD250" si="2205">+BD249/BD248</f>
        <v>#DIV/0!</v>
      </c>
      <c r="BE250" s="86" t="e">
        <f t="shared" ref="BE250" si="2206">+BE249/BE248</f>
        <v>#DIV/0!</v>
      </c>
      <c r="BF250" s="86" t="e">
        <f t="shared" ref="BF250" si="2207">+BF249/BF248</f>
        <v>#DIV/0!</v>
      </c>
      <c r="BG250" s="86" t="e">
        <f t="shared" ref="BG250" si="2208">+BG249/BG248</f>
        <v>#DIV/0!</v>
      </c>
      <c r="BH250" s="86" t="e">
        <f t="shared" ref="BH250" si="2209">+BH249/BH248</f>
        <v>#DIV/0!</v>
      </c>
      <c r="BI250" s="86" t="e">
        <f t="shared" ref="BI250" si="2210">+BI249/BI248</f>
        <v>#DIV/0!</v>
      </c>
      <c r="BJ250" s="86" t="e">
        <f t="shared" ref="BJ250" si="2211">+BJ249/BJ248</f>
        <v>#DIV/0!</v>
      </c>
      <c r="BK250" s="86" t="e">
        <f t="shared" ref="BK250" si="2212">+BK249/BK248</f>
        <v>#DIV/0!</v>
      </c>
      <c r="BL250" s="86" t="e">
        <f t="shared" ref="BL250" si="2213">+BL249/BL248</f>
        <v>#DIV/0!</v>
      </c>
      <c r="BM250" s="86" t="e">
        <f t="shared" ref="BM250" si="2214">+BM249/BM248</f>
        <v>#DIV/0!</v>
      </c>
      <c r="BN250" s="86" t="e">
        <f t="shared" ref="BN250" si="2215">+BN249/BN248</f>
        <v>#DIV/0!</v>
      </c>
      <c r="BO250" s="86" t="e">
        <f t="shared" ref="BO250" si="2216">+BO249/BO248</f>
        <v>#DIV/0!</v>
      </c>
      <c r="BP250" s="86" t="e">
        <f t="shared" ref="BP250" si="2217">+BP249/BP248</f>
        <v>#DIV/0!</v>
      </c>
      <c r="BQ250" s="86" t="e">
        <f t="shared" ref="BQ250" si="2218">+BQ249/BQ248</f>
        <v>#DIV/0!</v>
      </c>
      <c r="BR250" s="86" t="e">
        <f t="shared" ref="BR250" si="2219">+BR249/BR248</f>
        <v>#DIV/0!</v>
      </c>
      <c r="BS250" s="86" t="e">
        <f t="shared" ref="BS250" si="2220">+BS249/BS248</f>
        <v>#DIV/0!</v>
      </c>
      <c r="BT250" s="86" t="e">
        <f t="shared" ref="BT250" si="2221">+BT249/BT248</f>
        <v>#DIV/0!</v>
      </c>
      <c r="BU250" s="86" t="e">
        <f t="shared" ref="BU250" si="2222">+BU249/BU248</f>
        <v>#DIV/0!</v>
      </c>
      <c r="BV250" s="86" t="e">
        <f t="shared" ref="BV250" si="2223">+BV249/BV248</f>
        <v>#DIV/0!</v>
      </c>
      <c r="BW250" s="86" t="e">
        <f t="shared" ref="BW250" si="2224">+BW249/BW248</f>
        <v>#DIV/0!</v>
      </c>
      <c r="BX250" s="86" t="e">
        <f t="shared" ref="BX250" si="2225">+BX249/BX248</f>
        <v>#DIV/0!</v>
      </c>
      <c r="BY250" s="86" t="e">
        <f t="shared" ref="BY250" si="2226">+BY249/BY248</f>
        <v>#DIV/0!</v>
      </c>
      <c r="BZ250" s="86" t="e">
        <f t="shared" ref="BZ250" si="2227">+BZ249/BZ248</f>
        <v>#DIV/0!</v>
      </c>
      <c r="CA250" s="86" t="e">
        <f t="shared" ref="CA250" si="2228">+CA249/CA248</f>
        <v>#DIV/0!</v>
      </c>
      <c r="CB250" s="86" t="e">
        <f t="shared" ref="CB250:CC250" si="2229">+CB249/CB248</f>
        <v>#DIV/0!</v>
      </c>
      <c r="CC250" s="86" t="e">
        <f t="shared" si="2229"/>
        <v>#DIV/0!</v>
      </c>
      <c r="CD250" s="86" t="e">
        <f t="shared" ref="CD250" si="2230">+CD249/CD248</f>
        <v>#DIV/0!</v>
      </c>
      <c r="CE250" s="86" t="e">
        <f t="shared" ref="CE250:CF250" si="2231">+CE249/CE248</f>
        <v>#DIV/0!</v>
      </c>
      <c r="CF250" s="86" t="e">
        <f t="shared" si="2231"/>
        <v>#DIV/0!</v>
      </c>
      <c r="CG250" s="86" t="e">
        <f t="shared" ref="CG250:CH250" si="2232">+CG249/CG248</f>
        <v>#DIV/0!</v>
      </c>
      <c r="CH250" s="86" t="e">
        <f t="shared" si="2232"/>
        <v>#DIV/0!</v>
      </c>
      <c r="CI250" s="86" t="e">
        <f t="shared" ref="CI250:CJ250" si="2233">+CI249/CI248</f>
        <v>#DIV/0!</v>
      </c>
      <c r="CJ250" s="86" t="e">
        <f t="shared" si="2233"/>
        <v>#DIV/0!</v>
      </c>
      <c r="CK250" s="86" t="e">
        <f t="shared" ref="CK250:DB250" si="2234">+CK249/CK248</f>
        <v>#DIV/0!</v>
      </c>
      <c r="CL250" s="86" t="e">
        <f t="shared" si="2234"/>
        <v>#DIV/0!</v>
      </c>
      <c r="CM250" s="47" t="e">
        <f t="shared" si="2234"/>
        <v>#DIV/0!</v>
      </c>
      <c r="CN250" s="47" t="e">
        <f t="shared" si="2234"/>
        <v>#DIV/0!</v>
      </c>
      <c r="CO250" s="47" t="e">
        <f t="shared" si="2234"/>
        <v>#DIV/0!</v>
      </c>
      <c r="CP250" s="47" t="e">
        <f t="shared" si="2234"/>
        <v>#DIV/0!</v>
      </c>
      <c r="CQ250" s="47" t="e">
        <f t="shared" si="2234"/>
        <v>#DIV/0!</v>
      </c>
      <c r="CR250" s="47" t="e">
        <f t="shared" si="2234"/>
        <v>#DIV/0!</v>
      </c>
      <c r="CS250" s="47" t="e">
        <f t="shared" si="2234"/>
        <v>#DIV/0!</v>
      </c>
      <c r="CT250" s="47" t="e">
        <f t="shared" si="2234"/>
        <v>#DIV/0!</v>
      </c>
      <c r="CU250" s="47" t="e">
        <f t="shared" si="2234"/>
        <v>#DIV/0!</v>
      </c>
      <c r="CV250" s="47" t="e">
        <f t="shared" si="2234"/>
        <v>#DIV/0!</v>
      </c>
      <c r="CW250" s="47" t="e">
        <f t="shared" si="2234"/>
        <v>#DIV/0!</v>
      </c>
      <c r="CX250" s="47" t="e">
        <f t="shared" si="2234"/>
        <v>#DIV/0!</v>
      </c>
      <c r="CY250" s="47" t="e">
        <f t="shared" si="2234"/>
        <v>#DIV/0!</v>
      </c>
      <c r="CZ250" s="47" t="e">
        <f t="shared" si="2234"/>
        <v>#DIV/0!</v>
      </c>
      <c r="DA250" s="47" t="e">
        <f t="shared" si="2234"/>
        <v>#DIV/0!</v>
      </c>
      <c r="DB250" s="47" t="e">
        <f t="shared" si="2234"/>
        <v>#DIV/0!</v>
      </c>
      <c r="DE250" s="130"/>
    </row>
    <row r="251" spans="1:110" s="64" customFormat="1" hidden="1" outlineLevel="1" x14ac:dyDescent="0.2">
      <c r="A251" s="64" t="s">
        <v>481</v>
      </c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  <c r="DF252" s="114"/>
    </row>
    <row r="253" spans="1:110" s="11" customFormat="1" collapsed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  <c r="DF253" s="198"/>
    </row>
    <row r="254" spans="1:110" s="62" customFormat="1" x14ac:dyDescent="0.2">
      <c r="A254" s="154" t="s">
        <v>497</v>
      </c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63"/>
      <c r="AC254" s="63"/>
      <c r="AD254" s="63"/>
      <c r="AE254" s="63"/>
      <c r="AL254" s="180"/>
      <c r="CF254" s="180"/>
      <c r="CG254" s="180"/>
      <c r="CH254" s="180"/>
      <c r="CI254" s="180"/>
      <c r="CJ254" s="180"/>
      <c r="CK254" s="180"/>
      <c r="CL254" s="18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  <c r="DF254" s="114"/>
    </row>
    <row r="255" spans="1:110" s="84" customFormat="1" x14ac:dyDescent="0.2">
      <c r="A255" s="84" t="s">
        <v>512</v>
      </c>
      <c r="B255" s="84" t="e">
        <f ca="1">B19/B176</f>
        <v>#NAME?</v>
      </c>
      <c r="C255" s="84" t="e">
        <f ca="1">C19/C176</f>
        <v>#NAME?</v>
      </c>
      <c r="D255" s="84" t="e">
        <f ca="1">D19/D176</f>
        <v>#NAME?</v>
      </c>
      <c r="E255" s="84" t="e">
        <f t="shared" ref="E255:Y255" ca="1" si="2235">E21/(E172+E159+E149)</f>
        <v>#NAME?</v>
      </c>
      <c r="F255" s="84" t="e">
        <f t="shared" ca="1" si="2235"/>
        <v>#NAME?</v>
      </c>
      <c r="G255" s="84" t="e">
        <f t="shared" ca="1" si="2235"/>
        <v>#NAME?</v>
      </c>
      <c r="H255" s="84" t="e">
        <f t="shared" ca="1" si="2235"/>
        <v>#NAME?</v>
      </c>
      <c r="I255" s="84" t="e">
        <f t="shared" ca="1" si="2235"/>
        <v>#NAME?</v>
      </c>
      <c r="J255" s="84" t="e">
        <f t="shared" ca="1" si="2235"/>
        <v>#NAME?</v>
      </c>
      <c r="K255" s="84" t="e">
        <f t="shared" ca="1" si="2235"/>
        <v>#NAME?</v>
      </c>
      <c r="L255" s="84" t="e">
        <f t="shared" ca="1" si="2235"/>
        <v>#NAME?</v>
      </c>
      <c r="M255" s="84" t="e">
        <f t="shared" ca="1" si="2235"/>
        <v>#NAME?</v>
      </c>
      <c r="N255" s="84" t="e">
        <f t="shared" ca="1" si="2235"/>
        <v>#NAME?</v>
      </c>
      <c r="O255" s="84" t="e">
        <f t="shared" ca="1" si="2235"/>
        <v>#NAME?</v>
      </c>
      <c r="P255" s="84" t="e">
        <f t="shared" ca="1" si="2235"/>
        <v>#NAME?</v>
      </c>
      <c r="Q255" s="84" t="e">
        <f t="shared" ca="1" si="2235"/>
        <v>#NAME?</v>
      </c>
      <c r="R255" s="84" t="e">
        <f t="shared" ca="1" si="2235"/>
        <v>#NAME?</v>
      </c>
      <c r="S255" s="84" t="e">
        <f t="shared" ca="1" si="2235"/>
        <v>#NAME?</v>
      </c>
      <c r="T255" s="84" t="e">
        <f t="shared" ca="1" si="2235"/>
        <v>#NAME?</v>
      </c>
      <c r="U255" s="84" t="e">
        <f t="shared" ca="1" si="2235"/>
        <v>#NAME?</v>
      </c>
      <c r="V255" s="84" t="e">
        <f t="shared" ca="1" si="2235"/>
        <v>#NAME?</v>
      </c>
      <c r="W255" s="84" t="e">
        <f t="shared" ca="1" si="2235"/>
        <v>#NAME?</v>
      </c>
      <c r="X255" s="84" t="e">
        <f t="shared" ca="1" si="2235"/>
        <v>#NAME?</v>
      </c>
      <c r="Y255" s="84" t="e">
        <f t="shared" ca="1" si="2235"/>
        <v>#NAME?</v>
      </c>
      <c r="Z255" s="84" t="e">
        <f ca="1">Z21/(Z172+Z159+Z149)</f>
        <v>#NAME?</v>
      </c>
      <c r="AA255" s="84" t="e">
        <f ca="1">AA21/(AA172+AA159+AA149)</f>
        <v>#NAME?</v>
      </c>
      <c r="AB255" s="50" t="e">
        <f t="shared" ref="AA255:AE255" ca="1" si="2236">AB21/(AB172+AB159+AB149)</f>
        <v>#NAME?</v>
      </c>
      <c r="AC255" s="50" t="e">
        <f t="shared" ca="1" si="2236"/>
        <v>#NAME?</v>
      </c>
      <c r="AD255" s="50" t="e">
        <f t="shared" ca="1" si="2236"/>
        <v>#NAME?</v>
      </c>
      <c r="AE255" s="50" t="e">
        <f t="shared" ca="1" si="2236"/>
        <v>#NAME?</v>
      </c>
      <c r="AL255" s="84" t="e">
        <f ca="1">SUM(AI21:AL21)/(AL172+AL159+AL149)</f>
        <v>#NAME?</v>
      </c>
      <c r="AM255" s="84" t="e">
        <f t="shared" ref="AM255:CJ255" ca="1" si="2237">SUM(AJ21:AM21)/(AM172+AM159+AM149)</f>
        <v>#NAME?</v>
      </c>
      <c r="AN255" s="84" t="e">
        <f t="shared" ca="1" si="2237"/>
        <v>#NAME?</v>
      </c>
      <c r="AO255" s="84" t="e">
        <f t="shared" ca="1" si="2237"/>
        <v>#NAME?</v>
      </c>
      <c r="AP255" s="84" t="e">
        <f t="shared" ca="1" si="2237"/>
        <v>#NAME?</v>
      </c>
      <c r="AQ255" s="84" t="e">
        <f t="shared" ca="1" si="2237"/>
        <v>#NAME?</v>
      </c>
      <c r="AR255" s="84" t="e">
        <f t="shared" ca="1" si="2237"/>
        <v>#NAME?</v>
      </c>
      <c r="AS255" s="84" t="e">
        <f t="shared" ca="1" si="2237"/>
        <v>#NAME?</v>
      </c>
      <c r="AT255" s="84" t="e">
        <f t="shared" ca="1" si="2237"/>
        <v>#NAME?</v>
      </c>
      <c r="AU255" s="84" t="e">
        <f t="shared" ca="1" si="2237"/>
        <v>#NAME?</v>
      </c>
      <c r="AV255" s="84" t="e">
        <f t="shared" ca="1" si="2237"/>
        <v>#NAME?</v>
      </c>
      <c r="AW255" s="84" t="e">
        <f t="shared" ca="1" si="2237"/>
        <v>#NAME?</v>
      </c>
      <c r="AX255" s="84" t="e">
        <f t="shared" ca="1" si="2237"/>
        <v>#NAME?</v>
      </c>
      <c r="AY255" s="84" t="e">
        <f t="shared" ca="1" si="2237"/>
        <v>#NAME?</v>
      </c>
      <c r="AZ255" s="84" t="e">
        <f t="shared" ca="1" si="2237"/>
        <v>#NAME?</v>
      </c>
      <c r="BA255" s="84" t="e">
        <f t="shared" ca="1" si="2237"/>
        <v>#NAME?</v>
      </c>
      <c r="BB255" s="84" t="e">
        <f t="shared" ca="1" si="2237"/>
        <v>#NAME?</v>
      </c>
      <c r="BC255" s="84" t="e">
        <f t="shared" ca="1" si="2237"/>
        <v>#NAME?</v>
      </c>
      <c r="BD255" s="84" t="e">
        <f t="shared" ca="1" si="2237"/>
        <v>#NAME?</v>
      </c>
      <c r="BE255" s="84" t="e">
        <f t="shared" ca="1" si="2237"/>
        <v>#NAME?</v>
      </c>
      <c r="BF255" s="84" t="e">
        <f t="shared" ca="1" si="2237"/>
        <v>#NAME?</v>
      </c>
      <c r="BG255" s="84" t="e">
        <f t="shared" ca="1" si="2237"/>
        <v>#NAME?</v>
      </c>
      <c r="BH255" s="84" t="e">
        <f t="shared" ca="1" si="2237"/>
        <v>#NAME?</v>
      </c>
      <c r="BI255" s="84" t="e">
        <f t="shared" ca="1" si="2237"/>
        <v>#NAME?</v>
      </c>
      <c r="BJ255" s="84" t="e">
        <f t="shared" ca="1" si="2237"/>
        <v>#NAME?</v>
      </c>
      <c r="BK255" s="84" t="e">
        <f t="shared" ca="1" si="2237"/>
        <v>#NAME?</v>
      </c>
      <c r="BL255" s="84" t="e">
        <f t="shared" ca="1" si="2237"/>
        <v>#NAME?</v>
      </c>
      <c r="BM255" s="84" t="e">
        <f t="shared" ca="1" si="2237"/>
        <v>#NAME?</v>
      </c>
      <c r="BN255" s="84" t="e">
        <f t="shared" ca="1" si="2237"/>
        <v>#NAME?</v>
      </c>
      <c r="BO255" s="84" t="e">
        <f t="shared" ca="1" si="2237"/>
        <v>#NAME?</v>
      </c>
      <c r="BP255" s="84" t="e">
        <f t="shared" ca="1" si="2237"/>
        <v>#NAME?</v>
      </c>
      <c r="BQ255" s="84" t="e">
        <f t="shared" ca="1" si="2237"/>
        <v>#NAME?</v>
      </c>
      <c r="BR255" s="84" t="e">
        <f t="shared" ca="1" si="2237"/>
        <v>#NAME?</v>
      </c>
      <c r="BS255" s="84" t="e">
        <f t="shared" ca="1" si="2237"/>
        <v>#NAME?</v>
      </c>
      <c r="BT255" s="84" t="e">
        <f t="shared" ca="1" si="2237"/>
        <v>#NAME?</v>
      </c>
      <c r="BU255" s="84" t="e">
        <f t="shared" ca="1" si="2237"/>
        <v>#NAME?</v>
      </c>
      <c r="BV255" s="84" t="e">
        <f t="shared" ca="1" si="2237"/>
        <v>#NAME?</v>
      </c>
      <c r="BW255" s="84" t="e">
        <f t="shared" ca="1" si="2237"/>
        <v>#NAME?</v>
      </c>
      <c r="BX255" s="84" t="e">
        <f t="shared" ca="1" si="2237"/>
        <v>#NAME?</v>
      </c>
      <c r="BY255" s="84" t="e">
        <f t="shared" ca="1" si="2237"/>
        <v>#NAME?</v>
      </c>
      <c r="BZ255" s="84" t="e">
        <f t="shared" ca="1" si="2237"/>
        <v>#NAME?</v>
      </c>
      <c r="CA255" s="84" t="e">
        <f t="shared" ca="1" si="2237"/>
        <v>#NAME?</v>
      </c>
      <c r="CB255" s="84" t="e">
        <f t="shared" ca="1" si="2237"/>
        <v>#NAME?</v>
      </c>
      <c r="CC255" s="84" t="e">
        <f t="shared" ca="1" si="2237"/>
        <v>#NAME?</v>
      </c>
      <c r="CD255" s="84" t="e">
        <f t="shared" ca="1" si="2237"/>
        <v>#NAME?</v>
      </c>
      <c r="CE255" s="84" t="e">
        <f t="shared" ca="1" si="2237"/>
        <v>#NAME?</v>
      </c>
      <c r="CF255" s="84" t="e">
        <f t="shared" ca="1" si="2237"/>
        <v>#NAME?</v>
      </c>
      <c r="CG255" s="84" t="e">
        <f t="shared" ca="1" si="2237"/>
        <v>#NAME?</v>
      </c>
      <c r="CH255" s="84" t="e">
        <f t="shared" ca="1" si="2237"/>
        <v>#NAME?</v>
      </c>
      <c r="CI255" s="84" t="e">
        <f t="shared" ca="1" si="2237"/>
        <v>#NAME?</v>
      </c>
      <c r="CJ255" s="84" t="e">
        <f t="shared" ca="1" si="2237"/>
        <v>#NAME?</v>
      </c>
      <c r="CK255" s="84" t="e">
        <f t="shared" ref="CK255" ca="1" si="2238">SUM(CH21:CK21)/(CK172+CK159+CK149)</f>
        <v>#NAME?</v>
      </c>
      <c r="CL255" s="84" t="e">
        <f t="shared" ref="CL255:DB255" ca="1" si="2239">SUM(CI21:CL21)/(CL172+CL159+CL149)</f>
        <v>#NAME?</v>
      </c>
      <c r="CM255" s="50" t="e">
        <f t="shared" ca="1" si="2239"/>
        <v>#NAME?</v>
      </c>
      <c r="CN255" s="50" t="e">
        <f t="shared" ca="1" si="2239"/>
        <v>#NAME?</v>
      </c>
      <c r="CO255" s="50" t="e">
        <f t="shared" ca="1" si="2239"/>
        <v>#NAME?</v>
      </c>
      <c r="CP255" s="50" t="e">
        <f t="shared" ca="1" si="2239"/>
        <v>#NAME?</v>
      </c>
      <c r="CQ255" s="50" t="e">
        <f t="shared" ca="1" si="2239"/>
        <v>#NAME?</v>
      </c>
      <c r="CR255" s="50" t="e">
        <f t="shared" ca="1" si="2239"/>
        <v>#NAME?</v>
      </c>
      <c r="CS255" s="50" t="e">
        <f t="shared" ca="1" si="2239"/>
        <v>#NAME?</v>
      </c>
      <c r="CT255" s="50" t="e">
        <f t="shared" ca="1" si="2239"/>
        <v>#NAME?</v>
      </c>
      <c r="CU255" s="50" t="e">
        <f t="shared" ca="1" si="2239"/>
        <v>#NAME?</v>
      </c>
      <c r="CV255" s="50" t="e">
        <f t="shared" ca="1" si="2239"/>
        <v>#NAME?</v>
      </c>
      <c r="CW255" s="50" t="e">
        <f t="shared" ca="1" si="2239"/>
        <v>#NAME?</v>
      </c>
      <c r="CX255" s="50" t="e">
        <f t="shared" ca="1" si="2239"/>
        <v>#NAME?</v>
      </c>
      <c r="CY255" s="50" t="e">
        <f t="shared" ca="1" si="2239"/>
        <v>#NAME?</v>
      </c>
      <c r="CZ255" s="50" t="e">
        <f t="shared" ca="1" si="2239"/>
        <v>#NAME?</v>
      </c>
      <c r="DA255" s="50" t="e">
        <f t="shared" ca="1" si="2239"/>
        <v>#NAME?</v>
      </c>
      <c r="DB255" s="50" t="e">
        <f t="shared" ca="1" si="2239"/>
        <v>#NAME?</v>
      </c>
      <c r="DE255" s="138"/>
      <c r="DF255" s="84">
        <v>0.99851423661289684</v>
      </c>
    </row>
    <row r="256" spans="1:110" s="84" customFormat="1" x14ac:dyDescent="0.2">
      <c r="A256" s="84" t="s">
        <v>513</v>
      </c>
      <c r="E256" s="181" t="e">
        <f ca="1">+E53</f>
        <v>#NAME?</v>
      </c>
      <c r="F256" s="181" t="e">
        <f t="shared" ref="F256:AE256" ca="1" si="2240">+F53</f>
        <v>#NAME?</v>
      </c>
      <c r="G256" s="181" t="e">
        <f t="shared" ca="1" si="2240"/>
        <v>#NAME?</v>
      </c>
      <c r="H256" s="181" t="e">
        <f t="shared" ca="1" si="2240"/>
        <v>#NAME?</v>
      </c>
      <c r="I256" s="181" t="e">
        <f t="shared" ca="1" si="2240"/>
        <v>#NAME?</v>
      </c>
      <c r="J256" s="181" t="e">
        <f t="shared" ca="1" si="2240"/>
        <v>#NAME?</v>
      </c>
      <c r="K256" s="181" t="e">
        <f t="shared" ca="1" si="2240"/>
        <v>#NAME?</v>
      </c>
      <c r="L256" s="181" t="e">
        <f t="shared" ca="1" si="2240"/>
        <v>#NAME?</v>
      </c>
      <c r="M256" s="181" t="e">
        <f t="shared" ca="1" si="2240"/>
        <v>#NAME?</v>
      </c>
      <c r="N256" s="181" t="e">
        <f t="shared" ca="1" si="2240"/>
        <v>#NAME?</v>
      </c>
      <c r="O256" s="181" t="e">
        <f t="shared" ca="1" si="2240"/>
        <v>#NAME?</v>
      </c>
      <c r="P256" s="181" t="e">
        <f t="shared" ca="1" si="2240"/>
        <v>#NAME?</v>
      </c>
      <c r="Q256" s="181" t="e">
        <f t="shared" ca="1" si="2240"/>
        <v>#NAME?</v>
      </c>
      <c r="R256" s="181" t="e">
        <f t="shared" ca="1" si="2240"/>
        <v>#NAME?</v>
      </c>
      <c r="S256" s="181" t="e">
        <f t="shared" ca="1" si="2240"/>
        <v>#NAME?</v>
      </c>
      <c r="T256" s="181" t="e">
        <f t="shared" ca="1" si="2240"/>
        <v>#NAME?</v>
      </c>
      <c r="U256" s="181" t="e">
        <f t="shared" ca="1" si="2240"/>
        <v>#NAME?</v>
      </c>
      <c r="V256" s="181" t="e">
        <f t="shared" ca="1" si="2240"/>
        <v>#NAME?</v>
      </c>
      <c r="W256" s="181" t="e">
        <f t="shared" ca="1" si="2240"/>
        <v>#NAME?</v>
      </c>
      <c r="X256" s="181" t="e">
        <f t="shared" ca="1" si="2240"/>
        <v>#NAME?</v>
      </c>
      <c r="Y256" s="181" t="e">
        <f t="shared" ca="1" si="2240"/>
        <v>#NAME?</v>
      </c>
      <c r="Z256" s="181" t="e">
        <f t="shared" ca="1" si="2240"/>
        <v>#NAME?</v>
      </c>
      <c r="AA256" s="181" t="e">
        <f t="shared" ref="AA256" ca="1" si="2241">+AA53</f>
        <v>#NAME?</v>
      </c>
      <c r="AB256" s="182" t="e">
        <f t="shared" ca="1" si="2240"/>
        <v>#NAME?</v>
      </c>
      <c r="AC256" s="182" t="e">
        <f t="shared" ca="1" si="2240"/>
        <v>#NAME?</v>
      </c>
      <c r="AD256" s="182" t="e">
        <f t="shared" ca="1" si="2240"/>
        <v>#NAME?</v>
      </c>
      <c r="AE256" s="182" t="e">
        <f t="shared" ca="1" si="2240"/>
        <v>#NAME?</v>
      </c>
      <c r="AL256" s="181" t="e">
        <f t="shared" ref="AL256:CW256" ca="1" si="2242">+AL53</f>
        <v>#NAME?</v>
      </c>
      <c r="AM256" s="181" t="e">
        <f t="shared" ca="1" si="2242"/>
        <v>#NAME?</v>
      </c>
      <c r="AN256" s="181" t="e">
        <f t="shared" ca="1" si="2242"/>
        <v>#NAME?</v>
      </c>
      <c r="AO256" s="181" t="e">
        <f t="shared" ca="1" si="2242"/>
        <v>#NAME?</v>
      </c>
      <c r="AP256" s="181" t="e">
        <f t="shared" ca="1" si="2242"/>
        <v>#NAME?</v>
      </c>
      <c r="AQ256" s="181" t="e">
        <f t="shared" ca="1" si="2242"/>
        <v>#NAME?</v>
      </c>
      <c r="AR256" s="181" t="e">
        <f t="shared" ca="1" si="2242"/>
        <v>#NAME?</v>
      </c>
      <c r="AS256" s="181" t="e">
        <f t="shared" ca="1" si="2242"/>
        <v>#NAME?</v>
      </c>
      <c r="AT256" s="181" t="e">
        <f t="shared" ca="1" si="2242"/>
        <v>#NAME?</v>
      </c>
      <c r="AU256" s="181" t="e">
        <f t="shared" ca="1" si="2242"/>
        <v>#NAME?</v>
      </c>
      <c r="AV256" s="181" t="e">
        <f t="shared" ca="1" si="2242"/>
        <v>#NAME?</v>
      </c>
      <c r="AW256" s="181" t="e">
        <f t="shared" ca="1" si="2242"/>
        <v>#NAME?</v>
      </c>
      <c r="AX256" s="181" t="e">
        <f t="shared" ca="1" si="2242"/>
        <v>#NAME?</v>
      </c>
      <c r="AY256" s="181" t="e">
        <f t="shared" ca="1" si="2242"/>
        <v>#NAME?</v>
      </c>
      <c r="AZ256" s="181" t="e">
        <f t="shared" ca="1" si="2242"/>
        <v>#NAME?</v>
      </c>
      <c r="BA256" s="181" t="e">
        <f t="shared" ca="1" si="2242"/>
        <v>#NAME?</v>
      </c>
      <c r="BB256" s="181" t="e">
        <f t="shared" ca="1" si="2242"/>
        <v>#NAME?</v>
      </c>
      <c r="BC256" s="181" t="e">
        <f t="shared" ca="1" si="2242"/>
        <v>#NAME?</v>
      </c>
      <c r="BD256" s="181" t="e">
        <f t="shared" ca="1" si="2242"/>
        <v>#NAME?</v>
      </c>
      <c r="BE256" s="181" t="e">
        <f t="shared" ca="1" si="2242"/>
        <v>#NAME?</v>
      </c>
      <c r="BF256" s="181" t="e">
        <f t="shared" ca="1" si="2242"/>
        <v>#NAME?</v>
      </c>
      <c r="BG256" s="181" t="e">
        <f t="shared" ca="1" si="2242"/>
        <v>#NAME?</v>
      </c>
      <c r="BH256" s="181" t="e">
        <f t="shared" ca="1" si="2242"/>
        <v>#NAME?</v>
      </c>
      <c r="BI256" s="181" t="e">
        <f t="shared" ca="1" si="2242"/>
        <v>#NAME?</v>
      </c>
      <c r="BJ256" s="181" t="e">
        <f t="shared" ca="1" si="2242"/>
        <v>#NAME?</v>
      </c>
      <c r="BK256" s="181" t="e">
        <f t="shared" ca="1" si="2242"/>
        <v>#NAME?</v>
      </c>
      <c r="BL256" s="181" t="e">
        <f t="shared" ca="1" si="2242"/>
        <v>#NAME?</v>
      </c>
      <c r="BM256" s="181" t="e">
        <f t="shared" ca="1" si="2242"/>
        <v>#NAME?</v>
      </c>
      <c r="BN256" s="181" t="e">
        <f t="shared" ca="1" si="2242"/>
        <v>#NAME?</v>
      </c>
      <c r="BO256" s="181" t="e">
        <f t="shared" ca="1" si="2242"/>
        <v>#NAME?</v>
      </c>
      <c r="BP256" s="181" t="e">
        <f t="shared" ca="1" si="2242"/>
        <v>#NAME?</v>
      </c>
      <c r="BQ256" s="181" t="e">
        <f t="shared" ca="1" si="2242"/>
        <v>#NAME?</v>
      </c>
      <c r="BR256" s="181" t="e">
        <f t="shared" ca="1" si="2242"/>
        <v>#NAME?</v>
      </c>
      <c r="BS256" s="181" t="e">
        <f t="shared" ca="1" si="2242"/>
        <v>#NAME?</v>
      </c>
      <c r="BT256" s="181" t="e">
        <f t="shared" ca="1" si="2242"/>
        <v>#NAME?</v>
      </c>
      <c r="BU256" s="181" t="e">
        <f t="shared" ca="1" si="2242"/>
        <v>#NAME?</v>
      </c>
      <c r="BV256" s="181" t="e">
        <f t="shared" ca="1" si="2242"/>
        <v>#NAME?</v>
      </c>
      <c r="BW256" s="181" t="e">
        <f t="shared" ca="1" si="2242"/>
        <v>#NAME?</v>
      </c>
      <c r="BX256" s="181" t="e">
        <f t="shared" ca="1" si="2242"/>
        <v>#NAME?</v>
      </c>
      <c r="BY256" s="181" t="e">
        <f t="shared" ca="1" si="2242"/>
        <v>#NAME?</v>
      </c>
      <c r="BZ256" s="181" t="e">
        <f t="shared" ca="1" si="2242"/>
        <v>#NAME?</v>
      </c>
      <c r="CA256" s="181" t="e">
        <f t="shared" ca="1" si="2242"/>
        <v>#NAME?</v>
      </c>
      <c r="CB256" s="181" t="e">
        <f t="shared" ca="1" si="2242"/>
        <v>#NAME?</v>
      </c>
      <c r="CC256" s="181" t="e">
        <f t="shared" ca="1" si="2242"/>
        <v>#NAME?</v>
      </c>
      <c r="CD256" s="181" t="e">
        <f t="shared" ca="1" si="2242"/>
        <v>#NAME?</v>
      </c>
      <c r="CE256" s="181" t="e">
        <f t="shared" ca="1" si="2242"/>
        <v>#NAME?</v>
      </c>
      <c r="CF256" s="181" t="e">
        <f t="shared" ca="1" si="2242"/>
        <v>#NAME?</v>
      </c>
      <c r="CG256" s="181">
        <f t="shared" si="2242"/>
        <v>5.1929462399096189E-2</v>
      </c>
      <c r="CH256" s="181" t="e">
        <f t="shared" ca="1" si="2242"/>
        <v>#NAME?</v>
      </c>
      <c r="CI256" s="181" t="e">
        <f t="shared" ca="1" si="2242"/>
        <v>#NAME?</v>
      </c>
      <c r="CJ256" s="181" t="e">
        <f t="shared" ca="1" si="2242"/>
        <v>#NAME?</v>
      </c>
      <c r="CK256" s="181" t="e">
        <f t="shared" ca="1" si="2242"/>
        <v>#NAME?</v>
      </c>
      <c r="CL256" s="181" t="e">
        <f t="shared" ca="1" si="2242"/>
        <v>#NAME?</v>
      </c>
      <c r="CM256" s="182" t="e">
        <f t="shared" ca="1" si="2242"/>
        <v>#NAME?</v>
      </c>
      <c r="CN256" s="182" t="e">
        <f t="shared" ca="1" si="2242"/>
        <v>#NAME?</v>
      </c>
      <c r="CO256" s="182" t="e">
        <f t="shared" ca="1" si="2242"/>
        <v>#NAME?</v>
      </c>
      <c r="CP256" s="182" t="e">
        <f t="shared" ca="1" si="2242"/>
        <v>#NAME?</v>
      </c>
      <c r="CQ256" s="182" t="e">
        <f t="shared" ca="1" si="2242"/>
        <v>#NAME?</v>
      </c>
      <c r="CR256" s="182" t="e">
        <f t="shared" ca="1" si="2242"/>
        <v>#NAME?</v>
      </c>
      <c r="CS256" s="182" t="e">
        <f t="shared" ca="1" si="2242"/>
        <v>#NAME?</v>
      </c>
      <c r="CT256" s="182" t="e">
        <f t="shared" ca="1" si="2242"/>
        <v>#NAME?</v>
      </c>
      <c r="CU256" s="182" t="e">
        <f t="shared" ca="1" si="2242"/>
        <v>#NAME?</v>
      </c>
      <c r="CV256" s="182" t="e">
        <f t="shared" ca="1" si="2242"/>
        <v>#NAME?</v>
      </c>
      <c r="CW256" s="182" t="e">
        <f t="shared" ca="1" si="2242"/>
        <v>#NAME?</v>
      </c>
      <c r="CX256" s="182" t="e">
        <f t="shared" ref="CX256:DB256" ca="1" si="2243">+CX53</f>
        <v>#NAME?</v>
      </c>
      <c r="CY256" s="182" t="e">
        <f t="shared" ca="1" si="2243"/>
        <v>#NAME?</v>
      </c>
      <c r="CZ256" s="182" t="e">
        <f t="shared" ca="1" si="2243"/>
        <v>#NAME?</v>
      </c>
      <c r="DA256" s="182" t="e">
        <f t="shared" ca="1" si="2243"/>
        <v>#NAME?</v>
      </c>
      <c r="DB256" s="182" t="e">
        <f t="shared" ca="1" si="2243"/>
        <v>#NAME?</v>
      </c>
      <c r="DE256" s="138"/>
      <c r="DF256" s="199">
        <v>5.8598957322835737E-2</v>
      </c>
    </row>
    <row r="257" spans="1:110" s="84" customFormat="1" x14ac:dyDescent="0.2">
      <c r="A257" s="84" t="s">
        <v>514</v>
      </c>
      <c r="E257" s="84" t="e">
        <f ca="1">(E172+E159+E149+E151)/E131</f>
        <v>#NAME?</v>
      </c>
      <c r="F257" s="84" t="e">
        <f t="shared" ref="F257:AE257" ca="1" si="2244">(F172+F159+F149+F151)/F131</f>
        <v>#NAME?</v>
      </c>
      <c r="G257" s="84" t="e">
        <f t="shared" ca="1" si="2244"/>
        <v>#NAME?</v>
      </c>
      <c r="H257" s="84" t="e">
        <f t="shared" ca="1" si="2244"/>
        <v>#NAME?</v>
      </c>
      <c r="I257" s="84" t="e">
        <f t="shared" ca="1" si="2244"/>
        <v>#NAME?</v>
      </c>
      <c r="J257" s="84" t="e">
        <f t="shared" ca="1" si="2244"/>
        <v>#NAME?</v>
      </c>
      <c r="K257" s="84" t="e">
        <f t="shared" ca="1" si="2244"/>
        <v>#NAME?</v>
      </c>
      <c r="L257" s="84" t="e">
        <f t="shared" ca="1" si="2244"/>
        <v>#NAME?</v>
      </c>
      <c r="M257" s="84" t="e">
        <f t="shared" ca="1" si="2244"/>
        <v>#NAME?</v>
      </c>
      <c r="N257" s="84" t="e">
        <f t="shared" ca="1" si="2244"/>
        <v>#NAME?</v>
      </c>
      <c r="O257" s="84" t="e">
        <f t="shared" ca="1" si="2244"/>
        <v>#NAME?</v>
      </c>
      <c r="P257" s="84" t="e">
        <f t="shared" ca="1" si="2244"/>
        <v>#NAME?</v>
      </c>
      <c r="Q257" s="84" t="e">
        <f t="shared" ca="1" si="2244"/>
        <v>#NAME?</v>
      </c>
      <c r="R257" s="84" t="e">
        <f t="shared" ca="1" si="2244"/>
        <v>#NAME?</v>
      </c>
      <c r="S257" s="84" t="e">
        <f t="shared" ca="1" si="2244"/>
        <v>#NAME?</v>
      </c>
      <c r="T257" s="84" t="e">
        <f t="shared" ca="1" si="2244"/>
        <v>#NAME?</v>
      </c>
      <c r="U257" s="84" t="e">
        <f t="shared" ca="1" si="2244"/>
        <v>#NAME?</v>
      </c>
      <c r="V257" s="84" t="e">
        <f t="shared" ca="1" si="2244"/>
        <v>#NAME?</v>
      </c>
      <c r="W257" s="84" t="e">
        <f t="shared" ca="1" si="2244"/>
        <v>#NAME?</v>
      </c>
      <c r="X257" s="84" t="e">
        <f t="shared" ca="1" si="2244"/>
        <v>#NAME?</v>
      </c>
      <c r="Y257" s="84" t="e">
        <f t="shared" ca="1" si="2244"/>
        <v>#NAME?</v>
      </c>
      <c r="Z257" s="84" t="e">
        <f t="shared" ca="1" si="2244"/>
        <v>#NAME?</v>
      </c>
      <c r="AA257" s="84" t="e">
        <f t="shared" ref="AA257" ca="1" si="2245">(AA172+AA159+AA149+AA151)/AA131</f>
        <v>#NAME?</v>
      </c>
      <c r="AB257" s="50" t="e">
        <f t="shared" ca="1" si="2244"/>
        <v>#NAME?</v>
      </c>
      <c r="AC257" s="50" t="e">
        <f t="shared" ca="1" si="2244"/>
        <v>#NAME?</v>
      </c>
      <c r="AD257" s="50" t="e">
        <f t="shared" ca="1" si="2244"/>
        <v>#NAME?</v>
      </c>
      <c r="AE257" s="50" t="e">
        <f t="shared" ca="1" si="2244"/>
        <v>#NAME?</v>
      </c>
      <c r="AL257" s="84" t="e">
        <f t="shared" ref="AL257:CW257" ca="1" si="2246">(AL172+AL159+AL149+AL151)/AL131</f>
        <v>#NAME?</v>
      </c>
      <c r="AM257" s="84" t="e">
        <f t="shared" ca="1" si="2246"/>
        <v>#NAME?</v>
      </c>
      <c r="AN257" s="84" t="e">
        <f t="shared" ca="1" si="2246"/>
        <v>#NAME?</v>
      </c>
      <c r="AO257" s="84" t="e">
        <f t="shared" ca="1" si="2246"/>
        <v>#NAME?</v>
      </c>
      <c r="AP257" s="84" t="e">
        <f t="shared" ca="1" si="2246"/>
        <v>#NAME?</v>
      </c>
      <c r="AQ257" s="84" t="e">
        <f t="shared" ca="1" si="2246"/>
        <v>#NAME?</v>
      </c>
      <c r="AR257" s="84" t="e">
        <f t="shared" ca="1" si="2246"/>
        <v>#NAME?</v>
      </c>
      <c r="AS257" s="84" t="e">
        <f t="shared" ca="1" si="2246"/>
        <v>#NAME?</v>
      </c>
      <c r="AT257" s="84" t="e">
        <f t="shared" ca="1" si="2246"/>
        <v>#NAME?</v>
      </c>
      <c r="AU257" s="84" t="e">
        <f t="shared" ca="1" si="2246"/>
        <v>#NAME?</v>
      </c>
      <c r="AV257" s="84" t="e">
        <f t="shared" ca="1" si="2246"/>
        <v>#NAME?</v>
      </c>
      <c r="AW257" s="84" t="e">
        <f t="shared" ca="1" si="2246"/>
        <v>#NAME?</v>
      </c>
      <c r="AX257" s="84" t="e">
        <f t="shared" ca="1" si="2246"/>
        <v>#NAME?</v>
      </c>
      <c r="AY257" s="84" t="e">
        <f t="shared" ca="1" si="2246"/>
        <v>#NAME?</v>
      </c>
      <c r="AZ257" s="84" t="e">
        <f t="shared" ca="1" si="2246"/>
        <v>#NAME?</v>
      </c>
      <c r="BA257" s="84" t="e">
        <f t="shared" ca="1" si="2246"/>
        <v>#NAME?</v>
      </c>
      <c r="BB257" s="84" t="e">
        <f t="shared" ca="1" si="2246"/>
        <v>#NAME?</v>
      </c>
      <c r="BC257" s="84" t="e">
        <f t="shared" ca="1" si="2246"/>
        <v>#NAME?</v>
      </c>
      <c r="BD257" s="84" t="e">
        <f t="shared" ca="1" si="2246"/>
        <v>#NAME?</v>
      </c>
      <c r="BE257" s="84" t="e">
        <f t="shared" ca="1" si="2246"/>
        <v>#NAME?</v>
      </c>
      <c r="BF257" s="84" t="e">
        <f t="shared" ca="1" si="2246"/>
        <v>#NAME?</v>
      </c>
      <c r="BG257" s="84" t="e">
        <f t="shared" ca="1" si="2246"/>
        <v>#NAME?</v>
      </c>
      <c r="BH257" s="84" t="e">
        <f t="shared" ca="1" si="2246"/>
        <v>#NAME?</v>
      </c>
      <c r="BI257" s="84" t="e">
        <f t="shared" ca="1" si="2246"/>
        <v>#NAME?</v>
      </c>
      <c r="BJ257" s="84" t="e">
        <f t="shared" ca="1" si="2246"/>
        <v>#NAME?</v>
      </c>
      <c r="BK257" s="84" t="e">
        <f t="shared" ca="1" si="2246"/>
        <v>#NAME?</v>
      </c>
      <c r="BL257" s="84" t="e">
        <f t="shared" ca="1" si="2246"/>
        <v>#NAME?</v>
      </c>
      <c r="BM257" s="84" t="e">
        <f t="shared" ca="1" si="2246"/>
        <v>#NAME?</v>
      </c>
      <c r="BN257" s="84" t="e">
        <f t="shared" ca="1" si="2246"/>
        <v>#NAME?</v>
      </c>
      <c r="BO257" s="84" t="e">
        <f t="shared" ca="1" si="2246"/>
        <v>#NAME?</v>
      </c>
      <c r="BP257" s="84" t="e">
        <f t="shared" ca="1" si="2246"/>
        <v>#NAME?</v>
      </c>
      <c r="BQ257" s="84" t="e">
        <f t="shared" ca="1" si="2246"/>
        <v>#NAME?</v>
      </c>
      <c r="BR257" s="84" t="e">
        <f t="shared" ca="1" si="2246"/>
        <v>#NAME?</v>
      </c>
      <c r="BS257" s="84" t="e">
        <f t="shared" ca="1" si="2246"/>
        <v>#NAME?</v>
      </c>
      <c r="BT257" s="84" t="e">
        <f t="shared" ca="1" si="2246"/>
        <v>#NAME?</v>
      </c>
      <c r="BU257" s="84" t="e">
        <f t="shared" ca="1" si="2246"/>
        <v>#NAME?</v>
      </c>
      <c r="BV257" s="84" t="e">
        <f t="shared" ca="1" si="2246"/>
        <v>#NAME?</v>
      </c>
      <c r="BW257" s="84" t="e">
        <f t="shared" ca="1" si="2246"/>
        <v>#NAME?</v>
      </c>
      <c r="BX257" s="84" t="e">
        <f t="shared" ca="1" si="2246"/>
        <v>#NAME?</v>
      </c>
      <c r="BY257" s="84" t="e">
        <f t="shared" ca="1" si="2246"/>
        <v>#NAME?</v>
      </c>
      <c r="BZ257" s="84" t="e">
        <f t="shared" ca="1" si="2246"/>
        <v>#NAME?</v>
      </c>
      <c r="CA257" s="84" t="e">
        <f t="shared" ca="1" si="2246"/>
        <v>#NAME?</v>
      </c>
      <c r="CB257" s="84" t="e">
        <f t="shared" ca="1" si="2246"/>
        <v>#NAME?</v>
      </c>
      <c r="CC257" s="84" t="e">
        <f t="shared" ca="1" si="2246"/>
        <v>#NAME?</v>
      </c>
      <c r="CD257" s="84" t="e">
        <f t="shared" ca="1" si="2246"/>
        <v>#NAME?</v>
      </c>
      <c r="CE257" s="84" t="e">
        <f t="shared" ca="1" si="2246"/>
        <v>#NAME?</v>
      </c>
      <c r="CF257" s="84" t="e">
        <f t="shared" ca="1" si="2246"/>
        <v>#NAME?</v>
      </c>
      <c r="CG257" s="84" t="e">
        <f t="shared" ca="1" si="2246"/>
        <v>#NAME?</v>
      </c>
      <c r="CH257" s="84" t="e">
        <f t="shared" ca="1" si="2246"/>
        <v>#NAME?</v>
      </c>
      <c r="CI257" s="84" t="e">
        <f t="shared" ca="1" si="2246"/>
        <v>#NAME?</v>
      </c>
      <c r="CJ257" s="84" t="e">
        <f t="shared" ca="1" si="2246"/>
        <v>#NAME?</v>
      </c>
      <c r="CK257" s="84" t="e">
        <f t="shared" ca="1" si="2246"/>
        <v>#NAME?</v>
      </c>
      <c r="CL257" s="84" t="e">
        <f t="shared" ca="1" si="2246"/>
        <v>#NAME?</v>
      </c>
      <c r="CM257" s="50" t="e">
        <f t="shared" ca="1" si="2246"/>
        <v>#NAME?</v>
      </c>
      <c r="CN257" s="50" t="e">
        <f t="shared" ca="1" si="2246"/>
        <v>#NAME?</v>
      </c>
      <c r="CO257" s="50" t="e">
        <f t="shared" ca="1" si="2246"/>
        <v>#NAME?</v>
      </c>
      <c r="CP257" s="50" t="e">
        <f t="shared" ca="1" si="2246"/>
        <v>#NAME?</v>
      </c>
      <c r="CQ257" s="50" t="e">
        <f t="shared" ca="1" si="2246"/>
        <v>#NAME?</v>
      </c>
      <c r="CR257" s="50" t="e">
        <f t="shared" ca="1" si="2246"/>
        <v>#NAME?</v>
      </c>
      <c r="CS257" s="50" t="e">
        <f t="shared" ca="1" si="2246"/>
        <v>#NAME?</v>
      </c>
      <c r="CT257" s="50" t="e">
        <f t="shared" ca="1" si="2246"/>
        <v>#NAME?</v>
      </c>
      <c r="CU257" s="50" t="e">
        <f t="shared" ca="1" si="2246"/>
        <v>#NAME?</v>
      </c>
      <c r="CV257" s="50" t="e">
        <f t="shared" ca="1" si="2246"/>
        <v>#NAME?</v>
      </c>
      <c r="CW257" s="50" t="e">
        <f t="shared" ca="1" si="2246"/>
        <v>#NAME?</v>
      </c>
      <c r="CX257" s="50" t="e">
        <f t="shared" ref="CX257:DB257" ca="1" si="2247">(CX172+CX159+CX149+CX151)/CX131</f>
        <v>#NAME?</v>
      </c>
      <c r="CY257" s="50" t="e">
        <f t="shared" ca="1" si="2247"/>
        <v>#NAME?</v>
      </c>
      <c r="CZ257" s="50" t="e">
        <f t="shared" ca="1" si="2247"/>
        <v>#NAME?</v>
      </c>
      <c r="DA257" s="50" t="e">
        <f t="shared" ca="1" si="2247"/>
        <v>#NAME?</v>
      </c>
      <c r="DB257" s="50" t="e">
        <f t="shared" ca="1" si="2247"/>
        <v>#NAME?</v>
      </c>
      <c r="DE257" s="138"/>
      <c r="DF257" s="84">
        <v>2.3087505573374374</v>
      </c>
    </row>
    <row r="258" spans="1:110" s="84" customFormat="1" x14ac:dyDescent="0.2">
      <c r="A258" s="154" t="s">
        <v>498</v>
      </c>
      <c r="AB258" s="50"/>
      <c r="AC258" s="50"/>
      <c r="AD258" s="50"/>
      <c r="AE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E258" s="138"/>
    </row>
    <row r="259" spans="1:110" s="88" customFormat="1" x14ac:dyDescent="0.2">
      <c r="A259" s="88" t="s">
        <v>102</v>
      </c>
      <c r="B259" s="88" t="e">
        <f t="shared" ref="B259:AE259" ca="1" si="2248">B172/B131</f>
        <v>#NAME?</v>
      </c>
      <c r="C259" s="88" t="e">
        <f t="shared" ca="1" si="2248"/>
        <v>#NAME?</v>
      </c>
      <c r="D259" s="88" t="e">
        <f t="shared" ca="1" si="2248"/>
        <v>#NAME?</v>
      </c>
      <c r="F259" s="88" t="e">
        <f t="shared" ca="1" si="2248"/>
        <v>#NAME?</v>
      </c>
      <c r="G259" s="88" t="e">
        <f t="shared" ca="1" si="2248"/>
        <v>#NAME?</v>
      </c>
      <c r="H259" s="88" t="e">
        <f t="shared" ca="1" si="2248"/>
        <v>#NAME?</v>
      </c>
      <c r="I259" s="88" t="e">
        <f t="shared" ca="1" si="2248"/>
        <v>#NAME?</v>
      </c>
      <c r="J259" s="88" t="e">
        <f t="shared" ca="1" si="2248"/>
        <v>#NAME?</v>
      </c>
      <c r="K259" s="88" t="e">
        <f t="shared" ca="1" si="2248"/>
        <v>#NAME?</v>
      </c>
      <c r="L259" s="88" t="e">
        <f t="shared" ca="1" si="2248"/>
        <v>#NAME?</v>
      </c>
      <c r="M259" s="88" t="e">
        <f t="shared" ca="1" si="2248"/>
        <v>#NAME?</v>
      </c>
      <c r="N259" s="88" t="e">
        <f t="shared" ca="1" si="2248"/>
        <v>#NAME?</v>
      </c>
      <c r="O259" s="88" t="e">
        <f t="shared" ca="1" si="2248"/>
        <v>#NAME?</v>
      </c>
      <c r="P259" s="88" t="e">
        <f t="shared" ca="1" si="2248"/>
        <v>#NAME?</v>
      </c>
      <c r="Q259" s="88" t="e">
        <f t="shared" ca="1" si="2248"/>
        <v>#NAME?</v>
      </c>
      <c r="R259" s="88" t="e">
        <f t="shared" ca="1" si="2248"/>
        <v>#NAME?</v>
      </c>
      <c r="S259" s="88" t="e">
        <f t="shared" ca="1" si="2248"/>
        <v>#NAME?</v>
      </c>
      <c r="T259" s="88" t="e">
        <f t="shared" ca="1" si="2248"/>
        <v>#NAME?</v>
      </c>
      <c r="U259" s="88" t="e">
        <f t="shared" ca="1" si="2248"/>
        <v>#NAME?</v>
      </c>
      <c r="V259" s="88" t="e">
        <f t="shared" ca="1" si="2248"/>
        <v>#NAME?</v>
      </c>
      <c r="W259" s="88" t="e">
        <f t="shared" ca="1" si="2248"/>
        <v>#NAME?</v>
      </c>
      <c r="X259" s="88" t="e">
        <f t="shared" ca="1" si="2248"/>
        <v>#NAME?</v>
      </c>
      <c r="Y259" s="88" t="e">
        <f t="shared" ca="1" si="2248"/>
        <v>#NAME?</v>
      </c>
      <c r="Z259" s="88" t="e">
        <f t="shared" ca="1" si="2248"/>
        <v>#NAME?</v>
      </c>
      <c r="AA259" s="88" t="e">
        <f t="shared" ref="AA259" ca="1" si="2249">AA172/AA131</f>
        <v>#NAME?</v>
      </c>
      <c r="AB259" s="42" t="e">
        <f t="shared" ca="1" si="2248"/>
        <v>#NAME?</v>
      </c>
      <c r="AC259" s="42" t="e">
        <f t="shared" ca="1" si="2248"/>
        <v>#NAME?</v>
      </c>
      <c r="AD259" s="42" t="e">
        <f t="shared" ca="1" si="2248"/>
        <v>#NAME?</v>
      </c>
      <c r="AE259" s="42" t="e">
        <f t="shared" ca="1" si="2248"/>
        <v>#NAME?</v>
      </c>
      <c r="AL259" s="88" t="e">
        <f t="shared" ref="AL259:CW259" ca="1" si="2250">AL172/AL131</f>
        <v>#NAME?</v>
      </c>
      <c r="AM259" s="88" t="e">
        <f t="shared" ca="1" si="2250"/>
        <v>#NAME?</v>
      </c>
      <c r="AN259" s="88" t="e">
        <f t="shared" ca="1" si="2250"/>
        <v>#NAME?</v>
      </c>
      <c r="AO259" s="88" t="e">
        <f t="shared" ca="1" si="2250"/>
        <v>#NAME?</v>
      </c>
      <c r="AP259" s="88" t="e">
        <f t="shared" ca="1" si="2250"/>
        <v>#NAME?</v>
      </c>
      <c r="AQ259" s="88" t="e">
        <f t="shared" ca="1" si="2250"/>
        <v>#NAME?</v>
      </c>
      <c r="AR259" s="88" t="e">
        <f t="shared" ca="1" si="2250"/>
        <v>#NAME?</v>
      </c>
      <c r="AS259" s="88" t="e">
        <f t="shared" ca="1" si="2250"/>
        <v>#NAME?</v>
      </c>
      <c r="AT259" s="88" t="e">
        <f t="shared" ca="1" si="2250"/>
        <v>#NAME?</v>
      </c>
      <c r="AU259" s="88" t="e">
        <f t="shared" ca="1" si="2250"/>
        <v>#NAME?</v>
      </c>
      <c r="AV259" s="88" t="e">
        <f t="shared" ca="1" si="2250"/>
        <v>#NAME?</v>
      </c>
      <c r="AW259" s="88" t="e">
        <f t="shared" ca="1" si="2250"/>
        <v>#NAME?</v>
      </c>
      <c r="AX259" s="88" t="e">
        <f t="shared" ca="1" si="2250"/>
        <v>#NAME?</v>
      </c>
      <c r="AY259" s="88" t="e">
        <f t="shared" ca="1" si="2250"/>
        <v>#NAME?</v>
      </c>
      <c r="AZ259" s="88" t="e">
        <f t="shared" ca="1" si="2250"/>
        <v>#NAME?</v>
      </c>
      <c r="BA259" s="88" t="e">
        <f t="shared" ca="1" si="2250"/>
        <v>#NAME?</v>
      </c>
      <c r="BB259" s="88" t="e">
        <f t="shared" ca="1" si="2250"/>
        <v>#NAME?</v>
      </c>
      <c r="BC259" s="88" t="e">
        <f t="shared" ca="1" si="2250"/>
        <v>#NAME?</v>
      </c>
      <c r="BD259" s="88" t="e">
        <f t="shared" ca="1" si="2250"/>
        <v>#NAME?</v>
      </c>
      <c r="BE259" s="88" t="e">
        <f t="shared" ca="1" si="2250"/>
        <v>#NAME?</v>
      </c>
      <c r="BF259" s="88" t="e">
        <f t="shared" ca="1" si="2250"/>
        <v>#NAME?</v>
      </c>
      <c r="BG259" s="88" t="e">
        <f t="shared" ca="1" si="2250"/>
        <v>#NAME?</v>
      </c>
      <c r="BH259" s="88" t="e">
        <f t="shared" ca="1" si="2250"/>
        <v>#NAME?</v>
      </c>
      <c r="BI259" s="88" t="e">
        <f t="shared" ca="1" si="2250"/>
        <v>#NAME?</v>
      </c>
      <c r="BJ259" s="88" t="e">
        <f t="shared" ca="1" si="2250"/>
        <v>#NAME?</v>
      </c>
      <c r="BK259" s="88" t="e">
        <f t="shared" ca="1" si="2250"/>
        <v>#NAME?</v>
      </c>
      <c r="BL259" s="88" t="e">
        <f t="shared" ca="1" si="2250"/>
        <v>#NAME?</v>
      </c>
      <c r="BM259" s="88" t="e">
        <f t="shared" ca="1" si="2250"/>
        <v>#NAME?</v>
      </c>
      <c r="BN259" s="88" t="e">
        <f t="shared" ca="1" si="2250"/>
        <v>#NAME?</v>
      </c>
      <c r="BO259" s="88" t="e">
        <f t="shared" ca="1" si="2250"/>
        <v>#NAME?</v>
      </c>
      <c r="BP259" s="88" t="e">
        <f t="shared" ca="1" si="2250"/>
        <v>#NAME?</v>
      </c>
      <c r="BQ259" s="88" t="e">
        <f t="shared" ca="1" si="2250"/>
        <v>#NAME?</v>
      </c>
      <c r="BR259" s="88" t="e">
        <f t="shared" ca="1" si="2250"/>
        <v>#NAME?</v>
      </c>
      <c r="BS259" s="88" t="e">
        <f t="shared" ca="1" si="2250"/>
        <v>#NAME?</v>
      </c>
      <c r="BT259" s="88" t="e">
        <f t="shared" ca="1" si="2250"/>
        <v>#NAME?</v>
      </c>
      <c r="BU259" s="88" t="e">
        <f t="shared" ca="1" si="2250"/>
        <v>#NAME?</v>
      </c>
      <c r="BV259" s="88" t="e">
        <f t="shared" ca="1" si="2250"/>
        <v>#NAME?</v>
      </c>
      <c r="BW259" s="88" t="e">
        <f t="shared" ca="1" si="2250"/>
        <v>#NAME?</v>
      </c>
      <c r="BX259" s="88" t="e">
        <f t="shared" ca="1" si="2250"/>
        <v>#NAME?</v>
      </c>
      <c r="BY259" s="88" t="e">
        <f t="shared" ca="1" si="2250"/>
        <v>#NAME?</v>
      </c>
      <c r="BZ259" s="88" t="e">
        <f t="shared" ca="1" si="2250"/>
        <v>#NAME?</v>
      </c>
      <c r="CA259" s="88" t="e">
        <f t="shared" ca="1" si="2250"/>
        <v>#NAME?</v>
      </c>
      <c r="CB259" s="88" t="e">
        <f t="shared" ca="1" si="2250"/>
        <v>#NAME?</v>
      </c>
      <c r="CC259" s="88" t="e">
        <f t="shared" ca="1" si="2250"/>
        <v>#NAME?</v>
      </c>
      <c r="CD259" s="88" t="e">
        <f t="shared" ca="1" si="2250"/>
        <v>#NAME?</v>
      </c>
      <c r="CE259" s="88" t="e">
        <f t="shared" ca="1" si="2250"/>
        <v>#NAME?</v>
      </c>
      <c r="CF259" s="88" t="e">
        <f t="shared" ca="1" si="2250"/>
        <v>#NAME?</v>
      </c>
      <c r="CG259" s="88" t="e">
        <f t="shared" ca="1" si="2250"/>
        <v>#NAME?</v>
      </c>
      <c r="CH259" s="88" t="e">
        <f t="shared" ca="1" si="2250"/>
        <v>#NAME?</v>
      </c>
      <c r="CI259" s="88" t="e">
        <f t="shared" ca="1" si="2250"/>
        <v>#NAME?</v>
      </c>
      <c r="CJ259" s="88" t="e">
        <f t="shared" ca="1" si="2250"/>
        <v>#NAME?</v>
      </c>
      <c r="CK259" s="88" t="e">
        <f t="shared" ca="1" si="2250"/>
        <v>#NAME?</v>
      </c>
      <c r="CL259" s="88" t="e">
        <f t="shared" ca="1" si="2250"/>
        <v>#NAME?</v>
      </c>
      <c r="CM259" s="42" t="e">
        <f t="shared" ca="1" si="2250"/>
        <v>#NAME?</v>
      </c>
      <c r="CN259" s="42" t="e">
        <f t="shared" ca="1" si="2250"/>
        <v>#NAME?</v>
      </c>
      <c r="CO259" s="42" t="e">
        <f t="shared" ca="1" si="2250"/>
        <v>#NAME?</v>
      </c>
      <c r="CP259" s="42" t="e">
        <f t="shared" ca="1" si="2250"/>
        <v>#NAME?</v>
      </c>
      <c r="CQ259" s="42" t="e">
        <f t="shared" ca="1" si="2250"/>
        <v>#NAME?</v>
      </c>
      <c r="CR259" s="42" t="e">
        <f t="shared" ca="1" si="2250"/>
        <v>#NAME?</v>
      </c>
      <c r="CS259" s="42" t="e">
        <f t="shared" ca="1" si="2250"/>
        <v>#NAME?</v>
      </c>
      <c r="CT259" s="42" t="e">
        <f t="shared" ca="1" si="2250"/>
        <v>#NAME?</v>
      </c>
      <c r="CU259" s="42" t="e">
        <f t="shared" ca="1" si="2250"/>
        <v>#NAME?</v>
      </c>
      <c r="CV259" s="42" t="e">
        <f t="shared" ca="1" si="2250"/>
        <v>#NAME?</v>
      </c>
      <c r="CW259" s="42" t="e">
        <f t="shared" ca="1" si="2250"/>
        <v>#NAME?</v>
      </c>
      <c r="CX259" s="42" t="e">
        <f t="shared" ref="CX259:DB259" ca="1" si="2251">CX172/CX131</f>
        <v>#NAME?</v>
      </c>
      <c r="CY259" s="42" t="e">
        <f t="shared" ca="1" si="2251"/>
        <v>#NAME?</v>
      </c>
      <c r="CZ259" s="42" t="e">
        <f t="shared" ca="1" si="2251"/>
        <v>#NAME?</v>
      </c>
      <c r="DA259" s="42" t="e">
        <f t="shared" ca="1" si="2251"/>
        <v>#NAME?</v>
      </c>
      <c r="DB259" s="42" t="e">
        <f t="shared" ca="1" si="2251"/>
        <v>#NAME?</v>
      </c>
      <c r="DE259" s="125"/>
      <c r="DF259" s="88">
        <v>0.23365383232413306</v>
      </c>
    </row>
    <row r="260" spans="1:110" s="89" customFormat="1" x14ac:dyDescent="0.2">
      <c r="A260" s="89" t="s">
        <v>103</v>
      </c>
      <c r="C260" s="89" t="e">
        <f t="shared" ref="C260:AE260" ca="1" si="2252">C139/B139-1</f>
        <v>#NAME?</v>
      </c>
      <c r="D260" s="89" t="e">
        <f t="shared" ca="1" si="2252"/>
        <v>#NAME?</v>
      </c>
      <c r="F260" s="89" t="e">
        <f t="shared" ca="1" si="2252"/>
        <v>#NAME?</v>
      </c>
      <c r="G260" s="89" t="e">
        <f t="shared" ca="1" si="2252"/>
        <v>#NAME?</v>
      </c>
      <c r="H260" s="89" t="e">
        <f t="shared" ca="1" si="2252"/>
        <v>#NAME?</v>
      </c>
      <c r="I260" s="89" t="e">
        <f t="shared" ca="1" si="2252"/>
        <v>#NAME?</v>
      </c>
      <c r="J260" s="89" t="e">
        <f t="shared" ca="1" si="2252"/>
        <v>#NAME?</v>
      </c>
      <c r="K260" s="89" t="e">
        <f ca="1">K139/J139-1</f>
        <v>#NAME?</v>
      </c>
      <c r="L260" s="89" t="e">
        <f t="shared" ca="1" si="2252"/>
        <v>#NAME?</v>
      </c>
      <c r="M260" s="89" t="e">
        <f t="shared" ca="1" si="2252"/>
        <v>#NAME?</v>
      </c>
      <c r="N260" s="89" t="e">
        <f t="shared" ca="1" si="2252"/>
        <v>#NAME?</v>
      </c>
      <c r="O260" s="89" t="e">
        <f t="shared" ca="1" si="2252"/>
        <v>#NAME?</v>
      </c>
      <c r="P260" s="89" t="e">
        <f t="shared" ca="1" si="2252"/>
        <v>#NAME?</v>
      </c>
      <c r="Q260" s="89" t="e">
        <f t="shared" ca="1" si="2252"/>
        <v>#NAME?</v>
      </c>
      <c r="R260" s="89" t="e">
        <f t="shared" ca="1" si="2252"/>
        <v>#NAME?</v>
      </c>
      <c r="S260" s="89" t="e">
        <f t="shared" ca="1" si="2252"/>
        <v>#NAME?</v>
      </c>
      <c r="T260" s="89" t="e">
        <f t="shared" ca="1" si="2252"/>
        <v>#NAME?</v>
      </c>
      <c r="U260" s="89" t="e">
        <f t="shared" ca="1" si="2252"/>
        <v>#NAME?</v>
      </c>
      <c r="V260" s="89" t="e">
        <f t="shared" ca="1" si="2252"/>
        <v>#NAME?</v>
      </c>
      <c r="W260" s="89" t="e">
        <f t="shared" ca="1" si="2252"/>
        <v>#NAME?</v>
      </c>
      <c r="X260" s="89" t="e">
        <f t="shared" ca="1" si="2252"/>
        <v>#NAME?</v>
      </c>
      <c r="Y260" s="89" t="e">
        <f t="shared" ca="1" si="2252"/>
        <v>#NAME?</v>
      </c>
      <c r="Z260" s="89" t="e">
        <f t="shared" ca="1" si="2252"/>
        <v>#NAME?</v>
      </c>
      <c r="AA260" s="89" t="e">
        <f t="shared" ca="1" si="2252"/>
        <v>#NAME?</v>
      </c>
      <c r="AB260" s="47" t="e">
        <f t="shared" ca="1" si="2252"/>
        <v>#NAME?</v>
      </c>
      <c r="AC260" s="47" t="e">
        <f t="shared" ca="1" si="2252"/>
        <v>#NAME?</v>
      </c>
      <c r="AD260" s="47" t="e">
        <f t="shared" ca="1" si="2252"/>
        <v>#NAME?</v>
      </c>
      <c r="AE260" s="47" t="e">
        <f t="shared" ca="1" si="2252"/>
        <v>#NAME?</v>
      </c>
      <c r="AL260" s="89" t="e">
        <f t="shared" ref="AL260:CW260" ca="1" si="2253">AL139/AK139-1</f>
        <v>#NAME?</v>
      </c>
      <c r="AM260" s="89" t="e">
        <f t="shared" ca="1" si="2253"/>
        <v>#NAME?</v>
      </c>
      <c r="AN260" s="89" t="e">
        <f t="shared" ca="1" si="2253"/>
        <v>#NAME?</v>
      </c>
      <c r="AO260" s="89" t="e">
        <f t="shared" ca="1" si="2253"/>
        <v>#NAME?</v>
      </c>
      <c r="AP260" s="89" t="e">
        <f t="shared" ca="1" si="2253"/>
        <v>#NAME?</v>
      </c>
      <c r="AQ260" s="89" t="e">
        <f t="shared" ca="1" si="2253"/>
        <v>#NAME?</v>
      </c>
      <c r="AR260" s="89" t="e">
        <f t="shared" ca="1" si="2253"/>
        <v>#NAME?</v>
      </c>
      <c r="AS260" s="89" t="e">
        <f t="shared" ca="1" si="2253"/>
        <v>#NAME?</v>
      </c>
      <c r="AT260" s="89" t="e">
        <f t="shared" ca="1" si="2253"/>
        <v>#NAME?</v>
      </c>
      <c r="AU260" s="89" t="e">
        <f t="shared" ca="1" si="2253"/>
        <v>#NAME?</v>
      </c>
      <c r="AV260" s="89" t="e">
        <f t="shared" ca="1" si="2253"/>
        <v>#NAME?</v>
      </c>
      <c r="AW260" s="89" t="e">
        <f t="shared" ca="1" si="2253"/>
        <v>#NAME?</v>
      </c>
      <c r="AX260" s="89" t="e">
        <f t="shared" ca="1" si="2253"/>
        <v>#NAME?</v>
      </c>
      <c r="AY260" s="89" t="e">
        <f t="shared" ca="1" si="2253"/>
        <v>#NAME?</v>
      </c>
      <c r="AZ260" s="89" t="e">
        <f t="shared" ca="1" si="2253"/>
        <v>#NAME?</v>
      </c>
      <c r="BA260" s="89" t="e">
        <f t="shared" ca="1" si="2253"/>
        <v>#NAME?</v>
      </c>
      <c r="BB260" s="89" t="e">
        <f t="shared" ca="1" si="2253"/>
        <v>#NAME?</v>
      </c>
      <c r="BC260" s="89" t="e">
        <f t="shared" ca="1" si="2253"/>
        <v>#NAME?</v>
      </c>
      <c r="BD260" s="89" t="e">
        <f t="shared" ca="1" si="2253"/>
        <v>#NAME?</v>
      </c>
      <c r="BE260" s="89" t="e">
        <f t="shared" ca="1" si="2253"/>
        <v>#NAME?</v>
      </c>
      <c r="BF260" s="89" t="e">
        <f t="shared" ca="1" si="2253"/>
        <v>#NAME?</v>
      </c>
      <c r="BG260" s="89" t="e">
        <f t="shared" ca="1" si="2253"/>
        <v>#NAME?</v>
      </c>
      <c r="BH260" s="89" t="e">
        <f t="shared" ca="1" si="2253"/>
        <v>#NAME?</v>
      </c>
      <c r="BI260" s="89" t="e">
        <f t="shared" ca="1" si="2253"/>
        <v>#NAME?</v>
      </c>
      <c r="BJ260" s="89" t="e">
        <f t="shared" ca="1" si="2253"/>
        <v>#NAME?</v>
      </c>
      <c r="BK260" s="89" t="e">
        <f t="shared" ca="1" si="2253"/>
        <v>#NAME?</v>
      </c>
      <c r="BL260" s="89" t="e">
        <f t="shared" ca="1" si="2253"/>
        <v>#NAME?</v>
      </c>
      <c r="BM260" s="89" t="e">
        <f t="shared" ca="1" si="2253"/>
        <v>#NAME?</v>
      </c>
      <c r="BN260" s="89" t="e">
        <f t="shared" ca="1" si="2253"/>
        <v>#NAME?</v>
      </c>
      <c r="BO260" s="89" t="e">
        <f t="shared" ca="1" si="2253"/>
        <v>#NAME?</v>
      </c>
      <c r="BP260" s="89" t="e">
        <f t="shared" ca="1" si="2253"/>
        <v>#NAME?</v>
      </c>
      <c r="BQ260" s="89" t="e">
        <f t="shared" ca="1" si="2253"/>
        <v>#NAME?</v>
      </c>
      <c r="BR260" s="89" t="e">
        <f t="shared" ca="1" si="2253"/>
        <v>#NAME?</v>
      </c>
      <c r="BS260" s="89" t="e">
        <f t="shared" ca="1" si="2253"/>
        <v>#NAME?</v>
      </c>
      <c r="BT260" s="89" t="e">
        <f t="shared" ca="1" si="2253"/>
        <v>#NAME?</v>
      </c>
      <c r="BU260" s="89" t="e">
        <f t="shared" ca="1" si="2253"/>
        <v>#NAME?</v>
      </c>
      <c r="BV260" s="89" t="e">
        <f t="shared" ca="1" si="2253"/>
        <v>#NAME?</v>
      </c>
      <c r="BW260" s="89" t="e">
        <f t="shared" ca="1" si="2253"/>
        <v>#NAME?</v>
      </c>
      <c r="BX260" s="89" t="e">
        <f t="shared" ca="1" si="2253"/>
        <v>#NAME?</v>
      </c>
      <c r="BY260" s="89" t="e">
        <f t="shared" ca="1" si="2253"/>
        <v>#NAME?</v>
      </c>
      <c r="BZ260" s="89" t="e">
        <f t="shared" ca="1" si="2253"/>
        <v>#NAME?</v>
      </c>
      <c r="CA260" s="89" t="e">
        <f t="shared" ca="1" si="2253"/>
        <v>#NAME?</v>
      </c>
      <c r="CB260" s="89" t="e">
        <f t="shared" ca="1" si="2253"/>
        <v>#NAME?</v>
      </c>
      <c r="CC260" s="89" t="e">
        <f t="shared" ca="1" si="2253"/>
        <v>#NAME?</v>
      </c>
      <c r="CD260" s="89" t="e">
        <f t="shared" ca="1" si="2253"/>
        <v>#NAME?</v>
      </c>
      <c r="CE260" s="89" t="e">
        <f t="shared" ca="1" si="2253"/>
        <v>#NAME?</v>
      </c>
      <c r="CF260" s="89" t="e">
        <f t="shared" ca="1" si="2253"/>
        <v>#NAME?</v>
      </c>
      <c r="CG260" s="89" t="e">
        <f t="shared" ca="1" si="2253"/>
        <v>#NAME?</v>
      </c>
      <c r="CH260" s="89" t="e">
        <f t="shared" ca="1" si="2253"/>
        <v>#NAME?</v>
      </c>
      <c r="CI260" s="89" t="e">
        <f t="shared" ca="1" si="2253"/>
        <v>#NAME?</v>
      </c>
      <c r="CJ260" s="89" t="e">
        <f t="shared" ca="1" si="2253"/>
        <v>#NAME?</v>
      </c>
      <c r="CK260" s="89" t="e">
        <f t="shared" ca="1" si="2253"/>
        <v>#NAME?</v>
      </c>
      <c r="CL260" s="89" t="e">
        <f t="shared" ca="1" si="2253"/>
        <v>#NAME?</v>
      </c>
      <c r="CM260" s="47" t="e">
        <f t="shared" ca="1" si="2253"/>
        <v>#NAME?</v>
      </c>
      <c r="CN260" s="47" t="e">
        <f t="shared" ca="1" si="2253"/>
        <v>#NAME?</v>
      </c>
      <c r="CO260" s="47" t="e">
        <f t="shared" ca="1" si="2253"/>
        <v>#NAME?</v>
      </c>
      <c r="CP260" s="47" t="e">
        <f t="shared" ca="1" si="2253"/>
        <v>#NAME?</v>
      </c>
      <c r="CQ260" s="47" t="e">
        <f t="shared" ca="1" si="2253"/>
        <v>#NAME?</v>
      </c>
      <c r="CR260" s="47" t="e">
        <f t="shared" ca="1" si="2253"/>
        <v>#NAME?</v>
      </c>
      <c r="CS260" s="47" t="e">
        <f t="shared" ca="1" si="2253"/>
        <v>#NAME?</v>
      </c>
      <c r="CT260" s="47" t="e">
        <f t="shared" ca="1" si="2253"/>
        <v>#NAME?</v>
      </c>
      <c r="CU260" s="47" t="e">
        <f t="shared" ca="1" si="2253"/>
        <v>#NAME?</v>
      </c>
      <c r="CV260" s="47" t="e">
        <f t="shared" ca="1" si="2253"/>
        <v>#NAME?</v>
      </c>
      <c r="CW260" s="47" t="e">
        <f t="shared" ca="1" si="2253"/>
        <v>#NAME?</v>
      </c>
      <c r="CX260" s="47" t="e">
        <f t="shared" ref="CX260:DB260" ca="1" si="2254">CX139/CW139-1</f>
        <v>#NAME?</v>
      </c>
      <c r="CY260" s="47" t="e">
        <f t="shared" ca="1" si="2254"/>
        <v>#NAME?</v>
      </c>
      <c r="CZ260" s="47" t="e">
        <f t="shared" ca="1" si="2254"/>
        <v>#NAME?</v>
      </c>
      <c r="DA260" s="47" t="e">
        <f t="shared" ca="1" si="2254"/>
        <v>#NAME?</v>
      </c>
      <c r="DB260" s="47" t="e">
        <f t="shared" ca="1" si="2254"/>
        <v>#NAME?</v>
      </c>
      <c r="DE260" s="130"/>
      <c r="DF260" s="89">
        <v>0.33056849496190766</v>
      </c>
    </row>
    <row r="261" spans="1:110" s="89" customFormat="1" x14ac:dyDescent="0.2">
      <c r="A261" s="89" t="s">
        <v>104</v>
      </c>
      <c r="C261" s="89" t="e">
        <f ca="1">C39/B39-1</f>
        <v>#NAME?</v>
      </c>
      <c r="D261" s="89" t="e">
        <f ca="1">D39/C39-1</f>
        <v>#NAME?</v>
      </c>
      <c r="F261" s="89" t="e">
        <f t="shared" ref="F261:AE261" ca="1" si="2255">F39/E39-1</f>
        <v>#NAME?</v>
      </c>
      <c r="G261" s="89" t="e">
        <f t="shared" ca="1" si="2255"/>
        <v>#NAME?</v>
      </c>
      <c r="H261" s="89" t="e">
        <f t="shared" ca="1" si="2255"/>
        <v>#NAME?</v>
      </c>
      <c r="I261" s="89" t="e">
        <f t="shared" ca="1" si="2255"/>
        <v>#NAME?</v>
      </c>
      <c r="J261" s="89" t="e">
        <f t="shared" ca="1" si="2255"/>
        <v>#NAME?</v>
      </c>
      <c r="K261" s="89" t="e">
        <f t="shared" ca="1" si="2255"/>
        <v>#NAME?</v>
      </c>
      <c r="L261" s="89" t="e">
        <f t="shared" ca="1" si="2255"/>
        <v>#NAME?</v>
      </c>
      <c r="M261" s="89" t="e">
        <f t="shared" ca="1" si="2255"/>
        <v>#NAME?</v>
      </c>
      <c r="N261" s="89" t="e">
        <f t="shared" ca="1" si="2255"/>
        <v>#NAME?</v>
      </c>
      <c r="O261" s="89" t="e">
        <f t="shared" ca="1" si="2255"/>
        <v>#NAME?</v>
      </c>
      <c r="P261" s="89" t="e">
        <f t="shared" ca="1" si="2255"/>
        <v>#NAME?</v>
      </c>
      <c r="Q261" s="89" t="e">
        <f t="shared" ca="1" si="2255"/>
        <v>#NAME?</v>
      </c>
      <c r="R261" s="89" t="e">
        <f t="shared" ca="1" si="2255"/>
        <v>#NAME?</v>
      </c>
      <c r="S261" s="89" t="e">
        <f t="shared" ca="1" si="2255"/>
        <v>#NAME?</v>
      </c>
      <c r="T261" s="89" t="e">
        <f t="shared" ca="1" si="2255"/>
        <v>#NAME?</v>
      </c>
      <c r="U261" s="89" t="e">
        <f t="shared" ca="1" si="2255"/>
        <v>#NAME?</v>
      </c>
      <c r="V261" s="89" t="e">
        <f t="shared" ca="1" si="2255"/>
        <v>#NAME?</v>
      </c>
      <c r="W261" s="89" t="e">
        <f t="shared" ca="1" si="2255"/>
        <v>#NAME?</v>
      </c>
      <c r="X261" s="89" t="e">
        <f t="shared" ca="1" si="2255"/>
        <v>#NAME?</v>
      </c>
      <c r="Y261" s="89" t="e">
        <f t="shared" ca="1" si="2255"/>
        <v>#NAME?</v>
      </c>
      <c r="Z261" s="89" t="e">
        <f t="shared" ca="1" si="2255"/>
        <v>#NAME?</v>
      </c>
      <c r="AA261" s="89" t="e">
        <f t="shared" ca="1" si="2255"/>
        <v>#NAME?</v>
      </c>
      <c r="AB261" s="47" t="e">
        <f t="shared" ca="1" si="2255"/>
        <v>#NAME?</v>
      </c>
      <c r="AC261" s="47" t="e">
        <f t="shared" ca="1" si="2255"/>
        <v>#NAME?</v>
      </c>
      <c r="AD261" s="47" t="e">
        <f t="shared" ca="1" si="2255"/>
        <v>#NAME?</v>
      </c>
      <c r="AE261" s="47" t="e">
        <f t="shared" ca="1" si="2255"/>
        <v>#NAME?</v>
      </c>
      <c r="AL261" s="89" t="e">
        <f t="shared" ref="AL261:CW261" ca="1" si="2256">AL39/AK39-1</f>
        <v>#NAME?</v>
      </c>
      <c r="AM261" s="89" t="e">
        <f t="shared" ca="1" si="2256"/>
        <v>#NAME?</v>
      </c>
      <c r="AN261" s="89" t="e">
        <f t="shared" ca="1" si="2256"/>
        <v>#NAME?</v>
      </c>
      <c r="AO261" s="89" t="e">
        <f t="shared" ca="1" si="2256"/>
        <v>#NAME?</v>
      </c>
      <c r="AP261" s="89" t="e">
        <f t="shared" ca="1" si="2256"/>
        <v>#NAME?</v>
      </c>
      <c r="AQ261" s="89" t="e">
        <f t="shared" ca="1" si="2256"/>
        <v>#NAME?</v>
      </c>
      <c r="AR261" s="89" t="e">
        <f t="shared" ca="1" si="2256"/>
        <v>#NAME?</v>
      </c>
      <c r="AS261" s="89" t="e">
        <f t="shared" ca="1" si="2256"/>
        <v>#NAME?</v>
      </c>
      <c r="AT261" s="89" t="e">
        <f t="shared" ca="1" si="2256"/>
        <v>#NAME?</v>
      </c>
      <c r="AU261" s="89" t="e">
        <f t="shared" ca="1" si="2256"/>
        <v>#NAME?</v>
      </c>
      <c r="AV261" s="89" t="e">
        <f t="shared" ca="1" si="2256"/>
        <v>#NAME?</v>
      </c>
      <c r="AW261" s="89" t="e">
        <f t="shared" ca="1" si="2256"/>
        <v>#NAME?</v>
      </c>
      <c r="AX261" s="89" t="e">
        <f t="shared" ca="1" si="2256"/>
        <v>#NAME?</v>
      </c>
      <c r="AY261" s="89" t="e">
        <f t="shared" ca="1" si="2256"/>
        <v>#NAME?</v>
      </c>
      <c r="AZ261" s="89" t="e">
        <f t="shared" ca="1" si="2256"/>
        <v>#NAME?</v>
      </c>
      <c r="BA261" s="89" t="e">
        <f t="shared" ca="1" si="2256"/>
        <v>#NAME?</v>
      </c>
      <c r="BB261" s="89" t="e">
        <f t="shared" ca="1" si="2256"/>
        <v>#NAME?</v>
      </c>
      <c r="BC261" s="89" t="e">
        <f t="shared" ca="1" si="2256"/>
        <v>#NAME?</v>
      </c>
      <c r="BD261" s="89" t="e">
        <f t="shared" ca="1" si="2256"/>
        <v>#NAME?</v>
      </c>
      <c r="BE261" s="89" t="e">
        <f t="shared" ca="1" si="2256"/>
        <v>#NAME?</v>
      </c>
      <c r="BF261" s="89" t="e">
        <f t="shared" ca="1" si="2256"/>
        <v>#NAME?</v>
      </c>
      <c r="BG261" s="89" t="e">
        <f t="shared" ca="1" si="2256"/>
        <v>#NAME?</v>
      </c>
      <c r="BH261" s="89" t="e">
        <f t="shared" ca="1" si="2256"/>
        <v>#NAME?</v>
      </c>
      <c r="BI261" s="89" t="e">
        <f t="shared" ca="1" si="2256"/>
        <v>#NAME?</v>
      </c>
      <c r="BJ261" s="89" t="e">
        <f t="shared" ca="1" si="2256"/>
        <v>#NAME?</v>
      </c>
      <c r="BK261" s="89" t="e">
        <f t="shared" ca="1" si="2256"/>
        <v>#NAME?</v>
      </c>
      <c r="BL261" s="89" t="e">
        <f t="shared" ca="1" si="2256"/>
        <v>#NAME?</v>
      </c>
      <c r="BM261" s="89" t="e">
        <f t="shared" ca="1" si="2256"/>
        <v>#NAME?</v>
      </c>
      <c r="BN261" s="89" t="e">
        <f t="shared" ca="1" si="2256"/>
        <v>#NAME?</v>
      </c>
      <c r="BO261" s="89" t="e">
        <f t="shared" ca="1" si="2256"/>
        <v>#NAME?</v>
      </c>
      <c r="BP261" s="89" t="e">
        <f t="shared" ca="1" si="2256"/>
        <v>#NAME?</v>
      </c>
      <c r="BQ261" s="89" t="e">
        <f t="shared" ca="1" si="2256"/>
        <v>#NAME?</v>
      </c>
      <c r="BR261" s="89" t="e">
        <f t="shared" ca="1" si="2256"/>
        <v>#NAME?</v>
      </c>
      <c r="BS261" s="89" t="e">
        <f t="shared" ca="1" si="2256"/>
        <v>#NAME?</v>
      </c>
      <c r="BT261" s="89" t="e">
        <f t="shared" ca="1" si="2256"/>
        <v>#NAME?</v>
      </c>
      <c r="BU261" s="89" t="e">
        <f t="shared" ca="1" si="2256"/>
        <v>#NAME?</v>
      </c>
      <c r="BV261" s="89" t="e">
        <f t="shared" ca="1" si="2256"/>
        <v>#NAME?</v>
      </c>
      <c r="BW261" s="89" t="e">
        <f t="shared" ca="1" si="2256"/>
        <v>#NAME?</v>
      </c>
      <c r="BX261" s="89" t="e">
        <f t="shared" ca="1" si="2256"/>
        <v>#NAME?</v>
      </c>
      <c r="BY261" s="89" t="e">
        <f t="shared" ca="1" si="2256"/>
        <v>#NAME?</v>
      </c>
      <c r="BZ261" s="89" t="e">
        <f t="shared" ca="1" si="2256"/>
        <v>#NAME?</v>
      </c>
      <c r="CA261" s="89" t="e">
        <f t="shared" ca="1" si="2256"/>
        <v>#NAME?</v>
      </c>
      <c r="CB261" s="89" t="e">
        <f t="shared" ca="1" si="2256"/>
        <v>#NAME?</v>
      </c>
      <c r="CC261" s="89" t="e">
        <f t="shared" ca="1" si="2256"/>
        <v>#NAME?</v>
      </c>
      <c r="CD261" s="89" t="e">
        <f t="shared" ca="1" si="2256"/>
        <v>#NAME?</v>
      </c>
      <c r="CE261" s="89" t="e">
        <f t="shared" ca="1" si="2256"/>
        <v>#NAME?</v>
      </c>
      <c r="CF261" s="89" t="e">
        <f t="shared" ca="1" si="2256"/>
        <v>#NAME?</v>
      </c>
      <c r="CG261" s="89" t="e">
        <f t="shared" ca="1" si="2256"/>
        <v>#NAME?</v>
      </c>
      <c r="CH261" s="89" t="e">
        <f t="shared" ca="1" si="2256"/>
        <v>#NAME?</v>
      </c>
      <c r="CI261" s="89" t="e">
        <f t="shared" ca="1" si="2256"/>
        <v>#NAME?</v>
      </c>
      <c r="CJ261" s="89" t="e">
        <f t="shared" ca="1" si="2256"/>
        <v>#NAME?</v>
      </c>
      <c r="CK261" s="89" t="e">
        <f t="shared" ca="1" si="2256"/>
        <v>#NAME?</v>
      </c>
      <c r="CL261" s="89" t="e">
        <f t="shared" ca="1" si="2256"/>
        <v>#NAME?</v>
      </c>
      <c r="CM261" s="47" t="e">
        <f t="shared" ca="1" si="2256"/>
        <v>#NAME?</v>
      </c>
      <c r="CN261" s="47" t="e">
        <f t="shared" ca="1" si="2256"/>
        <v>#NAME?</v>
      </c>
      <c r="CO261" s="47" t="e">
        <f t="shared" ca="1" si="2256"/>
        <v>#NAME?</v>
      </c>
      <c r="CP261" s="47" t="e">
        <f t="shared" ca="1" si="2256"/>
        <v>#NAME?</v>
      </c>
      <c r="CQ261" s="47" t="e">
        <f t="shared" ca="1" si="2256"/>
        <v>#NAME?</v>
      </c>
      <c r="CR261" s="47" t="e">
        <f t="shared" ca="1" si="2256"/>
        <v>#NAME?</v>
      </c>
      <c r="CS261" s="47" t="e">
        <f t="shared" ca="1" si="2256"/>
        <v>#NAME?</v>
      </c>
      <c r="CT261" s="47" t="e">
        <f t="shared" ca="1" si="2256"/>
        <v>#NAME?</v>
      </c>
      <c r="CU261" s="47" t="e">
        <f t="shared" ca="1" si="2256"/>
        <v>#NAME?</v>
      </c>
      <c r="CV261" s="47" t="e">
        <f t="shared" ca="1" si="2256"/>
        <v>#NAME?</v>
      </c>
      <c r="CW261" s="47" t="e">
        <f t="shared" ca="1" si="2256"/>
        <v>#NAME?</v>
      </c>
      <c r="CX261" s="47" t="e">
        <f t="shared" ref="CX261:DB261" ca="1" si="2257">CX39/CW39-1</f>
        <v>#NAME?</v>
      </c>
      <c r="CY261" s="47" t="e">
        <f t="shared" ca="1" si="2257"/>
        <v>#NAME?</v>
      </c>
      <c r="CZ261" s="47" t="e">
        <f t="shared" ca="1" si="2257"/>
        <v>#NAME?</v>
      </c>
      <c r="DA261" s="47" t="e">
        <f t="shared" ca="1" si="2257"/>
        <v>#NAME?</v>
      </c>
      <c r="DB261" s="47" t="e">
        <f t="shared" ca="1" si="2257"/>
        <v>#NAME?</v>
      </c>
      <c r="DE261" s="130"/>
      <c r="DF261" s="89">
        <v>0.80214149416588865</v>
      </c>
    </row>
    <row r="262" spans="1:110" s="103" customFormat="1" x14ac:dyDescent="0.2">
      <c r="A262" s="147" t="s">
        <v>105</v>
      </c>
      <c r="C262" s="103" t="e">
        <f ca="1">IF(C260&gt;C261,"RF",0)</f>
        <v>#NAME?</v>
      </c>
      <c r="D262" s="103" t="e">
        <f t="shared" ref="D262:U262" ca="1" si="2258">IF(D260&gt;D261,"RF",0)</f>
        <v>#NAME?</v>
      </c>
      <c r="F262" s="103" t="e">
        <f t="shared" ca="1" si="2258"/>
        <v>#NAME?</v>
      </c>
      <c r="G262" s="103" t="e">
        <f t="shared" ca="1" si="2258"/>
        <v>#NAME?</v>
      </c>
      <c r="H262" s="103" t="e">
        <f t="shared" ca="1" si="2258"/>
        <v>#NAME?</v>
      </c>
      <c r="I262" s="103" t="e">
        <f t="shared" ca="1" si="2258"/>
        <v>#NAME?</v>
      </c>
      <c r="J262" s="103" t="e">
        <f t="shared" ca="1" si="2258"/>
        <v>#NAME?</v>
      </c>
      <c r="K262" s="103" t="e">
        <f t="shared" ca="1" si="2258"/>
        <v>#NAME?</v>
      </c>
      <c r="L262" s="103" t="e">
        <f t="shared" ca="1" si="2258"/>
        <v>#NAME?</v>
      </c>
      <c r="M262" s="103" t="e">
        <f t="shared" ca="1" si="2258"/>
        <v>#NAME?</v>
      </c>
      <c r="N262" s="103" t="e">
        <f t="shared" ca="1" si="2258"/>
        <v>#NAME?</v>
      </c>
      <c r="O262" s="103" t="e">
        <f t="shared" ca="1" si="2258"/>
        <v>#NAME?</v>
      </c>
      <c r="P262" s="103" t="e">
        <f t="shared" ca="1" si="2258"/>
        <v>#NAME?</v>
      </c>
      <c r="Q262" s="103" t="e">
        <f t="shared" ca="1" si="2258"/>
        <v>#NAME?</v>
      </c>
      <c r="R262" s="103" t="e">
        <f t="shared" ca="1" si="2258"/>
        <v>#NAME?</v>
      </c>
      <c r="S262" s="103" t="e">
        <f t="shared" ca="1" si="2258"/>
        <v>#NAME?</v>
      </c>
      <c r="T262" s="103" t="e">
        <f t="shared" ca="1" si="2258"/>
        <v>#NAME?</v>
      </c>
      <c r="U262" s="103" t="e">
        <f t="shared" ca="1" si="2258"/>
        <v>#NAME?</v>
      </c>
      <c r="V262" s="103" t="e">
        <f ca="1">IF(V260&gt;V261,"RF",0)</f>
        <v>#NAME?</v>
      </c>
      <c r="W262" s="103" t="e">
        <f t="shared" ref="W262:AE262" ca="1" si="2259">IF(W260&gt;W261,"RF",0)</f>
        <v>#NAME?</v>
      </c>
      <c r="X262" s="103" t="e">
        <f t="shared" ca="1" si="2259"/>
        <v>#NAME?</v>
      </c>
      <c r="Y262" s="103" t="e">
        <f t="shared" ca="1" si="2259"/>
        <v>#NAME?</v>
      </c>
      <c r="Z262" s="103" t="e">
        <f t="shared" ca="1" si="2259"/>
        <v>#NAME?</v>
      </c>
      <c r="AA262" s="103" t="e">
        <f t="shared" ref="AA262" ca="1" si="2260">IF(AA260&gt;AA261,"RF",0)</f>
        <v>#NAME?</v>
      </c>
      <c r="AB262" s="73" t="e">
        <f t="shared" ca="1" si="2259"/>
        <v>#NAME?</v>
      </c>
      <c r="AC262" s="73" t="e">
        <f t="shared" ca="1" si="2259"/>
        <v>#NAME?</v>
      </c>
      <c r="AD262" s="73" t="e">
        <f t="shared" ca="1" si="2259"/>
        <v>#NAME?</v>
      </c>
      <c r="AE262" s="73" t="e">
        <f t="shared" ca="1" si="2259"/>
        <v>#NAME?</v>
      </c>
      <c r="AL262" s="103" t="e">
        <f t="shared" ref="AL262:CW262" ca="1" si="2261">IF(AL260&gt;AL261,"RF",0)</f>
        <v>#NAME?</v>
      </c>
      <c r="AM262" s="103" t="e">
        <f t="shared" ca="1" si="2261"/>
        <v>#NAME?</v>
      </c>
      <c r="AN262" s="103" t="e">
        <f t="shared" ca="1" si="2261"/>
        <v>#NAME?</v>
      </c>
      <c r="AO262" s="103" t="e">
        <f t="shared" ca="1" si="2261"/>
        <v>#NAME?</v>
      </c>
      <c r="AP262" s="103" t="e">
        <f t="shared" ca="1" si="2261"/>
        <v>#NAME?</v>
      </c>
      <c r="AQ262" s="103" t="e">
        <f t="shared" ca="1" si="2261"/>
        <v>#NAME?</v>
      </c>
      <c r="AR262" s="103" t="e">
        <f t="shared" ca="1" si="2261"/>
        <v>#NAME?</v>
      </c>
      <c r="AS262" s="103" t="e">
        <f t="shared" ca="1" si="2261"/>
        <v>#NAME?</v>
      </c>
      <c r="AT262" s="103" t="e">
        <f t="shared" ca="1" si="2261"/>
        <v>#NAME?</v>
      </c>
      <c r="AU262" s="103" t="e">
        <f t="shared" ca="1" si="2261"/>
        <v>#NAME?</v>
      </c>
      <c r="AV262" s="103" t="e">
        <f t="shared" ca="1" si="2261"/>
        <v>#NAME?</v>
      </c>
      <c r="AW262" s="103" t="e">
        <f t="shared" ca="1" si="2261"/>
        <v>#NAME?</v>
      </c>
      <c r="AX262" s="103" t="e">
        <f t="shared" ca="1" si="2261"/>
        <v>#NAME?</v>
      </c>
      <c r="AY262" s="103" t="e">
        <f t="shared" ca="1" si="2261"/>
        <v>#NAME?</v>
      </c>
      <c r="AZ262" s="103" t="e">
        <f t="shared" ca="1" si="2261"/>
        <v>#NAME?</v>
      </c>
      <c r="BA262" s="103" t="e">
        <f t="shared" ca="1" si="2261"/>
        <v>#NAME?</v>
      </c>
      <c r="BB262" s="103" t="e">
        <f t="shared" ca="1" si="2261"/>
        <v>#NAME?</v>
      </c>
      <c r="BC262" s="103" t="e">
        <f t="shared" ca="1" si="2261"/>
        <v>#NAME?</v>
      </c>
      <c r="BD262" s="103" t="e">
        <f t="shared" ca="1" si="2261"/>
        <v>#NAME?</v>
      </c>
      <c r="BE262" s="103" t="e">
        <f t="shared" ca="1" si="2261"/>
        <v>#NAME?</v>
      </c>
      <c r="BF262" s="103" t="e">
        <f t="shared" ca="1" si="2261"/>
        <v>#NAME?</v>
      </c>
      <c r="BG262" s="103" t="e">
        <f t="shared" ca="1" si="2261"/>
        <v>#NAME?</v>
      </c>
      <c r="BH262" s="103" t="e">
        <f t="shared" ca="1" si="2261"/>
        <v>#NAME?</v>
      </c>
      <c r="BI262" s="103" t="e">
        <f t="shared" ca="1" si="2261"/>
        <v>#NAME?</v>
      </c>
      <c r="BJ262" s="103" t="e">
        <f t="shared" ca="1" si="2261"/>
        <v>#NAME?</v>
      </c>
      <c r="BK262" s="103" t="e">
        <f t="shared" ca="1" si="2261"/>
        <v>#NAME?</v>
      </c>
      <c r="BL262" s="103" t="e">
        <f t="shared" ca="1" si="2261"/>
        <v>#NAME?</v>
      </c>
      <c r="BM262" s="103" t="e">
        <f t="shared" ca="1" si="2261"/>
        <v>#NAME?</v>
      </c>
      <c r="BN262" s="103" t="e">
        <f t="shared" ca="1" si="2261"/>
        <v>#NAME?</v>
      </c>
      <c r="BO262" s="103" t="e">
        <f t="shared" ca="1" si="2261"/>
        <v>#NAME?</v>
      </c>
      <c r="BP262" s="103" t="e">
        <f t="shared" ca="1" si="2261"/>
        <v>#NAME?</v>
      </c>
      <c r="BQ262" s="103" t="e">
        <f t="shared" ca="1" si="2261"/>
        <v>#NAME?</v>
      </c>
      <c r="BR262" s="103" t="e">
        <f t="shared" ca="1" si="2261"/>
        <v>#NAME?</v>
      </c>
      <c r="BS262" s="103" t="e">
        <f t="shared" ca="1" si="2261"/>
        <v>#NAME?</v>
      </c>
      <c r="BT262" s="103" t="e">
        <f t="shared" ca="1" si="2261"/>
        <v>#NAME?</v>
      </c>
      <c r="BU262" s="103" t="e">
        <f t="shared" ca="1" si="2261"/>
        <v>#NAME?</v>
      </c>
      <c r="BV262" s="103" t="e">
        <f t="shared" ca="1" si="2261"/>
        <v>#NAME?</v>
      </c>
      <c r="BW262" s="103" t="e">
        <f t="shared" ca="1" si="2261"/>
        <v>#NAME?</v>
      </c>
      <c r="BX262" s="103" t="e">
        <f t="shared" ca="1" si="2261"/>
        <v>#NAME?</v>
      </c>
      <c r="BY262" s="103" t="e">
        <f t="shared" ca="1" si="2261"/>
        <v>#NAME?</v>
      </c>
      <c r="BZ262" s="103" t="e">
        <f t="shared" ca="1" si="2261"/>
        <v>#NAME?</v>
      </c>
      <c r="CA262" s="103" t="e">
        <f t="shared" ca="1" si="2261"/>
        <v>#NAME?</v>
      </c>
      <c r="CB262" s="103" t="e">
        <f t="shared" ca="1" si="2261"/>
        <v>#NAME?</v>
      </c>
      <c r="CC262" s="103" t="e">
        <f t="shared" ca="1" si="2261"/>
        <v>#NAME?</v>
      </c>
      <c r="CD262" s="103" t="e">
        <f t="shared" ca="1" si="2261"/>
        <v>#NAME?</v>
      </c>
      <c r="CE262" s="103" t="e">
        <f t="shared" ca="1" si="2261"/>
        <v>#NAME?</v>
      </c>
      <c r="CF262" s="103" t="e">
        <f t="shared" ca="1" si="2261"/>
        <v>#NAME?</v>
      </c>
      <c r="CG262" s="103" t="e">
        <f t="shared" ca="1" si="2261"/>
        <v>#NAME?</v>
      </c>
      <c r="CH262" s="103" t="e">
        <f t="shared" ca="1" si="2261"/>
        <v>#NAME?</v>
      </c>
      <c r="CI262" s="103" t="e">
        <f t="shared" ca="1" si="2261"/>
        <v>#NAME?</v>
      </c>
      <c r="CJ262" s="103" t="e">
        <f t="shared" ca="1" si="2261"/>
        <v>#NAME?</v>
      </c>
      <c r="CK262" s="103" t="e">
        <f t="shared" ca="1" si="2261"/>
        <v>#NAME?</v>
      </c>
      <c r="CL262" s="103" t="e">
        <f t="shared" ca="1" si="2261"/>
        <v>#NAME?</v>
      </c>
      <c r="CM262" s="73" t="e">
        <f t="shared" ca="1" si="2261"/>
        <v>#NAME?</v>
      </c>
      <c r="CN262" s="73" t="e">
        <f t="shared" ca="1" si="2261"/>
        <v>#NAME?</v>
      </c>
      <c r="CO262" s="73" t="e">
        <f t="shared" ca="1" si="2261"/>
        <v>#NAME?</v>
      </c>
      <c r="CP262" s="73" t="e">
        <f t="shared" ca="1" si="2261"/>
        <v>#NAME?</v>
      </c>
      <c r="CQ262" s="73" t="e">
        <f t="shared" ca="1" si="2261"/>
        <v>#NAME?</v>
      </c>
      <c r="CR262" s="73" t="e">
        <f t="shared" ca="1" si="2261"/>
        <v>#NAME?</v>
      </c>
      <c r="CS262" s="73" t="e">
        <f t="shared" ca="1" si="2261"/>
        <v>#NAME?</v>
      </c>
      <c r="CT262" s="73" t="e">
        <f t="shared" ca="1" si="2261"/>
        <v>#NAME?</v>
      </c>
      <c r="CU262" s="73" t="e">
        <f t="shared" ca="1" si="2261"/>
        <v>#NAME?</v>
      </c>
      <c r="CV262" s="73" t="e">
        <f t="shared" ca="1" si="2261"/>
        <v>#NAME?</v>
      </c>
      <c r="CW262" s="73" t="e">
        <f t="shared" ca="1" si="2261"/>
        <v>#NAME?</v>
      </c>
      <c r="CX262" s="73" t="e">
        <f t="shared" ref="CX262:DB262" ca="1" si="2262">IF(CX260&gt;CX261,"RF",0)</f>
        <v>#NAME?</v>
      </c>
      <c r="CY262" s="73" t="e">
        <f t="shared" ca="1" si="2262"/>
        <v>#NAME?</v>
      </c>
      <c r="CZ262" s="73" t="e">
        <f t="shared" ca="1" si="2262"/>
        <v>#NAME?</v>
      </c>
      <c r="DA262" s="73" t="e">
        <f t="shared" ca="1" si="2262"/>
        <v>#NAME?</v>
      </c>
      <c r="DB262" s="73" t="e">
        <f t="shared" ca="1" si="2262"/>
        <v>#NAME?</v>
      </c>
      <c r="DE262" s="142"/>
      <c r="DF262" s="103">
        <v>0</v>
      </c>
    </row>
    <row r="263" spans="1:110" s="86" customFormat="1" x14ac:dyDescent="0.2">
      <c r="A263" s="86" t="s">
        <v>432</v>
      </c>
      <c r="B263" s="86" t="e">
        <f ca="1">B47/B19</f>
        <v>#NAME?</v>
      </c>
      <c r="C263" s="86" t="e">
        <f ca="1">C47/C19</f>
        <v>#NAME?</v>
      </c>
      <c r="D263" s="86" t="e">
        <f ca="1">D47/D19</f>
        <v>#NAME?</v>
      </c>
      <c r="F263" s="86" t="e">
        <f t="shared" ref="F263:AE263" ca="1" si="2263">F47/F19</f>
        <v>#NAME?</v>
      </c>
      <c r="G263" s="86" t="e">
        <f t="shared" ca="1" si="2263"/>
        <v>#NAME?</v>
      </c>
      <c r="H263" s="86" t="e">
        <f t="shared" ca="1" si="2263"/>
        <v>#NAME?</v>
      </c>
      <c r="I263" s="86" t="e">
        <f t="shared" ca="1" si="2263"/>
        <v>#NAME?</v>
      </c>
      <c r="J263" s="86" t="e">
        <f t="shared" ca="1" si="2263"/>
        <v>#NAME?</v>
      </c>
      <c r="K263" s="86" t="e">
        <f t="shared" ca="1" si="2263"/>
        <v>#NAME?</v>
      </c>
      <c r="L263" s="86" t="e">
        <f t="shared" ca="1" si="2263"/>
        <v>#NAME?</v>
      </c>
      <c r="M263" s="86" t="e">
        <f t="shared" ca="1" si="2263"/>
        <v>#NAME?</v>
      </c>
      <c r="N263" s="86" t="e">
        <f t="shared" ca="1" si="2263"/>
        <v>#NAME?</v>
      </c>
      <c r="O263" s="86" t="e">
        <f t="shared" ca="1" si="2263"/>
        <v>#NAME?</v>
      </c>
      <c r="P263" s="86" t="e">
        <f t="shared" ca="1" si="2263"/>
        <v>#NAME?</v>
      </c>
      <c r="Q263" s="86" t="e">
        <f t="shared" ca="1" si="2263"/>
        <v>#NAME?</v>
      </c>
      <c r="R263" s="86" t="e">
        <f t="shared" ca="1" si="2263"/>
        <v>#NAME?</v>
      </c>
      <c r="S263" s="86" t="e">
        <f t="shared" ca="1" si="2263"/>
        <v>#NAME?</v>
      </c>
      <c r="T263" s="86" t="e">
        <f t="shared" ca="1" si="2263"/>
        <v>#NAME?</v>
      </c>
      <c r="U263" s="86" t="e">
        <f t="shared" ca="1" si="2263"/>
        <v>#NAME?</v>
      </c>
      <c r="V263" s="86" t="e">
        <f t="shared" ca="1" si="2263"/>
        <v>#NAME?</v>
      </c>
      <c r="W263" s="86" t="e">
        <f t="shared" ca="1" si="2263"/>
        <v>#NAME?</v>
      </c>
      <c r="X263" s="86" t="e">
        <f t="shared" ca="1" si="2263"/>
        <v>#NAME?</v>
      </c>
      <c r="Y263" s="86" t="e">
        <f t="shared" ca="1" si="2263"/>
        <v>#NAME?</v>
      </c>
      <c r="Z263" s="86" t="e">
        <f t="shared" ca="1" si="2263"/>
        <v>#NAME?</v>
      </c>
      <c r="AA263" s="86" t="e">
        <f t="shared" ref="AA263" ca="1" si="2264">AA47/AA19</f>
        <v>#NAME?</v>
      </c>
      <c r="AB263" s="87" t="e">
        <f t="shared" ca="1" si="2263"/>
        <v>#NAME?</v>
      </c>
      <c r="AC263" s="87" t="e">
        <f t="shared" ca="1" si="2263"/>
        <v>#NAME?</v>
      </c>
      <c r="AD263" s="87" t="e">
        <f t="shared" ca="1" si="2263"/>
        <v>#NAME?</v>
      </c>
      <c r="AE263" s="87" t="e">
        <f t="shared" ca="1" si="2263"/>
        <v>#NAME?</v>
      </c>
      <c r="AL263" s="86" t="e">
        <f t="shared" ref="AL263:CW263" ca="1" si="2265">AL47/AL19</f>
        <v>#NAME?</v>
      </c>
      <c r="AM263" s="86" t="e">
        <f t="shared" ca="1" si="2265"/>
        <v>#NAME?</v>
      </c>
      <c r="AN263" s="86" t="e">
        <f t="shared" ca="1" si="2265"/>
        <v>#NAME?</v>
      </c>
      <c r="AO263" s="86" t="e">
        <f t="shared" ca="1" si="2265"/>
        <v>#NAME?</v>
      </c>
      <c r="AP263" s="86" t="e">
        <f t="shared" ca="1" si="2265"/>
        <v>#NAME?</v>
      </c>
      <c r="AQ263" s="86" t="e">
        <f t="shared" ca="1" si="2265"/>
        <v>#NAME?</v>
      </c>
      <c r="AR263" s="86" t="e">
        <f t="shared" ca="1" si="2265"/>
        <v>#NAME?</v>
      </c>
      <c r="AS263" s="86" t="e">
        <f t="shared" ca="1" si="2265"/>
        <v>#NAME?</v>
      </c>
      <c r="AT263" s="86" t="e">
        <f t="shared" ca="1" si="2265"/>
        <v>#NAME?</v>
      </c>
      <c r="AU263" s="86" t="e">
        <f t="shared" ca="1" si="2265"/>
        <v>#NAME?</v>
      </c>
      <c r="AV263" s="86" t="e">
        <f t="shared" ca="1" si="2265"/>
        <v>#NAME?</v>
      </c>
      <c r="AW263" s="86" t="e">
        <f t="shared" ca="1" si="2265"/>
        <v>#NAME?</v>
      </c>
      <c r="AX263" s="86" t="e">
        <f t="shared" ca="1" si="2265"/>
        <v>#NAME?</v>
      </c>
      <c r="AY263" s="86" t="e">
        <f t="shared" ca="1" si="2265"/>
        <v>#NAME?</v>
      </c>
      <c r="AZ263" s="86" t="e">
        <f t="shared" ca="1" si="2265"/>
        <v>#NAME?</v>
      </c>
      <c r="BA263" s="86" t="e">
        <f t="shared" ca="1" si="2265"/>
        <v>#NAME?</v>
      </c>
      <c r="BB263" s="86" t="e">
        <f t="shared" ca="1" si="2265"/>
        <v>#NAME?</v>
      </c>
      <c r="BC263" s="86" t="e">
        <f t="shared" ca="1" si="2265"/>
        <v>#NAME?</v>
      </c>
      <c r="BD263" s="86" t="e">
        <f t="shared" ca="1" si="2265"/>
        <v>#NAME?</v>
      </c>
      <c r="BE263" s="86" t="e">
        <f t="shared" ca="1" si="2265"/>
        <v>#NAME?</v>
      </c>
      <c r="BF263" s="86" t="e">
        <f t="shared" ca="1" si="2265"/>
        <v>#NAME?</v>
      </c>
      <c r="BG263" s="86" t="e">
        <f t="shared" ca="1" si="2265"/>
        <v>#NAME?</v>
      </c>
      <c r="BH263" s="86" t="e">
        <f t="shared" ca="1" si="2265"/>
        <v>#NAME?</v>
      </c>
      <c r="BI263" s="86" t="e">
        <f t="shared" ca="1" si="2265"/>
        <v>#NAME?</v>
      </c>
      <c r="BJ263" s="86" t="e">
        <f t="shared" ca="1" si="2265"/>
        <v>#NAME?</v>
      </c>
      <c r="BK263" s="86" t="e">
        <f t="shared" ca="1" si="2265"/>
        <v>#NAME?</v>
      </c>
      <c r="BL263" s="86" t="e">
        <f t="shared" ca="1" si="2265"/>
        <v>#NAME?</v>
      </c>
      <c r="BM263" s="86" t="e">
        <f t="shared" ca="1" si="2265"/>
        <v>#NAME?</v>
      </c>
      <c r="BN263" s="86" t="e">
        <f t="shared" ca="1" si="2265"/>
        <v>#NAME?</v>
      </c>
      <c r="BO263" s="86" t="e">
        <f t="shared" ca="1" si="2265"/>
        <v>#NAME?</v>
      </c>
      <c r="BP263" s="86" t="e">
        <f t="shared" ca="1" si="2265"/>
        <v>#NAME?</v>
      </c>
      <c r="BQ263" s="86" t="e">
        <f t="shared" ca="1" si="2265"/>
        <v>#NAME?</v>
      </c>
      <c r="BR263" s="86" t="e">
        <f t="shared" ca="1" si="2265"/>
        <v>#NAME?</v>
      </c>
      <c r="BS263" s="86" t="e">
        <f t="shared" ca="1" si="2265"/>
        <v>#NAME?</v>
      </c>
      <c r="BT263" s="86" t="e">
        <f t="shared" ca="1" si="2265"/>
        <v>#NAME?</v>
      </c>
      <c r="BU263" s="86" t="e">
        <f t="shared" ca="1" si="2265"/>
        <v>#NAME?</v>
      </c>
      <c r="BV263" s="86" t="e">
        <f t="shared" ca="1" si="2265"/>
        <v>#NAME?</v>
      </c>
      <c r="BW263" s="86" t="e">
        <f t="shared" ca="1" si="2265"/>
        <v>#NAME?</v>
      </c>
      <c r="BX263" s="86" t="e">
        <f t="shared" ca="1" si="2265"/>
        <v>#NAME?</v>
      </c>
      <c r="BY263" s="86" t="e">
        <f t="shared" ca="1" si="2265"/>
        <v>#NAME?</v>
      </c>
      <c r="BZ263" s="86" t="e">
        <f t="shared" ca="1" si="2265"/>
        <v>#NAME?</v>
      </c>
      <c r="CA263" s="86" t="e">
        <f t="shared" ca="1" si="2265"/>
        <v>#NAME?</v>
      </c>
      <c r="CB263" s="86" t="e">
        <f t="shared" ca="1" si="2265"/>
        <v>#NAME?</v>
      </c>
      <c r="CC263" s="86" t="e">
        <f t="shared" ca="1" si="2265"/>
        <v>#NAME?</v>
      </c>
      <c r="CD263" s="86" t="e">
        <f t="shared" ca="1" si="2265"/>
        <v>#NAME?</v>
      </c>
      <c r="CE263" s="86" t="e">
        <f t="shared" ca="1" si="2265"/>
        <v>#NAME?</v>
      </c>
      <c r="CF263" s="86" t="e">
        <f t="shared" ca="1" si="2265"/>
        <v>#NAME?</v>
      </c>
      <c r="CG263" s="86">
        <f t="shared" si="2265"/>
        <v>4.8735600845204834E-2</v>
      </c>
      <c r="CH263" s="86" t="e">
        <f t="shared" ca="1" si="2265"/>
        <v>#NAME?</v>
      </c>
      <c r="CI263" s="86" t="e">
        <f t="shared" ca="1" si="2265"/>
        <v>#NAME?</v>
      </c>
      <c r="CJ263" s="86" t="e">
        <f t="shared" ca="1" si="2265"/>
        <v>#NAME?</v>
      </c>
      <c r="CK263" s="86" t="e">
        <f t="shared" ca="1" si="2265"/>
        <v>#NAME?</v>
      </c>
      <c r="CL263" s="86" t="e">
        <f t="shared" ca="1" si="2265"/>
        <v>#NAME?</v>
      </c>
      <c r="CM263" s="87" t="e">
        <f t="shared" ca="1" si="2265"/>
        <v>#NAME?</v>
      </c>
      <c r="CN263" s="87" t="e">
        <f t="shared" ca="1" si="2265"/>
        <v>#NAME?</v>
      </c>
      <c r="CO263" s="87" t="e">
        <f t="shared" ca="1" si="2265"/>
        <v>#NAME?</v>
      </c>
      <c r="CP263" s="87" t="e">
        <f t="shared" ca="1" si="2265"/>
        <v>#NAME?</v>
      </c>
      <c r="CQ263" s="87" t="e">
        <f t="shared" ca="1" si="2265"/>
        <v>#NAME?</v>
      </c>
      <c r="CR263" s="87" t="e">
        <f t="shared" ca="1" si="2265"/>
        <v>#NAME?</v>
      </c>
      <c r="CS263" s="87" t="e">
        <f t="shared" ca="1" si="2265"/>
        <v>#NAME?</v>
      </c>
      <c r="CT263" s="87" t="e">
        <f t="shared" ca="1" si="2265"/>
        <v>#NAME?</v>
      </c>
      <c r="CU263" s="87" t="e">
        <f t="shared" ca="1" si="2265"/>
        <v>#NAME?</v>
      </c>
      <c r="CV263" s="87" t="e">
        <f t="shared" ca="1" si="2265"/>
        <v>#NAME?</v>
      </c>
      <c r="CW263" s="87" t="e">
        <f t="shared" ca="1" si="2265"/>
        <v>#NAME?</v>
      </c>
      <c r="CX263" s="87" t="e">
        <f t="shared" ref="CX263:DB263" ca="1" si="2266">CX47/CX19</f>
        <v>#NAME?</v>
      </c>
      <c r="CY263" s="87" t="e">
        <f t="shared" ca="1" si="2266"/>
        <v>#NAME?</v>
      </c>
      <c r="CZ263" s="87" t="e">
        <f t="shared" ca="1" si="2266"/>
        <v>#NAME?</v>
      </c>
      <c r="DA263" s="87" t="e">
        <f t="shared" ca="1" si="2266"/>
        <v>#NAME?</v>
      </c>
      <c r="DB263" s="87" t="e">
        <f t="shared" ca="1" si="2266"/>
        <v>#NAME?</v>
      </c>
      <c r="DE263" s="141"/>
      <c r="DF263" s="86">
        <v>6.1487285722332446E-2</v>
      </c>
    </row>
    <row r="264" spans="1:110" s="86" customFormat="1" x14ac:dyDescent="0.2">
      <c r="A264" s="86" t="s">
        <v>433</v>
      </c>
      <c r="B264" s="86" t="e">
        <f ca="1">B43/B19</f>
        <v>#NAME?</v>
      </c>
      <c r="C264" s="86" t="e">
        <f ca="1">C43/C19</f>
        <v>#NAME?</v>
      </c>
      <c r="D264" s="86" t="e">
        <f ca="1">D43/D19</f>
        <v>#NAME?</v>
      </c>
      <c r="F264" s="86" t="e">
        <f t="shared" ref="F264:AE264" ca="1" si="2267">F43/F19</f>
        <v>#NAME?</v>
      </c>
      <c r="G264" s="86" t="e">
        <f t="shared" ca="1" si="2267"/>
        <v>#NAME?</v>
      </c>
      <c r="H264" s="86" t="e">
        <f t="shared" ca="1" si="2267"/>
        <v>#NAME?</v>
      </c>
      <c r="I264" s="86" t="e">
        <f t="shared" ca="1" si="2267"/>
        <v>#NAME?</v>
      </c>
      <c r="J264" s="86" t="e">
        <f t="shared" ca="1" si="2267"/>
        <v>#NAME?</v>
      </c>
      <c r="K264" s="86" t="e">
        <f t="shared" ca="1" si="2267"/>
        <v>#NAME?</v>
      </c>
      <c r="L264" s="86" t="e">
        <f t="shared" ca="1" si="2267"/>
        <v>#NAME?</v>
      </c>
      <c r="M264" s="86" t="e">
        <f t="shared" ca="1" si="2267"/>
        <v>#NAME?</v>
      </c>
      <c r="N264" s="86" t="e">
        <f t="shared" ca="1" si="2267"/>
        <v>#NAME?</v>
      </c>
      <c r="O264" s="86" t="e">
        <f t="shared" ca="1" si="2267"/>
        <v>#NAME?</v>
      </c>
      <c r="P264" s="86" t="e">
        <f t="shared" ca="1" si="2267"/>
        <v>#NAME?</v>
      </c>
      <c r="Q264" s="86" t="e">
        <f t="shared" ca="1" si="2267"/>
        <v>#NAME?</v>
      </c>
      <c r="R264" s="86" t="e">
        <f t="shared" ca="1" si="2267"/>
        <v>#NAME?</v>
      </c>
      <c r="S264" s="86" t="e">
        <f t="shared" ca="1" si="2267"/>
        <v>#NAME?</v>
      </c>
      <c r="T264" s="86" t="e">
        <f t="shared" ca="1" si="2267"/>
        <v>#NAME?</v>
      </c>
      <c r="U264" s="86" t="e">
        <f t="shared" ca="1" si="2267"/>
        <v>#NAME?</v>
      </c>
      <c r="V264" s="86" t="e">
        <f t="shared" ca="1" si="2267"/>
        <v>#NAME?</v>
      </c>
      <c r="W264" s="86" t="e">
        <f t="shared" ca="1" si="2267"/>
        <v>#NAME?</v>
      </c>
      <c r="X264" s="86" t="e">
        <f t="shared" ca="1" si="2267"/>
        <v>#NAME?</v>
      </c>
      <c r="Y264" s="86" t="e">
        <f t="shared" ca="1" si="2267"/>
        <v>#NAME?</v>
      </c>
      <c r="Z264" s="86" t="e">
        <f t="shared" ca="1" si="2267"/>
        <v>#NAME?</v>
      </c>
      <c r="AA264" s="86" t="e">
        <f t="shared" ref="AA264" ca="1" si="2268">AA43/AA19</f>
        <v>#NAME?</v>
      </c>
      <c r="AB264" s="87" t="e">
        <f t="shared" ca="1" si="2267"/>
        <v>#NAME?</v>
      </c>
      <c r="AC264" s="87" t="e">
        <f t="shared" ca="1" si="2267"/>
        <v>#NAME?</v>
      </c>
      <c r="AD264" s="87" t="e">
        <f t="shared" ca="1" si="2267"/>
        <v>#NAME?</v>
      </c>
      <c r="AE264" s="87" t="e">
        <f t="shared" ca="1" si="2267"/>
        <v>#NAME?</v>
      </c>
      <c r="AL264" s="86" t="e">
        <f t="shared" ref="AL264:CW264" ca="1" si="2269">AL43/AL19</f>
        <v>#NAME?</v>
      </c>
      <c r="AM264" s="86" t="e">
        <f t="shared" ca="1" si="2269"/>
        <v>#NAME?</v>
      </c>
      <c r="AN264" s="86" t="e">
        <f t="shared" ca="1" si="2269"/>
        <v>#NAME?</v>
      </c>
      <c r="AO264" s="86" t="e">
        <f t="shared" ca="1" si="2269"/>
        <v>#NAME?</v>
      </c>
      <c r="AP264" s="86" t="e">
        <f t="shared" ca="1" si="2269"/>
        <v>#NAME?</v>
      </c>
      <c r="AQ264" s="86" t="e">
        <f t="shared" ca="1" si="2269"/>
        <v>#NAME?</v>
      </c>
      <c r="AR264" s="86" t="e">
        <f t="shared" ca="1" si="2269"/>
        <v>#NAME?</v>
      </c>
      <c r="AS264" s="86" t="e">
        <f t="shared" ca="1" si="2269"/>
        <v>#NAME?</v>
      </c>
      <c r="AT264" s="86" t="e">
        <f t="shared" ca="1" si="2269"/>
        <v>#NAME?</v>
      </c>
      <c r="AU264" s="86" t="e">
        <f t="shared" ca="1" si="2269"/>
        <v>#NAME?</v>
      </c>
      <c r="AV264" s="86" t="e">
        <f t="shared" ca="1" si="2269"/>
        <v>#NAME?</v>
      </c>
      <c r="AW264" s="86" t="e">
        <f t="shared" ca="1" si="2269"/>
        <v>#NAME?</v>
      </c>
      <c r="AX264" s="86" t="e">
        <f t="shared" ca="1" si="2269"/>
        <v>#NAME?</v>
      </c>
      <c r="AY264" s="86" t="e">
        <f t="shared" ca="1" si="2269"/>
        <v>#NAME?</v>
      </c>
      <c r="AZ264" s="86" t="e">
        <f t="shared" ca="1" si="2269"/>
        <v>#NAME?</v>
      </c>
      <c r="BA264" s="86" t="e">
        <f t="shared" ca="1" si="2269"/>
        <v>#NAME?</v>
      </c>
      <c r="BB264" s="86" t="e">
        <f t="shared" ca="1" si="2269"/>
        <v>#NAME?</v>
      </c>
      <c r="BC264" s="86" t="e">
        <f t="shared" ca="1" si="2269"/>
        <v>#NAME?</v>
      </c>
      <c r="BD264" s="86" t="e">
        <f t="shared" ca="1" si="2269"/>
        <v>#NAME?</v>
      </c>
      <c r="BE264" s="86" t="e">
        <f t="shared" ca="1" si="2269"/>
        <v>#NAME?</v>
      </c>
      <c r="BF264" s="86" t="e">
        <f t="shared" ca="1" si="2269"/>
        <v>#NAME?</v>
      </c>
      <c r="BG264" s="86" t="e">
        <f t="shared" ca="1" si="2269"/>
        <v>#NAME?</v>
      </c>
      <c r="BH264" s="86" t="e">
        <f t="shared" ca="1" si="2269"/>
        <v>#NAME?</v>
      </c>
      <c r="BI264" s="86" t="e">
        <f t="shared" ca="1" si="2269"/>
        <v>#NAME?</v>
      </c>
      <c r="BJ264" s="86" t="e">
        <f t="shared" ca="1" si="2269"/>
        <v>#NAME?</v>
      </c>
      <c r="BK264" s="86" t="e">
        <f t="shared" ca="1" si="2269"/>
        <v>#NAME?</v>
      </c>
      <c r="BL264" s="86" t="e">
        <f t="shared" ca="1" si="2269"/>
        <v>#NAME?</v>
      </c>
      <c r="BM264" s="86" t="e">
        <f t="shared" ca="1" si="2269"/>
        <v>#NAME?</v>
      </c>
      <c r="BN264" s="86" t="e">
        <f t="shared" ca="1" si="2269"/>
        <v>#NAME?</v>
      </c>
      <c r="BO264" s="86" t="e">
        <f t="shared" ca="1" si="2269"/>
        <v>#NAME?</v>
      </c>
      <c r="BP264" s="86" t="e">
        <f t="shared" ca="1" si="2269"/>
        <v>#NAME?</v>
      </c>
      <c r="BQ264" s="86" t="e">
        <f t="shared" ca="1" si="2269"/>
        <v>#NAME?</v>
      </c>
      <c r="BR264" s="86" t="e">
        <f t="shared" ca="1" si="2269"/>
        <v>#NAME?</v>
      </c>
      <c r="BS264" s="86" t="e">
        <f t="shared" ca="1" si="2269"/>
        <v>#NAME?</v>
      </c>
      <c r="BT264" s="86" t="e">
        <f t="shared" ca="1" si="2269"/>
        <v>#NAME?</v>
      </c>
      <c r="BU264" s="86" t="e">
        <f t="shared" ca="1" si="2269"/>
        <v>#NAME?</v>
      </c>
      <c r="BV264" s="86" t="e">
        <f t="shared" ca="1" si="2269"/>
        <v>#NAME?</v>
      </c>
      <c r="BW264" s="86" t="e">
        <f t="shared" ca="1" si="2269"/>
        <v>#NAME?</v>
      </c>
      <c r="BX264" s="86" t="e">
        <f t="shared" ca="1" si="2269"/>
        <v>#NAME?</v>
      </c>
      <c r="BY264" s="86" t="e">
        <f t="shared" ca="1" si="2269"/>
        <v>#NAME?</v>
      </c>
      <c r="BZ264" s="86" t="e">
        <f t="shared" ca="1" si="2269"/>
        <v>#NAME?</v>
      </c>
      <c r="CA264" s="86" t="e">
        <f t="shared" ca="1" si="2269"/>
        <v>#NAME?</v>
      </c>
      <c r="CB264" s="86" t="e">
        <f t="shared" ca="1" si="2269"/>
        <v>#NAME?</v>
      </c>
      <c r="CC264" s="86" t="e">
        <f t="shared" ca="1" si="2269"/>
        <v>#NAME?</v>
      </c>
      <c r="CD264" s="86" t="e">
        <f t="shared" ca="1" si="2269"/>
        <v>#NAME?</v>
      </c>
      <c r="CE264" s="86" t="e">
        <f t="shared" ca="1" si="2269"/>
        <v>#NAME?</v>
      </c>
      <c r="CF264" s="86" t="e">
        <f t="shared" ca="1" si="2269"/>
        <v>#NAME?</v>
      </c>
      <c r="CG264" s="86">
        <f t="shared" si="2269"/>
        <v>1.0604009854231381E-2</v>
      </c>
      <c r="CH264" s="86" t="e">
        <f t="shared" ca="1" si="2269"/>
        <v>#NAME?</v>
      </c>
      <c r="CI264" s="86" t="e">
        <f t="shared" ca="1" si="2269"/>
        <v>#NAME?</v>
      </c>
      <c r="CJ264" s="86" t="e">
        <f t="shared" ca="1" si="2269"/>
        <v>#NAME?</v>
      </c>
      <c r="CK264" s="86" t="e">
        <f t="shared" ca="1" si="2269"/>
        <v>#NAME?</v>
      </c>
      <c r="CL264" s="86" t="e">
        <f t="shared" ca="1" si="2269"/>
        <v>#NAME?</v>
      </c>
      <c r="CM264" s="87" t="e">
        <f t="shared" ca="1" si="2269"/>
        <v>#NAME?</v>
      </c>
      <c r="CN264" s="87" t="e">
        <f t="shared" ca="1" si="2269"/>
        <v>#NAME?</v>
      </c>
      <c r="CO264" s="87" t="e">
        <f t="shared" ca="1" si="2269"/>
        <v>#NAME?</v>
      </c>
      <c r="CP264" s="87" t="e">
        <f t="shared" ca="1" si="2269"/>
        <v>#NAME?</v>
      </c>
      <c r="CQ264" s="87" t="e">
        <f t="shared" ca="1" si="2269"/>
        <v>#NAME?</v>
      </c>
      <c r="CR264" s="87" t="e">
        <f t="shared" ca="1" si="2269"/>
        <v>#NAME?</v>
      </c>
      <c r="CS264" s="87" t="e">
        <f t="shared" ca="1" si="2269"/>
        <v>#NAME?</v>
      </c>
      <c r="CT264" s="87" t="e">
        <f t="shared" ca="1" si="2269"/>
        <v>#NAME?</v>
      </c>
      <c r="CU264" s="87" t="e">
        <f t="shared" ca="1" si="2269"/>
        <v>#NAME?</v>
      </c>
      <c r="CV264" s="87" t="e">
        <f t="shared" ca="1" si="2269"/>
        <v>#NAME?</v>
      </c>
      <c r="CW264" s="87" t="e">
        <f t="shared" ca="1" si="2269"/>
        <v>#NAME?</v>
      </c>
      <c r="CX264" s="87" t="e">
        <f t="shared" ref="CX264:DB264" ca="1" si="2270">CX43/CX19</f>
        <v>#NAME?</v>
      </c>
      <c r="CY264" s="87" t="e">
        <f t="shared" ca="1" si="2270"/>
        <v>#NAME?</v>
      </c>
      <c r="CZ264" s="87" t="e">
        <f t="shared" ca="1" si="2270"/>
        <v>#NAME?</v>
      </c>
      <c r="DA264" s="87" t="e">
        <f t="shared" ca="1" si="2270"/>
        <v>#NAME?</v>
      </c>
      <c r="DB264" s="87" t="e">
        <f t="shared" ca="1" si="2270"/>
        <v>#NAME?</v>
      </c>
      <c r="DE264" s="141"/>
      <c r="DF264" s="86">
        <v>1.2903599301543988E-2</v>
      </c>
    </row>
    <row r="265" spans="1:110" s="85" customFormat="1" x14ac:dyDescent="0.2">
      <c r="AB265" s="58"/>
      <c r="AC265" s="58"/>
      <c r="AD265" s="58"/>
      <c r="AE265" s="58"/>
      <c r="CM265" s="72"/>
      <c r="CN265" s="72"/>
      <c r="CO265" s="72"/>
      <c r="CP265" s="72"/>
      <c r="CQ265" s="72"/>
      <c r="CR265" s="72"/>
      <c r="CS265" s="72"/>
      <c r="CT265" s="72"/>
      <c r="CU265" s="72"/>
      <c r="CV265" s="72"/>
      <c r="CW265" s="72"/>
      <c r="CX265" s="72"/>
      <c r="CY265" s="72"/>
      <c r="CZ265" s="72"/>
      <c r="DA265" s="72"/>
      <c r="DB265" s="72"/>
      <c r="DE265" s="143"/>
      <c r="DF265" s="200"/>
    </row>
  </sheetData>
  <sortState xmlns:xlrd2="http://schemas.microsoft.com/office/spreadsheetml/2017/richdata2" ref="A31:DE36">
    <sortCondition ref="A31:A3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6594-A33A-49DD-9A11-9E5B85A59A27}">
  <dimension ref="A1:V13"/>
  <sheetViews>
    <sheetView workbookViewId="0">
      <selection activeCell="K8" sqref="K8:V8"/>
    </sheetView>
  </sheetViews>
  <sheetFormatPr defaultRowHeight="15" x14ac:dyDescent="0.25"/>
  <sheetData>
    <row r="1" spans="1:22" ht="75.75" thickBot="1" x14ac:dyDescent="0.3">
      <c r="B1" s="193" t="s">
        <v>529</v>
      </c>
      <c r="C1" s="193" t="s">
        <v>530</v>
      </c>
      <c r="D1" s="193" t="s">
        <v>531</v>
      </c>
      <c r="E1" s="193" t="s">
        <v>532</v>
      </c>
      <c r="F1" s="193" t="s">
        <v>533</v>
      </c>
      <c r="G1" s="193" t="s">
        <v>534</v>
      </c>
    </row>
    <row r="2" spans="1:22" ht="30.75" thickBot="1" x14ac:dyDescent="0.3">
      <c r="A2">
        <f t="shared" ref="A2:A12" si="0">A1+1</f>
        <v>1</v>
      </c>
      <c r="B2" s="193" t="s">
        <v>546</v>
      </c>
      <c r="C2" s="193">
        <v>47.5</v>
      </c>
      <c r="D2" s="194">
        <v>4.28</v>
      </c>
      <c r="E2" s="194">
        <v>0.95</v>
      </c>
      <c r="F2" s="194">
        <v>38.950000000000003</v>
      </c>
      <c r="G2" s="194">
        <v>3.33</v>
      </c>
    </row>
    <row r="3" spans="1:22" ht="30.75" thickBot="1" x14ac:dyDescent="0.3">
      <c r="A3">
        <f t="shared" si="0"/>
        <v>2</v>
      </c>
      <c r="B3" s="193" t="s">
        <v>545</v>
      </c>
      <c r="C3" s="193">
        <v>68.84</v>
      </c>
      <c r="D3" s="194">
        <v>7.57</v>
      </c>
      <c r="E3" s="194">
        <v>2.0699999999999998</v>
      </c>
      <c r="F3" s="194">
        <v>53.01</v>
      </c>
      <c r="G3" s="194">
        <v>6.19</v>
      </c>
      <c r="J3" t="s">
        <v>529</v>
      </c>
      <c r="K3" t="s">
        <v>546</v>
      </c>
      <c r="L3" t="s">
        <v>545</v>
      </c>
      <c r="M3" t="s">
        <v>544</v>
      </c>
      <c r="N3" t="s">
        <v>543</v>
      </c>
      <c r="O3" t="s">
        <v>542</v>
      </c>
      <c r="P3" t="s">
        <v>541</v>
      </c>
      <c r="Q3" t="s">
        <v>540</v>
      </c>
      <c r="R3" t="s">
        <v>539</v>
      </c>
      <c r="S3" t="s">
        <v>538</v>
      </c>
      <c r="T3" t="s">
        <v>537</v>
      </c>
      <c r="U3" t="s">
        <v>536</v>
      </c>
      <c r="V3" t="s">
        <v>535</v>
      </c>
    </row>
    <row r="4" spans="1:22" ht="30.75" thickBot="1" x14ac:dyDescent="0.3">
      <c r="A4">
        <f t="shared" si="0"/>
        <v>3</v>
      </c>
      <c r="B4" s="193" t="s">
        <v>544</v>
      </c>
      <c r="C4" s="193">
        <v>77.650000000000006</v>
      </c>
      <c r="D4" s="194">
        <v>9.32</v>
      </c>
      <c r="E4" s="194">
        <v>3.11</v>
      </c>
      <c r="F4" s="194">
        <v>56.68</v>
      </c>
      <c r="G4" s="194">
        <v>8.5399999999999991</v>
      </c>
      <c r="J4" t="s">
        <v>530</v>
      </c>
      <c r="K4">
        <v>47.5</v>
      </c>
      <c r="L4">
        <v>68.84</v>
      </c>
      <c r="M4">
        <v>77.650000000000006</v>
      </c>
      <c r="N4">
        <v>79.8</v>
      </c>
      <c r="O4">
        <v>64.2</v>
      </c>
      <c r="P4">
        <v>78.7</v>
      </c>
      <c r="Q4">
        <v>87.2</v>
      </c>
      <c r="R4">
        <v>118</v>
      </c>
      <c r="S4">
        <v>79.12</v>
      </c>
      <c r="T4">
        <v>106.65</v>
      </c>
      <c r="U4">
        <v>102.9</v>
      </c>
      <c r="V4">
        <v>167.41</v>
      </c>
    </row>
    <row r="5" spans="1:22" ht="30.75" thickBot="1" x14ac:dyDescent="0.3">
      <c r="A5">
        <f t="shared" si="0"/>
        <v>4</v>
      </c>
      <c r="B5" s="193" t="s">
        <v>543</v>
      </c>
      <c r="C5" s="193">
        <v>79.8</v>
      </c>
      <c r="D5" s="194">
        <v>10.37</v>
      </c>
      <c r="E5" s="194">
        <v>3.99</v>
      </c>
      <c r="F5" s="194">
        <v>53.47</v>
      </c>
      <c r="G5" s="194">
        <v>11.97</v>
      </c>
      <c r="J5" t="s">
        <v>531</v>
      </c>
      <c r="K5">
        <v>4.28</v>
      </c>
      <c r="L5">
        <v>7.57</v>
      </c>
      <c r="M5">
        <v>9.32</v>
      </c>
      <c r="N5">
        <v>10.37</v>
      </c>
      <c r="O5">
        <v>9.6300000000000008</v>
      </c>
      <c r="P5">
        <v>12.59</v>
      </c>
      <c r="Q5">
        <v>14.82</v>
      </c>
      <c r="R5">
        <v>22.42</v>
      </c>
      <c r="S5">
        <v>16.62</v>
      </c>
      <c r="T5">
        <v>24.53</v>
      </c>
      <c r="U5">
        <v>25.73</v>
      </c>
      <c r="V5">
        <v>41.85</v>
      </c>
    </row>
    <row r="6" spans="1:22" ht="30.75" thickBot="1" x14ac:dyDescent="0.3">
      <c r="A6">
        <f t="shared" si="0"/>
        <v>5</v>
      </c>
      <c r="B6" s="193" t="s">
        <v>542</v>
      </c>
      <c r="C6" s="193">
        <v>64.2</v>
      </c>
      <c r="D6" s="194">
        <v>9.6300000000000008</v>
      </c>
      <c r="E6" s="194">
        <v>4.49</v>
      </c>
      <c r="F6" s="194">
        <v>39.159999999999997</v>
      </c>
      <c r="G6" s="194">
        <v>10.91</v>
      </c>
      <c r="J6" t="s">
        <v>532</v>
      </c>
      <c r="K6">
        <v>0.95</v>
      </c>
      <c r="L6">
        <v>2.0699999999999998</v>
      </c>
      <c r="M6">
        <v>3.11</v>
      </c>
      <c r="N6">
        <v>3.99</v>
      </c>
      <c r="O6">
        <v>4.49</v>
      </c>
      <c r="P6">
        <v>5.51</v>
      </c>
      <c r="Q6">
        <v>6.1</v>
      </c>
      <c r="R6">
        <v>7.08</v>
      </c>
      <c r="S6">
        <v>6.33</v>
      </c>
      <c r="T6">
        <v>9.6</v>
      </c>
      <c r="U6">
        <v>10.29</v>
      </c>
      <c r="V6">
        <v>16.739999999999998</v>
      </c>
    </row>
    <row r="7" spans="1:22" ht="30.75" thickBot="1" x14ac:dyDescent="0.3">
      <c r="A7">
        <f t="shared" si="0"/>
        <v>6</v>
      </c>
      <c r="B7" s="193" t="s">
        <v>541</v>
      </c>
      <c r="C7" s="193">
        <v>78.7</v>
      </c>
      <c r="D7" s="194">
        <v>12.59</v>
      </c>
      <c r="E7" s="194">
        <v>5.51</v>
      </c>
      <c r="F7" s="194">
        <v>46.43</v>
      </c>
      <c r="G7" s="194">
        <v>14.17</v>
      </c>
      <c r="J7" t="s">
        <v>533</v>
      </c>
      <c r="K7">
        <v>38.950000000000003</v>
      </c>
      <c r="L7">
        <v>53.01</v>
      </c>
      <c r="M7">
        <v>56.68</v>
      </c>
      <c r="N7">
        <v>53.47</v>
      </c>
      <c r="O7">
        <v>39.159999999999997</v>
      </c>
      <c r="P7">
        <v>46.43</v>
      </c>
      <c r="Q7">
        <v>48.83</v>
      </c>
      <c r="R7">
        <v>62.54</v>
      </c>
      <c r="S7">
        <v>36.39</v>
      </c>
      <c r="T7">
        <v>44.79</v>
      </c>
      <c r="U7">
        <v>36.020000000000003</v>
      </c>
      <c r="V7">
        <v>58.59</v>
      </c>
    </row>
    <row r="8" spans="1:22" ht="30.75" thickBot="1" x14ac:dyDescent="0.3">
      <c r="A8">
        <f t="shared" si="0"/>
        <v>7</v>
      </c>
      <c r="B8" s="193" t="s">
        <v>540</v>
      </c>
      <c r="C8" s="193">
        <v>87.2</v>
      </c>
      <c r="D8" s="194">
        <v>14.82</v>
      </c>
      <c r="E8" s="194">
        <v>6.1</v>
      </c>
      <c r="F8" s="194">
        <v>48.83</v>
      </c>
      <c r="G8" s="194">
        <v>17.440000000000001</v>
      </c>
      <c r="J8" t="s">
        <v>534</v>
      </c>
      <c r="K8">
        <v>3.33</v>
      </c>
      <c r="L8">
        <v>6.19</v>
      </c>
      <c r="M8">
        <v>8.5399999999999991</v>
      </c>
      <c r="N8">
        <v>11.97</v>
      </c>
      <c r="O8">
        <v>10.91</v>
      </c>
      <c r="P8">
        <v>14.17</v>
      </c>
      <c r="Q8">
        <v>17.440000000000001</v>
      </c>
      <c r="R8">
        <v>25.96</v>
      </c>
      <c r="S8">
        <v>19.78</v>
      </c>
      <c r="T8">
        <v>27.73</v>
      </c>
      <c r="U8">
        <v>30.87</v>
      </c>
      <c r="V8">
        <v>50.22</v>
      </c>
    </row>
    <row r="9" spans="1:22" ht="30.75" thickBot="1" x14ac:dyDescent="0.3">
      <c r="A9">
        <f t="shared" si="0"/>
        <v>8</v>
      </c>
      <c r="B9" s="193" t="s">
        <v>539</v>
      </c>
      <c r="C9" s="193">
        <v>118</v>
      </c>
      <c r="D9" s="194">
        <v>22.42</v>
      </c>
      <c r="E9" s="194">
        <v>7.08</v>
      </c>
      <c r="F9" s="194">
        <v>62.54</v>
      </c>
      <c r="G9" s="194">
        <v>25.96</v>
      </c>
    </row>
    <row r="10" spans="1:22" ht="30.75" thickBot="1" x14ac:dyDescent="0.3">
      <c r="A10">
        <f t="shared" si="0"/>
        <v>9</v>
      </c>
      <c r="B10" s="193" t="s">
        <v>538</v>
      </c>
      <c r="C10" s="193">
        <v>79.12</v>
      </c>
      <c r="D10" s="194">
        <v>16.62</v>
      </c>
      <c r="E10" s="194">
        <v>6.33</v>
      </c>
      <c r="F10" s="194">
        <v>36.39</v>
      </c>
      <c r="G10" s="194">
        <v>19.78</v>
      </c>
    </row>
    <row r="11" spans="1:22" ht="30.75" thickBot="1" x14ac:dyDescent="0.3">
      <c r="A11">
        <f t="shared" si="0"/>
        <v>10</v>
      </c>
      <c r="B11" s="193" t="s">
        <v>537</v>
      </c>
      <c r="C11" s="193">
        <v>106.65</v>
      </c>
      <c r="D11" s="194">
        <v>24.53</v>
      </c>
      <c r="E11" s="194">
        <v>9.6</v>
      </c>
      <c r="F11" s="194">
        <v>44.79</v>
      </c>
      <c r="G11" s="194">
        <v>27.73</v>
      </c>
    </row>
    <row r="12" spans="1:22" ht="30.75" thickBot="1" x14ac:dyDescent="0.3">
      <c r="A12">
        <f t="shared" si="0"/>
        <v>11</v>
      </c>
      <c r="B12" s="193" t="s">
        <v>536</v>
      </c>
      <c r="C12" s="193">
        <v>102.9</v>
      </c>
      <c r="D12" s="194">
        <v>25.73</v>
      </c>
      <c r="E12" s="194">
        <v>10.29</v>
      </c>
      <c r="F12" s="194">
        <v>36.020000000000003</v>
      </c>
      <c r="G12" s="194">
        <v>30.87</v>
      </c>
    </row>
    <row r="13" spans="1:22" ht="30.75" thickBot="1" x14ac:dyDescent="0.3">
      <c r="A13">
        <v>1</v>
      </c>
      <c r="B13" s="193" t="s">
        <v>535</v>
      </c>
      <c r="C13" s="193">
        <v>167.41</v>
      </c>
      <c r="D13" s="194">
        <v>41.85</v>
      </c>
      <c r="E13" s="194">
        <v>16.739999999999998</v>
      </c>
      <c r="F13" s="194">
        <v>58.59</v>
      </c>
      <c r="G13" s="194">
        <v>50.22</v>
      </c>
    </row>
  </sheetData>
  <sortState xmlns:xlrd2="http://schemas.microsoft.com/office/spreadsheetml/2017/richdata2" ref="A2:G13">
    <sortCondition descending="1" ref="A2:A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S18" activePane="bottomRight" state="frozen"/>
      <selection activeCell="A2" sqref="A2"/>
      <selection pane="topRight" activeCell="A2" sqref="A2"/>
      <selection pane="bottomLeft" activeCell="A2" sqref="A2"/>
      <selection pane="bottomRight" activeCell="BA18" sqref="BA1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219412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219412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219412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BA7"/>
  <sheetViews>
    <sheetView topLeftCell="AE1" workbookViewId="0">
      <selection activeCell="BB6" sqref="B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3" width="10" bestFit="1" customWidth="1"/>
  </cols>
  <sheetData>
    <row r="1" spans="1:53" x14ac:dyDescent="0.25">
      <c r="A1">
        <f>'QTR Raw'!A1</f>
        <v>219412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</row>
    <row r="4" spans="1:53" x14ac:dyDescent="0.25">
      <c r="A4" t="s">
        <v>110</v>
      </c>
      <c r="B4" t="s">
        <v>111</v>
      </c>
    </row>
    <row r="5" spans="1:53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</row>
    <row r="6" spans="1:53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</row>
    <row r="7" spans="1:53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:BA7" ca="1" si="3">+AY6/10^7</f>
        <v>#NAME?</v>
      </c>
      <c r="AZ7" s="100" t="e">
        <f t="shared" ca="1" si="3"/>
        <v>#NAME?</v>
      </c>
      <c r="BA7" s="100" t="e">
        <f t="shared" ca="1" si="3"/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219412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42457</v>
      </c>
      <c r="B4" s="116">
        <v>12.5</v>
      </c>
      <c r="C4" s="116">
        <v>12.5</v>
      </c>
      <c r="D4" s="116">
        <v>12.5</v>
      </c>
      <c r="E4" s="116">
        <v>12.5</v>
      </c>
      <c r="F4" s="116">
        <v>12.5</v>
      </c>
      <c r="G4">
        <v>10</v>
      </c>
      <c r="H4" s="116"/>
      <c r="I4" s="116"/>
      <c r="L4" s="170"/>
    </row>
    <row r="5" spans="1:18" x14ac:dyDescent="0.25">
      <c r="A5" s="170">
        <v>42468</v>
      </c>
      <c r="B5" s="116">
        <v>13.12</v>
      </c>
      <c r="C5" s="116">
        <v>13.12</v>
      </c>
      <c r="D5" s="116">
        <v>13.12</v>
      </c>
      <c r="E5" s="116">
        <v>13.12</v>
      </c>
      <c r="F5" s="116">
        <v>13.12</v>
      </c>
      <c r="G5">
        <v>1</v>
      </c>
      <c r="H5" s="116"/>
      <c r="I5" s="116"/>
      <c r="L5" s="170"/>
    </row>
    <row r="6" spans="1:18" x14ac:dyDescent="0.25">
      <c r="A6" s="170">
        <v>42473</v>
      </c>
      <c r="B6" s="116">
        <v>13.14</v>
      </c>
      <c r="C6" s="116">
        <v>13.14</v>
      </c>
      <c r="D6" s="116">
        <v>13.14</v>
      </c>
      <c r="E6" s="116">
        <v>13.14</v>
      </c>
      <c r="F6" s="116">
        <v>13.14</v>
      </c>
      <c r="G6">
        <v>1</v>
      </c>
      <c r="H6" s="116"/>
      <c r="I6" s="116"/>
      <c r="L6" s="170"/>
    </row>
    <row r="7" spans="1:18" x14ac:dyDescent="0.25">
      <c r="A7" s="170">
        <v>42478</v>
      </c>
      <c r="B7" s="116">
        <v>13.79</v>
      </c>
      <c r="C7" s="116">
        <v>13.79</v>
      </c>
      <c r="D7" s="116">
        <v>13.79</v>
      </c>
      <c r="E7" s="116">
        <v>13.79</v>
      </c>
      <c r="F7" s="116">
        <v>13.79</v>
      </c>
      <c r="G7">
        <v>1</v>
      </c>
      <c r="H7" s="116"/>
      <c r="I7" s="116"/>
      <c r="L7" s="170"/>
    </row>
    <row r="8" spans="1:18" x14ac:dyDescent="0.25">
      <c r="A8" s="170">
        <v>42489</v>
      </c>
      <c r="B8" s="116">
        <v>14.47</v>
      </c>
      <c r="C8" s="116">
        <v>14.47</v>
      </c>
      <c r="D8" s="116">
        <v>14.47</v>
      </c>
      <c r="E8" s="116">
        <v>14.47</v>
      </c>
      <c r="F8" s="116">
        <v>14.47</v>
      </c>
      <c r="G8">
        <v>10</v>
      </c>
      <c r="H8" s="116"/>
      <c r="I8" s="116"/>
      <c r="L8" s="170"/>
    </row>
    <row r="9" spans="1:18" x14ac:dyDescent="0.25">
      <c r="A9" s="170">
        <v>42516</v>
      </c>
      <c r="B9" s="116">
        <v>15.19</v>
      </c>
      <c r="C9" s="116">
        <v>15.19</v>
      </c>
      <c r="D9" s="116">
        <v>15.19</v>
      </c>
      <c r="E9" s="116">
        <v>15.19</v>
      </c>
      <c r="F9" s="116">
        <v>15.19</v>
      </c>
      <c r="G9">
        <v>13</v>
      </c>
      <c r="H9" s="116"/>
      <c r="I9" s="116"/>
      <c r="L9" s="170"/>
    </row>
    <row r="10" spans="1:18" x14ac:dyDescent="0.25">
      <c r="A10" s="170">
        <v>42527</v>
      </c>
      <c r="B10" s="116">
        <v>15.9</v>
      </c>
      <c r="C10" s="116">
        <v>15.9</v>
      </c>
      <c r="D10" s="116">
        <v>15.9</v>
      </c>
      <c r="E10" s="116">
        <v>15.9</v>
      </c>
      <c r="F10" s="116">
        <v>15.9</v>
      </c>
      <c r="G10">
        <v>4</v>
      </c>
      <c r="H10" s="116"/>
      <c r="I10" s="116"/>
      <c r="L10" s="170"/>
    </row>
    <row r="11" spans="1:18" x14ac:dyDescent="0.25">
      <c r="A11" s="170">
        <v>42528</v>
      </c>
      <c r="B11" s="116">
        <v>16.649999999999999</v>
      </c>
      <c r="C11" s="116">
        <v>16.649999999999999</v>
      </c>
      <c r="D11" s="116">
        <v>16.649999999999999</v>
      </c>
      <c r="E11" s="116">
        <v>16.649999999999999</v>
      </c>
      <c r="F11" s="116">
        <v>16.649999999999999</v>
      </c>
      <c r="G11">
        <v>4</v>
      </c>
      <c r="H11" s="116"/>
      <c r="I11" s="116"/>
      <c r="L11" s="170"/>
    </row>
    <row r="12" spans="1:18" x14ac:dyDescent="0.25">
      <c r="A12" s="170">
        <v>42530</v>
      </c>
      <c r="B12" s="116">
        <v>17.45</v>
      </c>
      <c r="C12" s="116">
        <v>17.45</v>
      </c>
      <c r="D12" s="116">
        <v>17.45</v>
      </c>
      <c r="E12" s="116">
        <v>17.45</v>
      </c>
      <c r="F12" s="116">
        <v>17.45</v>
      </c>
      <c r="G12">
        <v>19</v>
      </c>
      <c r="H12" s="116"/>
      <c r="I12" s="116"/>
      <c r="L12" s="170"/>
    </row>
    <row r="13" spans="1:18" x14ac:dyDescent="0.25">
      <c r="A13" s="170">
        <v>42531</v>
      </c>
      <c r="B13" s="116">
        <v>18.2</v>
      </c>
      <c r="C13" s="116">
        <v>18.2</v>
      </c>
      <c r="D13" s="116">
        <v>18.2</v>
      </c>
      <c r="E13" s="116">
        <v>18.2</v>
      </c>
      <c r="F13" s="116">
        <v>18.2</v>
      </c>
      <c r="G13">
        <v>10</v>
      </c>
      <c r="H13" s="116"/>
      <c r="I13" s="116"/>
      <c r="L13" s="170"/>
    </row>
    <row r="14" spans="1:18" x14ac:dyDescent="0.25">
      <c r="A14" s="170">
        <v>42534</v>
      </c>
      <c r="B14" s="116">
        <v>19.100000000000001</v>
      </c>
      <c r="C14" s="116">
        <v>19.100000000000001</v>
      </c>
      <c r="D14" s="116">
        <v>19.100000000000001</v>
      </c>
      <c r="E14" s="116">
        <v>19.100000000000001</v>
      </c>
      <c r="F14" s="116">
        <v>19.100000000000001</v>
      </c>
      <c r="G14">
        <v>14</v>
      </c>
      <c r="H14" s="116"/>
      <c r="I14" s="116"/>
      <c r="L14" s="170"/>
    </row>
    <row r="15" spans="1:18" x14ac:dyDescent="0.25">
      <c r="A15" s="170">
        <v>42535</v>
      </c>
      <c r="B15" s="116">
        <v>20</v>
      </c>
      <c r="C15" s="116">
        <v>20</v>
      </c>
      <c r="D15" s="116">
        <v>20</v>
      </c>
      <c r="E15" s="116">
        <v>20</v>
      </c>
      <c r="F15" s="116">
        <v>20</v>
      </c>
      <c r="G15">
        <v>24</v>
      </c>
      <c r="H15" s="116"/>
      <c r="I15" s="116"/>
      <c r="L15" s="170"/>
    </row>
    <row r="16" spans="1:18" x14ac:dyDescent="0.25">
      <c r="A16" s="170">
        <v>42536</v>
      </c>
      <c r="B16" s="116">
        <v>20</v>
      </c>
      <c r="C16" s="116">
        <v>20</v>
      </c>
      <c r="D16" s="116">
        <v>20</v>
      </c>
      <c r="E16" s="116">
        <v>20</v>
      </c>
      <c r="F16" s="116">
        <v>20</v>
      </c>
      <c r="G16">
        <v>17</v>
      </c>
      <c r="H16" s="116"/>
      <c r="I16" s="116"/>
      <c r="L16" s="170"/>
    </row>
    <row r="17" spans="1:12" x14ac:dyDescent="0.25">
      <c r="A17" s="170">
        <v>42537</v>
      </c>
      <c r="B17" s="116">
        <v>20</v>
      </c>
      <c r="C17" s="116">
        <v>20</v>
      </c>
      <c r="D17" s="116">
        <v>20</v>
      </c>
      <c r="E17" s="116">
        <v>20</v>
      </c>
      <c r="F17" s="116">
        <v>20</v>
      </c>
      <c r="G17">
        <v>19</v>
      </c>
      <c r="H17" s="116"/>
      <c r="I17" s="116"/>
      <c r="L17" s="170"/>
    </row>
    <row r="18" spans="1:12" x14ac:dyDescent="0.25">
      <c r="A18" s="170">
        <v>42538</v>
      </c>
      <c r="B18" s="116">
        <v>20</v>
      </c>
      <c r="C18" s="116">
        <v>20</v>
      </c>
      <c r="D18" s="116">
        <v>20</v>
      </c>
      <c r="E18" s="116">
        <v>20</v>
      </c>
      <c r="F18" s="116">
        <v>20</v>
      </c>
      <c r="G18">
        <v>25</v>
      </c>
      <c r="H18" s="116"/>
      <c r="I18" s="116"/>
      <c r="L18" s="170"/>
    </row>
    <row r="19" spans="1:12" x14ac:dyDescent="0.25">
      <c r="A19" s="170">
        <v>42542</v>
      </c>
      <c r="B19" s="116">
        <v>20</v>
      </c>
      <c r="C19" s="116">
        <v>20</v>
      </c>
      <c r="D19" s="116">
        <v>20</v>
      </c>
      <c r="E19" s="116">
        <v>20</v>
      </c>
      <c r="F19" s="116">
        <v>20</v>
      </c>
      <c r="G19">
        <v>25</v>
      </c>
      <c r="H19" s="116"/>
      <c r="I19" s="116"/>
      <c r="L19" s="170"/>
    </row>
    <row r="20" spans="1:12" x14ac:dyDescent="0.25">
      <c r="A20" s="170">
        <v>42544</v>
      </c>
      <c r="B20" s="116">
        <v>20</v>
      </c>
      <c r="C20" s="116">
        <v>20</v>
      </c>
      <c r="D20" s="116">
        <v>20</v>
      </c>
      <c r="E20" s="116">
        <v>20</v>
      </c>
      <c r="F20" s="116">
        <v>20</v>
      </c>
      <c r="G20">
        <v>50</v>
      </c>
      <c r="H20" s="116"/>
      <c r="I20" s="116"/>
      <c r="L20" s="170"/>
    </row>
    <row r="21" spans="1:12" x14ac:dyDescent="0.25">
      <c r="A21" s="170">
        <v>42545</v>
      </c>
      <c r="B21" s="116">
        <v>20</v>
      </c>
      <c r="C21" s="116">
        <v>20</v>
      </c>
      <c r="D21" s="116">
        <v>20</v>
      </c>
      <c r="E21" s="116">
        <v>20</v>
      </c>
      <c r="F21" s="116">
        <v>20</v>
      </c>
      <c r="G21">
        <v>50</v>
      </c>
      <c r="H21" s="116"/>
      <c r="I21" s="116"/>
      <c r="L21" s="170"/>
    </row>
    <row r="22" spans="1:12" x14ac:dyDescent="0.25">
      <c r="A22" s="170">
        <v>42548</v>
      </c>
      <c r="B22" s="116">
        <v>20</v>
      </c>
      <c r="C22" s="116">
        <v>20</v>
      </c>
      <c r="D22" s="116">
        <v>20</v>
      </c>
      <c r="E22" s="116">
        <v>20</v>
      </c>
      <c r="F22" s="116">
        <v>20</v>
      </c>
      <c r="G22">
        <v>50</v>
      </c>
      <c r="H22" s="116"/>
      <c r="I22" s="116"/>
      <c r="L22" s="170"/>
    </row>
    <row r="23" spans="1:12" x14ac:dyDescent="0.25">
      <c r="A23" s="170">
        <v>42549</v>
      </c>
      <c r="B23" s="116">
        <v>20</v>
      </c>
      <c r="C23" s="116">
        <v>20</v>
      </c>
      <c r="D23" s="116">
        <v>20</v>
      </c>
      <c r="E23" s="116">
        <v>20</v>
      </c>
      <c r="F23" s="116">
        <v>20</v>
      </c>
      <c r="G23">
        <v>50</v>
      </c>
      <c r="H23" s="116"/>
      <c r="I23" s="116"/>
      <c r="L23" s="170"/>
    </row>
    <row r="24" spans="1:12" x14ac:dyDescent="0.25">
      <c r="A24" s="170">
        <v>42550</v>
      </c>
      <c r="B24" s="116">
        <v>20</v>
      </c>
      <c r="C24" s="116">
        <v>20</v>
      </c>
      <c r="D24" s="116">
        <v>20</v>
      </c>
      <c r="E24" s="116">
        <v>20</v>
      </c>
      <c r="F24" s="116">
        <v>20</v>
      </c>
      <c r="G24">
        <v>100</v>
      </c>
      <c r="H24" s="116"/>
      <c r="I24" s="116"/>
      <c r="L24" s="170"/>
    </row>
    <row r="25" spans="1:12" x14ac:dyDescent="0.25">
      <c r="A25" s="170">
        <v>42551</v>
      </c>
      <c r="B25" s="116">
        <v>20</v>
      </c>
      <c r="C25" s="116">
        <v>20</v>
      </c>
      <c r="D25" s="116">
        <v>20</v>
      </c>
      <c r="E25" s="116">
        <v>20</v>
      </c>
      <c r="F25" s="116">
        <v>20</v>
      </c>
      <c r="G25">
        <v>100</v>
      </c>
      <c r="H25" s="116"/>
      <c r="I25" s="116"/>
      <c r="L25" s="170"/>
    </row>
    <row r="26" spans="1:12" x14ac:dyDescent="0.25">
      <c r="A26" s="170">
        <v>42552</v>
      </c>
      <c r="B26" s="116">
        <v>21</v>
      </c>
      <c r="C26" s="116">
        <v>21</v>
      </c>
      <c r="D26" s="116">
        <v>21</v>
      </c>
      <c r="E26" s="116">
        <v>21</v>
      </c>
      <c r="F26" s="116">
        <v>21</v>
      </c>
      <c r="G26">
        <v>56</v>
      </c>
      <c r="H26" s="116"/>
      <c r="I26" s="116"/>
      <c r="L26" s="170"/>
    </row>
    <row r="27" spans="1:12" x14ac:dyDescent="0.25">
      <c r="A27" s="170">
        <v>42555</v>
      </c>
      <c r="B27" s="116">
        <v>22.05</v>
      </c>
      <c r="C27" s="116">
        <v>22.05</v>
      </c>
      <c r="D27" s="116">
        <v>22.05</v>
      </c>
      <c r="E27" s="116">
        <v>22.05</v>
      </c>
      <c r="F27" s="116">
        <v>22.05</v>
      </c>
      <c r="G27">
        <v>4</v>
      </c>
      <c r="H27" s="116"/>
      <c r="I27" s="116"/>
      <c r="L27" s="170"/>
    </row>
    <row r="28" spans="1:12" x14ac:dyDescent="0.25">
      <c r="A28" s="170">
        <v>42556</v>
      </c>
      <c r="B28" s="116">
        <v>23.15</v>
      </c>
      <c r="C28" s="116">
        <v>23.15</v>
      </c>
      <c r="D28" s="116">
        <v>23.15</v>
      </c>
      <c r="E28" s="116">
        <v>23.15</v>
      </c>
      <c r="F28" s="116">
        <v>23.15</v>
      </c>
      <c r="G28">
        <v>5</v>
      </c>
      <c r="H28" s="116"/>
      <c r="I28" s="116"/>
      <c r="L28" s="170"/>
    </row>
    <row r="29" spans="1:12" x14ac:dyDescent="0.25">
      <c r="A29" s="170">
        <v>42558</v>
      </c>
      <c r="B29" s="116">
        <v>24.3</v>
      </c>
      <c r="C29" s="116">
        <v>24.3</v>
      </c>
      <c r="D29" s="116">
        <v>24.3</v>
      </c>
      <c r="E29" s="116">
        <v>24.3</v>
      </c>
      <c r="F29" s="116">
        <v>24.3</v>
      </c>
      <c r="G29">
        <v>3</v>
      </c>
      <c r="H29" s="116"/>
      <c r="I29" s="116"/>
      <c r="L29" s="170"/>
    </row>
    <row r="30" spans="1:12" x14ac:dyDescent="0.25">
      <c r="A30" s="170">
        <v>42559</v>
      </c>
      <c r="B30" s="116">
        <v>25</v>
      </c>
      <c r="C30" s="116">
        <v>25</v>
      </c>
      <c r="D30" s="116">
        <v>25</v>
      </c>
      <c r="E30" s="116">
        <v>25</v>
      </c>
      <c r="F30" s="116">
        <v>25</v>
      </c>
      <c r="G30">
        <v>7</v>
      </c>
      <c r="H30" s="116"/>
      <c r="I30" s="116"/>
      <c r="L30" s="170"/>
    </row>
    <row r="31" spans="1:12" x14ac:dyDescent="0.25">
      <c r="A31" s="170">
        <v>42562</v>
      </c>
      <c r="B31" s="116">
        <v>25</v>
      </c>
      <c r="C31" s="116">
        <v>25</v>
      </c>
      <c r="D31" s="116">
        <v>25</v>
      </c>
      <c r="E31" s="116">
        <v>25</v>
      </c>
      <c r="F31" s="116">
        <v>25</v>
      </c>
      <c r="G31">
        <v>5</v>
      </c>
      <c r="H31" s="116"/>
      <c r="I31" s="116"/>
      <c r="L31" s="170"/>
    </row>
    <row r="32" spans="1:12" x14ac:dyDescent="0.25">
      <c r="A32" s="170">
        <v>42566</v>
      </c>
      <c r="B32" s="116">
        <v>25</v>
      </c>
      <c r="C32" s="116">
        <v>25</v>
      </c>
      <c r="D32" s="116">
        <v>25</v>
      </c>
      <c r="E32" s="116">
        <v>25</v>
      </c>
      <c r="F32" s="116">
        <v>25</v>
      </c>
      <c r="G32">
        <v>5</v>
      </c>
      <c r="H32" s="116"/>
      <c r="I32" s="116"/>
      <c r="L32" s="170"/>
    </row>
    <row r="33" spans="1:12" x14ac:dyDescent="0.25">
      <c r="A33" s="170">
        <v>42572</v>
      </c>
      <c r="B33" s="116">
        <v>25</v>
      </c>
      <c r="C33" s="116">
        <v>25</v>
      </c>
      <c r="D33" s="116">
        <v>25</v>
      </c>
      <c r="E33" s="116">
        <v>25</v>
      </c>
      <c r="F33" s="116">
        <v>25</v>
      </c>
      <c r="G33">
        <v>10</v>
      </c>
      <c r="H33" s="116"/>
      <c r="I33" s="116"/>
      <c r="L33" s="170"/>
    </row>
    <row r="34" spans="1:12" x14ac:dyDescent="0.25">
      <c r="A34" s="170">
        <v>42592</v>
      </c>
      <c r="B34" s="116">
        <v>25</v>
      </c>
      <c r="C34" s="116">
        <v>25</v>
      </c>
      <c r="D34" s="116">
        <v>25</v>
      </c>
      <c r="E34" s="116">
        <v>25</v>
      </c>
      <c r="F34" s="116">
        <v>25</v>
      </c>
      <c r="G34">
        <v>100</v>
      </c>
      <c r="H34" s="116"/>
      <c r="I34" s="116"/>
      <c r="L34" s="170"/>
    </row>
    <row r="35" spans="1:12" x14ac:dyDescent="0.25">
      <c r="A35" s="170">
        <v>42653</v>
      </c>
      <c r="B35" s="116">
        <v>26.25</v>
      </c>
      <c r="C35" s="116">
        <v>26.25</v>
      </c>
      <c r="D35" s="116">
        <v>26.25</v>
      </c>
      <c r="E35" s="116">
        <v>26.25</v>
      </c>
      <c r="F35" s="116">
        <v>26.25</v>
      </c>
      <c r="G35">
        <v>1</v>
      </c>
      <c r="H35" s="116"/>
      <c r="I35" s="116"/>
      <c r="L35" s="170"/>
    </row>
    <row r="36" spans="1:12" x14ac:dyDescent="0.25">
      <c r="A36" s="170">
        <v>42656</v>
      </c>
      <c r="B36" s="116">
        <v>27</v>
      </c>
      <c r="C36" s="116">
        <v>27</v>
      </c>
      <c r="D36" s="116">
        <v>27</v>
      </c>
      <c r="E36" s="116">
        <v>27</v>
      </c>
      <c r="F36" s="116">
        <v>27</v>
      </c>
      <c r="G36">
        <v>74</v>
      </c>
      <c r="H36" s="116"/>
      <c r="I36" s="116"/>
      <c r="L36" s="170"/>
    </row>
    <row r="37" spans="1:12" x14ac:dyDescent="0.25">
      <c r="A37" s="170">
        <v>42657</v>
      </c>
      <c r="B37" s="116">
        <v>28.35</v>
      </c>
      <c r="C37" s="116">
        <v>28.35</v>
      </c>
      <c r="D37" s="116">
        <v>28.35</v>
      </c>
      <c r="E37" s="116">
        <v>28.35</v>
      </c>
      <c r="F37" s="116">
        <v>28.35</v>
      </c>
      <c r="G37">
        <v>5</v>
      </c>
      <c r="H37" s="116"/>
      <c r="I37" s="116"/>
      <c r="L37" s="170"/>
    </row>
    <row r="38" spans="1:12" x14ac:dyDescent="0.25">
      <c r="A38" s="170">
        <v>42660</v>
      </c>
      <c r="B38" s="116">
        <v>29.75</v>
      </c>
      <c r="C38" s="116">
        <v>29.75</v>
      </c>
      <c r="D38" s="116">
        <v>29.75</v>
      </c>
      <c r="E38" s="116">
        <v>29.75</v>
      </c>
      <c r="F38" s="116">
        <v>29.75</v>
      </c>
      <c r="G38">
        <v>4</v>
      </c>
      <c r="H38" s="116"/>
      <c r="I38" s="116"/>
      <c r="L38" s="170"/>
    </row>
    <row r="39" spans="1:12" x14ac:dyDescent="0.25">
      <c r="A39" s="170">
        <v>42661</v>
      </c>
      <c r="B39" s="116">
        <v>31.2</v>
      </c>
      <c r="C39" s="116">
        <v>31.2</v>
      </c>
      <c r="D39" s="116">
        <v>31.2</v>
      </c>
      <c r="E39" s="116">
        <v>31.2</v>
      </c>
      <c r="F39" s="116">
        <v>31.2</v>
      </c>
      <c r="G39">
        <v>2</v>
      </c>
      <c r="H39" s="116"/>
      <c r="I39" s="116"/>
      <c r="L39" s="170"/>
    </row>
    <row r="40" spans="1:12" x14ac:dyDescent="0.25">
      <c r="A40" s="170">
        <v>42662</v>
      </c>
      <c r="B40" s="116">
        <v>32.5</v>
      </c>
      <c r="C40" s="116">
        <v>32.5</v>
      </c>
      <c r="D40" s="116">
        <v>32.5</v>
      </c>
      <c r="E40" s="116">
        <v>32.5</v>
      </c>
      <c r="F40" s="116">
        <v>32.5</v>
      </c>
      <c r="G40">
        <v>2</v>
      </c>
      <c r="H40" s="116"/>
      <c r="I40" s="116"/>
      <c r="L40" s="170"/>
    </row>
    <row r="41" spans="1:12" x14ac:dyDescent="0.25">
      <c r="A41" s="170">
        <v>42675</v>
      </c>
      <c r="B41" s="116">
        <v>34.1</v>
      </c>
      <c r="C41" s="116">
        <v>34.1</v>
      </c>
      <c r="D41" s="116">
        <v>34.1</v>
      </c>
      <c r="E41" s="116">
        <v>34.1</v>
      </c>
      <c r="F41" s="116">
        <v>34.1</v>
      </c>
      <c r="G41">
        <v>3</v>
      </c>
      <c r="H41" s="116"/>
      <c r="I41" s="116"/>
      <c r="L41" s="170"/>
    </row>
    <row r="42" spans="1:12" x14ac:dyDescent="0.25">
      <c r="A42" s="170">
        <v>42676</v>
      </c>
      <c r="B42" s="116">
        <v>35.799999999999997</v>
      </c>
      <c r="C42" s="116">
        <v>35.799999999999997</v>
      </c>
      <c r="D42" s="116">
        <v>35.799999999999997</v>
      </c>
      <c r="E42" s="116">
        <v>35.799999999999997</v>
      </c>
      <c r="F42" s="116">
        <v>35.799999999999997</v>
      </c>
      <c r="G42">
        <v>4</v>
      </c>
      <c r="H42" s="116"/>
      <c r="I42" s="116"/>
      <c r="L42" s="170"/>
    </row>
    <row r="43" spans="1:12" x14ac:dyDescent="0.25">
      <c r="A43" s="170">
        <v>42677</v>
      </c>
      <c r="B43" s="116">
        <v>37.549999999999997</v>
      </c>
      <c r="C43" s="116">
        <v>37.549999999999997</v>
      </c>
      <c r="D43" s="116">
        <v>37.549999999999997</v>
      </c>
      <c r="E43" s="116">
        <v>37.549999999999997</v>
      </c>
      <c r="F43" s="116">
        <v>37.549999999999997</v>
      </c>
      <c r="G43">
        <v>5</v>
      </c>
      <c r="H43" s="116"/>
      <c r="I43" s="116"/>
      <c r="L43" s="170"/>
    </row>
    <row r="44" spans="1:12" x14ac:dyDescent="0.25">
      <c r="A44" s="170">
        <v>42678</v>
      </c>
      <c r="B44" s="116">
        <v>39</v>
      </c>
      <c r="C44" s="116">
        <v>39</v>
      </c>
      <c r="D44" s="116">
        <v>39</v>
      </c>
      <c r="E44" s="116">
        <v>39</v>
      </c>
      <c r="F44" s="116">
        <v>39</v>
      </c>
      <c r="G44">
        <v>2</v>
      </c>
      <c r="H44" s="116"/>
      <c r="I44" s="116"/>
      <c r="L44" s="170"/>
    </row>
    <row r="45" spans="1:12" x14ac:dyDescent="0.25">
      <c r="A45" s="170">
        <v>42681</v>
      </c>
      <c r="B45" s="116">
        <v>40.950000000000003</v>
      </c>
      <c r="C45" s="116">
        <v>40.950000000000003</v>
      </c>
      <c r="D45" s="116">
        <v>40.950000000000003</v>
      </c>
      <c r="E45" s="116">
        <v>40.950000000000003</v>
      </c>
      <c r="F45" s="116">
        <v>40.950000000000003</v>
      </c>
      <c r="G45">
        <v>2</v>
      </c>
      <c r="H45" s="116"/>
      <c r="I45" s="116"/>
      <c r="L45" s="170"/>
    </row>
    <row r="46" spans="1:12" x14ac:dyDescent="0.25">
      <c r="A46" s="170">
        <v>42682</v>
      </c>
      <c r="B46" s="116">
        <v>42.25</v>
      </c>
      <c r="C46" s="116">
        <v>42.25</v>
      </c>
      <c r="D46" s="116">
        <v>42.25</v>
      </c>
      <c r="E46" s="116">
        <v>42.25</v>
      </c>
      <c r="F46" s="116">
        <v>42.25</v>
      </c>
      <c r="G46">
        <v>2</v>
      </c>
      <c r="H46" s="116"/>
      <c r="I46" s="116"/>
      <c r="L46" s="170"/>
    </row>
    <row r="47" spans="1:12" x14ac:dyDescent="0.25">
      <c r="A47" s="170">
        <v>42683</v>
      </c>
      <c r="B47" s="116">
        <v>42.25</v>
      </c>
      <c r="C47" s="116">
        <v>42.25</v>
      </c>
      <c r="D47" s="116">
        <v>42.25</v>
      </c>
      <c r="E47" s="116">
        <v>42.25</v>
      </c>
      <c r="F47" s="116">
        <v>42.25</v>
      </c>
      <c r="G47">
        <v>2</v>
      </c>
      <c r="H47" s="116"/>
      <c r="I47" s="116"/>
      <c r="L47" s="170"/>
    </row>
    <row r="48" spans="1:12" x14ac:dyDescent="0.25">
      <c r="A48" s="170">
        <v>42685</v>
      </c>
      <c r="B48" s="116">
        <v>42.25</v>
      </c>
      <c r="C48" s="116">
        <v>42.25</v>
      </c>
      <c r="D48" s="116">
        <v>42.25</v>
      </c>
      <c r="E48" s="116">
        <v>42.25</v>
      </c>
      <c r="F48" s="116">
        <v>42.25</v>
      </c>
      <c r="G48">
        <v>4</v>
      </c>
      <c r="H48" s="116"/>
      <c r="I48" s="116"/>
      <c r="L48" s="170"/>
    </row>
    <row r="49" spans="1:12" x14ac:dyDescent="0.25">
      <c r="A49" s="170">
        <v>42691</v>
      </c>
      <c r="B49" s="116">
        <v>42.25</v>
      </c>
      <c r="C49" s="116">
        <v>42.25</v>
      </c>
      <c r="D49" s="116">
        <v>42.25</v>
      </c>
      <c r="E49" s="116">
        <v>42.25</v>
      </c>
      <c r="F49" s="116">
        <v>42.25</v>
      </c>
      <c r="G49">
        <v>6</v>
      </c>
      <c r="H49" s="116"/>
      <c r="I49" s="116"/>
      <c r="L49" s="170"/>
    </row>
    <row r="50" spans="1:12" x14ac:dyDescent="0.25">
      <c r="A50" s="170">
        <v>42695</v>
      </c>
      <c r="B50" s="116">
        <v>42.25</v>
      </c>
      <c r="C50" s="116">
        <v>42.25</v>
      </c>
      <c r="D50" s="116">
        <v>42.25</v>
      </c>
      <c r="E50" s="116">
        <v>42.25</v>
      </c>
      <c r="F50" s="116">
        <v>42.25</v>
      </c>
      <c r="G50">
        <v>1000</v>
      </c>
      <c r="H50" s="116"/>
      <c r="I50" s="116"/>
      <c r="L50" s="170"/>
    </row>
    <row r="51" spans="1:12" x14ac:dyDescent="0.25">
      <c r="A51" s="170">
        <v>42706</v>
      </c>
      <c r="B51" s="116">
        <v>44.35</v>
      </c>
      <c r="C51" s="116">
        <v>44.35</v>
      </c>
      <c r="D51" s="116">
        <v>44.35</v>
      </c>
      <c r="E51" s="116">
        <v>44.35</v>
      </c>
      <c r="F51" s="116">
        <v>44.35</v>
      </c>
      <c r="G51">
        <v>4</v>
      </c>
      <c r="H51" s="116"/>
      <c r="I51" s="116"/>
      <c r="L51" s="170"/>
    </row>
    <row r="52" spans="1:12" x14ac:dyDescent="0.25">
      <c r="A52" s="170">
        <v>42709</v>
      </c>
      <c r="B52" s="116">
        <v>46.25</v>
      </c>
      <c r="C52" s="116">
        <v>46.25</v>
      </c>
      <c r="D52" s="116">
        <v>46.25</v>
      </c>
      <c r="E52" s="116">
        <v>46.25</v>
      </c>
      <c r="F52" s="116">
        <v>46.25</v>
      </c>
      <c r="G52">
        <v>6</v>
      </c>
      <c r="H52" s="116"/>
      <c r="I52" s="116"/>
      <c r="L52" s="170"/>
    </row>
    <row r="53" spans="1:12" x14ac:dyDescent="0.25">
      <c r="A53" s="170">
        <v>42730</v>
      </c>
      <c r="B53" s="116">
        <v>46.25</v>
      </c>
      <c r="C53" s="116">
        <v>46.25</v>
      </c>
      <c r="D53" s="116">
        <v>46.25</v>
      </c>
      <c r="E53" s="116">
        <v>46.25</v>
      </c>
      <c r="F53" s="116">
        <v>46.25</v>
      </c>
      <c r="G53">
        <v>100</v>
      </c>
      <c r="H53" s="116"/>
      <c r="I53" s="116"/>
      <c r="L53" s="170"/>
    </row>
    <row r="54" spans="1:12" x14ac:dyDescent="0.25">
      <c r="A54" s="170">
        <v>42737</v>
      </c>
      <c r="B54" s="116">
        <v>48.55</v>
      </c>
      <c r="C54" s="116">
        <v>48.55</v>
      </c>
      <c r="D54" s="116">
        <v>48.55</v>
      </c>
      <c r="E54" s="116">
        <v>48.55</v>
      </c>
      <c r="F54" s="116">
        <v>48.55</v>
      </c>
      <c r="G54">
        <v>2</v>
      </c>
      <c r="H54" s="116"/>
      <c r="I54" s="116"/>
      <c r="L54" s="170"/>
    </row>
    <row r="55" spans="1:12" x14ac:dyDescent="0.25">
      <c r="A55" s="170">
        <v>42739</v>
      </c>
      <c r="B55" s="116">
        <v>50.95</v>
      </c>
      <c r="C55" s="116">
        <v>50.95</v>
      </c>
      <c r="D55" s="116">
        <v>50.95</v>
      </c>
      <c r="E55" s="116">
        <v>50.95</v>
      </c>
      <c r="F55" s="116">
        <v>50.95</v>
      </c>
      <c r="G55">
        <v>350</v>
      </c>
      <c r="H55" s="116"/>
      <c r="I55" s="116"/>
      <c r="L55" s="170"/>
    </row>
    <row r="56" spans="1:12" x14ac:dyDescent="0.25">
      <c r="A56" s="170">
        <v>42740</v>
      </c>
      <c r="B56" s="116">
        <v>53.45</v>
      </c>
      <c r="C56" s="116">
        <v>53.45</v>
      </c>
      <c r="D56" s="116">
        <v>53.45</v>
      </c>
      <c r="E56" s="116">
        <v>53.45</v>
      </c>
      <c r="F56" s="116">
        <v>53.45</v>
      </c>
      <c r="G56">
        <v>300</v>
      </c>
      <c r="H56" s="116"/>
      <c r="I56" s="116"/>
      <c r="L56" s="170"/>
    </row>
    <row r="57" spans="1:12" x14ac:dyDescent="0.25">
      <c r="A57" s="170">
        <v>42745</v>
      </c>
      <c r="B57" s="116">
        <v>56.1</v>
      </c>
      <c r="C57" s="116">
        <v>56.1</v>
      </c>
      <c r="D57" s="116">
        <v>56.1</v>
      </c>
      <c r="E57" s="116">
        <v>56.1</v>
      </c>
      <c r="F57" s="116">
        <v>56.1</v>
      </c>
      <c r="G57">
        <v>1100</v>
      </c>
      <c r="H57" s="116"/>
      <c r="I57" s="116"/>
      <c r="L57" s="170"/>
    </row>
    <row r="58" spans="1:12" x14ac:dyDescent="0.25">
      <c r="A58" s="170">
        <v>42746</v>
      </c>
      <c r="B58" s="116">
        <v>58.9</v>
      </c>
      <c r="C58" s="116">
        <v>58.9</v>
      </c>
      <c r="D58" s="116">
        <v>58.9</v>
      </c>
      <c r="E58" s="116">
        <v>58.9</v>
      </c>
      <c r="F58" s="116">
        <v>58.9</v>
      </c>
      <c r="G58">
        <v>1000</v>
      </c>
      <c r="H58" s="116"/>
      <c r="I58" s="116"/>
      <c r="L58" s="170"/>
    </row>
    <row r="59" spans="1:12" x14ac:dyDescent="0.25">
      <c r="A59" s="170">
        <v>42748</v>
      </c>
      <c r="B59" s="116">
        <v>60.1</v>
      </c>
      <c r="C59" s="116">
        <v>60.1</v>
      </c>
      <c r="D59" s="116">
        <v>60.1</v>
      </c>
      <c r="E59" s="116">
        <v>60.1</v>
      </c>
      <c r="F59" s="116">
        <v>60.1</v>
      </c>
      <c r="G59">
        <v>100</v>
      </c>
      <c r="H59" s="116"/>
      <c r="I59" s="116"/>
      <c r="L59" s="170"/>
    </row>
    <row r="60" spans="1:12" x14ac:dyDescent="0.25">
      <c r="A60" s="170">
        <v>42751</v>
      </c>
      <c r="B60" s="116">
        <v>60.1</v>
      </c>
      <c r="C60" s="116">
        <v>60.1</v>
      </c>
      <c r="D60" s="116">
        <v>60.1</v>
      </c>
      <c r="E60" s="116">
        <v>60.1</v>
      </c>
      <c r="F60" s="116">
        <v>60.1</v>
      </c>
      <c r="G60">
        <v>1</v>
      </c>
      <c r="H60" s="116"/>
      <c r="I60" s="116"/>
      <c r="L60" s="170"/>
    </row>
    <row r="61" spans="1:12" x14ac:dyDescent="0.25">
      <c r="A61" s="170">
        <v>42765</v>
      </c>
      <c r="B61" s="116">
        <v>60.1</v>
      </c>
      <c r="C61" s="116">
        <v>60.1</v>
      </c>
      <c r="D61" s="116">
        <v>60.1</v>
      </c>
      <c r="E61" s="116">
        <v>60.1</v>
      </c>
      <c r="F61" s="116">
        <v>60.1</v>
      </c>
      <c r="G61">
        <v>5</v>
      </c>
      <c r="H61" s="116"/>
      <c r="I61" s="116"/>
      <c r="L61" s="170"/>
    </row>
    <row r="62" spans="1:12" x14ac:dyDescent="0.25">
      <c r="A62" s="170">
        <v>42769</v>
      </c>
      <c r="B62" s="116">
        <v>61</v>
      </c>
      <c r="C62" s="116">
        <v>61</v>
      </c>
      <c r="D62" s="116">
        <v>61</v>
      </c>
      <c r="E62" s="116">
        <v>61</v>
      </c>
      <c r="F62" s="116">
        <v>61</v>
      </c>
      <c r="G62">
        <v>700</v>
      </c>
      <c r="H62" s="116"/>
      <c r="I62" s="116"/>
      <c r="L62" s="170"/>
    </row>
    <row r="63" spans="1:12" x14ac:dyDescent="0.25">
      <c r="A63" s="170">
        <v>42774</v>
      </c>
      <c r="B63" s="116">
        <v>61</v>
      </c>
      <c r="C63" s="116">
        <v>61</v>
      </c>
      <c r="D63" s="116">
        <v>61</v>
      </c>
      <c r="E63" s="116">
        <v>61</v>
      </c>
      <c r="F63" s="116">
        <v>61</v>
      </c>
      <c r="G63">
        <v>65</v>
      </c>
      <c r="H63" s="116"/>
      <c r="I63" s="116"/>
      <c r="L63" s="170"/>
    </row>
    <row r="64" spans="1:12" x14ac:dyDescent="0.25">
      <c r="A64" s="170">
        <v>42780</v>
      </c>
      <c r="B64" s="116">
        <v>61</v>
      </c>
      <c r="C64" s="116">
        <v>61</v>
      </c>
      <c r="D64" s="116">
        <v>61</v>
      </c>
      <c r="E64" s="116">
        <v>61</v>
      </c>
      <c r="F64" s="116">
        <v>61</v>
      </c>
      <c r="G64">
        <v>800</v>
      </c>
      <c r="H64" s="116"/>
      <c r="I64" s="116"/>
      <c r="L64" s="170"/>
    </row>
    <row r="65" spans="1:12" x14ac:dyDescent="0.25">
      <c r="A65" s="170">
        <v>42781</v>
      </c>
      <c r="B65" s="116">
        <v>61</v>
      </c>
      <c r="C65" s="116">
        <v>61</v>
      </c>
      <c r="D65" s="116">
        <v>61</v>
      </c>
      <c r="E65" s="116">
        <v>61</v>
      </c>
      <c r="F65" s="116">
        <v>61</v>
      </c>
      <c r="G65">
        <v>100</v>
      </c>
      <c r="H65" s="116"/>
      <c r="I65" s="116"/>
      <c r="L65" s="170"/>
    </row>
    <row r="66" spans="1:12" x14ac:dyDescent="0.25">
      <c r="A66" s="170">
        <v>42796</v>
      </c>
      <c r="B66" s="116">
        <v>61</v>
      </c>
      <c r="C66" s="116">
        <v>61</v>
      </c>
      <c r="D66" s="116">
        <v>61</v>
      </c>
      <c r="E66" s="116">
        <v>61</v>
      </c>
      <c r="F66" s="116">
        <v>61</v>
      </c>
      <c r="G66">
        <v>143</v>
      </c>
      <c r="H66" s="116"/>
      <c r="I66" s="116"/>
      <c r="L66" s="170"/>
    </row>
    <row r="67" spans="1:12" x14ac:dyDescent="0.25">
      <c r="A67" s="170">
        <v>42800</v>
      </c>
      <c r="B67" s="116">
        <v>61</v>
      </c>
      <c r="C67" s="116">
        <v>61</v>
      </c>
      <c r="D67" s="116">
        <v>61</v>
      </c>
      <c r="E67" s="116">
        <v>61</v>
      </c>
      <c r="F67" s="116">
        <v>61</v>
      </c>
      <c r="G67">
        <v>13</v>
      </c>
      <c r="H67" s="116"/>
      <c r="I67" s="116"/>
      <c r="L67" s="170"/>
    </row>
    <row r="68" spans="1:12" x14ac:dyDescent="0.25">
      <c r="A68" s="170">
        <v>42824</v>
      </c>
      <c r="B68" s="116">
        <v>61</v>
      </c>
      <c r="C68" s="116">
        <v>61</v>
      </c>
      <c r="D68" s="116">
        <v>61</v>
      </c>
      <c r="E68" s="116">
        <v>61</v>
      </c>
      <c r="F68" s="116">
        <v>61</v>
      </c>
      <c r="G68">
        <v>5</v>
      </c>
      <c r="H68" s="116"/>
      <c r="I68" s="116"/>
      <c r="L68" s="170"/>
    </row>
    <row r="69" spans="1:12" x14ac:dyDescent="0.25">
      <c r="A69" s="170">
        <v>42879</v>
      </c>
      <c r="B69" s="116">
        <v>61</v>
      </c>
      <c r="C69" s="116">
        <v>61</v>
      </c>
      <c r="D69" s="116">
        <v>61</v>
      </c>
      <c r="E69" s="116">
        <v>61</v>
      </c>
      <c r="F69" s="116">
        <v>61</v>
      </c>
      <c r="G69">
        <v>200</v>
      </c>
      <c r="H69" s="116"/>
      <c r="I69" s="116"/>
      <c r="L69" s="170"/>
    </row>
    <row r="70" spans="1:12" x14ac:dyDescent="0.25">
      <c r="A70" s="170">
        <v>42884</v>
      </c>
      <c r="B70" s="116">
        <v>61</v>
      </c>
      <c r="C70" s="116">
        <v>61</v>
      </c>
      <c r="D70" s="116">
        <v>61</v>
      </c>
      <c r="E70" s="116">
        <v>61</v>
      </c>
      <c r="F70" s="116">
        <v>61</v>
      </c>
      <c r="G70">
        <v>1</v>
      </c>
      <c r="H70" s="116"/>
      <c r="I70" s="116"/>
      <c r="L70" s="170"/>
    </row>
    <row r="71" spans="1:12" x14ac:dyDescent="0.25">
      <c r="A71" s="170">
        <v>42907</v>
      </c>
      <c r="B71" s="116">
        <v>61</v>
      </c>
      <c r="C71" s="116">
        <v>61</v>
      </c>
      <c r="D71" s="116">
        <v>61</v>
      </c>
      <c r="E71" s="116">
        <v>61</v>
      </c>
      <c r="F71" s="116">
        <v>61</v>
      </c>
      <c r="G71">
        <v>900</v>
      </c>
      <c r="H71" s="116"/>
      <c r="I71" s="116"/>
      <c r="L71" s="170"/>
    </row>
    <row r="72" spans="1:12" x14ac:dyDescent="0.25">
      <c r="A72" s="170">
        <v>42914</v>
      </c>
      <c r="B72" s="116">
        <v>61</v>
      </c>
      <c r="C72" s="116">
        <v>61</v>
      </c>
      <c r="D72" s="116">
        <v>61</v>
      </c>
      <c r="E72" s="116">
        <v>61</v>
      </c>
      <c r="F72" s="116">
        <v>61</v>
      </c>
      <c r="G72">
        <v>200</v>
      </c>
      <c r="H72" s="116"/>
      <c r="I72" s="116"/>
      <c r="L72" s="170"/>
    </row>
    <row r="73" spans="1:12" x14ac:dyDescent="0.25">
      <c r="A73" s="170">
        <v>42915</v>
      </c>
      <c r="B73" s="116">
        <v>61</v>
      </c>
      <c r="C73" s="116">
        <v>61</v>
      </c>
      <c r="D73" s="116">
        <v>61</v>
      </c>
      <c r="E73" s="116">
        <v>61</v>
      </c>
      <c r="F73" s="116">
        <v>61</v>
      </c>
      <c r="G73">
        <v>25</v>
      </c>
      <c r="H73" s="116"/>
      <c r="I73" s="116"/>
      <c r="L73" s="170"/>
    </row>
    <row r="74" spans="1:12" x14ac:dyDescent="0.25">
      <c r="A74" s="170">
        <v>42941</v>
      </c>
      <c r="B74" s="116">
        <v>61</v>
      </c>
      <c r="C74" s="116">
        <v>61</v>
      </c>
      <c r="D74" s="116">
        <v>61</v>
      </c>
      <c r="E74" s="116">
        <v>61</v>
      </c>
      <c r="F74" s="116">
        <v>61</v>
      </c>
      <c r="G74">
        <v>1700</v>
      </c>
      <c r="H74" s="116"/>
      <c r="I74" s="116"/>
      <c r="L74" s="170"/>
    </row>
    <row r="75" spans="1:12" x14ac:dyDescent="0.25">
      <c r="A75" s="170">
        <v>42942</v>
      </c>
      <c r="B75" s="116">
        <v>61</v>
      </c>
      <c r="C75" s="116">
        <v>61</v>
      </c>
      <c r="D75" s="116">
        <v>61</v>
      </c>
      <c r="E75" s="116">
        <v>61</v>
      </c>
      <c r="F75" s="116">
        <v>61</v>
      </c>
      <c r="G75">
        <v>3000</v>
      </c>
      <c r="H75" s="116"/>
      <c r="I75" s="116"/>
      <c r="L75" s="170"/>
    </row>
    <row r="76" spans="1:12" x14ac:dyDescent="0.25">
      <c r="A76" s="170">
        <v>42943</v>
      </c>
      <c r="B76" s="116">
        <v>61</v>
      </c>
      <c r="C76" s="116">
        <v>61</v>
      </c>
      <c r="D76" s="116">
        <v>61</v>
      </c>
      <c r="E76" s="116">
        <v>61</v>
      </c>
      <c r="F76" s="116">
        <v>61</v>
      </c>
      <c r="G76">
        <v>1</v>
      </c>
      <c r="H76" s="116"/>
      <c r="I76" s="116"/>
      <c r="L76" s="170"/>
    </row>
    <row r="77" spans="1:12" x14ac:dyDescent="0.25">
      <c r="A77" s="170">
        <v>42999</v>
      </c>
      <c r="B77" s="116">
        <v>61</v>
      </c>
      <c r="C77" s="116">
        <v>61</v>
      </c>
      <c r="D77" s="116">
        <v>61</v>
      </c>
      <c r="E77" s="116">
        <v>61</v>
      </c>
      <c r="F77" s="116">
        <v>61</v>
      </c>
      <c r="G77">
        <v>1000</v>
      </c>
      <c r="H77" s="116"/>
      <c r="I77" s="116"/>
      <c r="L77" s="170"/>
    </row>
    <row r="78" spans="1:12" x14ac:dyDescent="0.25">
      <c r="A78" s="170">
        <v>43006</v>
      </c>
      <c r="B78" s="116">
        <v>61</v>
      </c>
      <c r="C78" s="116">
        <v>61</v>
      </c>
      <c r="D78" s="116">
        <v>61</v>
      </c>
      <c r="E78" s="116">
        <v>61</v>
      </c>
      <c r="F78" s="116">
        <v>61</v>
      </c>
      <c r="G78">
        <v>1</v>
      </c>
      <c r="H78" s="116"/>
      <c r="I78" s="116"/>
      <c r="L78" s="170"/>
    </row>
    <row r="79" spans="1:12" x14ac:dyDescent="0.25">
      <c r="A79" s="170">
        <v>43011</v>
      </c>
      <c r="B79" s="116">
        <v>64.05</v>
      </c>
      <c r="C79" s="116">
        <v>64.05</v>
      </c>
      <c r="D79" s="116">
        <v>64.05</v>
      </c>
      <c r="E79" s="116">
        <v>64.05</v>
      </c>
      <c r="F79" s="116">
        <v>64.05</v>
      </c>
      <c r="G79">
        <v>1</v>
      </c>
      <c r="H79" s="116"/>
      <c r="I79" s="116"/>
      <c r="L79" s="170"/>
    </row>
    <row r="80" spans="1:12" x14ac:dyDescent="0.25">
      <c r="A80" s="170">
        <v>43012</v>
      </c>
      <c r="B80" s="116">
        <v>67.25</v>
      </c>
      <c r="C80" s="116">
        <v>67.25</v>
      </c>
      <c r="D80" s="116">
        <v>67.25</v>
      </c>
      <c r="E80" s="116">
        <v>67.25</v>
      </c>
      <c r="F80" s="116">
        <v>67.25</v>
      </c>
      <c r="G80">
        <v>1</v>
      </c>
      <c r="H80" s="116"/>
      <c r="I80" s="116"/>
      <c r="L80" s="170"/>
    </row>
    <row r="81" spans="1:12" x14ac:dyDescent="0.25">
      <c r="A81" s="170">
        <v>43013</v>
      </c>
      <c r="B81" s="116">
        <v>70.599999999999994</v>
      </c>
      <c r="C81" s="116">
        <v>70.599999999999994</v>
      </c>
      <c r="D81" s="116">
        <v>70.599999999999994</v>
      </c>
      <c r="E81" s="116">
        <v>70.599999999999994</v>
      </c>
      <c r="F81" s="116">
        <v>70.599999999999994</v>
      </c>
      <c r="G81">
        <v>1</v>
      </c>
      <c r="H81" s="116"/>
      <c r="I81" s="116"/>
      <c r="L81" s="170"/>
    </row>
    <row r="82" spans="1:12" x14ac:dyDescent="0.25">
      <c r="A82" s="170">
        <v>43014</v>
      </c>
      <c r="B82" s="116">
        <v>74.099999999999994</v>
      </c>
      <c r="C82" s="116">
        <v>74.099999999999994</v>
      </c>
      <c r="D82" s="116">
        <v>74.099999999999994</v>
      </c>
      <c r="E82" s="116">
        <v>74.099999999999994</v>
      </c>
      <c r="F82" s="116">
        <v>74.099999999999994</v>
      </c>
      <c r="G82">
        <v>1</v>
      </c>
      <c r="H82" s="116"/>
      <c r="I82" s="116"/>
      <c r="L82" s="170"/>
    </row>
    <row r="83" spans="1:12" x14ac:dyDescent="0.25">
      <c r="A83" s="170">
        <v>43017</v>
      </c>
      <c r="B83" s="116">
        <v>77.8</v>
      </c>
      <c r="C83" s="116">
        <v>77.8</v>
      </c>
      <c r="D83" s="116">
        <v>77.8</v>
      </c>
      <c r="E83" s="116">
        <v>77.8</v>
      </c>
      <c r="F83" s="116">
        <v>77.8</v>
      </c>
      <c r="G83">
        <v>1</v>
      </c>
      <c r="H83" s="116"/>
      <c r="I83" s="116"/>
      <c r="L83" s="170"/>
    </row>
    <row r="84" spans="1:12" x14ac:dyDescent="0.25">
      <c r="A84" s="170">
        <v>43019</v>
      </c>
      <c r="B84" s="116">
        <v>81.650000000000006</v>
      </c>
      <c r="C84" s="116">
        <v>81.650000000000006</v>
      </c>
      <c r="D84" s="116">
        <v>81.650000000000006</v>
      </c>
      <c r="E84" s="116">
        <v>81.650000000000006</v>
      </c>
      <c r="F84" s="116">
        <v>81.650000000000006</v>
      </c>
      <c r="G84">
        <v>1</v>
      </c>
      <c r="H84" s="116"/>
      <c r="I84" s="116"/>
      <c r="L84" s="170"/>
    </row>
    <row r="85" spans="1:12" x14ac:dyDescent="0.25">
      <c r="A85" s="170">
        <v>43020</v>
      </c>
      <c r="B85" s="116">
        <v>85.7</v>
      </c>
      <c r="C85" s="116">
        <v>85.7</v>
      </c>
      <c r="D85" s="116">
        <v>85.7</v>
      </c>
      <c r="E85" s="116">
        <v>85.7</v>
      </c>
      <c r="F85" s="116">
        <v>85.7</v>
      </c>
      <c r="G85">
        <v>1</v>
      </c>
      <c r="H85" s="116"/>
      <c r="I85" s="116"/>
      <c r="L85" s="170"/>
    </row>
    <row r="86" spans="1:12" x14ac:dyDescent="0.25">
      <c r="A86" s="170">
        <v>43021</v>
      </c>
      <c r="B86" s="116">
        <v>89.95</v>
      </c>
      <c r="C86" s="116">
        <v>89.95</v>
      </c>
      <c r="D86" s="116">
        <v>89.95</v>
      </c>
      <c r="E86" s="116">
        <v>89.95</v>
      </c>
      <c r="F86" s="116">
        <v>89.95</v>
      </c>
      <c r="G86">
        <v>10</v>
      </c>
      <c r="H86" s="116"/>
      <c r="I86" s="116"/>
      <c r="L86" s="170"/>
    </row>
    <row r="87" spans="1:12" x14ac:dyDescent="0.25">
      <c r="A87" s="170">
        <v>43024</v>
      </c>
      <c r="B87" s="116">
        <v>94.4</v>
      </c>
      <c r="C87" s="116">
        <v>94.4</v>
      </c>
      <c r="D87" s="116">
        <v>94.4</v>
      </c>
      <c r="E87" s="116">
        <v>94.4</v>
      </c>
      <c r="F87" s="116">
        <v>94.4</v>
      </c>
      <c r="G87">
        <v>4</v>
      </c>
      <c r="H87" s="116"/>
      <c r="I87" s="116"/>
      <c r="L87" s="170"/>
    </row>
    <row r="88" spans="1:12" x14ac:dyDescent="0.25">
      <c r="A88" s="170">
        <v>43025</v>
      </c>
      <c r="B88" s="116">
        <v>99.1</v>
      </c>
      <c r="C88" s="116">
        <v>99.1</v>
      </c>
      <c r="D88" s="116">
        <v>99.1</v>
      </c>
      <c r="E88" s="116">
        <v>99.1</v>
      </c>
      <c r="F88" s="116">
        <v>99.1</v>
      </c>
      <c r="G88">
        <v>4</v>
      </c>
      <c r="H88" s="116"/>
      <c r="I88" s="116"/>
      <c r="L88" s="170"/>
    </row>
    <row r="89" spans="1:12" x14ac:dyDescent="0.25">
      <c r="A89" s="170">
        <v>43026</v>
      </c>
      <c r="B89" s="116">
        <v>104.05</v>
      </c>
      <c r="C89" s="116">
        <v>104.05</v>
      </c>
      <c r="D89" s="116">
        <v>104.05</v>
      </c>
      <c r="E89" s="116">
        <v>104.05</v>
      </c>
      <c r="F89" s="116">
        <v>104.05</v>
      </c>
      <c r="G89">
        <v>1</v>
      </c>
      <c r="H89" s="116"/>
      <c r="I89" s="116"/>
      <c r="L89" s="170"/>
    </row>
    <row r="90" spans="1:12" x14ac:dyDescent="0.25">
      <c r="A90" s="170">
        <v>43027</v>
      </c>
      <c r="B90" s="116">
        <v>104.3</v>
      </c>
      <c r="C90" s="116">
        <v>104.3</v>
      </c>
      <c r="D90" s="116">
        <v>104.3</v>
      </c>
      <c r="E90" s="116">
        <v>104.3</v>
      </c>
      <c r="F90" s="116">
        <v>104.3</v>
      </c>
      <c r="G90">
        <v>1</v>
      </c>
      <c r="H90" s="116"/>
      <c r="I90" s="116"/>
      <c r="L90" s="170"/>
    </row>
    <row r="91" spans="1:12" x14ac:dyDescent="0.25">
      <c r="A91" s="170">
        <v>43034</v>
      </c>
      <c r="B91" s="116">
        <v>104.3</v>
      </c>
      <c r="C91" s="116">
        <v>104.3</v>
      </c>
      <c r="D91" s="116">
        <v>104.3</v>
      </c>
      <c r="E91" s="116">
        <v>104.3</v>
      </c>
      <c r="F91" s="116">
        <v>104.3</v>
      </c>
      <c r="G91">
        <v>1</v>
      </c>
      <c r="H91" s="116"/>
      <c r="I91" s="116"/>
      <c r="L91" s="170"/>
    </row>
    <row r="92" spans="1:12" x14ac:dyDescent="0.25">
      <c r="A92" s="170">
        <v>43039</v>
      </c>
      <c r="B92" s="116">
        <v>104.3</v>
      </c>
      <c r="C92" s="116">
        <v>104.3</v>
      </c>
      <c r="D92" s="116">
        <v>104.3</v>
      </c>
      <c r="E92" s="116">
        <v>104.3</v>
      </c>
      <c r="F92" s="116">
        <v>104.3</v>
      </c>
      <c r="G92">
        <v>1</v>
      </c>
      <c r="H92" s="116"/>
      <c r="I92" s="116"/>
      <c r="L92" s="170"/>
    </row>
    <row r="93" spans="1:12" x14ac:dyDescent="0.25">
      <c r="A93" s="170">
        <v>43048</v>
      </c>
      <c r="B93" s="116">
        <v>104.3</v>
      </c>
      <c r="C93" s="116">
        <v>104.3</v>
      </c>
      <c r="D93" s="116">
        <v>104.3</v>
      </c>
      <c r="E93" s="116">
        <v>104.3</v>
      </c>
      <c r="F93" s="116">
        <v>104.3</v>
      </c>
      <c r="G93">
        <v>25</v>
      </c>
      <c r="H93" s="116"/>
      <c r="I93" s="116"/>
      <c r="L93" s="170"/>
    </row>
    <row r="94" spans="1:12" x14ac:dyDescent="0.25">
      <c r="A94" s="170">
        <v>43049</v>
      </c>
      <c r="B94" s="116">
        <v>104.3</v>
      </c>
      <c r="C94" s="116">
        <v>104.3</v>
      </c>
      <c r="D94" s="116">
        <v>104.3</v>
      </c>
      <c r="E94" s="116">
        <v>104.3</v>
      </c>
      <c r="F94" s="116">
        <v>104.3</v>
      </c>
      <c r="G94">
        <v>60</v>
      </c>
      <c r="H94" s="116"/>
      <c r="I94" s="116"/>
      <c r="L94" s="170"/>
    </row>
    <row r="95" spans="1:12" x14ac:dyDescent="0.25">
      <c r="A95" s="170">
        <v>43059</v>
      </c>
      <c r="B95" s="116">
        <v>104.3</v>
      </c>
      <c r="C95" s="116">
        <v>104.3</v>
      </c>
      <c r="D95" s="116">
        <v>104.3</v>
      </c>
      <c r="E95" s="116">
        <v>104.3</v>
      </c>
      <c r="F95" s="116">
        <v>104.3</v>
      </c>
      <c r="G95">
        <v>200</v>
      </c>
      <c r="H95" s="116"/>
      <c r="I95" s="116"/>
      <c r="L95" s="170"/>
    </row>
    <row r="96" spans="1:12" x14ac:dyDescent="0.25">
      <c r="A96" s="170">
        <v>43081</v>
      </c>
      <c r="B96" s="116">
        <v>104.3</v>
      </c>
      <c r="C96" s="116">
        <v>104.3</v>
      </c>
      <c r="D96" s="116">
        <v>104.3</v>
      </c>
      <c r="E96" s="116">
        <v>104.3</v>
      </c>
      <c r="F96" s="116">
        <v>104.3</v>
      </c>
      <c r="G96">
        <v>1</v>
      </c>
      <c r="H96" s="116"/>
      <c r="I96" s="116"/>
      <c r="L96" s="170"/>
    </row>
    <row r="97" spans="1:12" x14ac:dyDescent="0.25">
      <c r="A97" s="170">
        <v>43097</v>
      </c>
      <c r="B97" s="116">
        <v>104.3</v>
      </c>
      <c r="C97" s="116">
        <v>104.3</v>
      </c>
      <c r="D97" s="116">
        <v>104.3</v>
      </c>
      <c r="E97" s="116">
        <v>104.3</v>
      </c>
      <c r="F97" s="116">
        <v>104.3</v>
      </c>
      <c r="G97">
        <v>1</v>
      </c>
      <c r="H97" s="116"/>
      <c r="I97" s="116"/>
      <c r="L97" s="170"/>
    </row>
    <row r="98" spans="1:12" x14ac:dyDescent="0.25">
      <c r="A98" s="170">
        <v>43102</v>
      </c>
      <c r="B98" s="116">
        <v>109.5</v>
      </c>
      <c r="C98" s="116">
        <v>109.5</v>
      </c>
      <c r="D98" s="116">
        <v>109.5</v>
      </c>
      <c r="E98" s="116">
        <v>109.5</v>
      </c>
      <c r="F98" s="116">
        <v>109.5</v>
      </c>
      <c r="G98">
        <v>30</v>
      </c>
      <c r="H98" s="116"/>
      <c r="I98" s="116"/>
      <c r="L98" s="170"/>
    </row>
    <row r="99" spans="1:12" x14ac:dyDescent="0.25">
      <c r="A99" s="170">
        <v>43103</v>
      </c>
      <c r="B99" s="116">
        <v>114.95</v>
      </c>
      <c r="C99" s="116">
        <v>114.95</v>
      </c>
      <c r="D99" s="116">
        <v>114.95</v>
      </c>
      <c r="E99" s="116">
        <v>114.95</v>
      </c>
      <c r="F99" s="116">
        <v>114.95</v>
      </c>
      <c r="G99">
        <v>10</v>
      </c>
      <c r="H99" s="116"/>
      <c r="I99" s="116"/>
      <c r="L99" s="170"/>
    </row>
    <row r="100" spans="1:12" x14ac:dyDescent="0.25">
      <c r="A100" s="170">
        <v>43104</v>
      </c>
      <c r="B100" s="116">
        <v>120.65</v>
      </c>
      <c r="C100" s="116">
        <v>120.65</v>
      </c>
      <c r="D100" s="116">
        <v>120.65</v>
      </c>
      <c r="E100" s="116">
        <v>120.65</v>
      </c>
      <c r="F100" s="116">
        <v>120.65</v>
      </c>
      <c r="G100">
        <v>10</v>
      </c>
      <c r="H100" s="116"/>
      <c r="I100" s="116"/>
      <c r="L100" s="170"/>
    </row>
    <row r="101" spans="1:12" x14ac:dyDescent="0.25">
      <c r="A101" s="170">
        <v>43105</v>
      </c>
      <c r="B101" s="116">
        <v>126.65</v>
      </c>
      <c r="C101" s="116">
        <v>126.65</v>
      </c>
      <c r="D101" s="116">
        <v>126.65</v>
      </c>
      <c r="E101" s="116">
        <v>126.65</v>
      </c>
      <c r="F101" s="116">
        <v>126.65</v>
      </c>
      <c r="G101">
        <v>10</v>
      </c>
      <c r="H101" s="116"/>
      <c r="I101" s="116"/>
      <c r="L101" s="170"/>
    </row>
    <row r="102" spans="1:12" x14ac:dyDescent="0.25">
      <c r="A102" s="170">
        <v>43109</v>
      </c>
      <c r="B102" s="116">
        <v>132.94999999999999</v>
      </c>
      <c r="C102" s="116">
        <v>132.94999999999999</v>
      </c>
      <c r="D102" s="116">
        <v>132.94999999999999</v>
      </c>
      <c r="E102" s="116">
        <v>132.94999999999999</v>
      </c>
      <c r="F102" s="116">
        <v>132.94999999999999</v>
      </c>
      <c r="G102">
        <v>1</v>
      </c>
      <c r="H102" s="116"/>
      <c r="I102" s="116"/>
      <c r="L102" s="170"/>
    </row>
    <row r="103" spans="1:12" x14ac:dyDescent="0.25">
      <c r="A103" s="170">
        <v>43110</v>
      </c>
      <c r="B103" s="116">
        <v>139.55000000000001</v>
      </c>
      <c r="C103" s="116">
        <v>139.55000000000001</v>
      </c>
      <c r="D103" s="116">
        <v>139.55000000000001</v>
      </c>
      <c r="E103" s="116">
        <v>139.55000000000001</v>
      </c>
      <c r="F103" s="116">
        <v>139.55000000000001</v>
      </c>
      <c r="G103">
        <v>6060</v>
      </c>
      <c r="H103" s="116"/>
      <c r="I103" s="116"/>
      <c r="L103" s="170"/>
    </row>
    <row r="104" spans="1:12" x14ac:dyDescent="0.25">
      <c r="A104" s="170">
        <v>43111</v>
      </c>
      <c r="B104" s="116">
        <v>142.69999999999999</v>
      </c>
      <c r="C104" s="116">
        <v>142.69999999999999</v>
      </c>
      <c r="D104" s="116">
        <v>142.69999999999999</v>
      </c>
      <c r="E104" s="116">
        <v>142.69999999999999</v>
      </c>
      <c r="F104" s="116">
        <v>142.69999999999999</v>
      </c>
      <c r="G104">
        <v>849</v>
      </c>
      <c r="H104" s="116"/>
      <c r="I104" s="116"/>
      <c r="L104" s="170"/>
    </row>
    <row r="105" spans="1:12" x14ac:dyDescent="0.25">
      <c r="A105" s="170">
        <v>43115</v>
      </c>
      <c r="B105" s="116">
        <v>142.69999999999999</v>
      </c>
      <c r="C105" s="116">
        <v>142.69999999999999</v>
      </c>
      <c r="D105" s="116">
        <v>142.69999999999999</v>
      </c>
      <c r="E105" s="116">
        <v>142.69999999999999</v>
      </c>
      <c r="F105" s="116">
        <v>142.69999999999999</v>
      </c>
      <c r="G105">
        <v>15800</v>
      </c>
      <c r="H105" s="116"/>
      <c r="I105" s="116"/>
      <c r="L105" s="170"/>
    </row>
    <row r="106" spans="1:12" x14ac:dyDescent="0.25">
      <c r="A106" s="170">
        <v>43117</v>
      </c>
      <c r="B106" s="116">
        <v>142.69999999999999</v>
      </c>
      <c r="C106" s="116">
        <v>142.69999999999999</v>
      </c>
      <c r="D106" s="116">
        <v>142.69999999999999</v>
      </c>
      <c r="E106" s="116">
        <v>142.69999999999999</v>
      </c>
      <c r="F106" s="116">
        <v>142.69999999999999</v>
      </c>
      <c r="G106">
        <v>1600</v>
      </c>
      <c r="H106" s="116"/>
      <c r="I106" s="116"/>
      <c r="L106" s="170"/>
    </row>
    <row r="107" spans="1:12" x14ac:dyDescent="0.25">
      <c r="A107" s="170">
        <v>43118</v>
      </c>
      <c r="B107" s="116">
        <v>142.69999999999999</v>
      </c>
      <c r="C107" s="116">
        <v>142.69999999999999</v>
      </c>
      <c r="D107" s="116">
        <v>142.69999999999999</v>
      </c>
      <c r="E107" s="116">
        <v>142.69999999999999</v>
      </c>
      <c r="F107" s="116">
        <v>142.69999999999999</v>
      </c>
      <c r="G107">
        <v>530</v>
      </c>
      <c r="H107" s="116"/>
      <c r="I107" s="116"/>
      <c r="L107" s="170"/>
    </row>
    <row r="108" spans="1:12" x14ac:dyDescent="0.25">
      <c r="A108" s="170">
        <v>43122</v>
      </c>
      <c r="B108" s="116">
        <v>142.69999999999999</v>
      </c>
      <c r="C108" s="116">
        <v>142.69999999999999</v>
      </c>
      <c r="D108" s="116">
        <v>142.69999999999999</v>
      </c>
      <c r="E108" s="116">
        <v>142.69999999999999</v>
      </c>
      <c r="F108" s="116">
        <v>142.69999999999999</v>
      </c>
      <c r="G108">
        <v>4500</v>
      </c>
      <c r="H108" s="116"/>
      <c r="I108" s="116"/>
      <c r="L108" s="170"/>
    </row>
    <row r="109" spans="1:12" x14ac:dyDescent="0.25">
      <c r="A109" s="170">
        <v>43130</v>
      </c>
      <c r="B109" s="116">
        <v>142.69999999999999</v>
      </c>
      <c r="C109" s="116">
        <v>142.69999999999999</v>
      </c>
      <c r="D109" s="116">
        <v>142.69999999999999</v>
      </c>
      <c r="E109" s="116">
        <v>142.69999999999999</v>
      </c>
      <c r="F109" s="116">
        <v>142.69999999999999</v>
      </c>
      <c r="G109">
        <v>100</v>
      </c>
      <c r="H109" s="116"/>
      <c r="I109" s="116"/>
      <c r="L109" s="170"/>
    </row>
    <row r="110" spans="1:12" x14ac:dyDescent="0.25">
      <c r="A110" s="170">
        <v>43143</v>
      </c>
      <c r="B110" s="116">
        <v>142.69999999999999</v>
      </c>
      <c r="C110" s="116">
        <v>142.69999999999999</v>
      </c>
      <c r="D110" s="116">
        <v>142.69999999999999</v>
      </c>
      <c r="E110" s="116">
        <v>142.69999999999999</v>
      </c>
      <c r="F110" s="116">
        <v>142.69999999999999</v>
      </c>
      <c r="G110">
        <v>24</v>
      </c>
      <c r="H110" s="116"/>
      <c r="I110" s="116"/>
      <c r="L110" s="170"/>
    </row>
    <row r="111" spans="1:12" x14ac:dyDescent="0.25">
      <c r="A111" s="170">
        <v>43145</v>
      </c>
      <c r="B111" s="116">
        <v>142.69999999999999</v>
      </c>
      <c r="C111" s="116">
        <v>142.69999999999999</v>
      </c>
      <c r="D111" s="116">
        <v>142.69999999999999</v>
      </c>
      <c r="E111" s="116">
        <v>142.69999999999999</v>
      </c>
      <c r="F111" s="116">
        <v>142.69999999999999</v>
      </c>
      <c r="G111">
        <v>256</v>
      </c>
      <c r="H111" s="116"/>
      <c r="I111" s="116"/>
      <c r="L111" s="170"/>
    </row>
    <row r="112" spans="1:12" x14ac:dyDescent="0.25">
      <c r="A112" s="170">
        <v>43146</v>
      </c>
      <c r="B112" s="116">
        <v>142.69999999999999</v>
      </c>
      <c r="C112" s="116">
        <v>142.69999999999999</v>
      </c>
      <c r="D112" s="116">
        <v>142.69999999999999</v>
      </c>
      <c r="E112" s="116">
        <v>142.69999999999999</v>
      </c>
      <c r="F112" s="116">
        <v>142.69999999999999</v>
      </c>
      <c r="G112">
        <v>140</v>
      </c>
      <c r="H112" s="116"/>
      <c r="I112" s="116"/>
      <c r="L112" s="170"/>
    </row>
    <row r="113" spans="1:12" x14ac:dyDescent="0.25">
      <c r="A113" s="170">
        <v>43153</v>
      </c>
      <c r="B113" s="116">
        <v>142.69999999999999</v>
      </c>
      <c r="C113" s="116">
        <v>142.69999999999999</v>
      </c>
      <c r="D113" s="116">
        <v>142.69999999999999</v>
      </c>
      <c r="E113" s="116">
        <v>142.69999999999999</v>
      </c>
      <c r="F113" s="116">
        <v>142.69999999999999</v>
      </c>
      <c r="G113">
        <v>150</v>
      </c>
      <c r="H113" s="116"/>
      <c r="I113" s="116"/>
      <c r="L113" s="170"/>
    </row>
    <row r="114" spans="1:12" x14ac:dyDescent="0.25">
      <c r="A114" s="170">
        <v>43164</v>
      </c>
      <c r="B114" s="116">
        <v>142.69999999999999</v>
      </c>
      <c r="C114" s="116">
        <v>142.69999999999999</v>
      </c>
      <c r="D114" s="116">
        <v>142.69999999999999</v>
      </c>
      <c r="E114" s="116">
        <v>142.69999999999999</v>
      </c>
      <c r="F114" s="116">
        <v>142.69999999999999</v>
      </c>
      <c r="G114">
        <v>600</v>
      </c>
      <c r="H114" s="116"/>
      <c r="I114" s="116"/>
      <c r="L114" s="170"/>
    </row>
    <row r="115" spans="1:12" x14ac:dyDescent="0.25">
      <c r="A115" s="170">
        <v>43168</v>
      </c>
      <c r="B115" s="116">
        <v>142.69999999999999</v>
      </c>
      <c r="C115" s="116">
        <v>142.69999999999999</v>
      </c>
      <c r="D115" s="116">
        <v>142.69999999999999</v>
      </c>
      <c r="E115" s="116">
        <v>142.69999999999999</v>
      </c>
      <c r="F115" s="116">
        <v>142.69999999999999</v>
      </c>
      <c r="G115">
        <v>256</v>
      </c>
      <c r="H115" s="116"/>
      <c r="I115" s="116"/>
      <c r="L115" s="170"/>
    </row>
    <row r="116" spans="1:12" x14ac:dyDescent="0.25">
      <c r="A116" s="170">
        <v>43171</v>
      </c>
      <c r="B116" s="116">
        <v>142.69999999999999</v>
      </c>
      <c r="C116" s="116">
        <v>142.69999999999999</v>
      </c>
      <c r="D116" s="116">
        <v>142.69999999999999</v>
      </c>
      <c r="E116" s="116">
        <v>142.69999999999999</v>
      </c>
      <c r="F116" s="116">
        <v>142.69999999999999</v>
      </c>
      <c r="G116">
        <v>856</v>
      </c>
      <c r="H116" s="116"/>
      <c r="I116" s="116"/>
      <c r="L116" s="170"/>
    </row>
    <row r="117" spans="1:12" x14ac:dyDescent="0.25">
      <c r="A117" s="170">
        <v>43175</v>
      </c>
      <c r="B117" s="116">
        <v>142.69999999999999</v>
      </c>
      <c r="C117" s="116">
        <v>142.69999999999999</v>
      </c>
      <c r="D117" s="116">
        <v>142.69999999999999</v>
      </c>
      <c r="E117" s="116">
        <v>142.69999999999999</v>
      </c>
      <c r="F117" s="116">
        <v>142.69999999999999</v>
      </c>
      <c r="G117">
        <v>300</v>
      </c>
      <c r="H117" s="116"/>
      <c r="I117" s="116"/>
      <c r="L117" s="170"/>
    </row>
    <row r="118" spans="1:12" x14ac:dyDescent="0.25">
      <c r="A118" s="170">
        <v>43182</v>
      </c>
      <c r="B118" s="116">
        <v>142.69999999999999</v>
      </c>
      <c r="C118" s="116">
        <v>142.69999999999999</v>
      </c>
      <c r="D118" s="116">
        <v>142.69999999999999</v>
      </c>
      <c r="E118" s="116">
        <v>142.69999999999999</v>
      </c>
      <c r="F118" s="116">
        <v>142.69999999999999</v>
      </c>
      <c r="G118">
        <v>100</v>
      </c>
      <c r="H118" s="116"/>
      <c r="I118" s="116"/>
      <c r="L118" s="170"/>
    </row>
    <row r="119" spans="1:12" x14ac:dyDescent="0.25">
      <c r="A119" s="170">
        <v>43192</v>
      </c>
      <c r="B119" s="116">
        <v>142.69999999999999</v>
      </c>
      <c r="C119" s="116">
        <v>142.69999999999999</v>
      </c>
      <c r="D119" s="116">
        <v>142.69999999999999</v>
      </c>
      <c r="E119" s="116">
        <v>142.69999999999999</v>
      </c>
      <c r="F119" s="116">
        <v>142.69999999999999</v>
      </c>
      <c r="G119">
        <v>1200</v>
      </c>
      <c r="H119" s="116"/>
      <c r="I119" s="116"/>
      <c r="L119" s="170"/>
    </row>
    <row r="120" spans="1:12" x14ac:dyDescent="0.25">
      <c r="A120" s="170">
        <v>43203</v>
      </c>
      <c r="B120" s="116">
        <v>142.69999999999999</v>
      </c>
      <c r="C120" s="116">
        <v>142.69999999999999</v>
      </c>
      <c r="D120" s="116">
        <v>142.69999999999999</v>
      </c>
      <c r="E120" s="116">
        <v>142.69999999999999</v>
      </c>
      <c r="F120" s="116">
        <v>142.69999999999999</v>
      </c>
      <c r="G120">
        <v>100</v>
      </c>
      <c r="H120" s="116"/>
      <c r="I120" s="116"/>
      <c r="L120" s="170"/>
    </row>
    <row r="121" spans="1:12" x14ac:dyDescent="0.25">
      <c r="A121" s="170">
        <v>43208</v>
      </c>
      <c r="B121" s="116">
        <v>142.69999999999999</v>
      </c>
      <c r="C121" s="116">
        <v>142.69999999999999</v>
      </c>
      <c r="D121" s="116">
        <v>142.69999999999999</v>
      </c>
      <c r="E121" s="116">
        <v>142.69999999999999</v>
      </c>
      <c r="F121" s="116">
        <v>142.69999999999999</v>
      </c>
      <c r="G121">
        <v>500</v>
      </c>
      <c r="H121" s="116"/>
      <c r="I121" s="116"/>
      <c r="L121" s="170"/>
    </row>
    <row r="122" spans="1:12" x14ac:dyDescent="0.25">
      <c r="A122" s="170">
        <v>43213</v>
      </c>
      <c r="B122" s="116">
        <v>142.69999999999999</v>
      </c>
      <c r="C122" s="116">
        <v>142.69999999999999</v>
      </c>
      <c r="D122" s="116">
        <v>142.69999999999999</v>
      </c>
      <c r="E122" s="116">
        <v>142.69999999999999</v>
      </c>
      <c r="F122" s="116">
        <v>142.69999999999999</v>
      </c>
      <c r="G122">
        <v>500</v>
      </c>
      <c r="H122" s="116"/>
      <c r="I122" s="116"/>
      <c r="L122" s="170"/>
    </row>
    <row r="123" spans="1:12" x14ac:dyDescent="0.25">
      <c r="A123" s="170">
        <v>43223</v>
      </c>
      <c r="B123" s="116">
        <v>149.80000000000001</v>
      </c>
      <c r="C123" s="116">
        <v>149.80000000000001</v>
      </c>
      <c r="D123" s="116">
        <v>149.80000000000001</v>
      </c>
      <c r="E123" s="116">
        <v>149.80000000000001</v>
      </c>
      <c r="F123" s="116">
        <v>149.80000000000001</v>
      </c>
      <c r="G123">
        <v>25</v>
      </c>
      <c r="H123" s="116"/>
      <c r="I123" s="116"/>
      <c r="L123" s="170"/>
    </row>
    <row r="124" spans="1:12" x14ac:dyDescent="0.25">
      <c r="A124" s="170">
        <v>43224</v>
      </c>
      <c r="B124" s="116">
        <v>157.25</v>
      </c>
      <c r="C124" s="116">
        <v>157.25</v>
      </c>
      <c r="D124" s="116">
        <v>157.25</v>
      </c>
      <c r="E124" s="116">
        <v>157.25</v>
      </c>
      <c r="F124" s="116">
        <v>157.25</v>
      </c>
      <c r="G124">
        <v>11</v>
      </c>
      <c r="H124" s="116"/>
      <c r="I124" s="116"/>
      <c r="L124" s="170"/>
    </row>
    <row r="125" spans="1:12" x14ac:dyDescent="0.25">
      <c r="A125" s="170">
        <v>43228</v>
      </c>
      <c r="B125" s="116">
        <v>165.1</v>
      </c>
      <c r="C125" s="116">
        <v>165.1</v>
      </c>
      <c r="D125" s="116">
        <v>165.1</v>
      </c>
      <c r="E125" s="116">
        <v>165.1</v>
      </c>
      <c r="F125" s="116">
        <v>165.1</v>
      </c>
      <c r="G125">
        <v>10</v>
      </c>
      <c r="H125" s="116"/>
      <c r="I125" s="116"/>
      <c r="L125" s="170"/>
    </row>
    <row r="126" spans="1:12" x14ac:dyDescent="0.25">
      <c r="A126" s="170">
        <v>43229</v>
      </c>
      <c r="B126" s="116">
        <v>173.35</v>
      </c>
      <c r="C126" s="116">
        <v>173.35</v>
      </c>
      <c r="D126" s="116">
        <v>173.35</v>
      </c>
      <c r="E126" s="116">
        <v>173.35</v>
      </c>
      <c r="F126" s="116">
        <v>173.35</v>
      </c>
      <c r="G126">
        <v>10</v>
      </c>
      <c r="H126" s="116"/>
      <c r="I126" s="116"/>
      <c r="L126" s="170"/>
    </row>
    <row r="127" spans="1:12" x14ac:dyDescent="0.25">
      <c r="A127" s="170">
        <v>43230</v>
      </c>
      <c r="B127" s="116">
        <v>182</v>
      </c>
      <c r="C127" s="116">
        <v>182</v>
      </c>
      <c r="D127" s="116">
        <v>182</v>
      </c>
      <c r="E127" s="116">
        <v>182</v>
      </c>
      <c r="F127" s="116">
        <v>182</v>
      </c>
      <c r="G127">
        <v>5</v>
      </c>
      <c r="H127" s="116"/>
      <c r="I127" s="116"/>
      <c r="L127" s="170"/>
    </row>
    <row r="128" spans="1:12" x14ac:dyDescent="0.25">
      <c r="A128" s="170">
        <v>43231</v>
      </c>
      <c r="B128" s="116">
        <v>191.1</v>
      </c>
      <c r="C128" s="116">
        <v>191.1</v>
      </c>
      <c r="D128" s="116">
        <v>191.1</v>
      </c>
      <c r="E128" s="116">
        <v>191.1</v>
      </c>
      <c r="F128" s="116">
        <v>191.1</v>
      </c>
      <c r="G128">
        <v>5</v>
      </c>
      <c r="H128" s="116"/>
      <c r="I128" s="116"/>
      <c r="L128" s="170"/>
    </row>
    <row r="129" spans="1:12" x14ac:dyDescent="0.25">
      <c r="A129" s="170">
        <v>43234</v>
      </c>
      <c r="B129" s="116">
        <v>200.65</v>
      </c>
      <c r="C129" s="116">
        <v>200.65</v>
      </c>
      <c r="D129" s="116">
        <v>200.65</v>
      </c>
      <c r="E129" s="116">
        <v>200.65</v>
      </c>
      <c r="F129" s="116">
        <v>200.65</v>
      </c>
      <c r="G129">
        <v>5</v>
      </c>
      <c r="H129" s="116"/>
      <c r="I129" s="116"/>
      <c r="L129" s="170"/>
    </row>
    <row r="130" spans="1:12" x14ac:dyDescent="0.25">
      <c r="A130" s="170">
        <v>43235</v>
      </c>
      <c r="B130" s="116">
        <v>210.65</v>
      </c>
      <c r="C130" s="116">
        <v>210.65</v>
      </c>
      <c r="D130" s="116">
        <v>210.65</v>
      </c>
      <c r="E130" s="116">
        <v>210.65</v>
      </c>
      <c r="F130" s="116">
        <v>210.65</v>
      </c>
      <c r="G130">
        <v>5</v>
      </c>
      <c r="H130" s="116"/>
      <c r="I130" s="116"/>
      <c r="L130" s="170"/>
    </row>
    <row r="131" spans="1:12" x14ac:dyDescent="0.25">
      <c r="A131" s="170">
        <v>43236</v>
      </c>
      <c r="B131" s="116">
        <v>221.15</v>
      </c>
      <c r="C131" s="116">
        <v>221.15</v>
      </c>
      <c r="D131" s="116">
        <v>221.15</v>
      </c>
      <c r="E131" s="116">
        <v>221.15</v>
      </c>
      <c r="F131" s="116">
        <v>221.15</v>
      </c>
      <c r="G131">
        <v>5</v>
      </c>
      <c r="H131" s="116"/>
      <c r="I131" s="116"/>
      <c r="L131" s="170"/>
    </row>
    <row r="132" spans="1:12" x14ac:dyDescent="0.25">
      <c r="A132" s="170">
        <v>43237</v>
      </c>
      <c r="B132" s="116">
        <v>232.2</v>
      </c>
      <c r="C132" s="116">
        <v>232.2</v>
      </c>
      <c r="D132" s="116">
        <v>232.2</v>
      </c>
      <c r="E132" s="116">
        <v>232.2</v>
      </c>
      <c r="F132" s="116">
        <v>232.2</v>
      </c>
      <c r="G132">
        <v>5</v>
      </c>
      <c r="H132" s="116"/>
      <c r="I132" s="116"/>
      <c r="L132" s="170"/>
    </row>
    <row r="133" spans="1:12" x14ac:dyDescent="0.25">
      <c r="A133" s="170">
        <v>43238</v>
      </c>
      <c r="B133" s="116">
        <v>243.8</v>
      </c>
      <c r="C133" s="116">
        <v>243.8</v>
      </c>
      <c r="D133" s="116">
        <v>243.8</v>
      </c>
      <c r="E133" s="116">
        <v>243.8</v>
      </c>
      <c r="F133" s="116">
        <v>243.8</v>
      </c>
      <c r="G133">
        <v>2939</v>
      </c>
      <c r="H133" s="116"/>
      <c r="I133" s="116"/>
      <c r="L133" s="170"/>
    </row>
    <row r="134" spans="1:12" x14ac:dyDescent="0.25">
      <c r="A134" s="170">
        <v>43241</v>
      </c>
      <c r="B134" s="116">
        <v>255.95</v>
      </c>
      <c r="C134" s="116">
        <v>255.95</v>
      </c>
      <c r="D134" s="116">
        <v>254.9</v>
      </c>
      <c r="E134" s="116">
        <v>254.9</v>
      </c>
      <c r="F134" s="116">
        <v>255.95</v>
      </c>
      <c r="G134">
        <v>4998</v>
      </c>
      <c r="H134" s="116"/>
      <c r="I134" s="116"/>
      <c r="L134" s="170"/>
    </row>
    <row r="135" spans="1:12" x14ac:dyDescent="0.25">
      <c r="A135" s="170">
        <v>43242</v>
      </c>
      <c r="B135" s="116">
        <v>268.7</v>
      </c>
      <c r="C135" s="116">
        <v>268.7</v>
      </c>
      <c r="D135" s="116">
        <v>268.7</v>
      </c>
      <c r="E135" s="116">
        <v>268.7</v>
      </c>
      <c r="F135" s="116">
        <v>268.7</v>
      </c>
      <c r="G135">
        <v>608</v>
      </c>
      <c r="H135" s="116"/>
      <c r="I135" s="116"/>
      <c r="L135" s="170"/>
    </row>
    <row r="136" spans="1:12" x14ac:dyDescent="0.25">
      <c r="A136" s="170">
        <v>43243</v>
      </c>
      <c r="B136" s="116">
        <v>274.05</v>
      </c>
      <c r="C136" s="116">
        <v>274.05</v>
      </c>
      <c r="D136" s="116">
        <v>274.05</v>
      </c>
      <c r="E136" s="116">
        <v>274.05</v>
      </c>
      <c r="F136" s="116">
        <v>274.05</v>
      </c>
      <c r="G136">
        <v>10</v>
      </c>
      <c r="H136" s="116"/>
      <c r="I136" s="116"/>
      <c r="L136" s="170"/>
    </row>
    <row r="137" spans="1:12" x14ac:dyDescent="0.25">
      <c r="A137" s="170">
        <v>43244</v>
      </c>
      <c r="B137" s="116">
        <v>279.5</v>
      </c>
      <c r="C137" s="116">
        <v>279.5</v>
      </c>
      <c r="D137" s="116">
        <v>279.5</v>
      </c>
      <c r="E137" s="116">
        <v>279.5</v>
      </c>
      <c r="F137" s="116">
        <v>279.5</v>
      </c>
      <c r="G137">
        <v>10</v>
      </c>
      <c r="H137" s="116"/>
      <c r="I137" s="116"/>
      <c r="L137" s="170"/>
    </row>
    <row r="138" spans="1:12" x14ac:dyDescent="0.25">
      <c r="A138" s="170">
        <v>43245</v>
      </c>
      <c r="B138" s="116">
        <v>285.05</v>
      </c>
      <c r="C138" s="116">
        <v>285.05</v>
      </c>
      <c r="D138" s="116">
        <v>285.05</v>
      </c>
      <c r="E138" s="116">
        <v>285.05</v>
      </c>
      <c r="F138" s="116">
        <v>285.05</v>
      </c>
      <c r="G138">
        <v>10</v>
      </c>
      <c r="H138" s="116"/>
      <c r="I138" s="116"/>
      <c r="L138" s="170"/>
    </row>
    <row r="139" spans="1:12" x14ac:dyDescent="0.25">
      <c r="A139" s="170">
        <v>43248</v>
      </c>
      <c r="B139" s="116">
        <v>290.75</v>
      </c>
      <c r="C139" s="116">
        <v>290.75</v>
      </c>
      <c r="D139" s="116">
        <v>290.75</v>
      </c>
      <c r="E139" s="116">
        <v>290.75</v>
      </c>
      <c r="F139" s="116">
        <v>290.75</v>
      </c>
      <c r="G139">
        <v>10</v>
      </c>
      <c r="H139" s="116"/>
      <c r="I139" s="116"/>
      <c r="L139" s="170"/>
    </row>
    <row r="140" spans="1:12" x14ac:dyDescent="0.25">
      <c r="A140" s="170">
        <v>43249</v>
      </c>
      <c r="B140" s="116">
        <v>296.55</v>
      </c>
      <c r="C140" s="116">
        <v>296.55</v>
      </c>
      <c r="D140" s="116">
        <v>290</v>
      </c>
      <c r="E140" s="116">
        <v>296.39999999999998</v>
      </c>
      <c r="F140" s="116">
        <v>296.55</v>
      </c>
      <c r="G140">
        <v>13869</v>
      </c>
      <c r="H140" s="116"/>
      <c r="I140" s="116"/>
      <c r="L140" s="170"/>
    </row>
    <row r="141" spans="1:12" x14ac:dyDescent="0.25">
      <c r="A141" s="170">
        <v>43250</v>
      </c>
      <c r="B141" s="116">
        <v>302.45</v>
      </c>
      <c r="C141" s="116">
        <v>302.45</v>
      </c>
      <c r="D141" s="116">
        <v>300</v>
      </c>
      <c r="E141" s="116">
        <v>300</v>
      </c>
      <c r="F141" s="116">
        <v>302.45</v>
      </c>
      <c r="G141">
        <v>6713</v>
      </c>
      <c r="H141" s="116"/>
      <c r="I141" s="116"/>
      <c r="L141" s="170"/>
    </row>
    <row r="142" spans="1:12" x14ac:dyDescent="0.25">
      <c r="A142" s="170">
        <v>43251</v>
      </c>
      <c r="B142" s="116">
        <v>308.45</v>
      </c>
      <c r="C142" s="116">
        <v>303.35000000000002</v>
      </c>
      <c r="D142" s="116">
        <v>296.45</v>
      </c>
      <c r="E142" s="116">
        <v>308.45</v>
      </c>
      <c r="F142" s="116">
        <v>303.35000000000002</v>
      </c>
      <c r="G142">
        <v>2490</v>
      </c>
      <c r="H142" s="116"/>
      <c r="I142" s="116"/>
      <c r="L142" s="170"/>
    </row>
    <row r="143" spans="1:12" x14ac:dyDescent="0.25">
      <c r="A143" s="170">
        <v>43252</v>
      </c>
      <c r="B143" s="116">
        <v>309</v>
      </c>
      <c r="C143" s="116">
        <v>297.3</v>
      </c>
      <c r="D143" s="116">
        <v>297.3</v>
      </c>
      <c r="E143" s="116">
        <v>304</v>
      </c>
      <c r="F143" s="116">
        <v>297.3</v>
      </c>
      <c r="G143">
        <v>2404</v>
      </c>
      <c r="H143" s="116"/>
      <c r="I143" s="116"/>
      <c r="L143" s="170"/>
    </row>
    <row r="144" spans="1:12" x14ac:dyDescent="0.25">
      <c r="A144" s="170">
        <v>43255</v>
      </c>
      <c r="B144" s="116">
        <v>297</v>
      </c>
      <c r="C144" s="116">
        <v>291.39999999999998</v>
      </c>
      <c r="D144" s="116">
        <v>291.39999999999998</v>
      </c>
      <c r="E144" s="116">
        <v>297</v>
      </c>
      <c r="F144" s="116">
        <v>291.39999999999998</v>
      </c>
      <c r="G144">
        <v>480</v>
      </c>
      <c r="H144" s="116"/>
      <c r="I144" s="116"/>
      <c r="L144" s="170"/>
    </row>
    <row r="145" spans="1:18" x14ac:dyDescent="0.25">
      <c r="A145" s="170">
        <v>43256</v>
      </c>
      <c r="B145" s="116">
        <v>285.60000000000002</v>
      </c>
      <c r="C145" s="116">
        <v>285.60000000000002</v>
      </c>
      <c r="D145" s="116">
        <v>285.60000000000002</v>
      </c>
      <c r="E145" s="116">
        <v>285.60000000000002</v>
      </c>
      <c r="F145" s="116">
        <v>285.60000000000002</v>
      </c>
      <c r="G145">
        <v>458</v>
      </c>
      <c r="H145" s="116"/>
      <c r="I145" s="116"/>
      <c r="L145" s="170"/>
    </row>
    <row r="146" spans="1:18" x14ac:dyDescent="0.25">
      <c r="A146" s="170">
        <v>43257</v>
      </c>
      <c r="B146" s="116">
        <v>291.3</v>
      </c>
      <c r="C146" s="116">
        <v>287.14999999999998</v>
      </c>
      <c r="D146" s="116">
        <v>279.89999999999998</v>
      </c>
      <c r="E146" s="116">
        <v>279.89999999999998</v>
      </c>
      <c r="F146" s="116">
        <v>287.14999999999998</v>
      </c>
      <c r="G146">
        <v>12396</v>
      </c>
      <c r="H146" s="116"/>
      <c r="I146" s="116"/>
      <c r="L146" s="170"/>
    </row>
    <row r="147" spans="1:18" x14ac:dyDescent="0.25">
      <c r="A147" s="170">
        <v>43258</v>
      </c>
      <c r="B147" s="116">
        <v>292.85000000000002</v>
      </c>
      <c r="C147" s="116">
        <v>292.8</v>
      </c>
      <c r="D147" s="116">
        <v>285.5</v>
      </c>
      <c r="E147" s="116">
        <v>292.85000000000002</v>
      </c>
      <c r="F147" s="116">
        <v>292.8</v>
      </c>
      <c r="G147">
        <v>7462</v>
      </c>
      <c r="H147" s="116"/>
      <c r="I147" s="116"/>
      <c r="L147" s="170"/>
    </row>
    <row r="148" spans="1:18" x14ac:dyDescent="0.25">
      <c r="A148" s="170">
        <v>43259</v>
      </c>
      <c r="B148" s="116">
        <v>295.8</v>
      </c>
      <c r="C148" s="116">
        <v>292.35000000000002</v>
      </c>
      <c r="D148" s="116">
        <v>287.10000000000002</v>
      </c>
      <c r="E148" s="116">
        <v>295.8</v>
      </c>
      <c r="F148" s="116">
        <v>292.35000000000002</v>
      </c>
      <c r="G148">
        <v>2639</v>
      </c>
      <c r="H148" s="116"/>
      <c r="I148" s="116"/>
      <c r="L148" s="170"/>
    </row>
    <row r="149" spans="1:18" x14ac:dyDescent="0.25">
      <c r="A149" s="170">
        <v>43262</v>
      </c>
      <c r="B149" s="116">
        <v>298.14999999999998</v>
      </c>
      <c r="C149" s="116">
        <v>298.14999999999998</v>
      </c>
      <c r="D149" s="116">
        <v>287.3</v>
      </c>
      <c r="E149" s="116">
        <v>297</v>
      </c>
      <c r="F149" s="116">
        <v>298.14999999999998</v>
      </c>
      <c r="G149">
        <v>9325</v>
      </c>
      <c r="H149" s="116"/>
      <c r="I149" s="116"/>
      <c r="L149" s="170"/>
    </row>
    <row r="150" spans="1:18" x14ac:dyDescent="0.25">
      <c r="A150" s="170">
        <v>43263</v>
      </c>
      <c r="B150" s="116">
        <v>304.10000000000002</v>
      </c>
      <c r="C150" s="116">
        <v>304.10000000000002</v>
      </c>
      <c r="D150" s="116">
        <v>295</v>
      </c>
      <c r="E150" s="116">
        <v>295</v>
      </c>
      <c r="F150" s="116">
        <v>304.10000000000002</v>
      </c>
      <c r="G150">
        <v>3772</v>
      </c>
      <c r="H150" s="116"/>
      <c r="I150" s="116"/>
      <c r="L150" s="170"/>
    </row>
    <row r="151" spans="1:18" x14ac:dyDescent="0.25">
      <c r="A151" s="170">
        <v>43264</v>
      </c>
      <c r="B151" s="116">
        <v>310.14999999999998</v>
      </c>
      <c r="C151" s="116">
        <v>310.14999999999998</v>
      </c>
      <c r="D151" s="116">
        <v>304.10000000000002</v>
      </c>
      <c r="E151" s="116">
        <v>304.10000000000002</v>
      </c>
      <c r="F151" s="116">
        <v>310.14999999999998</v>
      </c>
      <c r="G151">
        <v>3243</v>
      </c>
      <c r="H151" s="116"/>
      <c r="I151" s="116"/>
      <c r="L151" s="170"/>
    </row>
    <row r="152" spans="1:18" x14ac:dyDescent="0.25">
      <c r="A152" s="170">
        <v>43265</v>
      </c>
      <c r="B152" s="116">
        <v>316.35000000000002</v>
      </c>
      <c r="C152" s="116">
        <v>316.35000000000002</v>
      </c>
      <c r="D152" s="116">
        <v>310</v>
      </c>
      <c r="E152" s="116">
        <v>316.35000000000002</v>
      </c>
      <c r="F152" s="116">
        <v>316.35000000000002</v>
      </c>
      <c r="G152">
        <v>3137</v>
      </c>
      <c r="H152" s="116"/>
      <c r="I152" s="116"/>
      <c r="L152" s="170"/>
    </row>
    <row r="153" spans="1:18" x14ac:dyDescent="0.25">
      <c r="A153" s="170">
        <v>43266</v>
      </c>
      <c r="B153" s="116">
        <v>322.60000000000002</v>
      </c>
      <c r="C153" s="116">
        <v>322.45</v>
      </c>
      <c r="D153" s="116">
        <v>311</v>
      </c>
      <c r="E153" s="116">
        <v>321.95</v>
      </c>
      <c r="F153" s="116">
        <v>322.45</v>
      </c>
      <c r="G153">
        <v>1311</v>
      </c>
      <c r="H153" s="116"/>
      <c r="I153" s="116"/>
      <c r="L153" s="170"/>
    </row>
    <row r="154" spans="1:18" x14ac:dyDescent="0.25">
      <c r="A154" s="170">
        <v>43269</v>
      </c>
      <c r="B154" s="116">
        <v>327.39999999999998</v>
      </c>
      <c r="C154" s="116">
        <v>316.10000000000002</v>
      </c>
      <c r="D154" s="116">
        <v>316.10000000000002</v>
      </c>
      <c r="E154" s="116">
        <v>319</v>
      </c>
      <c r="F154" s="116">
        <v>316.10000000000002</v>
      </c>
      <c r="G154">
        <v>310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43270</v>
      </c>
      <c r="B155" s="116">
        <v>322.39999999999998</v>
      </c>
      <c r="C155" s="116">
        <v>309.8</v>
      </c>
      <c r="D155" s="116">
        <v>309.8</v>
      </c>
      <c r="E155" s="116">
        <v>322.39999999999998</v>
      </c>
      <c r="F155" s="116">
        <v>309.8</v>
      </c>
      <c r="G155">
        <v>1173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43271</v>
      </c>
      <c r="B156" s="116">
        <v>309.8</v>
      </c>
      <c r="C156" s="116">
        <v>305</v>
      </c>
      <c r="D156" s="116">
        <v>303.64999999999998</v>
      </c>
      <c r="E156" s="116">
        <v>307</v>
      </c>
      <c r="F156" s="116">
        <v>305</v>
      </c>
      <c r="G156">
        <v>1679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43272</v>
      </c>
      <c r="B157" s="116">
        <v>310.39999999999998</v>
      </c>
      <c r="C157" s="116">
        <v>298.89999999999998</v>
      </c>
      <c r="D157" s="116">
        <v>298.89999999999998</v>
      </c>
      <c r="E157" s="116">
        <v>310.39999999999998</v>
      </c>
      <c r="F157" s="116">
        <v>298.89999999999998</v>
      </c>
      <c r="G157">
        <v>1479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43273</v>
      </c>
      <c r="B158" s="116">
        <v>293</v>
      </c>
      <c r="C158" s="116">
        <v>292.95</v>
      </c>
      <c r="D158" s="116">
        <v>292.95</v>
      </c>
      <c r="E158" s="116">
        <v>293</v>
      </c>
      <c r="F158" s="116">
        <v>292.95</v>
      </c>
      <c r="G158">
        <v>417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43276</v>
      </c>
      <c r="B159" s="116">
        <v>297.89999999999998</v>
      </c>
      <c r="C159" s="116">
        <v>297.55</v>
      </c>
      <c r="D159" s="116">
        <v>287.10000000000002</v>
      </c>
      <c r="E159" s="116">
        <v>287.10000000000002</v>
      </c>
      <c r="F159" s="116">
        <v>297.55</v>
      </c>
      <c r="G159">
        <v>2137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43277</v>
      </c>
      <c r="B160" s="116">
        <v>300</v>
      </c>
      <c r="C160" s="116">
        <v>298.45</v>
      </c>
      <c r="D160" s="116">
        <v>291.60000000000002</v>
      </c>
      <c r="E160" s="116">
        <v>291.60000000000002</v>
      </c>
      <c r="F160" s="116">
        <v>298.45</v>
      </c>
      <c r="G160">
        <v>3119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43278</v>
      </c>
      <c r="B161" s="116">
        <v>295</v>
      </c>
      <c r="C161" s="116">
        <v>292.5</v>
      </c>
      <c r="D161" s="116">
        <v>292.5</v>
      </c>
      <c r="E161" s="116">
        <v>295</v>
      </c>
      <c r="F161" s="116">
        <v>292.5</v>
      </c>
      <c r="G161">
        <v>1972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43279</v>
      </c>
      <c r="B162" s="116">
        <v>286.64999999999998</v>
      </c>
      <c r="C162" s="116">
        <v>286.64999999999998</v>
      </c>
      <c r="D162" s="116">
        <v>286.64999999999998</v>
      </c>
      <c r="E162" s="116">
        <v>286.64999999999998</v>
      </c>
      <c r="F162" s="116">
        <v>286.64999999999998</v>
      </c>
      <c r="G162">
        <v>1236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43280</v>
      </c>
      <c r="B163" s="116">
        <v>286.64999999999998</v>
      </c>
      <c r="C163" s="116">
        <v>280.95</v>
      </c>
      <c r="D163" s="116">
        <v>280.95</v>
      </c>
      <c r="E163" s="116">
        <v>286.64999999999998</v>
      </c>
      <c r="F163" s="116">
        <v>280.95</v>
      </c>
      <c r="G163">
        <v>664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43283</v>
      </c>
      <c r="B164" s="116">
        <v>284.89999999999998</v>
      </c>
      <c r="C164" s="116">
        <v>280</v>
      </c>
      <c r="D164" s="116">
        <v>275.35000000000002</v>
      </c>
      <c r="E164" s="116">
        <v>275.35000000000002</v>
      </c>
      <c r="F164" s="116">
        <v>280</v>
      </c>
      <c r="G164">
        <v>3250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43284</v>
      </c>
      <c r="B165" s="116">
        <v>276</v>
      </c>
      <c r="C165" s="116">
        <v>274.39999999999998</v>
      </c>
      <c r="D165" s="116">
        <v>274.39999999999998</v>
      </c>
      <c r="E165" s="116">
        <v>276</v>
      </c>
      <c r="F165" s="116">
        <v>274.39999999999998</v>
      </c>
      <c r="G165">
        <v>641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43285</v>
      </c>
      <c r="B166" s="116">
        <v>276</v>
      </c>
      <c r="C166" s="116">
        <v>271</v>
      </c>
      <c r="D166" s="116">
        <v>269.39999999999998</v>
      </c>
      <c r="E166" s="116">
        <v>272</v>
      </c>
      <c r="F166" s="116">
        <v>271</v>
      </c>
      <c r="G166">
        <v>1264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43286</v>
      </c>
      <c r="B167" s="116">
        <v>275.89999999999998</v>
      </c>
      <c r="C167" s="116">
        <v>273.7</v>
      </c>
      <c r="D167" s="116">
        <v>265.60000000000002</v>
      </c>
      <c r="E167" s="116">
        <v>265.60000000000002</v>
      </c>
      <c r="F167" s="116">
        <v>273.7</v>
      </c>
      <c r="G167">
        <v>756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43287</v>
      </c>
      <c r="B168" s="116">
        <v>278.7</v>
      </c>
      <c r="C168" s="116">
        <v>278.7</v>
      </c>
      <c r="D168" s="116">
        <v>268.25</v>
      </c>
      <c r="E168" s="116">
        <v>278.64999999999998</v>
      </c>
      <c r="F168" s="116">
        <v>278.7</v>
      </c>
      <c r="G168">
        <v>1060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43290</v>
      </c>
      <c r="B169" s="116">
        <v>284.25</v>
      </c>
      <c r="C169" s="116">
        <v>284</v>
      </c>
      <c r="D169" s="116">
        <v>274.85000000000002</v>
      </c>
      <c r="E169" s="116">
        <v>276</v>
      </c>
      <c r="F169" s="116">
        <v>284</v>
      </c>
      <c r="G169">
        <v>1764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43291</v>
      </c>
      <c r="B170" s="116">
        <v>288.60000000000002</v>
      </c>
      <c r="C170" s="116">
        <v>288.60000000000002</v>
      </c>
      <c r="D170" s="116">
        <v>284</v>
      </c>
      <c r="E170" s="116">
        <v>284</v>
      </c>
      <c r="F170" s="116">
        <v>288.60000000000002</v>
      </c>
      <c r="G170">
        <v>739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43292</v>
      </c>
      <c r="B171" s="116">
        <v>293.8</v>
      </c>
      <c r="C171" s="116">
        <v>293.7</v>
      </c>
      <c r="D171" s="116">
        <v>282.85000000000002</v>
      </c>
      <c r="E171" s="116">
        <v>282.85000000000002</v>
      </c>
      <c r="F171" s="116">
        <v>293.7</v>
      </c>
      <c r="G171">
        <v>1273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43293</v>
      </c>
      <c r="B172" s="116">
        <v>299.55</v>
      </c>
      <c r="C172" s="116">
        <v>299.55</v>
      </c>
      <c r="D172" s="116">
        <v>291.05</v>
      </c>
      <c r="E172" s="116">
        <v>291.05</v>
      </c>
      <c r="F172" s="116">
        <v>299.55</v>
      </c>
      <c r="G172">
        <v>1709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43294</v>
      </c>
      <c r="B173" s="116">
        <v>299.55</v>
      </c>
      <c r="C173" s="116">
        <v>298.8</v>
      </c>
      <c r="D173" s="116">
        <v>293.60000000000002</v>
      </c>
      <c r="E173" s="116">
        <v>299.55</v>
      </c>
      <c r="F173" s="116">
        <v>298.8</v>
      </c>
      <c r="G173">
        <v>438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43297</v>
      </c>
      <c r="B174" s="116">
        <v>302.64999999999998</v>
      </c>
      <c r="C174" s="116">
        <v>302.5</v>
      </c>
      <c r="D174" s="116">
        <v>292.85000000000002</v>
      </c>
      <c r="E174" s="116">
        <v>298</v>
      </c>
      <c r="F174" s="116">
        <v>302.5</v>
      </c>
      <c r="G174">
        <v>613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43298</v>
      </c>
      <c r="B175" s="116">
        <v>305.95</v>
      </c>
      <c r="C175" s="116">
        <v>305.8</v>
      </c>
      <c r="D175" s="116">
        <v>296.45</v>
      </c>
      <c r="E175" s="116">
        <v>300</v>
      </c>
      <c r="F175" s="116">
        <v>305.8</v>
      </c>
      <c r="G175">
        <v>1143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43299</v>
      </c>
      <c r="B176" s="116">
        <v>304.89999999999998</v>
      </c>
      <c r="C176" s="116">
        <v>304.89999999999998</v>
      </c>
      <c r="D176" s="116">
        <v>299.7</v>
      </c>
      <c r="E176" s="116">
        <v>299.7</v>
      </c>
      <c r="F176" s="116">
        <v>304.89999999999998</v>
      </c>
      <c r="G176">
        <v>308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43300</v>
      </c>
      <c r="B177" s="116">
        <v>309.89999999999998</v>
      </c>
      <c r="C177" s="116">
        <v>309.89999999999998</v>
      </c>
      <c r="D177" s="116">
        <v>298.85000000000002</v>
      </c>
      <c r="E177" s="116">
        <v>298.85000000000002</v>
      </c>
      <c r="F177" s="116">
        <v>309.89999999999998</v>
      </c>
      <c r="G177">
        <v>201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43301</v>
      </c>
      <c r="B178" s="116">
        <v>311.7</v>
      </c>
      <c r="C178" s="116">
        <v>305</v>
      </c>
      <c r="D178" s="116">
        <v>303.75</v>
      </c>
      <c r="E178" s="116">
        <v>303.75</v>
      </c>
      <c r="F178" s="116">
        <v>305</v>
      </c>
      <c r="G178">
        <v>875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43304</v>
      </c>
      <c r="B179" s="116">
        <v>311</v>
      </c>
      <c r="C179" s="116">
        <v>302</v>
      </c>
      <c r="D179" s="116">
        <v>298.89999999999998</v>
      </c>
      <c r="E179" s="116">
        <v>311</v>
      </c>
      <c r="F179" s="116">
        <v>302</v>
      </c>
      <c r="G179">
        <v>1237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43305</v>
      </c>
      <c r="B180" s="116">
        <v>307</v>
      </c>
      <c r="C180" s="116">
        <v>302.85000000000002</v>
      </c>
      <c r="D180" s="116">
        <v>296</v>
      </c>
      <c r="E180" s="116">
        <v>296</v>
      </c>
      <c r="F180" s="116">
        <v>302.85000000000002</v>
      </c>
      <c r="G180">
        <v>1095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43306</v>
      </c>
      <c r="B181" s="116">
        <v>308.7</v>
      </c>
      <c r="C181" s="116">
        <v>306.89999999999998</v>
      </c>
      <c r="D181" s="116">
        <v>296.8</v>
      </c>
      <c r="E181" s="116">
        <v>296.8</v>
      </c>
      <c r="F181" s="116">
        <v>306.89999999999998</v>
      </c>
      <c r="G181">
        <v>401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43307</v>
      </c>
      <c r="B182" s="116">
        <v>307</v>
      </c>
      <c r="C182" s="116">
        <v>301.7</v>
      </c>
      <c r="D182" s="116">
        <v>300.8</v>
      </c>
      <c r="E182" s="116">
        <v>307</v>
      </c>
      <c r="F182" s="116">
        <v>301.7</v>
      </c>
      <c r="G182">
        <v>932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43308</v>
      </c>
      <c r="B183" s="116">
        <v>307.39999999999998</v>
      </c>
      <c r="C183" s="116">
        <v>305.89999999999998</v>
      </c>
      <c r="D183" s="116">
        <v>295.7</v>
      </c>
      <c r="E183" s="116">
        <v>295.7</v>
      </c>
      <c r="F183" s="116">
        <v>305.89999999999998</v>
      </c>
      <c r="G183">
        <v>800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43311</v>
      </c>
      <c r="B184" s="116">
        <v>312</v>
      </c>
      <c r="C184" s="116">
        <v>311.75</v>
      </c>
      <c r="D184" s="116">
        <v>308</v>
      </c>
      <c r="E184" s="116">
        <v>308</v>
      </c>
      <c r="F184" s="116">
        <v>311.75</v>
      </c>
      <c r="G184">
        <v>2451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43312</v>
      </c>
      <c r="B185" s="116">
        <v>317.89999999999998</v>
      </c>
      <c r="C185" s="116">
        <v>317.8</v>
      </c>
      <c r="D185" s="116">
        <v>311.8</v>
      </c>
      <c r="E185" s="116">
        <v>317.5</v>
      </c>
      <c r="F185" s="116">
        <v>317.8</v>
      </c>
      <c r="G185">
        <v>1206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43313</v>
      </c>
      <c r="B186" s="116">
        <v>324.14999999999998</v>
      </c>
      <c r="C186" s="116">
        <v>324.10000000000002</v>
      </c>
      <c r="D186" s="116">
        <v>316.95</v>
      </c>
      <c r="E186" s="116">
        <v>316.95</v>
      </c>
      <c r="F186" s="116">
        <v>324.10000000000002</v>
      </c>
      <c r="G186">
        <v>1672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43314</v>
      </c>
      <c r="B187" s="116">
        <v>330.1</v>
      </c>
      <c r="C187" s="116">
        <v>327.3</v>
      </c>
      <c r="D187" s="116">
        <v>325</v>
      </c>
      <c r="E187" s="116">
        <v>330.1</v>
      </c>
      <c r="F187" s="116">
        <v>327.3</v>
      </c>
      <c r="G187">
        <v>1995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43315</v>
      </c>
      <c r="B188" s="116">
        <v>333</v>
      </c>
      <c r="C188" s="116">
        <v>326.7</v>
      </c>
      <c r="D188" s="116">
        <v>321.05</v>
      </c>
      <c r="E188" s="116">
        <v>333</v>
      </c>
      <c r="F188" s="116">
        <v>326.7</v>
      </c>
      <c r="G188">
        <v>864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43318</v>
      </c>
      <c r="B189" s="116">
        <v>332.2</v>
      </c>
      <c r="C189" s="116">
        <v>330.45</v>
      </c>
      <c r="D189" s="116">
        <v>325</v>
      </c>
      <c r="E189" s="116">
        <v>332.2</v>
      </c>
      <c r="F189" s="116">
        <v>330.45</v>
      </c>
      <c r="G189">
        <v>1313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43319</v>
      </c>
      <c r="B190" s="116">
        <v>344.8</v>
      </c>
      <c r="C190" s="116">
        <v>344.45</v>
      </c>
      <c r="D190" s="116">
        <v>335</v>
      </c>
      <c r="E190" s="116">
        <v>344.8</v>
      </c>
      <c r="F190" s="116">
        <v>344.45</v>
      </c>
      <c r="G190">
        <v>2593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43320</v>
      </c>
      <c r="B191" s="116">
        <v>349</v>
      </c>
      <c r="C191" s="116">
        <v>349</v>
      </c>
      <c r="D191" s="116">
        <v>346</v>
      </c>
      <c r="E191" s="116">
        <v>349</v>
      </c>
      <c r="F191" s="116">
        <v>349</v>
      </c>
      <c r="G191">
        <v>1381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43321</v>
      </c>
      <c r="B192" s="116">
        <v>359</v>
      </c>
      <c r="C192" s="116">
        <v>356.95</v>
      </c>
      <c r="D192" s="116">
        <v>338.05</v>
      </c>
      <c r="E192" s="116">
        <v>349</v>
      </c>
      <c r="F192" s="116">
        <v>356.95</v>
      </c>
      <c r="G192">
        <v>1542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43322</v>
      </c>
      <c r="B193" s="116">
        <v>359</v>
      </c>
      <c r="C193" s="116">
        <v>355.95</v>
      </c>
      <c r="D193" s="116">
        <v>340.95</v>
      </c>
      <c r="E193" s="116">
        <v>358</v>
      </c>
      <c r="F193" s="116">
        <v>355.95</v>
      </c>
      <c r="G193">
        <v>932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43325</v>
      </c>
      <c r="B194" s="116">
        <v>372.9</v>
      </c>
      <c r="C194" s="116">
        <v>370.15</v>
      </c>
      <c r="D194" s="116">
        <v>357.05</v>
      </c>
      <c r="E194" s="116">
        <v>363.95</v>
      </c>
      <c r="F194" s="116">
        <v>370.15</v>
      </c>
      <c r="G194">
        <v>3332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43326</v>
      </c>
      <c r="B195" s="116">
        <v>388.5</v>
      </c>
      <c r="C195" s="116">
        <v>386.85</v>
      </c>
      <c r="D195" s="116">
        <v>375</v>
      </c>
      <c r="E195" s="116">
        <v>388.5</v>
      </c>
      <c r="F195" s="116">
        <v>386.85</v>
      </c>
      <c r="G195">
        <v>2382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43328</v>
      </c>
      <c r="B196" s="116">
        <v>404.6</v>
      </c>
      <c r="C196" s="116">
        <v>388.5</v>
      </c>
      <c r="D196" s="116">
        <v>367.55</v>
      </c>
      <c r="E196" s="116">
        <v>390</v>
      </c>
      <c r="F196" s="116">
        <v>388.5</v>
      </c>
      <c r="G196">
        <v>1851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43329</v>
      </c>
      <c r="B197" s="116">
        <v>407</v>
      </c>
      <c r="C197" s="116">
        <v>386</v>
      </c>
      <c r="D197" s="116">
        <v>369.1</v>
      </c>
      <c r="E197" s="116">
        <v>407</v>
      </c>
      <c r="F197" s="116">
        <v>386</v>
      </c>
      <c r="G197">
        <v>1125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43332</v>
      </c>
      <c r="B198" s="116">
        <v>405.3</v>
      </c>
      <c r="C198" s="116">
        <v>405.3</v>
      </c>
      <c r="D198" s="116">
        <v>372</v>
      </c>
      <c r="E198" s="116">
        <v>403</v>
      </c>
      <c r="F198" s="116">
        <v>405.3</v>
      </c>
      <c r="G198">
        <v>4744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43333</v>
      </c>
      <c r="B199" s="116">
        <v>425.55</v>
      </c>
      <c r="C199" s="116">
        <v>422.65</v>
      </c>
      <c r="D199" s="116">
        <v>403.5</v>
      </c>
      <c r="E199" s="116">
        <v>403.5</v>
      </c>
      <c r="F199" s="116">
        <v>422.65</v>
      </c>
      <c r="G199">
        <v>3923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43335</v>
      </c>
      <c r="B200" s="116">
        <v>443.75</v>
      </c>
      <c r="C200" s="116">
        <v>443.7</v>
      </c>
      <c r="D200" s="116">
        <v>418.4</v>
      </c>
      <c r="E200" s="116">
        <v>420</v>
      </c>
      <c r="F200" s="116">
        <v>443.7</v>
      </c>
      <c r="G200">
        <v>7760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43336</v>
      </c>
      <c r="B201" s="116">
        <v>465.85</v>
      </c>
      <c r="C201" s="116">
        <v>455.3</v>
      </c>
      <c r="D201" s="116">
        <v>425.15</v>
      </c>
      <c r="E201" s="116">
        <v>463.4</v>
      </c>
      <c r="F201" s="116">
        <v>455.3</v>
      </c>
      <c r="G201">
        <v>3807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43339</v>
      </c>
      <c r="B202" s="116">
        <v>477.95</v>
      </c>
      <c r="C202" s="116">
        <v>474.95</v>
      </c>
      <c r="D202" s="116">
        <v>433.55</v>
      </c>
      <c r="E202" s="116">
        <v>468</v>
      </c>
      <c r="F202" s="116">
        <v>474.95</v>
      </c>
      <c r="G202">
        <v>3437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43340</v>
      </c>
      <c r="B203" s="116">
        <v>495</v>
      </c>
      <c r="C203" s="116">
        <v>479.9</v>
      </c>
      <c r="D203" s="116">
        <v>455.15</v>
      </c>
      <c r="E203" s="116">
        <v>495</v>
      </c>
      <c r="F203" s="116">
        <v>479.9</v>
      </c>
      <c r="G203">
        <v>3343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43341</v>
      </c>
      <c r="B204" s="116">
        <v>486</v>
      </c>
      <c r="C204" s="116">
        <v>467.95</v>
      </c>
      <c r="D204" s="116">
        <v>456</v>
      </c>
      <c r="E204" s="116">
        <v>486</v>
      </c>
      <c r="F204" s="116">
        <v>467.95</v>
      </c>
      <c r="G204">
        <v>875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43342</v>
      </c>
      <c r="B205" s="116">
        <v>475</v>
      </c>
      <c r="C205" s="116">
        <v>471.8</v>
      </c>
      <c r="D205" s="116">
        <v>445.6</v>
      </c>
      <c r="E205" s="116">
        <v>456</v>
      </c>
      <c r="F205" s="116">
        <v>471.8</v>
      </c>
      <c r="G205">
        <v>1424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43343</v>
      </c>
      <c r="B206" s="116">
        <v>471.8</v>
      </c>
      <c r="C206" s="116">
        <v>465.85</v>
      </c>
      <c r="D206" s="116">
        <v>450</v>
      </c>
      <c r="E206" s="116">
        <v>471.8</v>
      </c>
      <c r="F206" s="116">
        <v>465.85</v>
      </c>
      <c r="G206">
        <v>720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43346</v>
      </c>
      <c r="B207" s="116">
        <v>460</v>
      </c>
      <c r="C207" s="116">
        <v>451.4</v>
      </c>
      <c r="D207" s="116">
        <v>443.1</v>
      </c>
      <c r="E207" s="116">
        <v>443.2</v>
      </c>
      <c r="F207" s="116">
        <v>451.4</v>
      </c>
      <c r="G207">
        <v>1341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43347</v>
      </c>
      <c r="B208" s="116">
        <v>444.9</v>
      </c>
      <c r="C208" s="116">
        <v>428.85</v>
      </c>
      <c r="D208" s="116">
        <v>428.85</v>
      </c>
      <c r="E208" s="116">
        <v>432</v>
      </c>
      <c r="F208" s="116">
        <v>428.85</v>
      </c>
      <c r="G208">
        <v>1538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43348</v>
      </c>
      <c r="B209" s="116">
        <v>427.7</v>
      </c>
      <c r="C209" s="116">
        <v>407.45</v>
      </c>
      <c r="D209" s="116">
        <v>407.45</v>
      </c>
      <c r="E209" s="116">
        <v>407.45</v>
      </c>
      <c r="F209" s="116">
        <v>407.45</v>
      </c>
      <c r="G209">
        <v>1113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43349</v>
      </c>
      <c r="B210" s="116">
        <v>401.9</v>
      </c>
      <c r="C210" s="116">
        <v>393.15</v>
      </c>
      <c r="D210" s="116">
        <v>387.1</v>
      </c>
      <c r="E210" s="116">
        <v>387.1</v>
      </c>
      <c r="F210" s="116">
        <v>393.15</v>
      </c>
      <c r="G210">
        <v>1107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43350</v>
      </c>
      <c r="B211" s="116">
        <v>401</v>
      </c>
      <c r="C211" s="116">
        <v>397.05</v>
      </c>
      <c r="D211" s="116">
        <v>373.5</v>
      </c>
      <c r="E211" s="116">
        <v>401</v>
      </c>
      <c r="F211" s="116">
        <v>397.05</v>
      </c>
      <c r="G211">
        <v>1749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43353</v>
      </c>
      <c r="B212" s="116">
        <v>380</v>
      </c>
      <c r="C212" s="116">
        <v>377.3</v>
      </c>
      <c r="D212" s="116">
        <v>377.2</v>
      </c>
      <c r="E212" s="116">
        <v>380</v>
      </c>
      <c r="F212" s="116">
        <v>377.3</v>
      </c>
      <c r="G212">
        <v>324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43354</v>
      </c>
      <c r="B213" s="116">
        <v>390</v>
      </c>
      <c r="C213" s="116">
        <v>358.5</v>
      </c>
      <c r="D213" s="116">
        <v>358.5</v>
      </c>
      <c r="E213" s="116">
        <v>390</v>
      </c>
      <c r="F213" s="116">
        <v>358.5</v>
      </c>
      <c r="G213">
        <v>2697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43355</v>
      </c>
      <c r="B214" s="116">
        <v>343.3</v>
      </c>
      <c r="C214" s="116">
        <v>340.6</v>
      </c>
      <c r="D214" s="116">
        <v>340.6</v>
      </c>
      <c r="E214" s="116">
        <v>341</v>
      </c>
      <c r="F214" s="116">
        <v>340.6</v>
      </c>
      <c r="G214">
        <v>944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43357</v>
      </c>
      <c r="B215" s="116">
        <v>357.6</v>
      </c>
      <c r="C215" s="116">
        <v>350.7</v>
      </c>
      <c r="D215" s="116">
        <v>323.60000000000002</v>
      </c>
      <c r="E215" s="116">
        <v>324.2</v>
      </c>
      <c r="F215" s="116">
        <v>350.7</v>
      </c>
      <c r="G215">
        <v>4313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43360</v>
      </c>
      <c r="B216" s="116">
        <v>366.4</v>
      </c>
      <c r="C216" s="116">
        <v>359.65</v>
      </c>
      <c r="D216" s="116">
        <v>333.2</v>
      </c>
      <c r="E216" s="116">
        <v>333.55</v>
      </c>
      <c r="F216" s="116">
        <v>359.65</v>
      </c>
      <c r="G216">
        <v>1455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43361</v>
      </c>
      <c r="B217" s="116">
        <v>377.5</v>
      </c>
      <c r="C217" s="116">
        <v>351</v>
      </c>
      <c r="D217" s="116">
        <v>345</v>
      </c>
      <c r="E217" s="116">
        <v>377.5</v>
      </c>
      <c r="F217" s="116">
        <v>351</v>
      </c>
      <c r="G217">
        <v>625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43362</v>
      </c>
      <c r="B218" s="116">
        <v>362.5</v>
      </c>
      <c r="C218" s="116">
        <v>349.6</v>
      </c>
      <c r="D218" s="116">
        <v>333.5</v>
      </c>
      <c r="E218" s="116">
        <v>333.5</v>
      </c>
      <c r="F218" s="116">
        <v>349.6</v>
      </c>
      <c r="G218">
        <v>876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43364</v>
      </c>
      <c r="B219" s="116">
        <v>349.6</v>
      </c>
      <c r="C219" s="116">
        <v>332.5</v>
      </c>
      <c r="D219" s="116">
        <v>332.15</v>
      </c>
      <c r="E219" s="116">
        <v>349.6</v>
      </c>
      <c r="F219" s="116">
        <v>332.5</v>
      </c>
      <c r="G219">
        <v>1442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43367</v>
      </c>
      <c r="B220" s="116">
        <v>346.9</v>
      </c>
      <c r="C220" s="116">
        <v>328</v>
      </c>
      <c r="D220" s="116">
        <v>315.89999999999998</v>
      </c>
      <c r="E220" s="116">
        <v>332</v>
      </c>
      <c r="F220" s="116">
        <v>328</v>
      </c>
      <c r="G220">
        <v>2024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43368</v>
      </c>
      <c r="B221" s="116">
        <v>314</v>
      </c>
      <c r="C221" s="116">
        <v>311.60000000000002</v>
      </c>
      <c r="D221" s="116">
        <v>311.60000000000002</v>
      </c>
      <c r="E221" s="116">
        <v>312.10000000000002</v>
      </c>
      <c r="F221" s="116">
        <v>311.60000000000002</v>
      </c>
      <c r="G221">
        <v>787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43369</v>
      </c>
      <c r="B222" s="116">
        <v>313</v>
      </c>
      <c r="C222" s="116">
        <v>296.05</v>
      </c>
      <c r="D222" s="116">
        <v>296.05</v>
      </c>
      <c r="E222" s="116">
        <v>313</v>
      </c>
      <c r="F222" s="116">
        <v>296.05</v>
      </c>
      <c r="G222">
        <v>1043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43370</v>
      </c>
      <c r="B223" s="116">
        <v>301</v>
      </c>
      <c r="C223" s="116">
        <v>295</v>
      </c>
      <c r="D223" s="116">
        <v>281.5</v>
      </c>
      <c r="E223" s="116">
        <v>281.5</v>
      </c>
      <c r="F223" s="116">
        <v>295</v>
      </c>
      <c r="G223">
        <v>1909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43371</v>
      </c>
      <c r="B224" s="116">
        <v>295</v>
      </c>
      <c r="C224" s="116">
        <v>280.25</v>
      </c>
      <c r="D224" s="116">
        <v>280.25</v>
      </c>
      <c r="E224" s="116">
        <v>295</v>
      </c>
      <c r="F224" s="116">
        <v>280.25</v>
      </c>
      <c r="G224">
        <v>2870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43374</v>
      </c>
      <c r="B225" s="116">
        <v>281</v>
      </c>
      <c r="C225" s="116">
        <v>274.64999999999998</v>
      </c>
      <c r="D225" s="116">
        <v>266.25</v>
      </c>
      <c r="E225" s="116">
        <v>281</v>
      </c>
      <c r="F225" s="116">
        <v>274.64999999999998</v>
      </c>
      <c r="G225">
        <v>2648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43376</v>
      </c>
      <c r="B226" s="116">
        <v>288.35000000000002</v>
      </c>
      <c r="C226" s="116">
        <v>288.3</v>
      </c>
      <c r="D226" s="116">
        <v>270</v>
      </c>
      <c r="E226" s="116">
        <v>275</v>
      </c>
      <c r="F226" s="116">
        <v>288.3</v>
      </c>
      <c r="G226">
        <v>2289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43377</v>
      </c>
      <c r="B227" s="116">
        <v>299</v>
      </c>
      <c r="C227" s="116">
        <v>298.95</v>
      </c>
      <c r="D227" s="116">
        <v>274.25</v>
      </c>
      <c r="E227" s="116">
        <v>285</v>
      </c>
      <c r="F227" s="116">
        <v>298.95</v>
      </c>
      <c r="G227">
        <v>2797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43378</v>
      </c>
      <c r="B228" s="116">
        <v>304.89999999999998</v>
      </c>
      <c r="C228" s="116">
        <v>298.7</v>
      </c>
      <c r="D228" s="116">
        <v>284.05</v>
      </c>
      <c r="E228" s="116">
        <v>304.60000000000002</v>
      </c>
      <c r="F228" s="116">
        <v>298.7</v>
      </c>
      <c r="G228">
        <v>1525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43381</v>
      </c>
      <c r="B229" s="116">
        <v>300.89999999999998</v>
      </c>
      <c r="C229" s="116">
        <v>292.10000000000002</v>
      </c>
      <c r="D229" s="116">
        <v>284</v>
      </c>
      <c r="E229" s="116">
        <v>298.7</v>
      </c>
      <c r="F229" s="116">
        <v>292.10000000000002</v>
      </c>
      <c r="G229">
        <v>237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43382</v>
      </c>
      <c r="B230" s="116">
        <v>286.10000000000002</v>
      </c>
      <c r="C230" s="116">
        <v>277.5</v>
      </c>
      <c r="D230" s="116">
        <v>277.5</v>
      </c>
      <c r="E230" s="116">
        <v>286.10000000000002</v>
      </c>
      <c r="F230" s="116">
        <v>277.5</v>
      </c>
      <c r="G230">
        <v>193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43383</v>
      </c>
      <c r="B231" s="116">
        <v>277</v>
      </c>
      <c r="C231" s="116">
        <v>271.39999999999998</v>
      </c>
      <c r="D231" s="116">
        <v>263.64999999999998</v>
      </c>
      <c r="E231" s="116">
        <v>263.64999999999998</v>
      </c>
      <c r="F231" s="116">
        <v>271.39999999999998</v>
      </c>
      <c r="G231">
        <v>251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43384</v>
      </c>
      <c r="B232" s="116">
        <v>261</v>
      </c>
      <c r="C232" s="116">
        <v>258.3</v>
      </c>
      <c r="D232" s="116">
        <v>258</v>
      </c>
      <c r="E232" s="116">
        <v>261</v>
      </c>
      <c r="F232" s="116">
        <v>258.3</v>
      </c>
      <c r="G232">
        <v>1191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43385</v>
      </c>
      <c r="B233" s="116">
        <v>270.95</v>
      </c>
      <c r="C233" s="116">
        <v>269.7</v>
      </c>
      <c r="D233" s="116">
        <v>253.5</v>
      </c>
      <c r="E233" s="116">
        <v>258.3</v>
      </c>
      <c r="F233" s="116">
        <v>269.7</v>
      </c>
      <c r="G233">
        <v>2124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43388</v>
      </c>
      <c r="B234" s="116">
        <v>283.14999999999998</v>
      </c>
      <c r="C234" s="116">
        <v>282.89999999999998</v>
      </c>
      <c r="D234" s="116">
        <v>260</v>
      </c>
      <c r="E234" s="116">
        <v>260</v>
      </c>
      <c r="F234" s="116">
        <v>282.89999999999998</v>
      </c>
      <c r="G234">
        <v>1207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43389</v>
      </c>
      <c r="B235" s="116">
        <v>290</v>
      </c>
      <c r="C235" s="116">
        <v>273.85000000000002</v>
      </c>
      <c r="D235" s="116">
        <v>271.05</v>
      </c>
      <c r="E235" s="116">
        <v>282.89999999999998</v>
      </c>
      <c r="F235" s="116">
        <v>273.85000000000002</v>
      </c>
      <c r="G235">
        <v>1062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43390</v>
      </c>
      <c r="B236" s="116">
        <v>282.75</v>
      </c>
      <c r="C236" s="116">
        <v>282.75</v>
      </c>
      <c r="D236" s="116">
        <v>261.75</v>
      </c>
      <c r="E236" s="116">
        <v>261.8</v>
      </c>
      <c r="F236" s="116">
        <v>282.75</v>
      </c>
      <c r="G236">
        <v>152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43392</v>
      </c>
      <c r="B237" s="116">
        <v>283.39999999999998</v>
      </c>
      <c r="C237" s="116">
        <v>283.2</v>
      </c>
      <c r="D237" s="116">
        <v>270</v>
      </c>
      <c r="E237" s="116">
        <v>283.39999999999998</v>
      </c>
      <c r="F237" s="116">
        <v>283.2</v>
      </c>
      <c r="G237">
        <v>226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43395</v>
      </c>
      <c r="B238" s="116">
        <v>272</v>
      </c>
      <c r="C238" s="116">
        <v>269.05</v>
      </c>
      <c r="D238" s="116">
        <v>269.05</v>
      </c>
      <c r="E238" s="116">
        <v>269.25</v>
      </c>
      <c r="F238" s="116">
        <v>269.05</v>
      </c>
      <c r="G238">
        <v>545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43396</v>
      </c>
      <c r="B239" s="116">
        <v>269</v>
      </c>
      <c r="C239" s="116">
        <v>255.6</v>
      </c>
      <c r="D239" s="116">
        <v>255.6</v>
      </c>
      <c r="E239" s="116">
        <v>255.6</v>
      </c>
      <c r="F239" s="116">
        <v>255.6</v>
      </c>
      <c r="G239">
        <v>1504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43397</v>
      </c>
      <c r="B240" s="116">
        <v>268</v>
      </c>
      <c r="C240" s="116">
        <v>262.3</v>
      </c>
      <c r="D240" s="116">
        <v>250</v>
      </c>
      <c r="E240" s="116">
        <v>255.6</v>
      </c>
      <c r="F240" s="116">
        <v>262.3</v>
      </c>
      <c r="G240">
        <v>1283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43398</v>
      </c>
      <c r="B241" s="116">
        <v>268</v>
      </c>
      <c r="C241" s="116">
        <v>267</v>
      </c>
      <c r="D241" s="116">
        <v>260</v>
      </c>
      <c r="E241" s="116">
        <v>268</v>
      </c>
      <c r="F241" s="116">
        <v>267</v>
      </c>
      <c r="G241">
        <v>375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43399</v>
      </c>
      <c r="B242" s="116">
        <v>264.95</v>
      </c>
      <c r="C242" s="116">
        <v>259.64999999999998</v>
      </c>
      <c r="D242" s="116">
        <v>253.65</v>
      </c>
      <c r="E242" s="116">
        <v>260</v>
      </c>
      <c r="F242" s="116">
        <v>259.64999999999998</v>
      </c>
      <c r="G242">
        <v>2522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43402</v>
      </c>
      <c r="B243" s="116">
        <v>272.60000000000002</v>
      </c>
      <c r="C243" s="116">
        <v>272.60000000000002</v>
      </c>
      <c r="D243" s="116">
        <v>257</v>
      </c>
      <c r="E243" s="116">
        <v>257</v>
      </c>
      <c r="F243" s="116">
        <v>272.60000000000002</v>
      </c>
      <c r="G243">
        <v>1771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43403</v>
      </c>
      <c r="B244" s="116">
        <v>281</v>
      </c>
      <c r="C244" s="116">
        <v>281</v>
      </c>
      <c r="D244" s="116">
        <v>278</v>
      </c>
      <c r="E244" s="116">
        <v>279</v>
      </c>
      <c r="F244" s="116">
        <v>281</v>
      </c>
      <c r="G244">
        <v>840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43404</v>
      </c>
      <c r="B245" s="116">
        <v>294.89999999999998</v>
      </c>
      <c r="C245" s="116">
        <v>289.3</v>
      </c>
      <c r="D245" s="116">
        <v>286.05</v>
      </c>
      <c r="E245" s="116">
        <v>291.89999999999998</v>
      </c>
      <c r="F245" s="116">
        <v>289.3</v>
      </c>
      <c r="G245">
        <v>2932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43405</v>
      </c>
      <c r="B246" s="116">
        <v>303.7</v>
      </c>
      <c r="C246" s="116">
        <v>303</v>
      </c>
      <c r="D246" s="116">
        <v>284.05</v>
      </c>
      <c r="E246" s="116">
        <v>294.89999999999998</v>
      </c>
      <c r="F246" s="116">
        <v>303</v>
      </c>
      <c r="G246">
        <v>2234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43406</v>
      </c>
      <c r="B247" s="116">
        <v>314.8</v>
      </c>
      <c r="C247" s="116">
        <v>314.8</v>
      </c>
      <c r="D247" s="116">
        <v>295</v>
      </c>
      <c r="E247" s="116">
        <v>310</v>
      </c>
      <c r="F247" s="116">
        <v>314.8</v>
      </c>
      <c r="G247">
        <v>2029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43409</v>
      </c>
      <c r="B248" s="116">
        <v>330.5</v>
      </c>
      <c r="C248" s="116">
        <v>330.5</v>
      </c>
      <c r="D248" s="116">
        <v>315</v>
      </c>
      <c r="E248" s="116">
        <v>315</v>
      </c>
      <c r="F248" s="116">
        <v>330.5</v>
      </c>
      <c r="G248">
        <v>2071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43410</v>
      </c>
      <c r="B249" s="116">
        <v>347</v>
      </c>
      <c r="C249" s="116">
        <v>347</v>
      </c>
      <c r="D249" s="116">
        <v>345.9</v>
      </c>
      <c r="E249" s="116">
        <v>347</v>
      </c>
      <c r="F249" s="116">
        <v>347</v>
      </c>
      <c r="G249">
        <v>1615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43411</v>
      </c>
      <c r="B250" s="116">
        <v>364.3</v>
      </c>
      <c r="C250" s="116">
        <v>364.3</v>
      </c>
      <c r="D250" s="116">
        <v>363</v>
      </c>
      <c r="E250" s="116">
        <v>363</v>
      </c>
      <c r="F250" s="116">
        <v>364.3</v>
      </c>
      <c r="G250">
        <v>1198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43413</v>
      </c>
      <c r="B251" s="116">
        <v>376.05</v>
      </c>
      <c r="C251" s="116">
        <v>376.05</v>
      </c>
      <c r="D251" s="116">
        <v>346.4</v>
      </c>
      <c r="E251" s="116">
        <v>376.05</v>
      </c>
      <c r="F251" s="116">
        <v>376.05</v>
      </c>
      <c r="G251">
        <v>2991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43416</v>
      </c>
      <c r="B252" s="116">
        <v>376.05</v>
      </c>
      <c r="C252" s="116">
        <v>374</v>
      </c>
      <c r="D252" s="116">
        <v>365.5</v>
      </c>
      <c r="E252" s="116">
        <v>376.05</v>
      </c>
      <c r="F252" s="116">
        <v>374</v>
      </c>
      <c r="G252">
        <v>727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43417</v>
      </c>
      <c r="B253" s="116">
        <v>369</v>
      </c>
      <c r="C253" s="116">
        <v>369</v>
      </c>
      <c r="D253" s="116">
        <v>362</v>
      </c>
      <c r="E253" s="116">
        <v>365</v>
      </c>
      <c r="F253" s="116">
        <v>369</v>
      </c>
      <c r="G253">
        <v>309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43418</v>
      </c>
      <c r="B254" s="116">
        <v>386.95</v>
      </c>
      <c r="C254" s="116">
        <v>381</v>
      </c>
      <c r="D254" s="116">
        <v>365</v>
      </c>
      <c r="E254" s="116">
        <v>365</v>
      </c>
      <c r="F254" s="116">
        <v>381</v>
      </c>
      <c r="G254">
        <v>998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43419</v>
      </c>
      <c r="B255" s="116">
        <v>396.85</v>
      </c>
      <c r="C255" s="116">
        <v>387.1</v>
      </c>
      <c r="D255" s="116">
        <v>365.55</v>
      </c>
      <c r="E255" s="116">
        <v>384.9</v>
      </c>
      <c r="F255" s="116">
        <v>387.1</v>
      </c>
      <c r="G255">
        <v>869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43420</v>
      </c>
      <c r="B256" s="116">
        <v>384.45</v>
      </c>
      <c r="C256" s="116">
        <v>381.9</v>
      </c>
      <c r="D256" s="116">
        <v>368.5</v>
      </c>
      <c r="E256" s="116">
        <v>368.5</v>
      </c>
      <c r="F256" s="116">
        <v>381.9</v>
      </c>
      <c r="G256">
        <v>456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43423</v>
      </c>
      <c r="B257" s="116">
        <v>382</v>
      </c>
      <c r="C257" s="116">
        <v>380.95</v>
      </c>
      <c r="D257" s="116">
        <v>375</v>
      </c>
      <c r="E257" s="116">
        <v>382</v>
      </c>
      <c r="F257" s="116">
        <v>380.95</v>
      </c>
      <c r="G257">
        <v>1304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43424</v>
      </c>
      <c r="B258" s="116">
        <v>381.3</v>
      </c>
      <c r="C258" s="116">
        <v>361.95</v>
      </c>
      <c r="D258" s="116">
        <v>361.95</v>
      </c>
      <c r="E258" s="116">
        <v>380.95</v>
      </c>
      <c r="F258" s="116">
        <v>361.95</v>
      </c>
      <c r="G258">
        <v>1114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43425</v>
      </c>
      <c r="B259" s="116">
        <v>378.8</v>
      </c>
      <c r="C259" s="116">
        <v>343.9</v>
      </c>
      <c r="D259" s="116">
        <v>343.9</v>
      </c>
      <c r="E259" s="116">
        <v>360</v>
      </c>
      <c r="F259" s="116">
        <v>343.9</v>
      </c>
      <c r="G259">
        <v>431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43426</v>
      </c>
      <c r="B260" s="116">
        <v>343.5</v>
      </c>
      <c r="C260" s="116">
        <v>339.35</v>
      </c>
      <c r="D260" s="116">
        <v>327.14999999999998</v>
      </c>
      <c r="E260" s="116">
        <v>343.5</v>
      </c>
      <c r="F260" s="116">
        <v>339.35</v>
      </c>
      <c r="G260">
        <v>506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43430</v>
      </c>
      <c r="B261" s="116">
        <v>344</v>
      </c>
      <c r="C261" s="116">
        <v>329.7</v>
      </c>
      <c r="D261" s="116">
        <v>322.39999999999998</v>
      </c>
      <c r="E261" s="116">
        <v>339</v>
      </c>
      <c r="F261" s="116">
        <v>329.7</v>
      </c>
      <c r="G261">
        <v>1479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43431</v>
      </c>
      <c r="B262" s="116">
        <v>346.15</v>
      </c>
      <c r="C262" s="116">
        <v>346.15</v>
      </c>
      <c r="D262" s="116">
        <v>338.95</v>
      </c>
      <c r="E262" s="116">
        <v>340.8</v>
      </c>
      <c r="F262" s="116">
        <v>346.15</v>
      </c>
      <c r="G262">
        <v>1670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43432</v>
      </c>
      <c r="B263" s="116">
        <v>363.45</v>
      </c>
      <c r="C263" s="116">
        <v>355.95</v>
      </c>
      <c r="D263" s="116">
        <v>330.5</v>
      </c>
      <c r="E263" s="116">
        <v>363.45</v>
      </c>
      <c r="F263" s="116">
        <v>355.95</v>
      </c>
      <c r="G263">
        <v>609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43433</v>
      </c>
      <c r="B264" s="116">
        <v>370.7</v>
      </c>
      <c r="C264" s="116">
        <v>338.45</v>
      </c>
      <c r="D264" s="116">
        <v>338.2</v>
      </c>
      <c r="E264" s="116">
        <v>370.7</v>
      </c>
      <c r="F264" s="116">
        <v>338.45</v>
      </c>
      <c r="G264">
        <v>1394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43434</v>
      </c>
      <c r="B265" s="116">
        <v>340</v>
      </c>
      <c r="C265" s="116">
        <v>324.10000000000002</v>
      </c>
      <c r="D265" s="116">
        <v>321.55</v>
      </c>
      <c r="E265" s="116">
        <v>339.95</v>
      </c>
      <c r="F265" s="116">
        <v>324.10000000000002</v>
      </c>
      <c r="G265">
        <v>559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43437</v>
      </c>
      <c r="B266" s="116">
        <v>337.9</v>
      </c>
      <c r="C266" s="116">
        <v>331.1</v>
      </c>
      <c r="D266" s="116">
        <v>308.5</v>
      </c>
      <c r="E266" s="116">
        <v>308.5</v>
      </c>
      <c r="F266" s="116">
        <v>331.1</v>
      </c>
      <c r="G266">
        <v>187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43438</v>
      </c>
      <c r="B267" s="116">
        <v>337.8</v>
      </c>
      <c r="C267" s="116">
        <v>337.75</v>
      </c>
      <c r="D267" s="116">
        <v>318.55</v>
      </c>
      <c r="E267" s="116">
        <v>337.8</v>
      </c>
      <c r="F267" s="116">
        <v>337.75</v>
      </c>
      <c r="G267">
        <v>57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43439</v>
      </c>
      <c r="B268" s="116">
        <v>342</v>
      </c>
      <c r="C268" s="116">
        <v>335</v>
      </c>
      <c r="D268" s="116">
        <v>335</v>
      </c>
      <c r="E268" s="116">
        <v>335</v>
      </c>
      <c r="F268" s="116">
        <v>335</v>
      </c>
      <c r="G268">
        <v>187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43440</v>
      </c>
      <c r="B269" s="116">
        <v>339.85</v>
      </c>
      <c r="C269" s="116">
        <v>321.89999999999998</v>
      </c>
      <c r="D269" s="116">
        <v>321</v>
      </c>
      <c r="E269" s="116">
        <v>321</v>
      </c>
      <c r="F269" s="116">
        <v>321.89999999999998</v>
      </c>
      <c r="G269">
        <v>93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43441</v>
      </c>
      <c r="B270" s="116">
        <v>338</v>
      </c>
      <c r="C270" s="116">
        <v>326</v>
      </c>
      <c r="D270" s="116">
        <v>308</v>
      </c>
      <c r="E270" s="116">
        <v>308</v>
      </c>
      <c r="F270" s="116">
        <v>326</v>
      </c>
      <c r="G270">
        <v>945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43444</v>
      </c>
      <c r="B271" s="116">
        <v>311.05</v>
      </c>
      <c r="C271" s="116">
        <v>311.05</v>
      </c>
      <c r="D271" s="116">
        <v>311</v>
      </c>
      <c r="E271" s="116">
        <v>311</v>
      </c>
      <c r="F271" s="116">
        <v>311.05</v>
      </c>
      <c r="G271">
        <v>11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43445</v>
      </c>
      <c r="B272" s="116">
        <v>339.95</v>
      </c>
      <c r="C272" s="116">
        <v>336</v>
      </c>
      <c r="D272" s="116">
        <v>280</v>
      </c>
      <c r="E272" s="116">
        <v>295</v>
      </c>
      <c r="F272" s="116">
        <v>336</v>
      </c>
      <c r="G272">
        <v>265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43446</v>
      </c>
      <c r="B273" s="116">
        <v>365.75</v>
      </c>
      <c r="C273" s="116">
        <v>360</v>
      </c>
      <c r="D273" s="116">
        <v>310</v>
      </c>
      <c r="E273" s="116">
        <v>365.75</v>
      </c>
      <c r="F273" s="116">
        <v>360</v>
      </c>
      <c r="G273">
        <v>1897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43447</v>
      </c>
      <c r="B274" s="116">
        <v>379.75</v>
      </c>
      <c r="C274" s="116">
        <v>349.9</v>
      </c>
      <c r="D274" s="116">
        <v>335</v>
      </c>
      <c r="E274" s="116">
        <v>360</v>
      </c>
      <c r="F274" s="116">
        <v>349.9</v>
      </c>
      <c r="G274">
        <v>1145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43448</v>
      </c>
      <c r="B275" s="116">
        <v>366</v>
      </c>
      <c r="C275" s="116">
        <v>341.85</v>
      </c>
      <c r="D275" s="116">
        <v>326.5</v>
      </c>
      <c r="E275" s="116">
        <v>366</v>
      </c>
      <c r="F275" s="116">
        <v>341.85</v>
      </c>
      <c r="G275">
        <v>784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43451</v>
      </c>
      <c r="B276" s="116">
        <v>364</v>
      </c>
      <c r="C276" s="116">
        <v>350</v>
      </c>
      <c r="D276" s="116">
        <v>322</v>
      </c>
      <c r="E276" s="116">
        <v>364</v>
      </c>
      <c r="F276" s="116">
        <v>350</v>
      </c>
      <c r="G276">
        <v>1403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43452</v>
      </c>
      <c r="B277" s="116">
        <v>360</v>
      </c>
      <c r="C277" s="116">
        <v>351.5</v>
      </c>
      <c r="D277" s="116">
        <v>332.15</v>
      </c>
      <c r="E277" s="116">
        <v>360</v>
      </c>
      <c r="F277" s="116">
        <v>351.5</v>
      </c>
      <c r="G277">
        <v>128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43453</v>
      </c>
      <c r="B278" s="116">
        <v>359.95</v>
      </c>
      <c r="C278" s="116">
        <v>357.95</v>
      </c>
      <c r="D278" s="116">
        <v>329</v>
      </c>
      <c r="E278" s="116">
        <v>355.5</v>
      </c>
      <c r="F278" s="116">
        <v>357.95</v>
      </c>
      <c r="G278">
        <v>479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43454</v>
      </c>
      <c r="B279" s="116">
        <v>375</v>
      </c>
      <c r="C279" s="116">
        <v>355.85</v>
      </c>
      <c r="D279" s="116">
        <v>341</v>
      </c>
      <c r="E279" s="116">
        <v>359.85</v>
      </c>
      <c r="F279" s="116">
        <v>355.85</v>
      </c>
      <c r="G279">
        <v>2144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43455</v>
      </c>
      <c r="B280" s="116">
        <v>372.8</v>
      </c>
      <c r="C280" s="116">
        <v>349.75</v>
      </c>
      <c r="D280" s="116">
        <v>324.2</v>
      </c>
      <c r="E280" s="116">
        <v>324.2</v>
      </c>
      <c r="F280" s="116">
        <v>349.75</v>
      </c>
      <c r="G280">
        <v>2249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43458</v>
      </c>
      <c r="B281" s="116">
        <v>363.95</v>
      </c>
      <c r="C281" s="116">
        <v>335.1</v>
      </c>
      <c r="D281" s="116">
        <v>321.10000000000002</v>
      </c>
      <c r="E281" s="116">
        <v>363.95</v>
      </c>
      <c r="F281" s="116">
        <v>335.1</v>
      </c>
      <c r="G281">
        <v>733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43460</v>
      </c>
      <c r="B282" s="116">
        <v>354</v>
      </c>
      <c r="C282" s="116">
        <v>340.4</v>
      </c>
      <c r="D282" s="116">
        <v>315</v>
      </c>
      <c r="E282" s="116">
        <v>315</v>
      </c>
      <c r="F282" s="116">
        <v>340.4</v>
      </c>
      <c r="G282">
        <v>1773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43461</v>
      </c>
      <c r="B283" s="116">
        <v>357.95</v>
      </c>
      <c r="C283" s="116">
        <v>348</v>
      </c>
      <c r="D283" s="116">
        <v>320.55</v>
      </c>
      <c r="E283" s="116">
        <v>320.55</v>
      </c>
      <c r="F283" s="116">
        <v>348</v>
      </c>
      <c r="G283">
        <v>2860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43462</v>
      </c>
      <c r="B284" s="116">
        <v>355</v>
      </c>
      <c r="C284" s="116">
        <v>340.6</v>
      </c>
      <c r="D284" s="116">
        <v>326</v>
      </c>
      <c r="E284" s="116">
        <v>326.05</v>
      </c>
      <c r="F284" s="116">
        <v>340.6</v>
      </c>
      <c r="G284">
        <v>1036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43465</v>
      </c>
      <c r="B285" s="116">
        <v>348.9</v>
      </c>
      <c r="C285" s="116">
        <v>337.1</v>
      </c>
      <c r="D285" s="116">
        <v>329.35</v>
      </c>
      <c r="E285" s="116">
        <v>329.35</v>
      </c>
      <c r="F285" s="116">
        <v>337.1</v>
      </c>
      <c r="G285">
        <v>581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43466</v>
      </c>
      <c r="B286" s="116">
        <v>350</v>
      </c>
      <c r="C286" s="116">
        <v>342.85</v>
      </c>
      <c r="D286" s="116">
        <v>331.6</v>
      </c>
      <c r="E286" s="116">
        <v>331.6</v>
      </c>
      <c r="F286" s="116">
        <v>342.85</v>
      </c>
      <c r="G286">
        <v>714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43467</v>
      </c>
      <c r="B287" s="116">
        <v>363.65</v>
      </c>
      <c r="C287" s="116">
        <v>355.85</v>
      </c>
      <c r="D287" s="116">
        <v>340</v>
      </c>
      <c r="E287" s="116">
        <v>340</v>
      </c>
      <c r="F287" s="116">
        <v>355.85</v>
      </c>
      <c r="G287">
        <v>1335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43468</v>
      </c>
      <c r="B288" s="116">
        <v>362.5</v>
      </c>
      <c r="C288" s="116">
        <v>357.9</v>
      </c>
      <c r="D288" s="116">
        <v>335.5</v>
      </c>
      <c r="E288" s="116">
        <v>356</v>
      </c>
      <c r="F288" s="116">
        <v>357.9</v>
      </c>
      <c r="G288">
        <v>965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43469</v>
      </c>
      <c r="B289" s="116">
        <v>375</v>
      </c>
      <c r="C289" s="116">
        <v>354.95</v>
      </c>
      <c r="D289" s="116">
        <v>344</v>
      </c>
      <c r="E289" s="116">
        <v>375</v>
      </c>
      <c r="F289" s="116">
        <v>354.95</v>
      </c>
      <c r="G289">
        <v>1903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43472</v>
      </c>
      <c r="B290" s="116">
        <v>370</v>
      </c>
      <c r="C290" s="116">
        <v>361.05</v>
      </c>
      <c r="D290" s="116">
        <v>344</v>
      </c>
      <c r="E290" s="116">
        <v>366.95</v>
      </c>
      <c r="F290" s="116">
        <v>361.05</v>
      </c>
      <c r="G290">
        <v>1826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43473</v>
      </c>
      <c r="B291" s="116">
        <v>371</v>
      </c>
      <c r="C291" s="116">
        <v>363.8</v>
      </c>
      <c r="D291" s="116">
        <v>352.15</v>
      </c>
      <c r="E291" s="116">
        <v>368.5</v>
      </c>
      <c r="F291" s="116">
        <v>363.8</v>
      </c>
      <c r="G291">
        <v>1111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43474</v>
      </c>
      <c r="B292" s="116">
        <v>372</v>
      </c>
      <c r="C292" s="116">
        <v>369.8</v>
      </c>
      <c r="D292" s="116">
        <v>360</v>
      </c>
      <c r="E292" s="116">
        <v>372</v>
      </c>
      <c r="F292" s="116">
        <v>369.8</v>
      </c>
      <c r="G292">
        <v>254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43475</v>
      </c>
      <c r="B293" s="116">
        <v>369.75</v>
      </c>
      <c r="C293" s="116">
        <v>367.8</v>
      </c>
      <c r="D293" s="116">
        <v>356.3</v>
      </c>
      <c r="E293" s="116">
        <v>360.05</v>
      </c>
      <c r="F293" s="116">
        <v>367.8</v>
      </c>
      <c r="G293">
        <v>981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43476</v>
      </c>
      <c r="B294" s="116">
        <v>368</v>
      </c>
      <c r="C294" s="116">
        <v>352.25</v>
      </c>
      <c r="D294" s="116">
        <v>344</v>
      </c>
      <c r="E294" s="116">
        <v>368</v>
      </c>
      <c r="F294" s="116">
        <v>352.25</v>
      </c>
      <c r="G294">
        <v>1870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43479</v>
      </c>
      <c r="B295" s="116">
        <v>353</v>
      </c>
      <c r="C295" s="116">
        <v>351</v>
      </c>
      <c r="D295" s="116">
        <v>344.5</v>
      </c>
      <c r="E295" s="116">
        <v>353</v>
      </c>
      <c r="F295" s="116">
        <v>351</v>
      </c>
      <c r="G295">
        <v>192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43480</v>
      </c>
      <c r="B296" s="116">
        <v>349.4</v>
      </c>
      <c r="C296" s="116">
        <v>338.7</v>
      </c>
      <c r="D296" s="116">
        <v>330</v>
      </c>
      <c r="E296" s="116">
        <v>347.85</v>
      </c>
      <c r="F296" s="116">
        <v>338.7</v>
      </c>
      <c r="G296">
        <v>1131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43481</v>
      </c>
      <c r="B297" s="116">
        <v>347.9</v>
      </c>
      <c r="C297" s="116">
        <v>331.6</v>
      </c>
      <c r="D297" s="116">
        <v>328.1</v>
      </c>
      <c r="E297" s="116">
        <v>347.9</v>
      </c>
      <c r="F297" s="116">
        <v>331.6</v>
      </c>
      <c r="G297">
        <v>1167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43482</v>
      </c>
      <c r="B298" s="116">
        <v>342</v>
      </c>
      <c r="C298" s="116">
        <v>327.5</v>
      </c>
      <c r="D298" s="116">
        <v>321.25</v>
      </c>
      <c r="E298" s="116">
        <v>330</v>
      </c>
      <c r="F298" s="116">
        <v>327.5</v>
      </c>
      <c r="G298">
        <v>284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43483</v>
      </c>
      <c r="B299" s="116">
        <v>335</v>
      </c>
      <c r="C299" s="116">
        <v>335</v>
      </c>
      <c r="D299" s="116">
        <v>330</v>
      </c>
      <c r="E299" s="116">
        <v>330</v>
      </c>
      <c r="F299" s="116">
        <v>335</v>
      </c>
      <c r="G299">
        <v>319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43486</v>
      </c>
      <c r="B300" s="116">
        <v>368.5</v>
      </c>
      <c r="C300" s="116">
        <v>368.5</v>
      </c>
      <c r="D300" s="116">
        <v>345.1</v>
      </c>
      <c r="E300" s="116">
        <v>359.8</v>
      </c>
      <c r="F300" s="116">
        <v>368.5</v>
      </c>
      <c r="G300">
        <v>2330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43487</v>
      </c>
      <c r="B301" s="116">
        <v>402.8</v>
      </c>
      <c r="C301" s="116">
        <v>377.95</v>
      </c>
      <c r="D301" s="116">
        <v>353</v>
      </c>
      <c r="E301" s="116">
        <v>376.45</v>
      </c>
      <c r="F301" s="116">
        <v>377.95</v>
      </c>
      <c r="G301">
        <v>2133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43488</v>
      </c>
      <c r="B302" s="116">
        <v>402</v>
      </c>
      <c r="C302" s="116">
        <v>400.3</v>
      </c>
      <c r="D302" s="116">
        <v>360.6</v>
      </c>
      <c r="E302" s="116">
        <v>377</v>
      </c>
      <c r="F302" s="116">
        <v>400.3</v>
      </c>
      <c r="G302">
        <v>3054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43489</v>
      </c>
      <c r="B303" s="116">
        <v>413.9</v>
      </c>
      <c r="C303" s="116">
        <v>408.5</v>
      </c>
      <c r="D303" s="116">
        <v>371.5</v>
      </c>
      <c r="E303" s="116">
        <v>400</v>
      </c>
      <c r="F303" s="116">
        <v>408.5</v>
      </c>
      <c r="G303">
        <v>2614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43490</v>
      </c>
      <c r="B304" s="116">
        <v>427.4</v>
      </c>
      <c r="C304" s="116">
        <v>401.9</v>
      </c>
      <c r="D304" s="116">
        <v>385</v>
      </c>
      <c r="E304" s="116">
        <v>410</v>
      </c>
      <c r="F304" s="116">
        <v>401.9</v>
      </c>
      <c r="G304">
        <v>3041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43493</v>
      </c>
      <c r="B305" s="116">
        <v>414.45</v>
      </c>
      <c r="C305" s="116">
        <v>403.45</v>
      </c>
      <c r="D305" s="116">
        <v>386.05</v>
      </c>
      <c r="E305" s="116">
        <v>408</v>
      </c>
      <c r="F305" s="116">
        <v>403.45</v>
      </c>
      <c r="G305">
        <v>2495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43494</v>
      </c>
      <c r="B306" s="116">
        <v>385</v>
      </c>
      <c r="C306" s="116">
        <v>382.95</v>
      </c>
      <c r="D306" s="116">
        <v>364.9</v>
      </c>
      <c r="E306" s="116">
        <v>381.1</v>
      </c>
      <c r="F306" s="116">
        <v>382.95</v>
      </c>
      <c r="G306">
        <v>732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43495</v>
      </c>
      <c r="B307" s="116">
        <v>379.6</v>
      </c>
      <c r="C307" s="116">
        <v>361.25</v>
      </c>
      <c r="D307" s="116">
        <v>359.8</v>
      </c>
      <c r="E307" s="116">
        <v>367.25</v>
      </c>
      <c r="F307" s="116">
        <v>361.25</v>
      </c>
      <c r="G307">
        <v>1549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43496</v>
      </c>
      <c r="B308" s="116">
        <v>368</v>
      </c>
      <c r="C308" s="116">
        <v>359.25</v>
      </c>
      <c r="D308" s="116">
        <v>335</v>
      </c>
      <c r="E308" s="116">
        <v>341.2</v>
      </c>
      <c r="F308" s="116">
        <v>359.25</v>
      </c>
      <c r="G308">
        <v>3015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43497</v>
      </c>
      <c r="B309" s="116">
        <v>369</v>
      </c>
      <c r="C309" s="116">
        <v>367.15</v>
      </c>
      <c r="D309" s="116">
        <v>357</v>
      </c>
      <c r="E309" s="116">
        <v>369</v>
      </c>
      <c r="F309" s="116">
        <v>367.15</v>
      </c>
      <c r="G309">
        <v>571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43500</v>
      </c>
      <c r="B310" s="116">
        <v>388</v>
      </c>
      <c r="C310" s="116">
        <v>372.55</v>
      </c>
      <c r="D310" s="116">
        <v>350.4</v>
      </c>
      <c r="E310" s="116">
        <v>369</v>
      </c>
      <c r="F310" s="116">
        <v>372.55</v>
      </c>
      <c r="G310">
        <v>1347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43501</v>
      </c>
      <c r="B311" s="116">
        <v>375.9</v>
      </c>
      <c r="C311" s="116">
        <v>372.8</v>
      </c>
      <c r="D311" s="116">
        <v>355.25</v>
      </c>
      <c r="E311" s="116">
        <v>370</v>
      </c>
      <c r="F311" s="116">
        <v>372.8</v>
      </c>
      <c r="G311">
        <v>723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43502</v>
      </c>
      <c r="B312" s="116">
        <v>380</v>
      </c>
      <c r="C312" s="116">
        <v>379.5</v>
      </c>
      <c r="D312" s="116">
        <v>356.75</v>
      </c>
      <c r="E312" s="116">
        <v>380</v>
      </c>
      <c r="F312" s="116">
        <v>379.5</v>
      </c>
      <c r="G312">
        <v>1134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43503</v>
      </c>
      <c r="B313" s="116">
        <v>380</v>
      </c>
      <c r="C313" s="116">
        <v>379.85</v>
      </c>
      <c r="D313" s="116">
        <v>359.35</v>
      </c>
      <c r="E313" s="116">
        <v>380</v>
      </c>
      <c r="F313" s="116">
        <v>379.85</v>
      </c>
      <c r="G313">
        <v>341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43504</v>
      </c>
      <c r="B314" s="116">
        <v>378.8</v>
      </c>
      <c r="C314" s="116">
        <v>355.85</v>
      </c>
      <c r="D314" s="116">
        <v>350.55</v>
      </c>
      <c r="E314" s="116">
        <v>360</v>
      </c>
      <c r="F314" s="116">
        <v>355.85</v>
      </c>
      <c r="G314">
        <v>1499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43507</v>
      </c>
      <c r="B315" s="116">
        <v>376.5</v>
      </c>
      <c r="C315" s="116">
        <v>344.35</v>
      </c>
      <c r="D315" s="116">
        <v>338.6</v>
      </c>
      <c r="E315" s="116">
        <v>376.5</v>
      </c>
      <c r="F315" s="116">
        <v>344.35</v>
      </c>
      <c r="G315">
        <v>963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43508</v>
      </c>
      <c r="B316" s="116">
        <v>355</v>
      </c>
      <c r="C316" s="116">
        <v>349.75</v>
      </c>
      <c r="D316" s="116">
        <v>337.5</v>
      </c>
      <c r="E316" s="116">
        <v>346</v>
      </c>
      <c r="F316" s="116">
        <v>349.75</v>
      </c>
      <c r="G316">
        <v>857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43509</v>
      </c>
      <c r="B317" s="116">
        <v>354.9</v>
      </c>
      <c r="C317" s="116">
        <v>330.15</v>
      </c>
      <c r="D317" s="116">
        <v>300</v>
      </c>
      <c r="E317" s="116">
        <v>334</v>
      </c>
      <c r="F317" s="116">
        <v>330.15</v>
      </c>
      <c r="G317">
        <v>4260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43510</v>
      </c>
      <c r="B318" s="116">
        <v>355.5</v>
      </c>
      <c r="C318" s="116">
        <v>326.5</v>
      </c>
      <c r="D318" s="116">
        <v>320</v>
      </c>
      <c r="E318" s="116">
        <v>320</v>
      </c>
      <c r="F318" s="116">
        <v>326.5</v>
      </c>
      <c r="G318">
        <v>1660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43511</v>
      </c>
      <c r="B319" s="116">
        <v>361</v>
      </c>
      <c r="C319" s="116">
        <v>351.75</v>
      </c>
      <c r="D319" s="116">
        <v>330</v>
      </c>
      <c r="E319" s="116">
        <v>330</v>
      </c>
      <c r="F319" s="116">
        <v>351.75</v>
      </c>
      <c r="G319">
        <v>2302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43514</v>
      </c>
      <c r="B320" s="116">
        <v>361</v>
      </c>
      <c r="C320" s="116">
        <v>329.9</v>
      </c>
      <c r="D320" s="116">
        <v>310</v>
      </c>
      <c r="E320" s="116">
        <v>361</v>
      </c>
      <c r="F320" s="116">
        <v>329.9</v>
      </c>
      <c r="G320">
        <v>1122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43515</v>
      </c>
      <c r="B321" s="116">
        <v>368.95</v>
      </c>
      <c r="C321" s="116">
        <v>361.9</v>
      </c>
      <c r="D321" s="116">
        <v>334.95</v>
      </c>
      <c r="E321" s="116">
        <v>334.95</v>
      </c>
      <c r="F321" s="116">
        <v>361.9</v>
      </c>
      <c r="G321">
        <v>1545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43516</v>
      </c>
      <c r="B322" s="116">
        <v>369.4</v>
      </c>
      <c r="C322" s="116">
        <v>365.15</v>
      </c>
      <c r="D322" s="116">
        <v>336</v>
      </c>
      <c r="E322" s="116">
        <v>361.9</v>
      </c>
      <c r="F322" s="116">
        <v>365.15</v>
      </c>
      <c r="G322">
        <v>954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43517</v>
      </c>
      <c r="B323" s="116">
        <v>361.95</v>
      </c>
      <c r="C323" s="116">
        <v>359</v>
      </c>
      <c r="D323" s="116">
        <v>342.9</v>
      </c>
      <c r="E323" s="116">
        <v>342.9</v>
      </c>
      <c r="F323" s="116">
        <v>359</v>
      </c>
      <c r="G323">
        <v>273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43518</v>
      </c>
      <c r="B324" s="116">
        <v>369.75</v>
      </c>
      <c r="C324" s="116">
        <v>364.9</v>
      </c>
      <c r="D324" s="116">
        <v>350</v>
      </c>
      <c r="E324" s="116">
        <v>361.95</v>
      </c>
      <c r="F324" s="116">
        <v>364.9</v>
      </c>
      <c r="G324">
        <v>4890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43521</v>
      </c>
      <c r="B325" s="116">
        <v>389.55</v>
      </c>
      <c r="C325" s="116">
        <v>388.95</v>
      </c>
      <c r="D325" s="116">
        <v>369.65</v>
      </c>
      <c r="E325" s="116">
        <v>369.8</v>
      </c>
      <c r="F325" s="116">
        <v>388.95</v>
      </c>
      <c r="G325">
        <v>1922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43522</v>
      </c>
      <c r="B326" s="116">
        <v>407.45</v>
      </c>
      <c r="C326" s="116">
        <v>403.8</v>
      </c>
      <c r="D326" s="116">
        <v>363</v>
      </c>
      <c r="E326" s="116">
        <v>394.8</v>
      </c>
      <c r="F326" s="116">
        <v>403.8</v>
      </c>
      <c r="G326">
        <v>2442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43523</v>
      </c>
      <c r="B327" s="116">
        <v>420</v>
      </c>
      <c r="C327" s="116">
        <v>411.8</v>
      </c>
      <c r="D327" s="116">
        <v>380.5</v>
      </c>
      <c r="E327" s="116">
        <v>409</v>
      </c>
      <c r="F327" s="116">
        <v>411.8</v>
      </c>
      <c r="G327">
        <v>2357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43524</v>
      </c>
      <c r="B328" s="116">
        <v>411</v>
      </c>
      <c r="C328" s="116">
        <v>398.85</v>
      </c>
      <c r="D328" s="116">
        <v>381</v>
      </c>
      <c r="E328" s="116">
        <v>381</v>
      </c>
      <c r="F328" s="116">
        <v>398.85</v>
      </c>
      <c r="G328">
        <v>2148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43525</v>
      </c>
      <c r="B329" s="116">
        <v>405</v>
      </c>
      <c r="C329" s="116">
        <v>398</v>
      </c>
      <c r="D329" s="116">
        <v>378.45</v>
      </c>
      <c r="E329" s="116">
        <v>405</v>
      </c>
      <c r="F329" s="116">
        <v>398</v>
      </c>
      <c r="G329">
        <v>2352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43529</v>
      </c>
      <c r="B330" s="116">
        <v>404.75</v>
      </c>
      <c r="C330" s="116">
        <v>401.45</v>
      </c>
      <c r="D330" s="116">
        <v>371.6</v>
      </c>
      <c r="E330" s="116">
        <v>371.6</v>
      </c>
      <c r="F330" s="116">
        <v>401.45</v>
      </c>
      <c r="G330">
        <v>527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43530</v>
      </c>
      <c r="B331" s="116">
        <v>405</v>
      </c>
      <c r="C331" s="116">
        <v>400.5</v>
      </c>
      <c r="D331" s="116">
        <v>383.15</v>
      </c>
      <c r="E331" s="116">
        <v>405</v>
      </c>
      <c r="F331" s="116">
        <v>400.5</v>
      </c>
      <c r="G331">
        <v>2049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43531</v>
      </c>
      <c r="B332" s="116">
        <v>411</v>
      </c>
      <c r="C332" s="116">
        <v>401.7</v>
      </c>
      <c r="D332" s="116">
        <v>391.35</v>
      </c>
      <c r="E332" s="116">
        <v>411</v>
      </c>
      <c r="F332" s="116">
        <v>401.7</v>
      </c>
      <c r="G332">
        <v>1162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43532</v>
      </c>
      <c r="B333" s="116">
        <v>401</v>
      </c>
      <c r="C333" s="116">
        <v>392.75</v>
      </c>
      <c r="D333" s="116">
        <v>382.15</v>
      </c>
      <c r="E333" s="116">
        <v>401</v>
      </c>
      <c r="F333" s="116">
        <v>392.75</v>
      </c>
      <c r="G333">
        <v>605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43535</v>
      </c>
      <c r="B334" s="116">
        <v>405</v>
      </c>
      <c r="C334" s="116">
        <v>401</v>
      </c>
      <c r="D334" s="116">
        <v>390.1</v>
      </c>
      <c r="E334" s="116">
        <v>405</v>
      </c>
      <c r="F334" s="116">
        <v>401</v>
      </c>
      <c r="G334">
        <v>607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43536</v>
      </c>
      <c r="B335" s="116">
        <v>415</v>
      </c>
      <c r="C335" s="116">
        <v>407.8</v>
      </c>
      <c r="D335" s="116">
        <v>392.25</v>
      </c>
      <c r="E335" s="116">
        <v>413.95</v>
      </c>
      <c r="F335" s="116">
        <v>407.8</v>
      </c>
      <c r="G335">
        <v>1801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43537</v>
      </c>
      <c r="B336" s="116">
        <v>420</v>
      </c>
      <c r="C336" s="116">
        <v>407.95</v>
      </c>
      <c r="D336" s="116">
        <v>402</v>
      </c>
      <c r="E336" s="116">
        <v>402</v>
      </c>
      <c r="F336" s="116">
        <v>407.95</v>
      </c>
      <c r="G336">
        <v>794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43538</v>
      </c>
      <c r="B337" s="116">
        <v>420</v>
      </c>
      <c r="C337" s="116">
        <v>417.8</v>
      </c>
      <c r="D337" s="116">
        <v>400</v>
      </c>
      <c r="E337" s="116">
        <v>400</v>
      </c>
      <c r="F337" s="116">
        <v>417.8</v>
      </c>
      <c r="G337">
        <v>719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43539</v>
      </c>
      <c r="B338" s="116">
        <v>443.5</v>
      </c>
      <c r="C338" s="116">
        <v>430.55</v>
      </c>
      <c r="D338" s="116">
        <v>420</v>
      </c>
      <c r="E338" s="116">
        <v>443.5</v>
      </c>
      <c r="F338" s="116">
        <v>430.55</v>
      </c>
      <c r="G338">
        <v>1353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43542</v>
      </c>
      <c r="B339" s="116">
        <v>444.8</v>
      </c>
      <c r="C339" s="116">
        <v>426</v>
      </c>
      <c r="D339" s="116">
        <v>384.7</v>
      </c>
      <c r="E339" s="116">
        <v>444.8</v>
      </c>
      <c r="F339" s="116">
        <v>426</v>
      </c>
      <c r="G339">
        <v>2916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43543</v>
      </c>
      <c r="B340" s="116">
        <v>443</v>
      </c>
      <c r="C340" s="116">
        <v>429.45</v>
      </c>
      <c r="D340" s="116">
        <v>406</v>
      </c>
      <c r="E340" s="116">
        <v>429.95</v>
      </c>
      <c r="F340" s="116">
        <v>429.45</v>
      </c>
      <c r="G340">
        <v>934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43544</v>
      </c>
      <c r="B341" s="116">
        <v>455</v>
      </c>
      <c r="C341" s="116">
        <v>441.3</v>
      </c>
      <c r="D341" s="116">
        <v>405</v>
      </c>
      <c r="E341" s="116">
        <v>407</v>
      </c>
      <c r="F341" s="116">
        <v>441.3</v>
      </c>
      <c r="G341">
        <v>4712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43546</v>
      </c>
      <c r="B342" s="116">
        <v>479.3</v>
      </c>
      <c r="C342" s="116">
        <v>452.55</v>
      </c>
      <c r="D342" s="116">
        <v>430.25</v>
      </c>
      <c r="E342" s="116">
        <v>452</v>
      </c>
      <c r="F342" s="116">
        <v>452.55</v>
      </c>
      <c r="G342">
        <v>4970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43549</v>
      </c>
      <c r="B343" s="116">
        <v>454.95</v>
      </c>
      <c r="C343" s="116">
        <v>439.7</v>
      </c>
      <c r="D343" s="116">
        <v>426</v>
      </c>
      <c r="E343" s="116">
        <v>445</v>
      </c>
      <c r="F343" s="116">
        <v>439.7</v>
      </c>
      <c r="G343">
        <v>1125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43550</v>
      </c>
      <c r="B344" s="116">
        <v>452</v>
      </c>
      <c r="C344" s="116">
        <v>433.4</v>
      </c>
      <c r="D344" s="116">
        <v>424.05</v>
      </c>
      <c r="E344" s="116">
        <v>452</v>
      </c>
      <c r="F344" s="116">
        <v>433.4</v>
      </c>
      <c r="G344">
        <v>572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43551</v>
      </c>
      <c r="B345" s="116">
        <v>455.2</v>
      </c>
      <c r="C345" s="116">
        <v>416.25</v>
      </c>
      <c r="D345" s="116">
        <v>403</v>
      </c>
      <c r="E345" s="116">
        <v>455.2</v>
      </c>
      <c r="F345" s="116">
        <v>416.25</v>
      </c>
      <c r="G345">
        <v>1265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43552</v>
      </c>
      <c r="B346" s="116">
        <v>433.85</v>
      </c>
      <c r="C346" s="116">
        <v>433.85</v>
      </c>
      <c r="D346" s="116">
        <v>401.6</v>
      </c>
      <c r="E346" s="116">
        <v>410</v>
      </c>
      <c r="F346" s="116">
        <v>433.85</v>
      </c>
      <c r="G346">
        <v>779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43553</v>
      </c>
      <c r="B347" s="116">
        <v>447.8</v>
      </c>
      <c r="C347" s="116">
        <v>423.1</v>
      </c>
      <c r="D347" s="116">
        <v>412.05</v>
      </c>
      <c r="E347" s="116">
        <v>447.8</v>
      </c>
      <c r="F347" s="116">
        <v>423.1</v>
      </c>
      <c r="G347">
        <v>445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43556</v>
      </c>
      <c r="B348" s="116">
        <v>449.75</v>
      </c>
      <c r="C348" s="116">
        <v>425</v>
      </c>
      <c r="D348" s="116">
        <v>407.75</v>
      </c>
      <c r="E348" s="116">
        <v>429</v>
      </c>
      <c r="F348" s="116">
        <v>425</v>
      </c>
      <c r="G348">
        <v>1550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43557</v>
      </c>
      <c r="B349" s="116">
        <v>439.95</v>
      </c>
      <c r="C349" s="116">
        <v>428</v>
      </c>
      <c r="D349" s="116">
        <v>416.05</v>
      </c>
      <c r="E349" s="116">
        <v>439.95</v>
      </c>
      <c r="F349" s="116">
        <v>428</v>
      </c>
      <c r="G349">
        <v>1736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43558</v>
      </c>
      <c r="B350" s="116">
        <v>441</v>
      </c>
      <c r="C350" s="116">
        <v>420.45</v>
      </c>
      <c r="D350" s="116">
        <v>415</v>
      </c>
      <c r="E350" s="116">
        <v>441</v>
      </c>
      <c r="F350" s="116">
        <v>420.45</v>
      </c>
      <c r="G350">
        <v>1136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43559</v>
      </c>
      <c r="B351" s="116">
        <v>439</v>
      </c>
      <c r="C351" s="116">
        <v>426</v>
      </c>
      <c r="D351" s="116">
        <v>411</v>
      </c>
      <c r="E351" s="116">
        <v>439</v>
      </c>
      <c r="F351" s="116">
        <v>426</v>
      </c>
      <c r="G351">
        <v>1810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43560</v>
      </c>
      <c r="B352" s="116">
        <v>444</v>
      </c>
      <c r="C352" s="116">
        <v>418.8</v>
      </c>
      <c r="D352" s="116">
        <v>401.6</v>
      </c>
      <c r="E352" s="116">
        <v>434.95</v>
      </c>
      <c r="F352" s="116">
        <v>418.8</v>
      </c>
      <c r="G352">
        <v>2422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43563</v>
      </c>
      <c r="B353" s="116">
        <v>437</v>
      </c>
      <c r="C353" s="116">
        <v>414</v>
      </c>
      <c r="D353" s="116">
        <v>400.95</v>
      </c>
      <c r="E353" s="116">
        <v>419</v>
      </c>
      <c r="F353" s="116">
        <v>414</v>
      </c>
      <c r="G353">
        <v>2088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43564</v>
      </c>
      <c r="B354" s="116">
        <v>425</v>
      </c>
      <c r="C354" s="116">
        <v>419</v>
      </c>
      <c r="D354" s="116">
        <v>412.2</v>
      </c>
      <c r="E354" s="116">
        <v>418.75</v>
      </c>
      <c r="F354" s="116">
        <v>419</v>
      </c>
      <c r="G354">
        <v>705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43565</v>
      </c>
      <c r="B355" s="116">
        <v>442.9</v>
      </c>
      <c r="C355" s="116">
        <v>440.55</v>
      </c>
      <c r="D355" s="116">
        <v>406.25</v>
      </c>
      <c r="E355" s="116">
        <v>410</v>
      </c>
      <c r="F355" s="116">
        <v>440.55</v>
      </c>
      <c r="G355">
        <v>2874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43566</v>
      </c>
      <c r="B356" s="116">
        <v>444.5</v>
      </c>
      <c r="C356" s="116">
        <v>439.25</v>
      </c>
      <c r="D356" s="116">
        <v>415</v>
      </c>
      <c r="E356" s="116">
        <v>441.85</v>
      </c>
      <c r="F356" s="116">
        <v>439.25</v>
      </c>
      <c r="G356">
        <v>1638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43567</v>
      </c>
      <c r="B357" s="116">
        <v>450</v>
      </c>
      <c r="C357" s="116">
        <v>446.95</v>
      </c>
      <c r="D357" s="116">
        <v>426.45</v>
      </c>
      <c r="E357" s="116">
        <v>446</v>
      </c>
      <c r="F357" s="116">
        <v>446.95</v>
      </c>
      <c r="G357">
        <v>964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43570</v>
      </c>
      <c r="B358" s="116">
        <v>478.7</v>
      </c>
      <c r="C358" s="116">
        <v>476.2</v>
      </c>
      <c r="D358" s="116">
        <v>446.6</v>
      </c>
      <c r="E358" s="116">
        <v>446.6</v>
      </c>
      <c r="F358" s="116">
        <v>476.2</v>
      </c>
      <c r="G358">
        <v>3099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43571</v>
      </c>
      <c r="B359" s="116">
        <v>487.4</v>
      </c>
      <c r="C359" s="116">
        <v>456.9</v>
      </c>
      <c r="D359" s="116">
        <v>455.1</v>
      </c>
      <c r="E359" s="116">
        <v>476.2</v>
      </c>
      <c r="F359" s="116">
        <v>456.9</v>
      </c>
      <c r="G359">
        <v>653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43573</v>
      </c>
      <c r="B360" s="116">
        <v>484</v>
      </c>
      <c r="C360" s="116">
        <v>473.35</v>
      </c>
      <c r="D360" s="116">
        <v>440.05</v>
      </c>
      <c r="E360" s="116">
        <v>484</v>
      </c>
      <c r="F360" s="116">
        <v>473.35</v>
      </c>
      <c r="G360">
        <v>675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43577</v>
      </c>
      <c r="B361" s="116">
        <v>457</v>
      </c>
      <c r="C361" s="116">
        <v>447.75</v>
      </c>
      <c r="D361" s="116">
        <v>431.15</v>
      </c>
      <c r="E361" s="116">
        <v>450</v>
      </c>
      <c r="F361" s="116">
        <v>447.75</v>
      </c>
      <c r="G361">
        <v>258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43578</v>
      </c>
      <c r="B362" s="116">
        <v>449.95</v>
      </c>
      <c r="C362" s="116">
        <v>435.4</v>
      </c>
      <c r="D362" s="116">
        <v>430</v>
      </c>
      <c r="E362" s="116">
        <v>449.95</v>
      </c>
      <c r="F362" s="116">
        <v>435.4</v>
      </c>
      <c r="G362">
        <v>282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43579</v>
      </c>
      <c r="B363" s="116">
        <v>475</v>
      </c>
      <c r="C363" s="116">
        <v>448.55</v>
      </c>
      <c r="D363" s="116">
        <v>430</v>
      </c>
      <c r="E363" s="116">
        <v>475</v>
      </c>
      <c r="F363" s="116">
        <v>448.55</v>
      </c>
      <c r="G363">
        <v>345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43580</v>
      </c>
      <c r="B364" s="116">
        <v>453.95</v>
      </c>
      <c r="C364" s="116">
        <v>439.65</v>
      </c>
      <c r="D364" s="116">
        <v>435</v>
      </c>
      <c r="E364" s="116">
        <v>440</v>
      </c>
      <c r="F364" s="116">
        <v>439.65</v>
      </c>
      <c r="G364">
        <v>392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43581</v>
      </c>
      <c r="B365" s="116">
        <v>455</v>
      </c>
      <c r="C365" s="116">
        <v>449</v>
      </c>
      <c r="D365" s="116">
        <v>430</v>
      </c>
      <c r="E365" s="116">
        <v>455</v>
      </c>
      <c r="F365" s="116">
        <v>449</v>
      </c>
      <c r="G365">
        <v>462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43585</v>
      </c>
      <c r="B366" s="116">
        <v>449</v>
      </c>
      <c r="C366" s="116">
        <v>431.65</v>
      </c>
      <c r="D366" s="116">
        <v>410</v>
      </c>
      <c r="E366" s="116">
        <v>416.6</v>
      </c>
      <c r="F366" s="116">
        <v>431.65</v>
      </c>
      <c r="G366">
        <v>549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43587</v>
      </c>
      <c r="B367" s="116">
        <v>443.95</v>
      </c>
      <c r="C367" s="116">
        <v>424.85</v>
      </c>
      <c r="D367" s="116">
        <v>411.2</v>
      </c>
      <c r="E367" s="116">
        <v>430</v>
      </c>
      <c r="F367" s="116">
        <v>424.85</v>
      </c>
      <c r="G367">
        <v>955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43588</v>
      </c>
      <c r="B368" s="116">
        <v>435</v>
      </c>
      <c r="C368" s="116">
        <v>421.95</v>
      </c>
      <c r="D368" s="116">
        <v>415.25</v>
      </c>
      <c r="E368" s="116">
        <v>428.8</v>
      </c>
      <c r="F368" s="116">
        <v>421.95</v>
      </c>
      <c r="G368">
        <v>552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43591</v>
      </c>
      <c r="B369" s="116">
        <v>444.95</v>
      </c>
      <c r="C369" s="116">
        <v>439.75</v>
      </c>
      <c r="D369" s="116">
        <v>433.9</v>
      </c>
      <c r="E369" s="116">
        <v>433.9</v>
      </c>
      <c r="F369" s="116">
        <v>439.75</v>
      </c>
      <c r="G369">
        <v>109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43592</v>
      </c>
      <c r="B370" s="116">
        <v>443.4</v>
      </c>
      <c r="C370" s="116">
        <v>437.3</v>
      </c>
      <c r="D370" s="116">
        <v>425</v>
      </c>
      <c r="E370" s="116">
        <v>439.7</v>
      </c>
      <c r="F370" s="116">
        <v>437.3</v>
      </c>
      <c r="G370">
        <v>375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43593</v>
      </c>
      <c r="B371" s="116">
        <v>445</v>
      </c>
      <c r="C371" s="116">
        <v>436.75</v>
      </c>
      <c r="D371" s="116">
        <v>425</v>
      </c>
      <c r="E371" s="116">
        <v>440.05</v>
      </c>
      <c r="F371" s="116">
        <v>436.75</v>
      </c>
      <c r="G371">
        <v>156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43594</v>
      </c>
      <c r="B372" s="116">
        <v>456</v>
      </c>
      <c r="C372" s="116">
        <v>441.2</v>
      </c>
      <c r="D372" s="116">
        <v>429</v>
      </c>
      <c r="E372" s="116">
        <v>444.45</v>
      </c>
      <c r="F372" s="116">
        <v>441.2</v>
      </c>
      <c r="G372">
        <v>2497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43595</v>
      </c>
      <c r="B373" s="116">
        <v>466</v>
      </c>
      <c r="C373" s="116">
        <v>457.1</v>
      </c>
      <c r="D373" s="116">
        <v>406.2</v>
      </c>
      <c r="E373" s="116">
        <v>406.2</v>
      </c>
      <c r="F373" s="116">
        <v>457.1</v>
      </c>
      <c r="G373">
        <v>859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43598</v>
      </c>
      <c r="B374" s="116">
        <v>461</v>
      </c>
      <c r="C374" s="116">
        <v>440.2</v>
      </c>
      <c r="D374" s="116">
        <v>427</v>
      </c>
      <c r="E374" s="116">
        <v>458</v>
      </c>
      <c r="F374" s="116">
        <v>440.2</v>
      </c>
      <c r="G374">
        <v>661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43599</v>
      </c>
      <c r="B375" s="116">
        <v>455</v>
      </c>
      <c r="C375" s="116">
        <v>439.9</v>
      </c>
      <c r="D375" s="116">
        <v>420</v>
      </c>
      <c r="E375" s="116">
        <v>440</v>
      </c>
      <c r="F375" s="116">
        <v>439.9</v>
      </c>
      <c r="G375">
        <v>625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43600</v>
      </c>
      <c r="B376" s="116">
        <v>449.95</v>
      </c>
      <c r="C376" s="116">
        <v>431.4</v>
      </c>
      <c r="D376" s="116">
        <v>422.55</v>
      </c>
      <c r="E376" s="116">
        <v>449.95</v>
      </c>
      <c r="F376" s="116">
        <v>431.4</v>
      </c>
      <c r="G376">
        <v>798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43601</v>
      </c>
      <c r="B377" s="116">
        <v>439.95</v>
      </c>
      <c r="C377" s="116">
        <v>429.35</v>
      </c>
      <c r="D377" s="116">
        <v>420.5</v>
      </c>
      <c r="E377" s="116">
        <v>439.95</v>
      </c>
      <c r="F377" s="116">
        <v>429.35</v>
      </c>
      <c r="G377">
        <v>210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43602</v>
      </c>
      <c r="B378" s="116">
        <v>463.95</v>
      </c>
      <c r="C378" s="116">
        <v>432.85</v>
      </c>
      <c r="D378" s="116">
        <v>402</v>
      </c>
      <c r="E378" s="116">
        <v>463.95</v>
      </c>
      <c r="F378" s="116">
        <v>432.85</v>
      </c>
      <c r="G378">
        <v>2466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43605</v>
      </c>
      <c r="B379" s="116">
        <v>465</v>
      </c>
      <c r="C379" s="116">
        <v>439</v>
      </c>
      <c r="D379" s="116">
        <v>415</v>
      </c>
      <c r="E379" s="116">
        <v>420</v>
      </c>
      <c r="F379" s="116">
        <v>439</v>
      </c>
      <c r="G379">
        <v>2756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43606</v>
      </c>
      <c r="B380" s="116">
        <v>444.85</v>
      </c>
      <c r="C380" s="116">
        <v>436.95</v>
      </c>
      <c r="D380" s="116">
        <v>435</v>
      </c>
      <c r="E380" s="116">
        <v>440</v>
      </c>
      <c r="F380" s="116">
        <v>436.95</v>
      </c>
      <c r="G380">
        <v>711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43607</v>
      </c>
      <c r="B381" s="116">
        <v>443.95</v>
      </c>
      <c r="C381" s="116">
        <v>436.55</v>
      </c>
      <c r="D381" s="116">
        <v>417</v>
      </c>
      <c r="E381" s="116">
        <v>435.25</v>
      </c>
      <c r="F381" s="116">
        <v>436.55</v>
      </c>
      <c r="G381">
        <v>1985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43608</v>
      </c>
      <c r="B382" s="116">
        <v>469.3</v>
      </c>
      <c r="C382" s="116">
        <v>429</v>
      </c>
      <c r="D382" s="116">
        <v>420</v>
      </c>
      <c r="E382" s="116">
        <v>469.3</v>
      </c>
      <c r="F382" s="116">
        <v>429</v>
      </c>
      <c r="G382">
        <v>585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43609</v>
      </c>
      <c r="B383" s="116">
        <v>469.3</v>
      </c>
      <c r="C383" s="116">
        <v>433</v>
      </c>
      <c r="D383" s="116">
        <v>424.9</v>
      </c>
      <c r="E383" s="116">
        <v>469.3</v>
      </c>
      <c r="F383" s="116">
        <v>433</v>
      </c>
      <c r="G383">
        <v>591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43612</v>
      </c>
      <c r="B384" s="116">
        <v>453.95</v>
      </c>
      <c r="C384" s="116">
        <v>440.3</v>
      </c>
      <c r="D384" s="116">
        <v>427.5</v>
      </c>
      <c r="E384" s="116">
        <v>453.95</v>
      </c>
      <c r="F384" s="116">
        <v>440.3</v>
      </c>
      <c r="G384">
        <v>2721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43613</v>
      </c>
      <c r="B385" s="116">
        <v>500</v>
      </c>
      <c r="C385" s="116">
        <v>442.35</v>
      </c>
      <c r="D385" s="116">
        <v>440</v>
      </c>
      <c r="E385" s="116">
        <v>500</v>
      </c>
      <c r="F385" s="116">
        <v>442.35</v>
      </c>
      <c r="G385">
        <v>1073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43614</v>
      </c>
      <c r="B386" s="116">
        <v>445</v>
      </c>
      <c r="C386" s="116">
        <v>445</v>
      </c>
      <c r="D386" s="116">
        <v>440.05</v>
      </c>
      <c r="E386" s="116">
        <v>445</v>
      </c>
      <c r="F386" s="116">
        <v>445</v>
      </c>
      <c r="G386">
        <v>263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43615</v>
      </c>
      <c r="B387" s="116">
        <v>457</v>
      </c>
      <c r="C387" s="116">
        <v>442.6</v>
      </c>
      <c r="D387" s="116">
        <v>418</v>
      </c>
      <c r="E387" s="116">
        <v>446</v>
      </c>
      <c r="F387" s="116">
        <v>442.6</v>
      </c>
      <c r="G387">
        <v>1768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43616</v>
      </c>
      <c r="B388" s="116">
        <v>498.9</v>
      </c>
      <c r="C388" s="116">
        <v>445.95</v>
      </c>
      <c r="D388" s="116">
        <v>380.05</v>
      </c>
      <c r="E388" s="116">
        <v>498.9</v>
      </c>
      <c r="F388" s="116">
        <v>445.95</v>
      </c>
      <c r="G388">
        <v>2364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43619</v>
      </c>
      <c r="B389" s="116">
        <v>455.75</v>
      </c>
      <c r="C389" s="116">
        <v>443.55</v>
      </c>
      <c r="D389" s="116">
        <v>425</v>
      </c>
      <c r="E389" s="116">
        <v>440</v>
      </c>
      <c r="F389" s="116">
        <v>443.55</v>
      </c>
      <c r="G389">
        <v>2383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43620</v>
      </c>
      <c r="B390" s="116">
        <v>460</v>
      </c>
      <c r="C390" s="116">
        <v>435.8</v>
      </c>
      <c r="D390" s="116">
        <v>418.1</v>
      </c>
      <c r="E390" s="116">
        <v>460</v>
      </c>
      <c r="F390" s="116">
        <v>435.8</v>
      </c>
      <c r="G390">
        <v>2557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43622</v>
      </c>
      <c r="B391" s="116">
        <v>450</v>
      </c>
      <c r="C391" s="116">
        <v>446</v>
      </c>
      <c r="D391" s="116">
        <v>431.65</v>
      </c>
      <c r="E391" s="116">
        <v>446.8</v>
      </c>
      <c r="F391" s="116">
        <v>446</v>
      </c>
      <c r="G391">
        <v>768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43623</v>
      </c>
      <c r="B392" s="116">
        <v>447.8</v>
      </c>
      <c r="C392" s="116">
        <v>440.1</v>
      </c>
      <c r="D392" s="116">
        <v>431.05</v>
      </c>
      <c r="E392" s="116">
        <v>447.8</v>
      </c>
      <c r="F392" s="116">
        <v>440.1</v>
      </c>
      <c r="G392">
        <v>919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43626</v>
      </c>
      <c r="B393" s="116">
        <v>450</v>
      </c>
      <c r="C393" s="116">
        <v>437.5</v>
      </c>
      <c r="D393" s="116">
        <v>428</v>
      </c>
      <c r="E393" s="116">
        <v>450</v>
      </c>
      <c r="F393" s="116">
        <v>437.5</v>
      </c>
      <c r="G393">
        <v>263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43627</v>
      </c>
      <c r="B394" s="116">
        <v>440</v>
      </c>
      <c r="C394" s="116">
        <v>421.25</v>
      </c>
      <c r="D394" s="116">
        <v>410.45</v>
      </c>
      <c r="E394" s="116">
        <v>439.95</v>
      </c>
      <c r="F394" s="116">
        <v>421.25</v>
      </c>
      <c r="G394">
        <v>179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43628</v>
      </c>
      <c r="B395" s="116">
        <v>441.9</v>
      </c>
      <c r="C395" s="116">
        <v>440.5</v>
      </c>
      <c r="D395" s="116">
        <v>440</v>
      </c>
      <c r="E395" s="116">
        <v>440</v>
      </c>
      <c r="F395" s="116">
        <v>440.5</v>
      </c>
      <c r="G395">
        <v>1031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43629</v>
      </c>
      <c r="B396" s="116">
        <v>490</v>
      </c>
      <c r="C396" s="116">
        <v>440.2</v>
      </c>
      <c r="D396" s="116">
        <v>430</v>
      </c>
      <c r="E396" s="116">
        <v>490</v>
      </c>
      <c r="F396" s="116">
        <v>440.2</v>
      </c>
      <c r="G396">
        <v>816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43630</v>
      </c>
      <c r="B397" s="116">
        <v>446.9</v>
      </c>
      <c r="C397" s="116">
        <v>441.5</v>
      </c>
      <c r="D397" s="116">
        <v>419.95</v>
      </c>
      <c r="E397" s="116">
        <v>419.95</v>
      </c>
      <c r="F397" s="116">
        <v>441.5</v>
      </c>
      <c r="G397">
        <v>3572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43633</v>
      </c>
      <c r="B398" s="116">
        <v>440.2</v>
      </c>
      <c r="C398" s="116">
        <v>437.05</v>
      </c>
      <c r="D398" s="116">
        <v>430</v>
      </c>
      <c r="E398" s="116">
        <v>440.2</v>
      </c>
      <c r="F398" s="116">
        <v>437.05</v>
      </c>
      <c r="G398">
        <v>441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43634</v>
      </c>
      <c r="B399" s="116">
        <v>443.95</v>
      </c>
      <c r="C399" s="116">
        <v>439.9</v>
      </c>
      <c r="D399" s="116">
        <v>436</v>
      </c>
      <c r="E399" s="116">
        <v>439.95</v>
      </c>
      <c r="F399" s="116">
        <v>439.9</v>
      </c>
      <c r="G399">
        <v>406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43635</v>
      </c>
      <c r="B400" s="116">
        <v>439.9</v>
      </c>
      <c r="C400" s="116">
        <v>428.35</v>
      </c>
      <c r="D400" s="116">
        <v>410</v>
      </c>
      <c r="E400" s="116">
        <v>410</v>
      </c>
      <c r="F400" s="116">
        <v>428.35</v>
      </c>
      <c r="G400">
        <v>2900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43636</v>
      </c>
      <c r="B401" s="116">
        <v>428</v>
      </c>
      <c r="C401" s="116">
        <v>428</v>
      </c>
      <c r="D401" s="116">
        <v>412</v>
      </c>
      <c r="E401" s="116">
        <v>428</v>
      </c>
      <c r="F401" s="116">
        <v>428</v>
      </c>
      <c r="G401">
        <v>209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43637</v>
      </c>
      <c r="B402" s="116">
        <v>430</v>
      </c>
      <c r="C402" s="116">
        <v>417.95</v>
      </c>
      <c r="D402" s="116">
        <v>410</v>
      </c>
      <c r="E402" s="116">
        <v>428</v>
      </c>
      <c r="F402" s="116">
        <v>417.95</v>
      </c>
      <c r="G402">
        <v>896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43640</v>
      </c>
      <c r="B403" s="116">
        <v>424.95</v>
      </c>
      <c r="C403" s="116">
        <v>415.05</v>
      </c>
      <c r="D403" s="116">
        <v>410</v>
      </c>
      <c r="E403" s="116">
        <v>419.95</v>
      </c>
      <c r="F403" s="116">
        <v>415.05</v>
      </c>
      <c r="G403">
        <v>1331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43641</v>
      </c>
      <c r="B404" s="116">
        <v>440</v>
      </c>
      <c r="C404" s="116">
        <v>413.1</v>
      </c>
      <c r="D404" s="116">
        <v>401</v>
      </c>
      <c r="E404" s="116">
        <v>440</v>
      </c>
      <c r="F404" s="116">
        <v>413.1</v>
      </c>
      <c r="G404">
        <v>480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43642</v>
      </c>
      <c r="B405" s="116">
        <v>430</v>
      </c>
      <c r="C405" s="116">
        <v>424.65</v>
      </c>
      <c r="D405" s="116">
        <v>395.05</v>
      </c>
      <c r="E405" s="116">
        <v>429.8</v>
      </c>
      <c r="F405" s="116">
        <v>424.65</v>
      </c>
      <c r="G405">
        <v>453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43643</v>
      </c>
      <c r="B406" s="116">
        <v>423.9</v>
      </c>
      <c r="C406" s="116">
        <v>421.85</v>
      </c>
      <c r="D406" s="116">
        <v>412</v>
      </c>
      <c r="E406" s="116">
        <v>412</v>
      </c>
      <c r="F406" s="116">
        <v>421.85</v>
      </c>
      <c r="G406">
        <v>20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43644</v>
      </c>
      <c r="B407" s="116">
        <v>419.1</v>
      </c>
      <c r="C407" s="116">
        <v>404.3</v>
      </c>
      <c r="D407" s="116">
        <v>400</v>
      </c>
      <c r="E407" s="116">
        <v>419.1</v>
      </c>
      <c r="F407" s="116">
        <v>404.3</v>
      </c>
      <c r="G407">
        <v>1710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43647</v>
      </c>
      <c r="B408" s="116">
        <v>419</v>
      </c>
      <c r="C408" s="116">
        <v>406</v>
      </c>
      <c r="D408" s="116">
        <v>404.2</v>
      </c>
      <c r="E408" s="116">
        <v>410</v>
      </c>
      <c r="F408" s="116">
        <v>406</v>
      </c>
      <c r="G408">
        <v>2085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43648</v>
      </c>
      <c r="B409" s="116">
        <v>419.45</v>
      </c>
      <c r="C409" s="116">
        <v>405.8</v>
      </c>
      <c r="D409" s="116">
        <v>400</v>
      </c>
      <c r="E409" s="116">
        <v>401</v>
      </c>
      <c r="F409" s="116">
        <v>405.8</v>
      </c>
      <c r="G409">
        <v>939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43649</v>
      </c>
      <c r="B410" s="116">
        <v>409</v>
      </c>
      <c r="C410" s="116">
        <v>405.95</v>
      </c>
      <c r="D410" s="116">
        <v>405</v>
      </c>
      <c r="E410" s="116">
        <v>405</v>
      </c>
      <c r="F410" s="116">
        <v>405.95</v>
      </c>
      <c r="G410">
        <v>85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43650</v>
      </c>
      <c r="B411" s="116">
        <v>419.75</v>
      </c>
      <c r="C411" s="116">
        <v>408.65</v>
      </c>
      <c r="D411" s="116">
        <v>395</v>
      </c>
      <c r="E411" s="116">
        <v>402.5</v>
      </c>
      <c r="F411" s="116">
        <v>408.65</v>
      </c>
      <c r="G411">
        <v>1429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43651</v>
      </c>
      <c r="B412" s="116">
        <v>419.9</v>
      </c>
      <c r="C412" s="116">
        <v>414</v>
      </c>
      <c r="D412" s="116">
        <v>391.65</v>
      </c>
      <c r="E412" s="116">
        <v>419.9</v>
      </c>
      <c r="F412" s="116">
        <v>414</v>
      </c>
      <c r="G412">
        <v>613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43654</v>
      </c>
      <c r="B413" s="116">
        <v>411.05</v>
      </c>
      <c r="C413" s="116">
        <v>393.55</v>
      </c>
      <c r="D413" s="116">
        <v>391.65</v>
      </c>
      <c r="E413" s="116">
        <v>411.05</v>
      </c>
      <c r="F413" s="116">
        <v>393.55</v>
      </c>
      <c r="G413">
        <v>492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43655</v>
      </c>
      <c r="B414" s="116">
        <v>404.45</v>
      </c>
      <c r="C414" s="116">
        <v>391.45</v>
      </c>
      <c r="D414" s="116">
        <v>381.7</v>
      </c>
      <c r="E414" s="116">
        <v>381.7</v>
      </c>
      <c r="F414" s="116">
        <v>391.45</v>
      </c>
      <c r="G414">
        <v>792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43656</v>
      </c>
      <c r="B415" s="116">
        <v>398</v>
      </c>
      <c r="C415" s="116">
        <v>393.3</v>
      </c>
      <c r="D415" s="116">
        <v>381</v>
      </c>
      <c r="E415" s="116">
        <v>390</v>
      </c>
      <c r="F415" s="116">
        <v>393.3</v>
      </c>
      <c r="G415">
        <v>79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43657</v>
      </c>
      <c r="B416" s="116">
        <v>394.95</v>
      </c>
      <c r="C416" s="116">
        <v>371.1</v>
      </c>
      <c r="D416" s="116">
        <v>355</v>
      </c>
      <c r="E416" s="116">
        <v>394.95</v>
      </c>
      <c r="F416" s="116">
        <v>371.1</v>
      </c>
      <c r="G416">
        <v>703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43658</v>
      </c>
      <c r="B417" s="116">
        <v>399.95</v>
      </c>
      <c r="C417" s="116">
        <v>387.5</v>
      </c>
      <c r="D417" s="116">
        <v>360</v>
      </c>
      <c r="E417" s="116">
        <v>399.95</v>
      </c>
      <c r="F417" s="116">
        <v>387.5</v>
      </c>
      <c r="G417">
        <v>365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43661</v>
      </c>
      <c r="B418" s="116">
        <v>443.95</v>
      </c>
      <c r="C418" s="116">
        <v>390</v>
      </c>
      <c r="D418" s="116">
        <v>390</v>
      </c>
      <c r="E418" s="116">
        <v>443.95</v>
      </c>
      <c r="F418" s="116">
        <v>390</v>
      </c>
      <c r="G418">
        <v>66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43662</v>
      </c>
      <c r="B419" s="116">
        <v>390.05</v>
      </c>
      <c r="C419" s="116">
        <v>388.95</v>
      </c>
      <c r="D419" s="116">
        <v>375</v>
      </c>
      <c r="E419" s="116">
        <v>390.05</v>
      </c>
      <c r="F419" s="116">
        <v>388.95</v>
      </c>
      <c r="G419">
        <v>921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43663</v>
      </c>
      <c r="B420" s="116">
        <v>400</v>
      </c>
      <c r="C420" s="116">
        <v>399.5</v>
      </c>
      <c r="D420" s="116">
        <v>376.05</v>
      </c>
      <c r="E420" s="116">
        <v>388</v>
      </c>
      <c r="F420" s="116">
        <v>399.5</v>
      </c>
      <c r="G420">
        <v>917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43664</v>
      </c>
      <c r="B421" s="116">
        <v>389.95</v>
      </c>
      <c r="C421" s="116">
        <v>389.85</v>
      </c>
      <c r="D421" s="116">
        <v>386</v>
      </c>
      <c r="E421" s="116">
        <v>389.95</v>
      </c>
      <c r="F421" s="116">
        <v>389.85</v>
      </c>
      <c r="G421">
        <v>67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43665</v>
      </c>
      <c r="B422" s="116">
        <v>405</v>
      </c>
      <c r="C422" s="116">
        <v>381.15</v>
      </c>
      <c r="D422" s="116">
        <v>360</v>
      </c>
      <c r="E422" s="116">
        <v>371.05</v>
      </c>
      <c r="F422" s="116">
        <v>381.15</v>
      </c>
      <c r="G422">
        <v>687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43668</v>
      </c>
      <c r="B423" s="116">
        <v>380.1</v>
      </c>
      <c r="C423" s="116">
        <v>372.15</v>
      </c>
      <c r="D423" s="116">
        <v>364.8</v>
      </c>
      <c r="E423" s="116">
        <v>380.1</v>
      </c>
      <c r="F423" s="116">
        <v>372.15</v>
      </c>
      <c r="G423">
        <v>359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43669</v>
      </c>
      <c r="B424" s="116">
        <v>379.95</v>
      </c>
      <c r="C424" s="116">
        <v>376.85</v>
      </c>
      <c r="D424" s="116">
        <v>374.5</v>
      </c>
      <c r="E424" s="116">
        <v>379.95</v>
      </c>
      <c r="F424" s="116">
        <v>376.85</v>
      </c>
      <c r="G424">
        <v>140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43670</v>
      </c>
      <c r="B425" s="116">
        <v>374.95</v>
      </c>
      <c r="C425" s="116">
        <v>374.2</v>
      </c>
      <c r="D425" s="116">
        <v>374.2</v>
      </c>
      <c r="E425" s="116">
        <v>374.95</v>
      </c>
      <c r="F425" s="116">
        <v>374.2</v>
      </c>
      <c r="G425">
        <v>17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43671</v>
      </c>
      <c r="B426" s="116">
        <v>379.75</v>
      </c>
      <c r="C426" s="116">
        <v>362.85</v>
      </c>
      <c r="D426" s="116">
        <v>359.4</v>
      </c>
      <c r="E426" s="116">
        <v>369.95</v>
      </c>
      <c r="F426" s="116">
        <v>362.85</v>
      </c>
      <c r="G426">
        <v>116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43672</v>
      </c>
      <c r="B427" s="116">
        <v>399.95</v>
      </c>
      <c r="C427" s="116">
        <v>360</v>
      </c>
      <c r="D427" s="116">
        <v>325</v>
      </c>
      <c r="E427" s="116">
        <v>325</v>
      </c>
      <c r="F427" s="116">
        <v>360</v>
      </c>
      <c r="G427">
        <v>83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43675</v>
      </c>
      <c r="B428" s="116">
        <v>353</v>
      </c>
      <c r="C428" s="116">
        <v>336.8</v>
      </c>
      <c r="D428" s="116">
        <v>332</v>
      </c>
      <c r="E428" s="116">
        <v>353</v>
      </c>
      <c r="F428" s="116">
        <v>336.8</v>
      </c>
      <c r="G428">
        <v>623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43676</v>
      </c>
      <c r="B429" s="116">
        <v>350</v>
      </c>
      <c r="C429" s="116">
        <v>322.85000000000002</v>
      </c>
      <c r="D429" s="116">
        <v>320</v>
      </c>
      <c r="E429" s="116">
        <v>331</v>
      </c>
      <c r="F429" s="116">
        <v>322.85000000000002</v>
      </c>
      <c r="G429">
        <v>1941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43677</v>
      </c>
      <c r="B430" s="116">
        <v>325.5</v>
      </c>
      <c r="C430" s="116">
        <v>304.3</v>
      </c>
      <c r="D430" s="116">
        <v>281.3</v>
      </c>
      <c r="E430" s="116">
        <v>325.5</v>
      </c>
      <c r="F430" s="116">
        <v>304.3</v>
      </c>
      <c r="G430">
        <v>924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43678</v>
      </c>
      <c r="B431" s="116">
        <v>300</v>
      </c>
      <c r="C431" s="116">
        <v>269.89999999999998</v>
      </c>
      <c r="D431" s="116">
        <v>263</v>
      </c>
      <c r="E431" s="116">
        <v>300</v>
      </c>
      <c r="F431" s="116">
        <v>269.89999999999998</v>
      </c>
      <c r="G431">
        <v>10381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43679</v>
      </c>
      <c r="B432" s="116">
        <v>281.7</v>
      </c>
      <c r="C432" s="116">
        <v>260.85000000000002</v>
      </c>
      <c r="D432" s="116">
        <v>253.1</v>
      </c>
      <c r="E432" s="116">
        <v>253.1</v>
      </c>
      <c r="F432" s="116">
        <v>260.85000000000002</v>
      </c>
      <c r="G432">
        <v>12020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43682</v>
      </c>
      <c r="B433" s="116">
        <v>276.95</v>
      </c>
      <c r="C433" s="116">
        <v>260.3</v>
      </c>
      <c r="D433" s="116">
        <v>257.2</v>
      </c>
      <c r="E433" s="116">
        <v>261</v>
      </c>
      <c r="F433" s="116">
        <v>260.3</v>
      </c>
      <c r="G433">
        <v>2691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43683</v>
      </c>
      <c r="B434" s="116">
        <v>272.95</v>
      </c>
      <c r="C434" s="116">
        <v>256.8</v>
      </c>
      <c r="D434" s="116">
        <v>255</v>
      </c>
      <c r="E434" s="116">
        <v>272.95</v>
      </c>
      <c r="F434" s="116">
        <v>256.8</v>
      </c>
      <c r="G434">
        <v>3615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43684</v>
      </c>
      <c r="B435" s="116">
        <v>265</v>
      </c>
      <c r="C435" s="116">
        <v>257.5</v>
      </c>
      <c r="D435" s="116">
        <v>255</v>
      </c>
      <c r="E435" s="116">
        <v>260</v>
      </c>
      <c r="F435" s="116">
        <v>257.5</v>
      </c>
      <c r="G435">
        <v>4032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43685</v>
      </c>
      <c r="B436" s="116">
        <v>273.45</v>
      </c>
      <c r="C436" s="116">
        <v>242.3</v>
      </c>
      <c r="D436" s="116">
        <v>236</v>
      </c>
      <c r="E436" s="116">
        <v>273.45</v>
      </c>
      <c r="F436" s="116">
        <v>242.3</v>
      </c>
      <c r="G436">
        <v>3529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43686</v>
      </c>
      <c r="B437" s="116">
        <v>254.5</v>
      </c>
      <c r="C437" s="116">
        <v>240.9</v>
      </c>
      <c r="D437" s="116">
        <v>235</v>
      </c>
      <c r="E437" s="116">
        <v>237</v>
      </c>
      <c r="F437" s="116">
        <v>240.9</v>
      </c>
      <c r="G437">
        <v>2824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43690</v>
      </c>
      <c r="B438" s="116">
        <v>250</v>
      </c>
      <c r="C438" s="116">
        <v>240.3</v>
      </c>
      <c r="D438" s="116">
        <v>235</v>
      </c>
      <c r="E438" s="116">
        <v>235</v>
      </c>
      <c r="F438" s="116">
        <v>240.3</v>
      </c>
      <c r="G438">
        <v>6846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43691</v>
      </c>
      <c r="B439" s="116">
        <v>248.95</v>
      </c>
      <c r="C439" s="116">
        <v>233.8</v>
      </c>
      <c r="D439" s="116">
        <v>230</v>
      </c>
      <c r="E439" s="116">
        <v>248.95</v>
      </c>
      <c r="F439" s="116">
        <v>233.8</v>
      </c>
      <c r="G439">
        <v>2851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43693</v>
      </c>
      <c r="B440" s="116">
        <v>254.95</v>
      </c>
      <c r="C440" s="116">
        <v>229.35</v>
      </c>
      <c r="D440" s="116">
        <v>229.35</v>
      </c>
      <c r="E440" s="116">
        <v>254.95</v>
      </c>
      <c r="F440" s="116">
        <v>229.35</v>
      </c>
      <c r="G440">
        <v>1430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43696</v>
      </c>
      <c r="B441" s="116">
        <v>244.9</v>
      </c>
      <c r="C441" s="116">
        <v>225.4</v>
      </c>
      <c r="D441" s="116">
        <v>225</v>
      </c>
      <c r="E441" s="116">
        <v>244.9</v>
      </c>
      <c r="F441" s="116">
        <v>225.4</v>
      </c>
      <c r="G441">
        <v>4952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43697</v>
      </c>
      <c r="B442" s="116">
        <v>225</v>
      </c>
      <c r="C442" s="116">
        <v>202.9</v>
      </c>
      <c r="D442" s="116">
        <v>202.9</v>
      </c>
      <c r="E442" s="116">
        <v>225</v>
      </c>
      <c r="F442" s="116">
        <v>202.9</v>
      </c>
      <c r="G442">
        <v>12907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43698</v>
      </c>
      <c r="B443" s="116">
        <v>223.15</v>
      </c>
      <c r="C443" s="116">
        <v>223.15</v>
      </c>
      <c r="D443" s="116">
        <v>183</v>
      </c>
      <c r="E443" s="116">
        <v>185.1</v>
      </c>
      <c r="F443" s="116">
        <v>223.15</v>
      </c>
      <c r="G443">
        <v>5494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43699</v>
      </c>
      <c r="B444" s="116">
        <v>244</v>
      </c>
      <c r="C444" s="116">
        <v>229.85</v>
      </c>
      <c r="D444" s="116">
        <v>221</v>
      </c>
      <c r="E444" s="116">
        <v>244</v>
      </c>
      <c r="F444" s="116">
        <v>229.85</v>
      </c>
      <c r="G444">
        <v>4556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43700</v>
      </c>
      <c r="B445" s="116">
        <v>251.95</v>
      </c>
      <c r="C445" s="116">
        <v>224.85</v>
      </c>
      <c r="D445" s="116">
        <v>217</v>
      </c>
      <c r="E445" s="116">
        <v>251.95</v>
      </c>
      <c r="F445" s="116">
        <v>224.85</v>
      </c>
      <c r="G445">
        <v>4649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43703</v>
      </c>
      <c r="B446" s="116">
        <v>230.4</v>
      </c>
      <c r="C446" s="116">
        <v>219</v>
      </c>
      <c r="D446" s="116">
        <v>217</v>
      </c>
      <c r="E446" s="116">
        <v>225</v>
      </c>
      <c r="F446" s="116">
        <v>219</v>
      </c>
      <c r="G446">
        <v>4336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43704</v>
      </c>
      <c r="B447" s="116">
        <v>229.85</v>
      </c>
      <c r="C447" s="116">
        <v>215.8</v>
      </c>
      <c r="D447" s="116">
        <v>215</v>
      </c>
      <c r="E447" s="116">
        <v>229.85</v>
      </c>
      <c r="F447" s="116">
        <v>215.8</v>
      </c>
      <c r="G447">
        <v>3613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43705</v>
      </c>
      <c r="B448" s="116">
        <v>228.5</v>
      </c>
      <c r="C448" s="116">
        <v>221.8</v>
      </c>
      <c r="D448" s="116">
        <v>216</v>
      </c>
      <c r="E448" s="116">
        <v>216</v>
      </c>
      <c r="F448" s="116">
        <v>221.8</v>
      </c>
      <c r="G448">
        <v>1155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43706</v>
      </c>
      <c r="B449" s="116">
        <v>225.95</v>
      </c>
      <c r="C449" s="116">
        <v>216.85</v>
      </c>
      <c r="D449" s="116">
        <v>215</v>
      </c>
      <c r="E449" s="116">
        <v>215</v>
      </c>
      <c r="F449" s="116">
        <v>216.85</v>
      </c>
      <c r="G449">
        <v>1079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43707</v>
      </c>
      <c r="B450" s="116">
        <v>219.95</v>
      </c>
      <c r="C450" s="116">
        <v>209.15</v>
      </c>
      <c r="D450" s="116">
        <v>207</v>
      </c>
      <c r="E450" s="116">
        <v>210.05</v>
      </c>
      <c r="F450" s="116">
        <v>209.15</v>
      </c>
      <c r="G450">
        <v>2534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43711</v>
      </c>
      <c r="B451" s="116">
        <v>228.3</v>
      </c>
      <c r="C451" s="116">
        <v>205</v>
      </c>
      <c r="D451" s="116">
        <v>205</v>
      </c>
      <c r="E451" s="116">
        <v>210.2</v>
      </c>
      <c r="F451" s="116">
        <v>205</v>
      </c>
      <c r="G451">
        <v>5649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43712</v>
      </c>
      <c r="B452" s="116">
        <v>219.95</v>
      </c>
      <c r="C452" s="116">
        <v>219.65</v>
      </c>
      <c r="D452" s="116">
        <v>208.05</v>
      </c>
      <c r="E452" s="116">
        <v>211</v>
      </c>
      <c r="F452" s="116">
        <v>219.65</v>
      </c>
      <c r="G452">
        <v>1461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43713</v>
      </c>
      <c r="B453" s="116">
        <v>226</v>
      </c>
      <c r="C453" s="116">
        <v>221.9</v>
      </c>
      <c r="D453" s="116">
        <v>210.2</v>
      </c>
      <c r="E453" s="116">
        <v>224</v>
      </c>
      <c r="F453" s="116">
        <v>221.9</v>
      </c>
      <c r="G453">
        <v>599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43714</v>
      </c>
      <c r="B454" s="116">
        <v>227.95</v>
      </c>
      <c r="C454" s="116">
        <v>227.65</v>
      </c>
      <c r="D454" s="116">
        <v>213.75</v>
      </c>
      <c r="E454" s="116">
        <v>221.5</v>
      </c>
      <c r="F454" s="116">
        <v>227.65</v>
      </c>
      <c r="G454">
        <v>6642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43717</v>
      </c>
      <c r="B455" s="116">
        <v>229.95</v>
      </c>
      <c r="C455" s="116">
        <v>215.95</v>
      </c>
      <c r="D455" s="116">
        <v>215</v>
      </c>
      <c r="E455" s="116">
        <v>229.95</v>
      </c>
      <c r="F455" s="116">
        <v>215.95</v>
      </c>
      <c r="G455">
        <v>1678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43719</v>
      </c>
      <c r="B456" s="116">
        <v>236.9</v>
      </c>
      <c r="C456" s="116">
        <v>231.7</v>
      </c>
      <c r="D456" s="116">
        <v>220</v>
      </c>
      <c r="E456" s="116">
        <v>220</v>
      </c>
      <c r="F456" s="116">
        <v>231.7</v>
      </c>
      <c r="G456">
        <v>2959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43720</v>
      </c>
      <c r="B457" s="116">
        <v>254.85</v>
      </c>
      <c r="C457" s="116">
        <v>254.85</v>
      </c>
      <c r="D457" s="116">
        <v>240</v>
      </c>
      <c r="E457" s="116">
        <v>245</v>
      </c>
      <c r="F457" s="116">
        <v>254.85</v>
      </c>
      <c r="G457">
        <v>4858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43721</v>
      </c>
      <c r="B458" s="116">
        <v>274.8</v>
      </c>
      <c r="C458" s="116">
        <v>268.7</v>
      </c>
      <c r="D458" s="116">
        <v>252.15</v>
      </c>
      <c r="E458" s="116">
        <v>273</v>
      </c>
      <c r="F458" s="116">
        <v>268.7</v>
      </c>
      <c r="G458">
        <v>4215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43724</v>
      </c>
      <c r="B459" s="116">
        <v>277</v>
      </c>
      <c r="C459" s="116">
        <v>274.60000000000002</v>
      </c>
      <c r="D459" s="116">
        <v>260</v>
      </c>
      <c r="E459" s="116">
        <v>260</v>
      </c>
      <c r="F459" s="116">
        <v>274.60000000000002</v>
      </c>
      <c r="G459">
        <v>2740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43725</v>
      </c>
      <c r="B460" s="116">
        <v>288.95</v>
      </c>
      <c r="C460" s="116">
        <v>278.14999999999998</v>
      </c>
      <c r="D460" s="116">
        <v>257.55</v>
      </c>
      <c r="E460" s="116">
        <v>280</v>
      </c>
      <c r="F460" s="116">
        <v>278.14999999999998</v>
      </c>
      <c r="G460">
        <v>2405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43726</v>
      </c>
      <c r="B461" s="116">
        <v>288</v>
      </c>
      <c r="C461" s="116">
        <v>275.64999999999998</v>
      </c>
      <c r="D461" s="116">
        <v>273</v>
      </c>
      <c r="E461" s="116">
        <v>288</v>
      </c>
      <c r="F461" s="116">
        <v>275.64999999999998</v>
      </c>
      <c r="G461">
        <v>2015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43727</v>
      </c>
      <c r="B462" s="116">
        <v>281.14999999999998</v>
      </c>
      <c r="C462" s="116">
        <v>276.39999999999998</v>
      </c>
      <c r="D462" s="116">
        <v>270.14999999999998</v>
      </c>
      <c r="E462" s="116">
        <v>272</v>
      </c>
      <c r="F462" s="116">
        <v>276.39999999999998</v>
      </c>
      <c r="G462">
        <v>915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43728</v>
      </c>
      <c r="B463" s="116">
        <v>279</v>
      </c>
      <c r="C463" s="116">
        <v>272</v>
      </c>
      <c r="D463" s="116">
        <v>270.89999999999998</v>
      </c>
      <c r="E463" s="116">
        <v>279</v>
      </c>
      <c r="F463" s="116">
        <v>272</v>
      </c>
      <c r="G463">
        <v>2782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43731</v>
      </c>
      <c r="B464" s="116">
        <v>277.39999999999998</v>
      </c>
      <c r="C464" s="116">
        <v>274</v>
      </c>
      <c r="D464" s="116">
        <v>272</v>
      </c>
      <c r="E464" s="116">
        <v>276.89999999999998</v>
      </c>
      <c r="F464" s="116">
        <v>274</v>
      </c>
      <c r="G464">
        <v>2605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43732</v>
      </c>
      <c r="B465" s="116">
        <v>279.45</v>
      </c>
      <c r="C465" s="116">
        <v>279.45</v>
      </c>
      <c r="D465" s="116">
        <v>271</v>
      </c>
      <c r="E465" s="116">
        <v>275</v>
      </c>
      <c r="F465" s="116">
        <v>279.45</v>
      </c>
      <c r="G465">
        <v>2359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43733</v>
      </c>
      <c r="B466" s="116">
        <v>285</v>
      </c>
      <c r="C466" s="116">
        <v>275.55</v>
      </c>
      <c r="D466" s="116">
        <v>274.35000000000002</v>
      </c>
      <c r="E466" s="116">
        <v>284</v>
      </c>
      <c r="F466" s="116">
        <v>275.55</v>
      </c>
      <c r="G466">
        <v>2060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43734</v>
      </c>
      <c r="B467" s="116">
        <v>280.85000000000002</v>
      </c>
      <c r="C467" s="116">
        <v>280.75</v>
      </c>
      <c r="D467" s="116">
        <v>280.75</v>
      </c>
      <c r="E467" s="116">
        <v>280.8</v>
      </c>
      <c r="F467" s="116">
        <v>280.75</v>
      </c>
      <c r="G467">
        <v>69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43735</v>
      </c>
      <c r="B468" s="116">
        <v>275.14999999999998</v>
      </c>
      <c r="C468" s="116">
        <v>275.14999999999998</v>
      </c>
      <c r="D468" s="116">
        <v>275.14999999999998</v>
      </c>
      <c r="E468" s="116">
        <v>275.14999999999998</v>
      </c>
      <c r="F468" s="116">
        <v>275.14999999999998</v>
      </c>
      <c r="G468">
        <v>450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43738</v>
      </c>
      <c r="B469" s="116">
        <v>275</v>
      </c>
      <c r="C469" s="116">
        <v>261.39999999999998</v>
      </c>
      <c r="D469" s="116">
        <v>261.39999999999998</v>
      </c>
      <c r="E469" s="116">
        <v>275</v>
      </c>
      <c r="F469" s="116">
        <v>261.39999999999998</v>
      </c>
      <c r="G469">
        <v>295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43739</v>
      </c>
      <c r="B470" s="116">
        <v>261.39999999999998</v>
      </c>
      <c r="C470" s="116">
        <v>248.35</v>
      </c>
      <c r="D470" s="116">
        <v>248.35</v>
      </c>
      <c r="E470" s="116">
        <v>248.35</v>
      </c>
      <c r="F470" s="116">
        <v>248.35</v>
      </c>
      <c r="G470">
        <v>594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43741</v>
      </c>
      <c r="B471" s="116">
        <v>235.95</v>
      </c>
      <c r="C471" s="116">
        <v>235.95</v>
      </c>
      <c r="D471" s="116">
        <v>235.95</v>
      </c>
      <c r="E471" s="116">
        <v>235.95</v>
      </c>
      <c r="F471" s="116">
        <v>235.95</v>
      </c>
      <c r="G471">
        <v>1220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43742</v>
      </c>
      <c r="B472" s="116">
        <v>237</v>
      </c>
      <c r="C472" s="116">
        <v>224.2</v>
      </c>
      <c r="D472" s="116">
        <v>224.2</v>
      </c>
      <c r="E472" s="116">
        <v>237</v>
      </c>
      <c r="F472" s="116">
        <v>224.2</v>
      </c>
      <c r="G472">
        <v>5350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43745</v>
      </c>
      <c r="B473" s="116">
        <v>235.4</v>
      </c>
      <c r="C473" s="116">
        <v>213.5</v>
      </c>
      <c r="D473" s="116">
        <v>213</v>
      </c>
      <c r="E473" s="116">
        <v>226</v>
      </c>
      <c r="F473" s="116">
        <v>213.5</v>
      </c>
      <c r="G473">
        <v>7234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43747</v>
      </c>
      <c r="B474" s="116">
        <v>222.75</v>
      </c>
      <c r="C474" s="116">
        <v>208.1</v>
      </c>
      <c r="D474" s="116">
        <v>204</v>
      </c>
      <c r="E474" s="116">
        <v>204</v>
      </c>
      <c r="F474" s="116">
        <v>208.1</v>
      </c>
      <c r="G474">
        <v>4857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43748</v>
      </c>
      <c r="B475" s="116">
        <v>216.8</v>
      </c>
      <c r="C475" s="116">
        <v>215</v>
      </c>
      <c r="D475" s="116">
        <v>205</v>
      </c>
      <c r="E475" s="116">
        <v>210</v>
      </c>
      <c r="F475" s="116">
        <v>215</v>
      </c>
      <c r="G475">
        <v>3311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43749</v>
      </c>
      <c r="B476" s="116">
        <v>225</v>
      </c>
      <c r="C476" s="116">
        <v>224.55</v>
      </c>
      <c r="D476" s="116">
        <v>205</v>
      </c>
      <c r="E476" s="116">
        <v>205</v>
      </c>
      <c r="F476" s="116">
        <v>224.55</v>
      </c>
      <c r="G476">
        <v>1422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43752</v>
      </c>
      <c r="B477" s="116">
        <v>225</v>
      </c>
      <c r="C477" s="116">
        <v>215.95</v>
      </c>
      <c r="D477" s="116">
        <v>215</v>
      </c>
      <c r="E477" s="116">
        <v>224</v>
      </c>
      <c r="F477" s="116">
        <v>215.95</v>
      </c>
      <c r="G477">
        <v>730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43753</v>
      </c>
      <c r="B478" s="116">
        <v>224.95</v>
      </c>
      <c r="C478" s="116">
        <v>222.8</v>
      </c>
      <c r="D478" s="116">
        <v>211.05</v>
      </c>
      <c r="E478" s="116">
        <v>220</v>
      </c>
      <c r="F478" s="116">
        <v>222.8</v>
      </c>
      <c r="G478">
        <v>855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43754</v>
      </c>
      <c r="B479" s="116">
        <v>224.9</v>
      </c>
      <c r="C479" s="116">
        <v>219.35</v>
      </c>
      <c r="D479" s="116">
        <v>218.1</v>
      </c>
      <c r="E479" s="116">
        <v>222.95</v>
      </c>
      <c r="F479" s="116">
        <v>219.35</v>
      </c>
      <c r="G479">
        <v>3703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43755</v>
      </c>
      <c r="B480" s="116">
        <v>230</v>
      </c>
      <c r="C480" s="116">
        <v>218</v>
      </c>
      <c r="D480" s="116">
        <v>218</v>
      </c>
      <c r="E480" s="116">
        <v>230</v>
      </c>
      <c r="F480" s="116">
        <v>218</v>
      </c>
      <c r="G480">
        <v>1093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43756</v>
      </c>
      <c r="B481" s="116">
        <v>228.9</v>
      </c>
      <c r="C481" s="116">
        <v>217.65</v>
      </c>
      <c r="D481" s="116">
        <v>215.5</v>
      </c>
      <c r="E481" s="116">
        <v>220.05</v>
      </c>
      <c r="F481" s="116">
        <v>217.65</v>
      </c>
      <c r="G481">
        <v>7204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43760</v>
      </c>
      <c r="B482" s="116">
        <v>228.5</v>
      </c>
      <c r="C482" s="116">
        <v>225</v>
      </c>
      <c r="D482" s="116">
        <v>219</v>
      </c>
      <c r="E482" s="116">
        <v>219</v>
      </c>
      <c r="F482" s="116">
        <v>225</v>
      </c>
      <c r="G482">
        <v>6298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43761</v>
      </c>
      <c r="B483" s="116">
        <v>228</v>
      </c>
      <c r="C483" s="116">
        <v>226.3</v>
      </c>
      <c r="D483" s="116">
        <v>225</v>
      </c>
      <c r="E483" s="116">
        <v>225</v>
      </c>
      <c r="F483" s="116">
        <v>226.3</v>
      </c>
      <c r="G483">
        <v>7551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43762</v>
      </c>
      <c r="B484" s="116">
        <v>225</v>
      </c>
      <c r="C484" s="116">
        <v>224.9</v>
      </c>
      <c r="D484" s="116">
        <v>218</v>
      </c>
      <c r="E484" s="116">
        <v>220</v>
      </c>
      <c r="F484" s="116">
        <v>224.9</v>
      </c>
      <c r="G484">
        <v>5355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43763</v>
      </c>
      <c r="B485" s="116">
        <v>224.9</v>
      </c>
      <c r="C485" s="116">
        <v>217.5</v>
      </c>
      <c r="D485" s="116">
        <v>217</v>
      </c>
      <c r="E485" s="116">
        <v>224.9</v>
      </c>
      <c r="F485" s="116">
        <v>217.5</v>
      </c>
      <c r="G485">
        <v>3714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43765</v>
      </c>
      <c r="B486" s="116">
        <v>224.45</v>
      </c>
      <c r="C486" s="116">
        <v>223.95</v>
      </c>
      <c r="D486" s="116">
        <v>215</v>
      </c>
      <c r="E486" s="116">
        <v>216</v>
      </c>
      <c r="F486" s="116">
        <v>223.95</v>
      </c>
      <c r="G486">
        <v>372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43767</v>
      </c>
      <c r="B487" s="116">
        <v>233.7</v>
      </c>
      <c r="C487" s="116">
        <v>218.9</v>
      </c>
      <c r="D487" s="116">
        <v>216</v>
      </c>
      <c r="E487" s="116">
        <v>220</v>
      </c>
      <c r="F487" s="116">
        <v>218.9</v>
      </c>
      <c r="G487">
        <v>2196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43768</v>
      </c>
      <c r="B488" s="116">
        <v>223.95</v>
      </c>
      <c r="C488" s="116">
        <v>213.25</v>
      </c>
      <c r="D488" s="116">
        <v>208.95</v>
      </c>
      <c r="E488" s="116">
        <v>211.65</v>
      </c>
      <c r="F488" s="116">
        <v>213.25</v>
      </c>
      <c r="G488">
        <v>1497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43769</v>
      </c>
      <c r="B489" s="116">
        <v>222.95</v>
      </c>
      <c r="C489" s="116">
        <v>218.05</v>
      </c>
      <c r="D489" s="116">
        <v>209.5</v>
      </c>
      <c r="E489" s="116">
        <v>222.9</v>
      </c>
      <c r="F489" s="116">
        <v>218.05</v>
      </c>
      <c r="G489">
        <v>4324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43770</v>
      </c>
      <c r="B490" s="116">
        <v>228.8</v>
      </c>
      <c r="C490" s="116">
        <v>223</v>
      </c>
      <c r="D490" s="116">
        <v>220</v>
      </c>
      <c r="E490" s="116">
        <v>225</v>
      </c>
      <c r="F490" s="116">
        <v>223</v>
      </c>
      <c r="G490">
        <v>14846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43773</v>
      </c>
      <c r="B491" s="116">
        <v>225</v>
      </c>
      <c r="C491" s="116">
        <v>224.7</v>
      </c>
      <c r="D491" s="116">
        <v>215.2</v>
      </c>
      <c r="E491" s="116">
        <v>223</v>
      </c>
      <c r="F491" s="116">
        <v>224.7</v>
      </c>
      <c r="G491">
        <v>7537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43774</v>
      </c>
      <c r="B492" s="116">
        <v>235.9</v>
      </c>
      <c r="C492" s="116">
        <v>235.9</v>
      </c>
      <c r="D492" s="116">
        <v>220</v>
      </c>
      <c r="E492" s="116">
        <v>220.2</v>
      </c>
      <c r="F492" s="116">
        <v>235.9</v>
      </c>
      <c r="G492">
        <v>4119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43775</v>
      </c>
      <c r="B493" s="116">
        <v>247.65</v>
      </c>
      <c r="C493" s="116">
        <v>247.65</v>
      </c>
      <c r="D493" s="116">
        <v>242</v>
      </c>
      <c r="E493" s="116">
        <v>246.5</v>
      </c>
      <c r="F493" s="116">
        <v>247.65</v>
      </c>
      <c r="G493">
        <v>1214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43776</v>
      </c>
      <c r="B494" s="116">
        <v>260</v>
      </c>
      <c r="C494" s="116">
        <v>260</v>
      </c>
      <c r="D494" s="116">
        <v>259</v>
      </c>
      <c r="E494" s="116">
        <v>260</v>
      </c>
      <c r="F494" s="116">
        <v>260</v>
      </c>
      <c r="G494">
        <v>1210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43777</v>
      </c>
      <c r="B495" s="116">
        <v>273</v>
      </c>
      <c r="C495" s="116">
        <v>267.5</v>
      </c>
      <c r="D495" s="116">
        <v>266</v>
      </c>
      <c r="E495" s="116">
        <v>273</v>
      </c>
      <c r="F495" s="116">
        <v>267.5</v>
      </c>
      <c r="G495">
        <v>4372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43780</v>
      </c>
      <c r="B496" s="116">
        <v>270</v>
      </c>
      <c r="C496" s="116">
        <v>262.45</v>
      </c>
      <c r="D496" s="116">
        <v>260</v>
      </c>
      <c r="E496" s="116">
        <v>263.5</v>
      </c>
      <c r="F496" s="116">
        <v>262.45</v>
      </c>
      <c r="G496">
        <v>860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43782</v>
      </c>
      <c r="B497" s="116">
        <v>249.35</v>
      </c>
      <c r="C497" s="116">
        <v>249.35</v>
      </c>
      <c r="D497" s="116">
        <v>249.35</v>
      </c>
      <c r="E497" s="116">
        <v>249.35</v>
      </c>
      <c r="F497" s="116">
        <v>249.35</v>
      </c>
      <c r="G497">
        <v>605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43783</v>
      </c>
      <c r="B498" s="116">
        <v>260.89999999999998</v>
      </c>
      <c r="C498" s="116">
        <v>239</v>
      </c>
      <c r="D498" s="116">
        <v>236.9</v>
      </c>
      <c r="E498" s="116">
        <v>247.5</v>
      </c>
      <c r="F498" s="116">
        <v>239</v>
      </c>
      <c r="G498">
        <v>2013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43784</v>
      </c>
      <c r="B499" s="116">
        <v>249.4</v>
      </c>
      <c r="C499" s="116">
        <v>247</v>
      </c>
      <c r="D499" s="116">
        <v>239</v>
      </c>
      <c r="E499" s="116">
        <v>239</v>
      </c>
      <c r="F499" s="116">
        <v>247</v>
      </c>
      <c r="G499">
        <v>332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43787</v>
      </c>
      <c r="B500" s="116">
        <v>259.2</v>
      </c>
      <c r="C500" s="116">
        <v>254.8</v>
      </c>
      <c r="D500" s="116">
        <v>238.1</v>
      </c>
      <c r="E500" s="116">
        <v>259.2</v>
      </c>
      <c r="F500" s="116">
        <v>254.8</v>
      </c>
      <c r="G500">
        <v>267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43788</v>
      </c>
      <c r="B501" s="116">
        <v>265.95</v>
      </c>
      <c r="C501" s="116">
        <v>242.9</v>
      </c>
      <c r="D501" s="116">
        <v>242.1</v>
      </c>
      <c r="E501" s="116">
        <v>255</v>
      </c>
      <c r="F501" s="116">
        <v>242.9</v>
      </c>
      <c r="G501">
        <v>2316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43789</v>
      </c>
      <c r="B502" s="116">
        <v>254.9</v>
      </c>
      <c r="C502" s="116">
        <v>233</v>
      </c>
      <c r="D502" s="116">
        <v>230.8</v>
      </c>
      <c r="E502" s="116">
        <v>254.9</v>
      </c>
      <c r="F502" s="116">
        <v>233</v>
      </c>
      <c r="G502">
        <v>3069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43790</v>
      </c>
      <c r="B503" s="116">
        <v>239.2</v>
      </c>
      <c r="C503" s="116">
        <v>221.35</v>
      </c>
      <c r="D503" s="116">
        <v>221.35</v>
      </c>
      <c r="E503" s="116">
        <v>230</v>
      </c>
      <c r="F503" s="116">
        <v>221.35</v>
      </c>
      <c r="G503">
        <v>2711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43791</v>
      </c>
      <c r="B504" s="116">
        <v>232.35</v>
      </c>
      <c r="C504" s="116">
        <v>215.25</v>
      </c>
      <c r="D504" s="116">
        <v>210.5</v>
      </c>
      <c r="E504" s="116">
        <v>223</v>
      </c>
      <c r="F504" s="116">
        <v>215.25</v>
      </c>
      <c r="G504">
        <v>2859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43794</v>
      </c>
      <c r="B505" s="116">
        <v>224.95</v>
      </c>
      <c r="C505" s="116">
        <v>219.85</v>
      </c>
      <c r="D505" s="116">
        <v>210</v>
      </c>
      <c r="E505" s="116">
        <v>218</v>
      </c>
      <c r="F505" s="116">
        <v>219.85</v>
      </c>
      <c r="G505">
        <v>2282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43795</v>
      </c>
      <c r="B506" s="116">
        <v>230.7</v>
      </c>
      <c r="C506" s="116">
        <v>213.95</v>
      </c>
      <c r="D506" s="116">
        <v>209</v>
      </c>
      <c r="E506" s="116">
        <v>229.9</v>
      </c>
      <c r="F506" s="116">
        <v>213.95</v>
      </c>
      <c r="G506">
        <v>9497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43796</v>
      </c>
      <c r="B507" s="116">
        <v>220</v>
      </c>
      <c r="C507" s="116">
        <v>208.4</v>
      </c>
      <c r="D507" s="116">
        <v>203.3</v>
      </c>
      <c r="E507" s="116">
        <v>219.95</v>
      </c>
      <c r="F507" s="116">
        <v>208.4</v>
      </c>
      <c r="G507">
        <v>16322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43797</v>
      </c>
      <c r="B508" s="116">
        <v>216</v>
      </c>
      <c r="C508" s="116">
        <v>204.25</v>
      </c>
      <c r="D508" s="116">
        <v>200.2</v>
      </c>
      <c r="E508" s="116">
        <v>213.45</v>
      </c>
      <c r="F508" s="116">
        <v>204.25</v>
      </c>
      <c r="G508">
        <v>4341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43798</v>
      </c>
      <c r="B509" s="116">
        <v>210</v>
      </c>
      <c r="C509" s="116">
        <v>203.7</v>
      </c>
      <c r="D509" s="116">
        <v>202</v>
      </c>
      <c r="E509" s="116">
        <v>204.25</v>
      </c>
      <c r="F509" s="116">
        <v>203.7</v>
      </c>
      <c r="G509">
        <v>1750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43801</v>
      </c>
      <c r="B510" s="116">
        <v>209.9</v>
      </c>
      <c r="C510" s="116">
        <v>206.45</v>
      </c>
      <c r="D510" s="116">
        <v>201.1</v>
      </c>
      <c r="E510" s="116">
        <v>209.9</v>
      </c>
      <c r="F510" s="116">
        <v>206.45</v>
      </c>
      <c r="G510">
        <v>2094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43802</v>
      </c>
      <c r="B511" s="116">
        <v>209.95</v>
      </c>
      <c r="C511" s="116">
        <v>206.25</v>
      </c>
      <c r="D511" s="116">
        <v>205.05</v>
      </c>
      <c r="E511" s="116">
        <v>206.5</v>
      </c>
      <c r="F511" s="116">
        <v>206.25</v>
      </c>
      <c r="G511">
        <v>537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43803</v>
      </c>
      <c r="B512" s="116">
        <v>209.45</v>
      </c>
      <c r="C512" s="116">
        <v>206.05</v>
      </c>
      <c r="D512" s="116">
        <v>202.15</v>
      </c>
      <c r="E512" s="116">
        <v>202.15</v>
      </c>
      <c r="F512" s="116">
        <v>206.05</v>
      </c>
      <c r="G512">
        <v>192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43804</v>
      </c>
      <c r="B513" s="116">
        <v>209.45</v>
      </c>
      <c r="C513" s="116">
        <v>199.35</v>
      </c>
      <c r="D513" s="116">
        <v>196.55</v>
      </c>
      <c r="E513" s="116">
        <v>209.45</v>
      </c>
      <c r="F513" s="116">
        <v>199.35</v>
      </c>
      <c r="G513">
        <v>8125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43805</v>
      </c>
      <c r="B514" s="116">
        <v>206.4</v>
      </c>
      <c r="C514" s="116">
        <v>201.75</v>
      </c>
      <c r="D514" s="116">
        <v>200</v>
      </c>
      <c r="E514" s="116">
        <v>203</v>
      </c>
      <c r="F514" s="116">
        <v>201.75</v>
      </c>
      <c r="G514">
        <v>2196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43808</v>
      </c>
      <c r="B515" s="116">
        <v>211</v>
      </c>
      <c r="C515" s="116">
        <v>202.95</v>
      </c>
      <c r="D515" s="116">
        <v>199.95</v>
      </c>
      <c r="E515" s="116">
        <v>204.95</v>
      </c>
      <c r="F515" s="116">
        <v>202.95</v>
      </c>
      <c r="G515">
        <v>4050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43809</v>
      </c>
      <c r="B516" s="116">
        <v>211</v>
      </c>
      <c r="C516" s="116">
        <v>209.6</v>
      </c>
      <c r="D516" s="116">
        <v>197</v>
      </c>
      <c r="E516" s="116">
        <v>197</v>
      </c>
      <c r="F516" s="116">
        <v>209.6</v>
      </c>
      <c r="G516">
        <v>1184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43810</v>
      </c>
      <c r="B517" s="116">
        <v>214.9</v>
      </c>
      <c r="C517" s="116">
        <v>213.55</v>
      </c>
      <c r="D517" s="116">
        <v>201.5</v>
      </c>
      <c r="E517" s="116">
        <v>214.9</v>
      </c>
      <c r="F517" s="116">
        <v>213.55</v>
      </c>
      <c r="G517">
        <v>505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43811</v>
      </c>
      <c r="B518" s="116">
        <v>224.2</v>
      </c>
      <c r="C518" s="116">
        <v>223.45</v>
      </c>
      <c r="D518" s="116">
        <v>219</v>
      </c>
      <c r="E518" s="116">
        <v>219.95</v>
      </c>
      <c r="F518" s="116">
        <v>223.45</v>
      </c>
      <c r="G518">
        <v>937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43812</v>
      </c>
      <c r="B519" s="116">
        <v>233.9</v>
      </c>
      <c r="C519" s="116">
        <v>229.5</v>
      </c>
      <c r="D519" s="116">
        <v>215.15</v>
      </c>
      <c r="E519" s="116">
        <v>215.2</v>
      </c>
      <c r="F519" s="116">
        <v>229.5</v>
      </c>
      <c r="G519">
        <v>1186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43815</v>
      </c>
      <c r="B520" s="116">
        <v>238</v>
      </c>
      <c r="C520" s="116">
        <v>233</v>
      </c>
      <c r="D520" s="116">
        <v>223</v>
      </c>
      <c r="E520" s="116">
        <v>230</v>
      </c>
      <c r="F520" s="116">
        <v>233</v>
      </c>
      <c r="G520">
        <v>376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43816</v>
      </c>
      <c r="B521" s="116">
        <v>237</v>
      </c>
      <c r="C521" s="116">
        <v>228</v>
      </c>
      <c r="D521" s="116">
        <v>221.35</v>
      </c>
      <c r="E521" s="116">
        <v>225.1</v>
      </c>
      <c r="F521" s="116">
        <v>228</v>
      </c>
      <c r="G521">
        <v>914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43817</v>
      </c>
      <c r="B522" s="116">
        <v>233.7</v>
      </c>
      <c r="C522" s="116">
        <v>221.9</v>
      </c>
      <c r="D522" s="116">
        <v>218</v>
      </c>
      <c r="E522" s="116">
        <v>218</v>
      </c>
      <c r="F522" s="116">
        <v>221.9</v>
      </c>
      <c r="G522">
        <v>857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43818</v>
      </c>
      <c r="B523" s="116">
        <v>229</v>
      </c>
      <c r="C523" s="116">
        <v>222.75</v>
      </c>
      <c r="D523" s="116">
        <v>211</v>
      </c>
      <c r="E523" s="116">
        <v>211</v>
      </c>
      <c r="F523" s="116">
        <v>222.75</v>
      </c>
      <c r="G523">
        <v>1218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43819</v>
      </c>
      <c r="B524" s="116">
        <v>224</v>
      </c>
      <c r="C524" s="116">
        <v>213.2</v>
      </c>
      <c r="D524" s="116">
        <v>212.6</v>
      </c>
      <c r="E524" s="116">
        <v>213.05</v>
      </c>
      <c r="F524" s="116">
        <v>213.2</v>
      </c>
      <c r="G524">
        <v>354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43822</v>
      </c>
      <c r="B525" s="116">
        <v>217.95</v>
      </c>
      <c r="C525" s="116">
        <v>217</v>
      </c>
      <c r="D525" s="116">
        <v>217</v>
      </c>
      <c r="E525" s="116">
        <v>217.9</v>
      </c>
      <c r="F525" s="116">
        <v>217</v>
      </c>
      <c r="G525">
        <v>51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43823</v>
      </c>
      <c r="B526" s="116">
        <v>220</v>
      </c>
      <c r="C526" s="116">
        <v>208.75</v>
      </c>
      <c r="D526" s="116">
        <v>206.55</v>
      </c>
      <c r="E526" s="116">
        <v>220</v>
      </c>
      <c r="F526" s="116">
        <v>208.75</v>
      </c>
      <c r="G526">
        <v>1034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43825</v>
      </c>
      <c r="B527" s="116">
        <v>219.1</v>
      </c>
      <c r="C527" s="116">
        <v>208.25</v>
      </c>
      <c r="D527" s="116">
        <v>207.9</v>
      </c>
      <c r="E527" s="116">
        <v>219.1</v>
      </c>
      <c r="F527" s="116">
        <v>208.25</v>
      </c>
      <c r="G527">
        <v>842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43826</v>
      </c>
      <c r="B528" s="116">
        <v>218</v>
      </c>
      <c r="C528" s="116">
        <v>218</v>
      </c>
      <c r="D528" s="116">
        <v>210</v>
      </c>
      <c r="E528" s="116">
        <v>210</v>
      </c>
      <c r="F528" s="116">
        <v>218</v>
      </c>
      <c r="G528">
        <v>925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43829</v>
      </c>
      <c r="B529" s="116">
        <v>228.9</v>
      </c>
      <c r="C529" s="116">
        <v>227</v>
      </c>
      <c r="D529" s="116">
        <v>217</v>
      </c>
      <c r="E529" s="116">
        <v>226.75</v>
      </c>
      <c r="F529" s="116">
        <v>227</v>
      </c>
      <c r="G529">
        <v>645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43830</v>
      </c>
      <c r="B530" s="116">
        <v>230</v>
      </c>
      <c r="C530" s="116">
        <v>225.3</v>
      </c>
      <c r="D530" s="116">
        <v>220</v>
      </c>
      <c r="E530" s="116">
        <v>220</v>
      </c>
      <c r="F530" s="116">
        <v>225.3</v>
      </c>
      <c r="G530">
        <v>1747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43831</v>
      </c>
      <c r="B531" s="116">
        <v>236.55</v>
      </c>
      <c r="C531" s="116">
        <v>234.65</v>
      </c>
      <c r="D531" s="116">
        <v>229.7</v>
      </c>
      <c r="E531" s="116">
        <v>230</v>
      </c>
      <c r="F531" s="116">
        <v>234.65</v>
      </c>
      <c r="G531">
        <v>611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43832</v>
      </c>
      <c r="B532" s="116">
        <v>240</v>
      </c>
      <c r="C532" s="116">
        <v>235.1</v>
      </c>
      <c r="D532" s="116">
        <v>225.65</v>
      </c>
      <c r="E532" s="116">
        <v>240</v>
      </c>
      <c r="F532" s="116">
        <v>235.1</v>
      </c>
      <c r="G532">
        <v>864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43833</v>
      </c>
      <c r="B533" s="116">
        <v>244</v>
      </c>
      <c r="C533" s="116">
        <v>235</v>
      </c>
      <c r="D533" s="116">
        <v>230.6</v>
      </c>
      <c r="E533" s="116">
        <v>244</v>
      </c>
      <c r="F533" s="116">
        <v>235</v>
      </c>
      <c r="G533">
        <v>476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43836</v>
      </c>
      <c r="B534" s="116">
        <v>236</v>
      </c>
      <c r="C534" s="116">
        <v>223.5</v>
      </c>
      <c r="D534" s="116">
        <v>223.25</v>
      </c>
      <c r="E534" s="116">
        <v>236</v>
      </c>
      <c r="F534" s="116">
        <v>223.5</v>
      </c>
      <c r="G534">
        <v>426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43837</v>
      </c>
      <c r="B535" s="116">
        <v>224</v>
      </c>
      <c r="C535" s="116">
        <v>221.25</v>
      </c>
      <c r="D535" s="116">
        <v>215.6</v>
      </c>
      <c r="E535" s="116">
        <v>223.25</v>
      </c>
      <c r="F535" s="116">
        <v>221.25</v>
      </c>
      <c r="G535">
        <v>217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43838</v>
      </c>
      <c r="B536" s="116">
        <v>232</v>
      </c>
      <c r="C536" s="116">
        <v>228.5</v>
      </c>
      <c r="D536" s="116">
        <v>211.5</v>
      </c>
      <c r="E536" s="116">
        <v>232</v>
      </c>
      <c r="F536" s="116">
        <v>228.5</v>
      </c>
      <c r="G536">
        <v>48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43839</v>
      </c>
      <c r="B537" s="116">
        <v>230</v>
      </c>
      <c r="C537" s="116">
        <v>219.75</v>
      </c>
      <c r="D537" s="116">
        <v>218</v>
      </c>
      <c r="E537" s="116">
        <v>218.3</v>
      </c>
      <c r="F537" s="116">
        <v>219.75</v>
      </c>
      <c r="G537">
        <v>2674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43840</v>
      </c>
      <c r="B538" s="116">
        <v>224</v>
      </c>
      <c r="C538" s="116">
        <v>216.7</v>
      </c>
      <c r="D538" s="116">
        <v>215</v>
      </c>
      <c r="E538" s="116">
        <v>220</v>
      </c>
      <c r="F538" s="116">
        <v>216.7</v>
      </c>
      <c r="G538">
        <v>1149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43843</v>
      </c>
      <c r="B539" s="116">
        <v>224.85</v>
      </c>
      <c r="C539" s="116">
        <v>222.35</v>
      </c>
      <c r="D539" s="116">
        <v>208.2</v>
      </c>
      <c r="E539" s="116">
        <v>223</v>
      </c>
      <c r="F539" s="116">
        <v>222.35</v>
      </c>
      <c r="G539">
        <v>952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43844</v>
      </c>
      <c r="B540" s="116">
        <v>228.4</v>
      </c>
      <c r="C540" s="116">
        <v>218.3</v>
      </c>
      <c r="D540" s="116">
        <v>217.65</v>
      </c>
      <c r="E540" s="116">
        <v>222.35</v>
      </c>
      <c r="F540" s="116">
        <v>218.3</v>
      </c>
      <c r="G540">
        <v>1353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43845</v>
      </c>
      <c r="B541" s="116">
        <v>224.95</v>
      </c>
      <c r="C541" s="116">
        <v>221</v>
      </c>
      <c r="D541" s="116">
        <v>215</v>
      </c>
      <c r="E541" s="116">
        <v>224.95</v>
      </c>
      <c r="F541" s="116">
        <v>221</v>
      </c>
      <c r="G541">
        <v>1661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43846</v>
      </c>
      <c r="B542" s="116">
        <v>231.8</v>
      </c>
      <c r="C542" s="116">
        <v>225.6</v>
      </c>
      <c r="D542" s="116">
        <v>220</v>
      </c>
      <c r="E542" s="116">
        <v>221</v>
      </c>
      <c r="F542" s="116">
        <v>225.6</v>
      </c>
      <c r="G542">
        <v>4345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43847</v>
      </c>
      <c r="B543" s="116">
        <v>229.95</v>
      </c>
      <c r="C543" s="116">
        <v>217.55</v>
      </c>
      <c r="D543" s="116">
        <v>215</v>
      </c>
      <c r="E543" s="116">
        <v>229.95</v>
      </c>
      <c r="F543" s="116">
        <v>217.55</v>
      </c>
      <c r="G543">
        <v>2113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43850</v>
      </c>
      <c r="B544" s="116">
        <v>219.95</v>
      </c>
      <c r="C544" s="116">
        <v>209.15</v>
      </c>
      <c r="D544" s="116">
        <v>208</v>
      </c>
      <c r="E544" s="116">
        <v>212</v>
      </c>
      <c r="F544" s="116">
        <v>209.15</v>
      </c>
      <c r="G544">
        <v>6775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43851</v>
      </c>
      <c r="B545" s="116">
        <v>210</v>
      </c>
      <c r="C545" s="116">
        <v>205.15</v>
      </c>
      <c r="D545" s="116">
        <v>203</v>
      </c>
      <c r="E545" s="116">
        <v>210</v>
      </c>
      <c r="F545" s="116">
        <v>205.15</v>
      </c>
      <c r="G545">
        <v>8749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43852</v>
      </c>
      <c r="B546" s="116">
        <v>214.9</v>
      </c>
      <c r="C546" s="116">
        <v>202.95</v>
      </c>
      <c r="D546" s="116">
        <v>200.5</v>
      </c>
      <c r="E546" s="116">
        <v>210</v>
      </c>
      <c r="F546" s="116">
        <v>202.95</v>
      </c>
      <c r="G546">
        <v>10746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43853</v>
      </c>
      <c r="B547" s="116">
        <v>207.95</v>
      </c>
      <c r="C547" s="116">
        <v>200.35</v>
      </c>
      <c r="D547" s="116">
        <v>200</v>
      </c>
      <c r="E547" s="116">
        <v>205</v>
      </c>
      <c r="F547" s="116">
        <v>200.35</v>
      </c>
      <c r="G547">
        <v>2817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43854</v>
      </c>
      <c r="B548" s="116">
        <v>209.9</v>
      </c>
      <c r="C548" s="116">
        <v>209.8</v>
      </c>
      <c r="D548" s="116">
        <v>200</v>
      </c>
      <c r="E548" s="116">
        <v>204.85</v>
      </c>
      <c r="F548" s="116">
        <v>209.8</v>
      </c>
      <c r="G548">
        <v>1894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43857</v>
      </c>
      <c r="B549" s="116">
        <v>209.8</v>
      </c>
      <c r="C549" s="116">
        <v>201.3</v>
      </c>
      <c r="D549" s="116">
        <v>201</v>
      </c>
      <c r="E549" s="116">
        <v>209.8</v>
      </c>
      <c r="F549" s="116">
        <v>201.3</v>
      </c>
      <c r="G549">
        <v>850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43858</v>
      </c>
      <c r="B550" s="116">
        <v>207</v>
      </c>
      <c r="C550" s="116">
        <v>202.75</v>
      </c>
      <c r="D550" s="116">
        <v>201</v>
      </c>
      <c r="E550" s="116">
        <v>206.4</v>
      </c>
      <c r="F550" s="116">
        <v>202.75</v>
      </c>
      <c r="G550">
        <v>1229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43859</v>
      </c>
      <c r="B551" s="116">
        <v>208.6</v>
      </c>
      <c r="C551" s="116">
        <v>200.6</v>
      </c>
      <c r="D551" s="116">
        <v>197.15</v>
      </c>
      <c r="E551" s="116">
        <v>208.6</v>
      </c>
      <c r="F551" s="116">
        <v>200.6</v>
      </c>
      <c r="G551">
        <v>1358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43860</v>
      </c>
      <c r="B552" s="116">
        <v>204.4</v>
      </c>
      <c r="C552" s="116">
        <v>199.1</v>
      </c>
      <c r="D552" s="116">
        <v>198.5</v>
      </c>
      <c r="E552" s="116">
        <v>204.4</v>
      </c>
      <c r="F552" s="116">
        <v>199.1</v>
      </c>
      <c r="G552">
        <v>346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43861</v>
      </c>
      <c r="B553" s="116">
        <v>205.75</v>
      </c>
      <c r="C553" s="116">
        <v>203.8</v>
      </c>
      <c r="D553" s="116">
        <v>199.7</v>
      </c>
      <c r="E553" s="116">
        <v>199.9</v>
      </c>
      <c r="F553" s="116">
        <v>203.8</v>
      </c>
      <c r="G553">
        <v>245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43862</v>
      </c>
      <c r="B554" s="116">
        <v>206.5</v>
      </c>
      <c r="C554" s="116">
        <v>201.25</v>
      </c>
      <c r="D554" s="116">
        <v>199.05</v>
      </c>
      <c r="E554" s="116">
        <v>199.2</v>
      </c>
      <c r="F554" s="116">
        <v>201.25</v>
      </c>
      <c r="G554">
        <v>1000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43864</v>
      </c>
      <c r="B555" s="116">
        <v>206.7</v>
      </c>
      <c r="C555" s="116">
        <v>205</v>
      </c>
      <c r="D555" s="116">
        <v>198.95</v>
      </c>
      <c r="E555" s="116">
        <v>205</v>
      </c>
      <c r="F555" s="116">
        <v>205</v>
      </c>
      <c r="G555">
        <v>2803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43865</v>
      </c>
      <c r="B556" s="116">
        <v>209</v>
      </c>
      <c r="C556" s="116">
        <v>208.7</v>
      </c>
      <c r="D556" s="116">
        <v>198.05</v>
      </c>
      <c r="E556" s="116">
        <v>206</v>
      </c>
      <c r="F556" s="116">
        <v>208.7</v>
      </c>
      <c r="G556">
        <v>272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43866</v>
      </c>
      <c r="B557" s="116">
        <v>215</v>
      </c>
      <c r="C557" s="116">
        <v>205</v>
      </c>
      <c r="D557" s="116">
        <v>205</v>
      </c>
      <c r="E557" s="116">
        <v>209</v>
      </c>
      <c r="F557" s="116">
        <v>205</v>
      </c>
      <c r="G557">
        <v>1231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43867</v>
      </c>
      <c r="B558" s="116">
        <v>217.5</v>
      </c>
      <c r="C558" s="116">
        <v>204.25</v>
      </c>
      <c r="D558" s="116">
        <v>201.1</v>
      </c>
      <c r="E558" s="116">
        <v>205</v>
      </c>
      <c r="F558" s="116">
        <v>204.25</v>
      </c>
      <c r="G558">
        <v>1142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43868</v>
      </c>
      <c r="B559" s="116">
        <v>216.65</v>
      </c>
      <c r="C559" s="116">
        <v>212.6</v>
      </c>
      <c r="D559" s="116">
        <v>205</v>
      </c>
      <c r="E559" s="116">
        <v>205</v>
      </c>
      <c r="F559" s="116">
        <v>212.6</v>
      </c>
      <c r="G559">
        <v>479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43871</v>
      </c>
      <c r="B560" s="116">
        <v>213</v>
      </c>
      <c r="C560" s="116">
        <v>204.65</v>
      </c>
      <c r="D560" s="116">
        <v>204.5</v>
      </c>
      <c r="E560" s="116">
        <v>213</v>
      </c>
      <c r="F560" s="116">
        <v>204.65</v>
      </c>
      <c r="G560">
        <v>341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43872</v>
      </c>
      <c r="B561" s="116">
        <v>209.95</v>
      </c>
      <c r="C561" s="116">
        <v>203</v>
      </c>
      <c r="D561" s="116">
        <v>200</v>
      </c>
      <c r="E561" s="116">
        <v>203</v>
      </c>
      <c r="F561" s="116">
        <v>203</v>
      </c>
      <c r="G561">
        <v>2375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43873</v>
      </c>
      <c r="B562" s="116">
        <v>209.1</v>
      </c>
      <c r="C562" s="116">
        <v>209.05</v>
      </c>
      <c r="D562" s="116">
        <v>191.65</v>
      </c>
      <c r="E562" s="116">
        <v>192</v>
      </c>
      <c r="F562" s="116">
        <v>209.05</v>
      </c>
      <c r="G562">
        <v>1370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43874</v>
      </c>
      <c r="B563" s="116">
        <v>219</v>
      </c>
      <c r="C563" s="116">
        <v>203.25</v>
      </c>
      <c r="D563" s="116">
        <v>200.05</v>
      </c>
      <c r="E563" s="116">
        <v>201</v>
      </c>
      <c r="F563" s="116">
        <v>203.25</v>
      </c>
      <c r="G563">
        <v>1523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43875</v>
      </c>
      <c r="B564" s="116">
        <v>217.8</v>
      </c>
      <c r="C564" s="116">
        <v>200</v>
      </c>
      <c r="D564" s="116">
        <v>200</v>
      </c>
      <c r="E564" s="116">
        <v>217.8</v>
      </c>
      <c r="F564" s="116">
        <v>200</v>
      </c>
      <c r="G564">
        <v>11442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43878</v>
      </c>
      <c r="B565" s="116">
        <v>205.45</v>
      </c>
      <c r="C565" s="116">
        <v>195.3</v>
      </c>
      <c r="D565" s="116">
        <v>190.9</v>
      </c>
      <c r="E565" s="116">
        <v>191</v>
      </c>
      <c r="F565" s="116">
        <v>195.3</v>
      </c>
      <c r="G565">
        <v>414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43879</v>
      </c>
      <c r="B566" s="116">
        <v>208.75</v>
      </c>
      <c r="C566" s="116">
        <v>197.25</v>
      </c>
      <c r="D566" s="116">
        <v>195</v>
      </c>
      <c r="E566" s="116">
        <v>195.35</v>
      </c>
      <c r="F566" s="116">
        <v>197.25</v>
      </c>
      <c r="G566">
        <v>1650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43880</v>
      </c>
      <c r="B567" s="116">
        <v>210.8</v>
      </c>
      <c r="C567" s="116">
        <v>203.25</v>
      </c>
      <c r="D567" s="116">
        <v>198</v>
      </c>
      <c r="E567" s="116">
        <v>210.7</v>
      </c>
      <c r="F567" s="116">
        <v>203.25</v>
      </c>
      <c r="G567">
        <v>3356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43881</v>
      </c>
      <c r="B568" s="116">
        <v>203.25</v>
      </c>
      <c r="C568" s="116">
        <v>198.2</v>
      </c>
      <c r="D568" s="116">
        <v>198.2</v>
      </c>
      <c r="E568" s="116">
        <v>198.3</v>
      </c>
      <c r="F568" s="116">
        <v>198.2</v>
      </c>
      <c r="G568">
        <v>756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43885</v>
      </c>
      <c r="B569" s="116">
        <v>200</v>
      </c>
      <c r="C569" s="116">
        <v>198.8</v>
      </c>
      <c r="D569" s="116">
        <v>190.6</v>
      </c>
      <c r="E569" s="116">
        <v>200</v>
      </c>
      <c r="F569" s="116">
        <v>198.8</v>
      </c>
      <c r="G569">
        <v>1011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43886</v>
      </c>
      <c r="B570" s="116">
        <v>205</v>
      </c>
      <c r="C570" s="116">
        <v>190</v>
      </c>
      <c r="D570" s="116">
        <v>185</v>
      </c>
      <c r="E570" s="116">
        <v>199</v>
      </c>
      <c r="F570" s="116">
        <v>190</v>
      </c>
      <c r="G570">
        <v>2074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43887</v>
      </c>
      <c r="B571" s="116">
        <v>199.65</v>
      </c>
      <c r="C571" s="116">
        <v>186</v>
      </c>
      <c r="D571" s="116">
        <v>185</v>
      </c>
      <c r="E571" s="116">
        <v>195</v>
      </c>
      <c r="F571" s="116">
        <v>186</v>
      </c>
      <c r="G571">
        <v>3715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43888</v>
      </c>
      <c r="B572" s="116">
        <v>188.4</v>
      </c>
      <c r="C572" s="116">
        <v>179.2</v>
      </c>
      <c r="D572" s="116">
        <v>175.6</v>
      </c>
      <c r="E572" s="116">
        <v>186</v>
      </c>
      <c r="F572" s="116">
        <v>179.2</v>
      </c>
      <c r="G572">
        <v>4582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43889</v>
      </c>
      <c r="B573" s="116">
        <v>196</v>
      </c>
      <c r="C573" s="116">
        <v>166.4</v>
      </c>
      <c r="D573" s="116">
        <v>165</v>
      </c>
      <c r="E573" s="116">
        <v>196</v>
      </c>
      <c r="F573" s="116">
        <v>166.4</v>
      </c>
      <c r="G573">
        <v>2120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43892</v>
      </c>
      <c r="B574" s="116">
        <v>178.8</v>
      </c>
      <c r="C574" s="116">
        <v>169.35</v>
      </c>
      <c r="D574" s="116">
        <v>152.30000000000001</v>
      </c>
      <c r="E574" s="116">
        <v>172.95</v>
      </c>
      <c r="F574" s="116">
        <v>169.35</v>
      </c>
      <c r="G574">
        <v>1882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43893</v>
      </c>
      <c r="B575" s="116">
        <v>169.35</v>
      </c>
      <c r="C575" s="116">
        <v>163.05000000000001</v>
      </c>
      <c r="D575" s="116">
        <v>163</v>
      </c>
      <c r="E575" s="116">
        <v>169.35</v>
      </c>
      <c r="F575" s="116">
        <v>163.05000000000001</v>
      </c>
      <c r="G575">
        <v>252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43894</v>
      </c>
      <c r="B576" s="116">
        <v>176.4</v>
      </c>
      <c r="C576" s="116">
        <v>171.75</v>
      </c>
      <c r="D576" s="116">
        <v>163</v>
      </c>
      <c r="E576" s="116">
        <v>163.05000000000001</v>
      </c>
      <c r="F576" s="116">
        <v>171.75</v>
      </c>
      <c r="G576">
        <v>330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43895</v>
      </c>
      <c r="B577" s="116">
        <v>173</v>
      </c>
      <c r="C577" s="116">
        <v>164.2</v>
      </c>
      <c r="D577" s="116">
        <v>156</v>
      </c>
      <c r="E577" s="116">
        <v>171.75</v>
      </c>
      <c r="F577" s="116">
        <v>164.2</v>
      </c>
      <c r="G577">
        <v>3267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43896</v>
      </c>
      <c r="B578" s="116">
        <v>164.2</v>
      </c>
      <c r="C578" s="116">
        <v>157.44999999999999</v>
      </c>
      <c r="D578" s="116">
        <v>151.6</v>
      </c>
      <c r="E578" s="116">
        <v>151.6</v>
      </c>
      <c r="F578" s="116">
        <v>157.44999999999999</v>
      </c>
      <c r="G578">
        <v>1365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43899</v>
      </c>
      <c r="B579" s="116">
        <v>168.5</v>
      </c>
      <c r="C579" s="116">
        <v>143.05000000000001</v>
      </c>
      <c r="D579" s="116">
        <v>141.75</v>
      </c>
      <c r="E579" s="116">
        <v>162</v>
      </c>
      <c r="F579" s="116">
        <v>143.05000000000001</v>
      </c>
      <c r="G579">
        <v>5166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43901</v>
      </c>
      <c r="B580" s="116">
        <v>152</v>
      </c>
      <c r="C580" s="116">
        <v>131.80000000000001</v>
      </c>
      <c r="D580" s="116">
        <v>128.75</v>
      </c>
      <c r="E580" s="116">
        <v>152</v>
      </c>
      <c r="F580" s="116">
        <v>131.80000000000001</v>
      </c>
      <c r="G580">
        <v>4917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43902</v>
      </c>
      <c r="B581" s="116">
        <v>131</v>
      </c>
      <c r="C581" s="116">
        <v>125.25</v>
      </c>
      <c r="D581" s="116">
        <v>125.25</v>
      </c>
      <c r="E581" s="116">
        <v>125.25</v>
      </c>
      <c r="F581" s="116">
        <v>125.25</v>
      </c>
      <c r="G581">
        <v>4178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43903</v>
      </c>
      <c r="B582" s="116">
        <v>129.80000000000001</v>
      </c>
      <c r="C582" s="116">
        <v>119</v>
      </c>
      <c r="D582" s="116">
        <v>119</v>
      </c>
      <c r="E582" s="116">
        <v>119</v>
      </c>
      <c r="F582" s="116">
        <v>119</v>
      </c>
      <c r="G582">
        <v>5194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43906</v>
      </c>
      <c r="B583" s="116">
        <v>120.9</v>
      </c>
      <c r="C583" s="116">
        <v>113.5</v>
      </c>
      <c r="D583" s="116">
        <v>113.05</v>
      </c>
      <c r="E583" s="116">
        <v>115</v>
      </c>
      <c r="F583" s="116">
        <v>113.5</v>
      </c>
      <c r="G583">
        <v>6763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43907</v>
      </c>
      <c r="B584" s="116">
        <v>119</v>
      </c>
      <c r="C584" s="116">
        <v>111.25</v>
      </c>
      <c r="D584" s="116">
        <v>109.05</v>
      </c>
      <c r="E584" s="116">
        <v>113.5</v>
      </c>
      <c r="F584" s="116">
        <v>111.25</v>
      </c>
      <c r="G584">
        <v>2648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43908</v>
      </c>
      <c r="B585" s="116">
        <v>115.85</v>
      </c>
      <c r="C585" s="116">
        <v>108.1</v>
      </c>
      <c r="D585" s="116">
        <v>106</v>
      </c>
      <c r="E585" s="116">
        <v>106.75</v>
      </c>
      <c r="F585" s="116">
        <v>108.1</v>
      </c>
      <c r="G585">
        <v>4584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43909</v>
      </c>
      <c r="B586" s="116">
        <v>113.5</v>
      </c>
      <c r="C586" s="116">
        <v>113.5</v>
      </c>
      <c r="D586" s="116">
        <v>103</v>
      </c>
      <c r="E586" s="116">
        <v>108</v>
      </c>
      <c r="F586" s="116">
        <v>113.5</v>
      </c>
      <c r="G586">
        <v>6922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43910</v>
      </c>
      <c r="B587" s="116">
        <v>119.15</v>
      </c>
      <c r="C587" s="116">
        <v>116.7</v>
      </c>
      <c r="D587" s="116">
        <v>110</v>
      </c>
      <c r="E587" s="116">
        <v>117.95</v>
      </c>
      <c r="F587" s="116">
        <v>116.7</v>
      </c>
      <c r="G587">
        <v>1633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43913</v>
      </c>
      <c r="B588" s="116">
        <v>114.5</v>
      </c>
      <c r="C588" s="116">
        <v>110.9</v>
      </c>
      <c r="D588" s="116">
        <v>110.9</v>
      </c>
      <c r="E588" s="116">
        <v>114.5</v>
      </c>
      <c r="F588" s="116">
        <v>110.9</v>
      </c>
      <c r="G588">
        <v>684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43914</v>
      </c>
      <c r="B589" s="116">
        <v>116</v>
      </c>
      <c r="C589" s="116">
        <v>108.25</v>
      </c>
      <c r="D589" s="116">
        <v>105.4</v>
      </c>
      <c r="E589" s="116">
        <v>105.4</v>
      </c>
      <c r="F589" s="116">
        <v>108.25</v>
      </c>
      <c r="G589">
        <v>4228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43915</v>
      </c>
      <c r="B590" s="116">
        <v>112.7</v>
      </c>
      <c r="C590" s="116">
        <v>106.4</v>
      </c>
      <c r="D590" s="116">
        <v>103</v>
      </c>
      <c r="E590" s="116">
        <v>109</v>
      </c>
      <c r="F590" s="116">
        <v>106.4</v>
      </c>
      <c r="G590">
        <v>1920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43916</v>
      </c>
      <c r="B591" s="116">
        <v>111.5</v>
      </c>
      <c r="C591" s="116">
        <v>110.35</v>
      </c>
      <c r="D591" s="116">
        <v>103.7</v>
      </c>
      <c r="E591" s="116">
        <v>105.5</v>
      </c>
      <c r="F591" s="116">
        <v>110.35</v>
      </c>
      <c r="G591">
        <v>1117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43917</v>
      </c>
      <c r="B592" s="116">
        <v>115.25</v>
      </c>
      <c r="C592" s="116">
        <v>109.15</v>
      </c>
      <c r="D592" s="116">
        <v>106.2</v>
      </c>
      <c r="E592" s="116">
        <v>112</v>
      </c>
      <c r="F592" s="116">
        <v>109.15</v>
      </c>
      <c r="G592">
        <v>253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43920</v>
      </c>
      <c r="B593" s="116">
        <v>113.65</v>
      </c>
      <c r="C593" s="116">
        <v>111</v>
      </c>
      <c r="D593" s="116">
        <v>111</v>
      </c>
      <c r="E593" s="116">
        <v>113.65</v>
      </c>
      <c r="F593" s="116">
        <v>111</v>
      </c>
      <c r="G593">
        <v>240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43921</v>
      </c>
      <c r="B594" s="116">
        <v>116.55</v>
      </c>
      <c r="C594" s="116">
        <v>116.55</v>
      </c>
      <c r="D594" s="116">
        <v>110.05</v>
      </c>
      <c r="E594" s="116">
        <v>116</v>
      </c>
      <c r="F594" s="116">
        <v>116.55</v>
      </c>
      <c r="G594">
        <v>419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43922</v>
      </c>
      <c r="B595" s="116">
        <v>121.9</v>
      </c>
      <c r="C595" s="116">
        <v>119.85</v>
      </c>
      <c r="D595" s="116">
        <v>113.25</v>
      </c>
      <c r="E595" s="116">
        <v>121.25</v>
      </c>
      <c r="F595" s="116">
        <v>119.85</v>
      </c>
      <c r="G595">
        <v>1540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43924</v>
      </c>
      <c r="B596" s="116">
        <v>120.9</v>
      </c>
      <c r="C596" s="116">
        <v>118</v>
      </c>
      <c r="D596" s="116">
        <v>115.1</v>
      </c>
      <c r="E596" s="116">
        <v>120.9</v>
      </c>
      <c r="F596" s="116">
        <v>118</v>
      </c>
      <c r="G596">
        <v>1497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43928</v>
      </c>
      <c r="B597" s="116">
        <v>123.9</v>
      </c>
      <c r="C597" s="116">
        <v>123.9</v>
      </c>
      <c r="D597" s="116">
        <v>123.7</v>
      </c>
      <c r="E597" s="116">
        <v>123.85</v>
      </c>
      <c r="F597" s="116">
        <v>123.9</v>
      </c>
      <c r="G597">
        <v>2500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43929</v>
      </c>
      <c r="B598" s="116">
        <v>130.05000000000001</v>
      </c>
      <c r="C598" s="116">
        <v>130.05000000000001</v>
      </c>
      <c r="D598" s="116">
        <v>130.05000000000001</v>
      </c>
      <c r="E598" s="116">
        <v>130.05000000000001</v>
      </c>
      <c r="F598" s="116">
        <v>130.05000000000001</v>
      </c>
      <c r="G598">
        <v>390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43930</v>
      </c>
      <c r="B599" s="116">
        <v>143.05000000000001</v>
      </c>
      <c r="C599" s="116">
        <v>143.05000000000001</v>
      </c>
      <c r="D599" s="116">
        <v>143.05000000000001</v>
      </c>
      <c r="E599" s="116">
        <v>143.05000000000001</v>
      </c>
      <c r="F599" s="116">
        <v>143.05000000000001</v>
      </c>
      <c r="G599">
        <v>316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43934</v>
      </c>
      <c r="B600" s="116">
        <v>157.35</v>
      </c>
      <c r="C600" s="116">
        <v>157.35</v>
      </c>
      <c r="D600" s="116">
        <v>157.35</v>
      </c>
      <c r="E600" s="116">
        <v>157.35</v>
      </c>
      <c r="F600" s="116">
        <v>157.35</v>
      </c>
      <c r="G600">
        <v>570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43936</v>
      </c>
      <c r="B601" s="116">
        <v>173.05</v>
      </c>
      <c r="C601" s="116">
        <v>173.05</v>
      </c>
      <c r="D601" s="116">
        <v>173.05</v>
      </c>
      <c r="E601" s="116">
        <v>173.05</v>
      </c>
      <c r="F601" s="116">
        <v>173.05</v>
      </c>
      <c r="G601">
        <v>541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43937</v>
      </c>
      <c r="B602" s="116">
        <v>181.7</v>
      </c>
      <c r="C602" s="116">
        <v>181.7</v>
      </c>
      <c r="D602" s="116">
        <v>181.7</v>
      </c>
      <c r="E602" s="116">
        <v>181.7</v>
      </c>
      <c r="F602" s="116">
        <v>181.7</v>
      </c>
      <c r="G602">
        <v>687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43938</v>
      </c>
      <c r="B603" s="116">
        <v>190.75</v>
      </c>
      <c r="C603" s="116">
        <v>185.7</v>
      </c>
      <c r="D603" s="116">
        <v>182.3</v>
      </c>
      <c r="E603" s="116">
        <v>190.75</v>
      </c>
      <c r="F603" s="116">
        <v>185.7</v>
      </c>
      <c r="G603">
        <v>8961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43941</v>
      </c>
      <c r="B604" s="116">
        <v>191.95</v>
      </c>
      <c r="C604" s="116">
        <v>187.95</v>
      </c>
      <c r="D604" s="116">
        <v>180</v>
      </c>
      <c r="E604" s="116">
        <v>190.2</v>
      </c>
      <c r="F604" s="116">
        <v>187.95</v>
      </c>
      <c r="G604">
        <v>3377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43942</v>
      </c>
      <c r="B605" s="116">
        <v>194.7</v>
      </c>
      <c r="C605" s="116">
        <v>179.5</v>
      </c>
      <c r="D605" s="116">
        <v>178.6</v>
      </c>
      <c r="E605" s="116">
        <v>194.7</v>
      </c>
      <c r="F605" s="116">
        <v>179.5</v>
      </c>
      <c r="G605">
        <v>484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43943</v>
      </c>
      <c r="B606" s="116">
        <v>178.9</v>
      </c>
      <c r="C606" s="116">
        <v>177.45</v>
      </c>
      <c r="D606" s="116">
        <v>171.1</v>
      </c>
      <c r="E606" s="116">
        <v>177.95</v>
      </c>
      <c r="F606" s="116">
        <v>177.45</v>
      </c>
      <c r="G606">
        <v>814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43944</v>
      </c>
      <c r="B607" s="116">
        <v>180</v>
      </c>
      <c r="C607" s="116">
        <v>179.95</v>
      </c>
      <c r="D607" s="116">
        <v>174</v>
      </c>
      <c r="E607" s="116">
        <v>178</v>
      </c>
      <c r="F607" s="116">
        <v>179.95</v>
      </c>
      <c r="G607">
        <v>1915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43945</v>
      </c>
      <c r="B608" s="116">
        <v>181</v>
      </c>
      <c r="C608" s="116">
        <v>179.7</v>
      </c>
      <c r="D608" s="116">
        <v>171.65</v>
      </c>
      <c r="E608" s="116">
        <v>181</v>
      </c>
      <c r="F608" s="116">
        <v>179.7</v>
      </c>
      <c r="G608">
        <v>1114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43948</v>
      </c>
      <c r="B609" s="116">
        <v>184</v>
      </c>
      <c r="C609" s="116">
        <v>183.6</v>
      </c>
      <c r="D609" s="116">
        <v>173.3</v>
      </c>
      <c r="E609" s="116">
        <v>179</v>
      </c>
      <c r="F609" s="116">
        <v>183.6</v>
      </c>
      <c r="G609">
        <v>308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43949</v>
      </c>
      <c r="B610" s="116">
        <v>183.6</v>
      </c>
      <c r="C610" s="116">
        <v>180.1</v>
      </c>
      <c r="D610" s="116">
        <v>175.25</v>
      </c>
      <c r="E610" s="116">
        <v>183.6</v>
      </c>
      <c r="F610" s="116">
        <v>180.1</v>
      </c>
      <c r="G610">
        <v>444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43950</v>
      </c>
      <c r="B611" s="116">
        <v>185</v>
      </c>
      <c r="C611" s="116">
        <v>178.65</v>
      </c>
      <c r="D611" s="116">
        <v>174.2</v>
      </c>
      <c r="E611" s="116">
        <v>185</v>
      </c>
      <c r="F611" s="116">
        <v>178.65</v>
      </c>
      <c r="G611">
        <v>1199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43951</v>
      </c>
      <c r="B612" s="116">
        <v>179</v>
      </c>
      <c r="C612" s="116">
        <v>169.9</v>
      </c>
      <c r="D612" s="116">
        <v>169.75</v>
      </c>
      <c r="E612" s="116">
        <v>179</v>
      </c>
      <c r="F612" s="116">
        <v>169.9</v>
      </c>
      <c r="G612">
        <v>2927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43955</v>
      </c>
      <c r="B613" s="116">
        <v>170</v>
      </c>
      <c r="C613" s="116">
        <v>164.3</v>
      </c>
      <c r="D613" s="116">
        <v>161.55000000000001</v>
      </c>
      <c r="E613" s="116">
        <v>169.75</v>
      </c>
      <c r="F613" s="116">
        <v>164.3</v>
      </c>
      <c r="G613">
        <v>1414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43956</v>
      </c>
      <c r="B614" s="116">
        <v>169.65</v>
      </c>
      <c r="C614" s="116">
        <v>157</v>
      </c>
      <c r="D614" s="116">
        <v>156.1</v>
      </c>
      <c r="E614" s="116">
        <v>165.95</v>
      </c>
      <c r="F614" s="116">
        <v>157</v>
      </c>
      <c r="G614">
        <v>1007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43957</v>
      </c>
      <c r="B615" s="116">
        <v>164.35</v>
      </c>
      <c r="C615" s="116">
        <v>155.65</v>
      </c>
      <c r="D615" s="116">
        <v>149.15</v>
      </c>
      <c r="E615" s="116">
        <v>149.19999999999999</v>
      </c>
      <c r="F615" s="116">
        <v>155.65</v>
      </c>
      <c r="G615">
        <v>1655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43958</v>
      </c>
      <c r="B616" s="116">
        <v>162.65</v>
      </c>
      <c r="C616" s="116">
        <v>155</v>
      </c>
      <c r="D616" s="116">
        <v>150.19999999999999</v>
      </c>
      <c r="E616" s="116">
        <v>162.65</v>
      </c>
      <c r="F616" s="116">
        <v>155</v>
      </c>
      <c r="G616">
        <v>1320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43959</v>
      </c>
      <c r="B617" s="116">
        <v>162.69999999999999</v>
      </c>
      <c r="C617" s="116">
        <v>150.05000000000001</v>
      </c>
      <c r="D617" s="116">
        <v>150</v>
      </c>
      <c r="E617" s="116">
        <v>162.69999999999999</v>
      </c>
      <c r="F617" s="116">
        <v>150.05000000000001</v>
      </c>
      <c r="G617">
        <v>503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43962</v>
      </c>
      <c r="B618" s="116">
        <v>157.44999999999999</v>
      </c>
      <c r="C618" s="116">
        <v>154</v>
      </c>
      <c r="D618" s="116">
        <v>150.15</v>
      </c>
      <c r="E618" s="116">
        <v>157.44999999999999</v>
      </c>
      <c r="F618" s="116">
        <v>154</v>
      </c>
      <c r="G618">
        <v>288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43963</v>
      </c>
      <c r="B619" s="116">
        <v>161.69999999999999</v>
      </c>
      <c r="C619" s="116">
        <v>161.65</v>
      </c>
      <c r="D619" s="116">
        <v>150</v>
      </c>
      <c r="E619" s="116">
        <v>160.9</v>
      </c>
      <c r="F619" s="116">
        <v>161.65</v>
      </c>
      <c r="G619">
        <v>596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43964</v>
      </c>
      <c r="B620" s="116">
        <v>169.45</v>
      </c>
      <c r="C620" s="116">
        <v>160</v>
      </c>
      <c r="D620" s="116">
        <v>156.19999999999999</v>
      </c>
      <c r="E620" s="116">
        <v>169</v>
      </c>
      <c r="F620" s="116">
        <v>160</v>
      </c>
      <c r="G620">
        <v>705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43965</v>
      </c>
      <c r="B621" s="116">
        <v>165</v>
      </c>
      <c r="C621" s="116">
        <v>163</v>
      </c>
      <c r="D621" s="116">
        <v>160</v>
      </c>
      <c r="E621" s="116">
        <v>165</v>
      </c>
      <c r="F621" s="116">
        <v>163</v>
      </c>
      <c r="G621">
        <v>919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43966</v>
      </c>
      <c r="B622" s="116">
        <v>162.5</v>
      </c>
      <c r="C622" s="116">
        <v>162.5</v>
      </c>
      <c r="D622" s="116">
        <v>154.85</v>
      </c>
      <c r="E622" s="116">
        <v>160</v>
      </c>
      <c r="F622" s="116">
        <v>162.5</v>
      </c>
      <c r="G622">
        <v>1685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43969</v>
      </c>
      <c r="B623" s="116">
        <v>168.5</v>
      </c>
      <c r="C623" s="116">
        <v>154.44999999999999</v>
      </c>
      <c r="D623" s="116">
        <v>154.4</v>
      </c>
      <c r="E623" s="116">
        <v>160</v>
      </c>
      <c r="F623" s="116">
        <v>154.44999999999999</v>
      </c>
      <c r="G623">
        <v>1240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43970</v>
      </c>
      <c r="B624" s="116">
        <v>162</v>
      </c>
      <c r="C624" s="116">
        <v>154.25</v>
      </c>
      <c r="D624" s="116">
        <v>146.75</v>
      </c>
      <c r="E624" s="116">
        <v>160</v>
      </c>
      <c r="F624" s="116">
        <v>154.25</v>
      </c>
      <c r="G624">
        <v>1228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43971</v>
      </c>
      <c r="B625" s="116">
        <v>156</v>
      </c>
      <c r="C625" s="116">
        <v>153.1</v>
      </c>
      <c r="D625" s="116">
        <v>146.6</v>
      </c>
      <c r="E625" s="116">
        <v>156</v>
      </c>
      <c r="F625" s="116">
        <v>153.1</v>
      </c>
      <c r="G625">
        <v>2887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43972</v>
      </c>
      <c r="B626" s="116">
        <v>160.75</v>
      </c>
      <c r="C626" s="116">
        <v>160.5</v>
      </c>
      <c r="D626" s="116">
        <v>151.19999999999999</v>
      </c>
      <c r="E626" s="116">
        <v>160.44999999999999</v>
      </c>
      <c r="F626" s="116">
        <v>160.5</v>
      </c>
      <c r="G626">
        <v>2155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43973</v>
      </c>
      <c r="B627" s="116">
        <v>160</v>
      </c>
      <c r="C627" s="116">
        <v>160</v>
      </c>
      <c r="D627" s="116">
        <v>154.1</v>
      </c>
      <c r="E627" s="116">
        <v>154.1</v>
      </c>
      <c r="F627" s="116">
        <v>160</v>
      </c>
      <c r="G627">
        <v>48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43977</v>
      </c>
      <c r="B628" s="116">
        <v>167.9</v>
      </c>
      <c r="C628" s="116">
        <v>159</v>
      </c>
      <c r="D628" s="116">
        <v>155</v>
      </c>
      <c r="E628" s="116">
        <v>167.9</v>
      </c>
      <c r="F628" s="116">
        <v>159</v>
      </c>
      <c r="G628">
        <v>732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43978</v>
      </c>
      <c r="B629" s="116">
        <v>161.5</v>
      </c>
      <c r="C629" s="116">
        <v>160.94999999999999</v>
      </c>
      <c r="D629" s="116">
        <v>155</v>
      </c>
      <c r="E629" s="116">
        <v>159</v>
      </c>
      <c r="F629" s="116">
        <v>160.94999999999999</v>
      </c>
      <c r="G629">
        <v>4904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43979</v>
      </c>
      <c r="B630" s="116">
        <v>168.3</v>
      </c>
      <c r="C630" s="116">
        <v>163.5</v>
      </c>
      <c r="D630" s="116">
        <v>152.94999999999999</v>
      </c>
      <c r="E630" s="116">
        <v>153.1</v>
      </c>
      <c r="F630" s="116">
        <v>163.5</v>
      </c>
      <c r="G630">
        <v>1277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43980</v>
      </c>
      <c r="B631" s="116">
        <v>171</v>
      </c>
      <c r="C631" s="116">
        <v>166.3</v>
      </c>
      <c r="D631" s="116">
        <v>158.55000000000001</v>
      </c>
      <c r="E631" s="116">
        <v>168</v>
      </c>
      <c r="F631" s="116">
        <v>166.3</v>
      </c>
      <c r="G631">
        <v>353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43983</v>
      </c>
      <c r="B632" s="116">
        <v>173.95</v>
      </c>
      <c r="C632" s="116">
        <v>166.35</v>
      </c>
      <c r="D632" s="116">
        <v>159.1</v>
      </c>
      <c r="E632" s="116">
        <v>173.95</v>
      </c>
      <c r="F632" s="116">
        <v>166.35</v>
      </c>
      <c r="G632">
        <v>803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43984</v>
      </c>
      <c r="B633" s="116">
        <v>174.65</v>
      </c>
      <c r="C633" s="116">
        <v>174.65</v>
      </c>
      <c r="D633" s="116">
        <v>160</v>
      </c>
      <c r="E633" s="116">
        <v>170.9</v>
      </c>
      <c r="F633" s="116">
        <v>174.65</v>
      </c>
      <c r="G633">
        <v>3718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43985</v>
      </c>
      <c r="B634" s="116">
        <v>183.35</v>
      </c>
      <c r="C634" s="116">
        <v>180.4</v>
      </c>
      <c r="D634" s="116">
        <v>176</v>
      </c>
      <c r="E634" s="116">
        <v>180</v>
      </c>
      <c r="F634" s="116">
        <v>180.4</v>
      </c>
      <c r="G634">
        <v>2713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43986</v>
      </c>
      <c r="B635" s="116">
        <v>184.85</v>
      </c>
      <c r="C635" s="116">
        <v>179.2</v>
      </c>
      <c r="D635" s="116">
        <v>172.5</v>
      </c>
      <c r="E635" s="116">
        <v>184.85</v>
      </c>
      <c r="F635" s="116">
        <v>179.2</v>
      </c>
      <c r="G635">
        <v>1003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43987</v>
      </c>
      <c r="B636" s="116">
        <v>191.7</v>
      </c>
      <c r="C636" s="116">
        <v>184.15</v>
      </c>
      <c r="D636" s="116">
        <v>176</v>
      </c>
      <c r="E636" s="116">
        <v>176</v>
      </c>
      <c r="F636" s="116">
        <v>184.15</v>
      </c>
      <c r="G636">
        <v>2866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43990</v>
      </c>
      <c r="B637" s="116">
        <v>195</v>
      </c>
      <c r="C637" s="116">
        <v>192.15</v>
      </c>
      <c r="D637" s="116">
        <v>180.1</v>
      </c>
      <c r="E637" s="116">
        <v>185</v>
      </c>
      <c r="F637" s="116">
        <v>192.15</v>
      </c>
      <c r="G637">
        <v>1922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43991</v>
      </c>
      <c r="B638" s="116">
        <v>196</v>
      </c>
      <c r="C638" s="116">
        <v>184.95</v>
      </c>
      <c r="D638" s="116">
        <v>182.55</v>
      </c>
      <c r="E638" s="116">
        <v>195</v>
      </c>
      <c r="F638" s="116">
        <v>184.95</v>
      </c>
      <c r="G638">
        <v>3256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43992</v>
      </c>
      <c r="B639" s="116">
        <v>194.8</v>
      </c>
      <c r="C639" s="116">
        <v>187.55</v>
      </c>
      <c r="D639" s="116">
        <v>183</v>
      </c>
      <c r="E639" s="116">
        <v>194.8</v>
      </c>
      <c r="F639" s="116">
        <v>187.55</v>
      </c>
      <c r="G639">
        <v>6101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43993</v>
      </c>
      <c r="B640" s="116">
        <v>197</v>
      </c>
      <c r="C640" s="116">
        <v>190</v>
      </c>
      <c r="D640" s="116">
        <v>188</v>
      </c>
      <c r="E640" s="116">
        <v>194</v>
      </c>
      <c r="F640" s="116">
        <v>190</v>
      </c>
      <c r="G640">
        <v>7387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43994</v>
      </c>
      <c r="B641" s="116">
        <v>198.9</v>
      </c>
      <c r="C641" s="116">
        <v>189.85</v>
      </c>
      <c r="D641" s="116">
        <v>185</v>
      </c>
      <c r="E641" s="116">
        <v>185</v>
      </c>
      <c r="F641" s="116">
        <v>189.85</v>
      </c>
      <c r="G641">
        <v>6672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43997</v>
      </c>
      <c r="B642" s="116">
        <v>197.95</v>
      </c>
      <c r="C642" s="116">
        <v>183.35</v>
      </c>
      <c r="D642" s="116">
        <v>180.95</v>
      </c>
      <c r="E642" s="116">
        <v>197.95</v>
      </c>
      <c r="F642" s="116">
        <v>183.35</v>
      </c>
      <c r="G642">
        <v>5500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43998</v>
      </c>
      <c r="B643" s="116">
        <v>191.95</v>
      </c>
      <c r="C643" s="116">
        <v>182.1</v>
      </c>
      <c r="D643" s="116">
        <v>175</v>
      </c>
      <c r="E643" s="116">
        <v>191.95</v>
      </c>
      <c r="F643" s="116">
        <v>182.1</v>
      </c>
      <c r="G643">
        <v>7421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43999</v>
      </c>
      <c r="B644" s="116">
        <v>186.9</v>
      </c>
      <c r="C644" s="116">
        <v>179.5</v>
      </c>
      <c r="D644" s="116">
        <v>175</v>
      </c>
      <c r="E644" s="116">
        <v>186.9</v>
      </c>
      <c r="F644" s="116">
        <v>179.5</v>
      </c>
      <c r="G644">
        <v>1902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44000</v>
      </c>
      <c r="B645" s="116">
        <v>185.5</v>
      </c>
      <c r="C645" s="116">
        <v>185.45</v>
      </c>
      <c r="D645" s="116">
        <v>183.8</v>
      </c>
      <c r="E645" s="116">
        <v>183.8</v>
      </c>
      <c r="F645" s="116">
        <v>185.45</v>
      </c>
      <c r="G645">
        <v>511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44001</v>
      </c>
      <c r="B646" s="116">
        <v>197.8</v>
      </c>
      <c r="C646" s="116">
        <v>194.35</v>
      </c>
      <c r="D646" s="116">
        <v>174.1</v>
      </c>
      <c r="E646" s="116">
        <v>197.8</v>
      </c>
      <c r="F646" s="116">
        <v>194.35</v>
      </c>
      <c r="G646">
        <v>2852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44004</v>
      </c>
      <c r="B647" s="116">
        <v>197</v>
      </c>
      <c r="C647" s="116">
        <v>187.25</v>
      </c>
      <c r="D647" s="116">
        <v>178.05</v>
      </c>
      <c r="E647" s="116">
        <v>178.05</v>
      </c>
      <c r="F647" s="116">
        <v>187.25</v>
      </c>
      <c r="G647">
        <v>3111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44005</v>
      </c>
      <c r="B648" s="116">
        <v>193.75</v>
      </c>
      <c r="C648" s="116">
        <v>190.35</v>
      </c>
      <c r="D648" s="116">
        <v>185</v>
      </c>
      <c r="E648" s="116">
        <v>193.75</v>
      </c>
      <c r="F648" s="116">
        <v>190.35</v>
      </c>
      <c r="G648">
        <v>1760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44006</v>
      </c>
      <c r="B649" s="116">
        <v>196.45</v>
      </c>
      <c r="C649" s="116">
        <v>191.2</v>
      </c>
      <c r="D649" s="116">
        <v>187.05</v>
      </c>
      <c r="E649" s="116">
        <v>196.45</v>
      </c>
      <c r="F649" s="116">
        <v>191.2</v>
      </c>
      <c r="G649">
        <v>3786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44007</v>
      </c>
      <c r="B650" s="116">
        <v>192.9</v>
      </c>
      <c r="C650" s="116">
        <v>190</v>
      </c>
      <c r="D650" s="116">
        <v>185.05</v>
      </c>
      <c r="E650" s="116">
        <v>189</v>
      </c>
      <c r="F650" s="116">
        <v>190</v>
      </c>
      <c r="G650">
        <v>2670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44008</v>
      </c>
      <c r="B651" s="116">
        <v>193.2</v>
      </c>
      <c r="C651" s="116">
        <v>187</v>
      </c>
      <c r="D651" s="116">
        <v>183.05</v>
      </c>
      <c r="E651" s="116">
        <v>183.05</v>
      </c>
      <c r="F651" s="116">
        <v>187</v>
      </c>
      <c r="G651">
        <v>686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44011</v>
      </c>
      <c r="B652" s="116">
        <v>189.95</v>
      </c>
      <c r="C652" s="116">
        <v>187</v>
      </c>
      <c r="D652" s="116">
        <v>175.85</v>
      </c>
      <c r="E652" s="116">
        <v>175.85</v>
      </c>
      <c r="F652" s="116">
        <v>187</v>
      </c>
      <c r="G652">
        <v>1128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44012</v>
      </c>
      <c r="B653" s="116">
        <v>190</v>
      </c>
      <c r="C653" s="116">
        <v>186.7</v>
      </c>
      <c r="D653" s="116">
        <v>180.05</v>
      </c>
      <c r="E653" s="116">
        <v>189.7</v>
      </c>
      <c r="F653" s="116">
        <v>186.7</v>
      </c>
      <c r="G653">
        <v>1442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44013</v>
      </c>
      <c r="B654" s="116">
        <v>196</v>
      </c>
      <c r="C654" s="116">
        <v>173.6</v>
      </c>
      <c r="D654" s="116">
        <v>168.5</v>
      </c>
      <c r="E654" s="116">
        <v>178</v>
      </c>
      <c r="F654" s="116">
        <v>173.6</v>
      </c>
      <c r="G654">
        <v>228783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44014</v>
      </c>
      <c r="B655" s="116">
        <v>190</v>
      </c>
      <c r="C655" s="116">
        <v>188.2</v>
      </c>
      <c r="D655" s="116">
        <v>168.5</v>
      </c>
      <c r="E655" s="116">
        <v>178.8</v>
      </c>
      <c r="F655" s="116">
        <v>188.2</v>
      </c>
      <c r="G655">
        <v>2424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44015</v>
      </c>
      <c r="B656" s="116">
        <v>194.8</v>
      </c>
      <c r="C656" s="116">
        <v>186.9</v>
      </c>
      <c r="D656" s="116">
        <v>173.4</v>
      </c>
      <c r="E656" s="116">
        <v>173.4</v>
      </c>
      <c r="F656" s="116">
        <v>186.9</v>
      </c>
      <c r="G656">
        <v>692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44018</v>
      </c>
      <c r="B657" s="116">
        <v>193.7</v>
      </c>
      <c r="C657" s="116">
        <v>181.35</v>
      </c>
      <c r="D657" s="116">
        <v>178.5</v>
      </c>
      <c r="E657" s="116">
        <v>186</v>
      </c>
      <c r="F657" s="116">
        <v>181.35</v>
      </c>
      <c r="G657">
        <v>2813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44019</v>
      </c>
      <c r="B658" s="116">
        <v>184.9</v>
      </c>
      <c r="C658" s="116">
        <v>176.85</v>
      </c>
      <c r="D658" s="116">
        <v>176.2</v>
      </c>
      <c r="E658" s="116">
        <v>178.5</v>
      </c>
      <c r="F658" s="116">
        <v>176.85</v>
      </c>
      <c r="G658">
        <v>952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44020</v>
      </c>
      <c r="B659" s="116">
        <v>179.95</v>
      </c>
      <c r="C659" s="116">
        <v>179.25</v>
      </c>
      <c r="D659" s="116">
        <v>172.05</v>
      </c>
      <c r="E659" s="116">
        <v>172.05</v>
      </c>
      <c r="F659" s="116">
        <v>179.25</v>
      </c>
      <c r="G659">
        <v>993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44021</v>
      </c>
      <c r="B660" s="116">
        <v>184.35</v>
      </c>
      <c r="C660" s="116">
        <v>179.25</v>
      </c>
      <c r="D660" s="116">
        <v>172.2</v>
      </c>
      <c r="E660" s="116">
        <v>172.2</v>
      </c>
      <c r="F660" s="116">
        <v>179.25</v>
      </c>
      <c r="G660">
        <v>1037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44022</v>
      </c>
      <c r="B661" s="116">
        <v>184.6</v>
      </c>
      <c r="C661" s="116">
        <v>181.75</v>
      </c>
      <c r="D661" s="116">
        <v>165.15</v>
      </c>
      <c r="E661" s="116">
        <v>172.3</v>
      </c>
      <c r="F661" s="116">
        <v>181.75</v>
      </c>
      <c r="G661">
        <v>2411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44025</v>
      </c>
      <c r="B662" s="116">
        <v>181</v>
      </c>
      <c r="C662" s="116">
        <v>174.85</v>
      </c>
      <c r="D662" s="116">
        <v>172.8</v>
      </c>
      <c r="E662" s="116">
        <v>181</v>
      </c>
      <c r="F662" s="116">
        <v>174.85</v>
      </c>
      <c r="G662">
        <v>2463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44026</v>
      </c>
      <c r="B663" s="116">
        <v>179.45</v>
      </c>
      <c r="C663" s="116">
        <v>171.45</v>
      </c>
      <c r="D663" s="116">
        <v>171</v>
      </c>
      <c r="E663" s="116">
        <v>177.65</v>
      </c>
      <c r="F663" s="116">
        <v>171.45</v>
      </c>
      <c r="G663">
        <v>1174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44027</v>
      </c>
      <c r="B664" s="116">
        <v>177.85</v>
      </c>
      <c r="C664" s="116">
        <v>170.85</v>
      </c>
      <c r="D664" s="116">
        <v>168</v>
      </c>
      <c r="E664" s="116">
        <v>173.05</v>
      </c>
      <c r="F664" s="116">
        <v>170.85</v>
      </c>
      <c r="G664">
        <v>2704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44028</v>
      </c>
      <c r="B665" s="116">
        <v>184.2</v>
      </c>
      <c r="C665" s="116">
        <v>168.35</v>
      </c>
      <c r="D665" s="116">
        <v>165.2</v>
      </c>
      <c r="E665" s="116">
        <v>184.2</v>
      </c>
      <c r="F665" s="116">
        <v>168.35</v>
      </c>
      <c r="G665">
        <v>1948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44029</v>
      </c>
      <c r="B666" s="116">
        <v>179.9</v>
      </c>
      <c r="C666" s="116">
        <v>176.05</v>
      </c>
      <c r="D666" s="116">
        <v>171</v>
      </c>
      <c r="E666" s="116">
        <v>179.9</v>
      </c>
      <c r="F666" s="116">
        <v>176.05</v>
      </c>
      <c r="G666">
        <v>769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44032</v>
      </c>
      <c r="B667" s="116">
        <v>191.4</v>
      </c>
      <c r="C667" s="116">
        <v>187.8</v>
      </c>
      <c r="D667" s="116">
        <v>170</v>
      </c>
      <c r="E667" s="116">
        <v>170</v>
      </c>
      <c r="F667" s="116">
        <v>187.8</v>
      </c>
      <c r="G667">
        <v>3844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44033</v>
      </c>
      <c r="B668" s="116">
        <v>206.55</v>
      </c>
      <c r="C668" s="116">
        <v>206.55</v>
      </c>
      <c r="D668" s="116">
        <v>178.1</v>
      </c>
      <c r="E668" s="116">
        <v>192</v>
      </c>
      <c r="F668" s="116">
        <v>206.55</v>
      </c>
      <c r="G668">
        <v>10789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44034</v>
      </c>
      <c r="B669" s="116">
        <v>227.2</v>
      </c>
      <c r="C669" s="116">
        <v>222.85</v>
      </c>
      <c r="D669" s="116">
        <v>215.65</v>
      </c>
      <c r="E669" s="116">
        <v>226.9</v>
      </c>
      <c r="F669" s="116">
        <v>222.85</v>
      </c>
      <c r="G669">
        <v>15775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44035</v>
      </c>
      <c r="B670" s="116">
        <v>230.55</v>
      </c>
      <c r="C670" s="116">
        <v>228.8</v>
      </c>
      <c r="D670" s="116">
        <v>212.1</v>
      </c>
      <c r="E670" s="116">
        <v>217</v>
      </c>
      <c r="F670" s="116">
        <v>228.8</v>
      </c>
      <c r="G670">
        <v>6014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44036</v>
      </c>
      <c r="B671" s="116">
        <v>237.3</v>
      </c>
      <c r="C671" s="116">
        <v>232.35</v>
      </c>
      <c r="D671" s="116">
        <v>221</v>
      </c>
      <c r="E671" s="116">
        <v>227.3</v>
      </c>
      <c r="F671" s="116">
        <v>232.35</v>
      </c>
      <c r="G671">
        <v>7593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44039</v>
      </c>
      <c r="B672" s="116">
        <v>242.5</v>
      </c>
      <c r="C672" s="116">
        <v>237.85</v>
      </c>
      <c r="D672" s="116">
        <v>225</v>
      </c>
      <c r="E672" s="116">
        <v>242.5</v>
      </c>
      <c r="F672" s="116">
        <v>237.85</v>
      </c>
      <c r="G672">
        <v>15664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44040</v>
      </c>
      <c r="B673" s="116">
        <v>245.9</v>
      </c>
      <c r="C673" s="116">
        <v>242.65</v>
      </c>
      <c r="D673" s="116">
        <v>238</v>
      </c>
      <c r="E673" s="116">
        <v>242</v>
      </c>
      <c r="F673" s="116">
        <v>242.65</v>
      </c>
      <c r="G673">
        <v>6011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44041</v>
      </c>
      <c r="B674" s="116">
        <v>246.9</v>
      </c>
      <c r="C674" s="116">
        <v>237.05</v>
      </c>
      <c r="D674" s="116">
        <v>232.2</v>
      </c>
      <c r="E674" s="116">
        <v>243.85</v>
      </c>
      <c r="F674" s="116">
        <v>237.05</v>
      </c>
      <c r="G674">
        <v>5380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44042</v>
      </c>
      <c r="B675" s="116">
        <v>225.2</v>
      </c>
      <c r="C675" s="116">
        <v>225.2</v>
      </c>
      <c r="D675" s="116">
        <v>225.2</v>
      </c>
      <c r="E675" s="116">
        <v>225.2</v>
      </c>
      <c r="F675" s="116">
        <v>225.2</v>
      </c>
      <c r="G675">
        <v>1030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44043</v>
      </c>
      <c r="B676" s="116">
        <v>213.95</v>
      </c>
      <c r="C676" s="116">
        <v>213.95</v>
      </c>
      <c r="D676" s="116">
        <v>213.95</v>
      </c>
      <c r="E676" s="116">
        <v>213.95</v>
      </c>
      <c r="F676" s="116">
        <v>213.95</v>
      </c>
      <c r="G676">
        <v>1522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44046</v>
      </c>
      <c r="B677" s="116">
        <v>205</v>
      </c>
      <c r="C677" s="116">
        <v>203.3</v>
      </c>
      <c r="D677" s="116">
        <v>203.3</v>
      </c>
      <c r="E677" s="116">
        <v>205</v>
      </c>
      <c r="F677" s="116">
        <v>203.3</v>
      </c>
      <c r="G677">
        <v>8141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44047</v>
      </c>
      <c r="B678" s="116">
        <v>213.45</v>
      </c>
      <c r="C678" s="116">
        <v>213.45</v>
      </c>
      <c r="D678" s="116">
        <v>193.15</v>
      </c>
      <c r="E678" s="116">
        <v>193.15</v>
      </c>
      <c r="F678" s="116">
        <v>213.45</v>
      </c>
      <c r="G678">
        <v>24097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44048</v>
      </c>
      <c r="B679" s="116">
        <v>224.1</v>
      </c>
      <c r="C679" s="116">
        <v>219.25</v>
      </c>
      <c r="D679" s="116">
        <v>208</v>
      </c>
      <c r="E679" s="116">
        <v>214</v>
      </c>
      <c r="F679" s="116">
        <v>219.25</v>
      </c>
      <c r="G679">
        <v>22731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44049</v>
      </c>
      <c r="B680" s="116">
        <v>230</v>
      </c>
      <c r="C680" s="116">
        <v>230</v>
      </c>
      <c r="D680" s="116">
        <v>210.55</v>
      </c>
      <c r="E680" s="116">
        <v>225</v>
      </c>
      <c r="F680" s="116">
        <v>230</v>
      </c>
      <c r="G680">
        <v>16319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44050</v>
      </c>
      <c r="B681" s="116">
        <v>253</v>
      </c>
      <c r="C681" s="116">
        <v>253</v>
      </c>
      <c r="D681" s="116">
        <v>231</v>
      </c>
      <c r="E681" s="116">
        <v>231</v>
      </c>
      <c r="F681" s="116">
        <v>253</v>
      </c>
      <c r="G681">
        <v>18316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44053</v>
      </c>
      <c r="B682" s="116">
        <v>278.3</v>
      </c>
      <c r="C682" s="116">
        <v>278.3</v>
      </c>
      <c r="D682" s="116">
        <v>260.75</v>
      </c>
      <c r="E682" s="116">
        <v>274</v>
      </c>
      <c r="F682" s="116">
        <v>278.3</v>
      </c>
      <c r="G682">
        <v>10794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44054</v>
      </c>
      <c r="B683" s="116">
        <v>299.7</v>
      </c>
      <c r="C683" s="116">
        <v>278.7</v>
      </c>
      <c r="D683" s="116">
        <v>265</v>
      </c>
      <c r="E683" s="116">
        <v>299.7</v>
      </c>
      <c r="F683" s="116">
        <v>278.7</v>
      </c>
      <c r="G683">
        <v>18171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44055</v>
      </c>
      <c r="B684" s="116">
        <v>279</v>
      </c>
      <c r="C684" s="116">
        <v>261.10000000000002</v>
      </c>
      <c r="D684" s="116">
        <v>253.55</v>
      </c>
      <c r="E684" s="116">
        <v>279</v>
      </c>
      <c r="F684" s="116">
        <v>261.10000000000002</v>
      </c>
      <c r="G684">
        <v>7778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44056</v>
      </c>
      <c r="B685" s="116">
        <v>267.95</v>
      </c>
      <c r="C685" s="116">
        <v>237.85</v>
      </c>
      <c r="D685" s="116">
        <v>235</v>
      </c>
      <c r="E685" s="116">
        <v>263</v>
      </c>
      <c r="F685" s="116">
        <v>237.85</v>
      </c>
      <c r="G685">
        <v>17441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44057</v>
      </c>
      <c r="B686" s="116">
        <v>247.95</v>
      </c>
      <c r="C686" s="116">
        <v>237.8</v>
      </c>
      <c r="D686" s="116">
        <v>228.6</v>
      </c>
      <c r="E686" s="116">
        <v>240</v>
      </c>
      <c r="F686" s="116">
        <v>237.8</v>
      </c>
      <c r="G686">
        <v>4228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44060</v>
      </c>
      <c r="B687" s="116">
        <v>249</v>
      </c>
      <c r="C687" s="116">
        <v>235.05</v>
      </c>
      <c r="D687" s="116">
        <v>228</v>
      </c>
      <c r="E687" s="116">
        <v>249</v>
      </c>
      <c r="F687" s="116">
        <v>235.05</v>
      </c>
      <c r="G687">
        <v>6145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44061</v>
      </c>
      <c r="B688" s="116">
        <v>239</v>
      </c>
      <c r="C688" s="116">
        <v>233.35</v>
      </c>
      <c r="D688" s="116">
        <v>232.05</v>
      </c>
      <c r="E688" s="116">
        <v>235.05</v>
      </c>
      <c r="F688" s="116">
        <v>233.35</v>
      </c>
      <c r="G688">
        <v>2995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44062</v>
      </c>
      <c r="B689" s="116">
        <v>242.9</v>
      </c>
      <c r="C689" s="116">
        <v>236</v>
      </c>
      <c r="D689" s="116">
        <v>228</v>
      </c>
      <c r="E689" s="116">
        <v>231</v>
      </c>
      <c r="F689" s="116">
        <v>236</v>
      </c>
      <c r="G689">
        <v>3758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44063</v>
      </c>
      <c r="B690" s="116">
        <v>239.7</v>
      </c>
      <c r="C690" s="116">
        <v>229.7</v>
      </c>
      <c r="D690" s="116">
        <v>226</v>
      </c>
      <c r="E690" s="116">
        <v>231</v>
      </c>
      <c r="F690" s="116">
        <v>229.7</v>
      </c>
      <c r="G690">
        <v>3610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44064</v>
      </c>
      <c r="B691" s="116">
        <v>245</v>
      </c>
      <c r="C691" s="116">
        <v>232</v>
      </c>
      <c r="D691" s="116">
        <v>225</v>
      </c>
      <c r="E691" s="116">
        <v>230</v>
      </c>
      <c r="F691" s="116">
        <v>232</v>
      </c>
      <c r="G691">
        <v>11989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44067</v>
      </c>
      <c r="B692" s="116">
        <v>240</v>
      </c>
      <c r="C692" s="116">
        <v>236.2</v>
      </c>
      <c r="D692" s="116">
        <v>229</v>
      </c>
      <c r="E692" s="116">
        <v>240</v>
      </c>
      <c r="F692" s="116">
        <v>236.2</v>
      </c>
      <c r="G692">
        <v>2768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44068</v>
      </c>
      <c r="B693" s="116">
        <v>247.9</v>
      </c>
      <c r="C693" s="116">
        <v>231.4</v>
      </c>
      <c r="D693" s="116">
        <v>230</v>
      </c>
      <c r="E693" s="116">
        <v>230</v>
      </c>
      <c r="F693" s="116">
        <v>231.4</v>
      </c>
      <c r="G693">
        <v>1854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44069</v>
      </c>
      <c r="B694" s="116">
        <v>244.95</v>
      </c>
      <c r="C694" s="116">
        <v>220.1</v>
      </c>
      <c r="D694" s="116">
        <v>216.9</v>
      </c>
      <c r="E694" s="116">
        <v>230.5</v>
      </c>
      <c r="F694" s="116">
        <v>220.1</v>
      </c>
      <c r="G694">
        <v>6032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44070</v>
      </c>
      <c r="B695" s="116">
        <v>229.75</v>
      </c>
      <c r="C695" s="116">
        <v>211.15</v>
      </c>
      <c r="D695" s="116">
        <v>205.1</v>
      </c>
      <c r="E695" s="116">
        <v>229.75</v>
      </c>
      <c r="F695" s="116">
        <v>211.15</v>
      </c>
      <c r="G695">
        <v>6217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44071</v>
      </c>
      <c r="B696" s="116">
        <v>218</v>
      </c>
      <c r="C696" s="116">
        <v>211</v>
      </c>
      <c r="D696" s="116">
        <v>205</v>
      </c>
      <c r="E696" s="116">
        <v>215</v>
      </c>
      <c r="F696" s="116">
        <v>211</v>
      </c>
      <c r="G696">
        <v>6685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44074</v>
      </c>
      <c r="B697" s="116">
        <v>222</v>
      </c>
      <c r="C697" s="116">
        <v>206.2</v>
      </c>
      <c r="D697" s="116">
        <v>200.1</v>
      </c>
      <c r="E697" s="116">
        <v>218</v>
      </c>
      <c r="F697" s="116">
        <v>206.2</v>
      </c>
      <c r="G697">
        <v>5225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44075</v>
      </c>
      <c r="B698" s="116">
        <v>218</v>
      </c>
      <c r="C698" s="116">
        <v>210</v>
      </c>
      <c r="D698" s="116">
        <v>190</v>
      </c>
      <c r="E698" s="116">
        <v>206.2</v>
      </c>
      <c r="F698" s="116">
        <v>210</v>
      </c>
      <c r="G698">
        <v>2486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44076</v>
      </c>
      <c r="B699" s="116">
        <v>231</v>
      </c>
      <c r="C699" s="116">
        <v>231</v>
      </c>
      <c r="D699" s="116">
        <v>210</v>
      </c>
      <c r="E699" s="116">
        <v>218</v>
      </c>
      <c r="F699" s="116">
        <v>231</v>
      </c>
      <c r="G699">
        <v>6395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44077</v>
      </c>
      <c r="B700" s="116">
        <v>244</v>
      </c>
      <c r="C700" s="116">
        <v>234.35</v>
      </c>
      <c r="D700" s="116">
        <v>230</v>
      </c>
      <c r="E700" s="116">
        <v>231</v>
      </c>
      <c r="F700" s="116">
        <v>234.35</v>
      </c>
      <c r="G700">
        <v>4063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44078</v>
      </c>
      <c r="B701" s="116">
        <v>234</v>
      </c>
      <c r="C701" s="116">
        <v>230.35</v>
      </c>
      <c r="D701" s="116">
        <v>211</v>
      </c>
      <c r="E701" s="116">
        <v>234</v>
      </c>
      <c r="F701" s="116">
        <v>230.35</v>
      </c>
      <c r="G701">
        <v>3826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44081</v>
      </c>
      <c r="B702" s="116">
        <v>233.85</v>
      </c>
      <c r="C702" s="116">
        <v>229.05</v>
      </c>
      <c r="D702" s="116">
        <v>214.6</v>
      </c>
      <c r="E702" s="116">
        <v>232</v>
      </c>
      <c r="F702" s="116">
        <v>229.05</v>
      </c>
      <c r="G702">
        <v>9220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44082</v>
      </c>
      <c r="B703" s="116">
        <v>230</v>
      </c>
      <c r="C703" s="116">
        <v>225.75</v>
      </c>
      <c r="D703" s="116">
        <v>223</v>
      </c>
      <c r="E703" s="116">
        <v>230</v>
      </c>
      <c r="F703" s="116">
        <v>225.75</v>
      </c>
      <c r="G703">
        <v>2449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44083</v>
      </c>
      <c r="B704" s="116">
        <v>236</v>
      </c>
      <c r="C704" s="116">
        <v>231.3</v>
      </c>
      <c r="D704" s="116">
        <v>215.2</v>
      </c>
      <c r="E704" s="116">
        <v>220</v>
      </c>
      <c r="F704" s="116">
        <v>231.3</v>
      </c>
      <c r="G704">
        <v>3429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44084</v>
      </c>
      <c r="B705" s="116">
        <v>238.8</v>
      </c>
      <c r="C705" s="116">
        <v>230.2</v>
      </c>
      <c r="D705" s="116">
        <v>222.25</v>
      </c>
      <c r="E705" s="116">
        <v>232</v>
      </c>
      <c r="F705" s="116">
        <v>230.2</v>
      </c>
      <c r="G705">
        <v>3237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44085</v>
      </c>
      <c r="B706" s="116">
        <v>230</v>
      </c>
      <c r="C706" s="116">
        <v>227.85</v>
      </c>
      <c r="D706" s="116">
        <v>223.25</v>
      </c>
      <c r="E706" s="116">
        <v>230</v>
      </c>
      <c r="F706" s="116">
        <v>227.85</v>
      </c>
      <c r="G706">
        <v>888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44088</v>
      </c>
      <c r="B707" s="116">
        <v>230.95</v>
      </c>
      <c r="C707" s="116">
        <v>220.6</v>
      </c>
      <c r="D707" s="116">
        <v>218.6</v>
      </c>
      <c r="E707" s="116">
        <v>227.7</v>
      </c>
      <c r="F707" s="116">
        <v>220.6</v>
      </c>
      <c r="G707">
        <v>2064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44089</v>
      </c>
      <c r="B708" s="116">
        <v>223</v>
      </c>
      <c r="C708" s="116">
        <v>217.6</v>
      </c>
      <c r="D708" s="116">
        <v>216</v>
      </c>
      <c r="E708" s="116">
        <v>216</v>
      </c>
      <c r="F708" s="116">
        <v>217.6</v>
      </c>
      <c r="G708">
        <v>5281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44090</v>
      </c>
      <c r="B709" s="116">
        <v>239.3</v>
      </c>
      <c r="C709" s="116">
        <v>236.15</v>
      </c>
      <c r="D709" s="116">
        <v>215</v>
      </c>
      <c r="E709" s="116">
        <v>215</v>
      </c>
      <c r="F709" s="116">
        <v>236.15</v>
      </c>
      <c r="G709">
        <v>9492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44091</v>
      </c>
      <c r="B710" s="116">
        <v>242</v>
      </c>
      <c r="C710" s="116">
        <v>234.8</v>
      </c>
      <c r="D710" s="116">
        <v>229.95</v>
      </c>
      <c r="E710" s="116">
        <v>239</v>
      </c>
      <c r="F710" s="116">
        <v>234.8</v>
      </c>
      <c r="G710">
        <v>6938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44092</v>
      </c>
      <c r="B711" s="116">
        <v>240</v>
      </c>
      <c r="C711" s="116">
        <v>232.05</v>
      </c>
      <c r="D711" s="116">
        <v>224.3</v>
      </c>
      <c r="E711" s="116">
        <v>239</v>
      </c>
      <c r="F711" s="116">
        <v>232.05</v>
      </c>
      <c r="G711">
        <v>3196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44095</v>
      </c>
      <c r="B712" s="116">
        <v>235.05</v>
      </c>
      <c r="C712" s="116">
        <v>222.7</v>
      </c>
      <c r="D712" s="116">
        <v>220.05</v>
      </c>
      <c r="E712" s="116">
        <v>220.05</v>
      </c>
      <c r="F712" s="116">
        <v>222.7</v>
      </c>
      <c r="G712">
        <v>6476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44096</v>
      </c>
      <c r="B713" s="116">
        <v>240.1</v>
      </c>
      <c r="C713" s="116">
        <v>231.55</v>
      </c>
      <c r="D713" s="116">
        <v>215</v>
      </c>
      <c r="E713" s="116">
        <v>215</v>
      </c>
      <c r="F713" s="116">
        <v>231.55</v>
      </c>
      <c r="G713">
        <v>12798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44097</v>
      </c>
      <c r="B714" s="116">
        <v>242</v>
      </c>
      <c r="C714" s="116">
        <v>228.95</v>
      </c>
      <c r="D714" s="116">
        <v>223.05</v>
      </c>
      <c r="E714" s="116">
        <v>240</v>
      </c>
      <c r="F714" s="116">
        <v>228.95</v>
      </c>
      <c r="G714">
        <v>7713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44098</v>
      </c>
      <c r="B715" s="116">
        <v>235.75</v>
      </c>
      <c r="C715" s="116">
        <v>225</v>
      </c>
      <c r="D715" s="116">
        <v>218.25</v>
      </c>
      <c r="E715" s="116">
        <v>218.25</v>
      </c>
      <c r="F715" s="116">
        <v>225</v>
      </c>
      <c r="G715">
        <v>4164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44099</v>
      </c>
      <c r="B716" s="116">
        <v>240</v>
      </c>
      <c r="C716" s="116">
        <v>231.75</v>
      </c>
      <c r="D716" s="116">
        <v>222.2</v>
      </c>
      <c r="E716" s="116">
        <v>222.2</v>
      </c>
      <c r="F716" s="116">
        <v>231.75</v>
      </c>
      <c r="G716">
        <v>1769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44102</v>
      </c>
      <c r="B717" s="116">
        <v>254.9</v>
      </c>
      <c r="C717" s="116">
        <v>249.35</v>
      </c>
      <c r="D717" s="116">
        <v>225.55</v>
      </c>
      <c r="E717" s="116">
        <v>240</v>
      </c>
      <c r="F717" s="116">
        <v>249.35</v>
      </c>
      <c r="G717">
        <v>9884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44103</v>
      </c>
      <c r="B718" s="116">
        <v>260</v>
      </c>
      <c r="C718" s="116">
        <v>254.05</v>
      </c>
      <c r="D718" s="116">
        <v>241.2</v>
      </c>
      <c r="E718" s="116">
        <v>255</v>
      </c>
      <c r="F718" s="116">
        <v>254.05</v>
      </c>
      <c r="G718">
        <v>5453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44104</v>
      </c>
      <c r="B719" s="116">
        <v>262</v>
      </c>
      <c r="C719" s="116">
        <v>253.95</v>
      </c>
      <c r="D719" s="116">
        <v>252.55</v>
      </c>
      <c r="E719" s="116">
        <v>258</v>
      </c>
      <c r="F719" s="116">
        <v>253.95</v>
      </c>
      <c r="G719">
        <v>4229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44105</v>
      </c>
      <c r="B720" s="116">
        <v>269.7</v>
      </c>
      <c r="C720" s="116">
        <v>264.10000000000002</v>
      </c>
      <c r="D720" s="116">
        <v>250.4</v>
      </c>
      <c r="E720" s="116">
        <v>253.95</v>
      </c>
      <c r="F720" s="116">
        <v>264.10000000000002</v>
      </c>
      <c r="G720">
        <v>3285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44109</v>
      </c>
      <c r="B721" s="116">
        <v>262</v>
      </c>
      <c r="C721" s="116">
        <v>258.5</v>
      </c>
      <c r="D721" s="116">
        <v>250</v>
      </c>
      <c r="E721" s="116">
        <v>253.8</v>
      </c>
      <c r="F721" s="116">
        <v>258.5</v>
      </c>
      <c r="G721">
        <v>3036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44110</v>
      </c>
      <c r="B722" s="116">
        <v>274</v>
      </c>
      <c r="C722" s="116">
        <v>267.7</v>
      </c>
      <c r="D722" s="116">
        <v>254.55</v>
      </c>
      <c r="E722" s="116">
        <v>260</v>
      </c>
      <c r="F722" s="116">
        <v>267.7</v>
      </c>
      <c r="G722">
        <v>8388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44111</v>
      </c>
      <c r="B723" s="116">
        <v>272</v>
      </c>
      <c r="C723" s="116">
        <v>251.45</v>
      </c>
      <c r="D723" s="116">
        <v>250</v>
      </c>
      <c r="E723" s="116">
        <v>271.95</v>
      </c>
      <c r="F723" s="116">
        <v>251.45</v>
      </c>
      <c r="G723">
        <v>3942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44112</v>
      </c>
      <c r="B724" s="116">
        <v>260</v>
      </c>
      <c r="C724" s="116">
        <v>255.8</v>
      </c>
      <c r="D724" s="116">
        <v>240.25</v>
      </c>
      <c r="E724" s="116">
        <v>250.1</v>
      </c>
      <c r="F724" s="116">
        <v>255.8</v>
      </c>
      <c r="G724">
        <v>1445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44113</v>
      </c>
      <c r="B725" s="116">
        <v>263</v>
      </c>
      <c r="C725" s="116">
        <v>256.7</v>
      </c>
      <c r="D725" s="116">
        <v>241.55</v>
      </c>
      <c r="E725" s="116">
        <v>250</v>
      </c>
      <c r="F725" s="116">
        <v>256.7</v>
      </c>
      <c r="G725">
        <v>5966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44116</v>
      </c>
      <c r="B726" s="116">
        <v>260</v>
      </c>
      <c r="C726" s="116">
        <v>257.05</v>
      </c>
      <c r="D726" s="116">
        <v>250.05</v>
      </c>
      <c r="E726" s="116">
        <v>259</v>
      </c>
      <c r="F726" s="116">
        <v>257.05</v>
      </c>
      <c r="G726">
        <v>2416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44117</v>
      </c>
      <c r="B727" s="116">
        <v>260</v>
      </c>
      <c r="C727" s="116">
        <v>253</v>
      </c>
      <c r="D727" s="116">
        <v>250</v>
      </c>
      <c r="E727" s="116">
        <v>250</v>
      </c>
      <c r="F727" s="116">
        <v>253</v>
      </c>
      <c r="G727">
        <v>2003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44118</v>
      </c>
      <c r="B728" s="116">
        <v>260.55</v>
      </c>
      <c r="C728" s="116">
        <v>248.7</v>
      </c>
      <c r="D728" s="116">
        <v>246.3</v>
      </c>
      <c r="E728" s="116">
        <v>258.95</v>
      </c>
      <c r="F728" s="116">
        <v>248.7</v>
      </c>
      <c r="G728">
        <v>664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44119</v>
      </c>
      <c r="B729" s="116">
        <v>272</v>
      </c>
      <c r="C729" s="116">
        <v>250</v>
      </c>
      <c r="D729" s="116">
        <v>249.35</v>
      </c>
      <c r="E729" s="116">
        <v>249.35</v>
      </c>
      <c r="F729" s="116">
        <v>250</v>
      </c>
      <c r="G729">
        <v>4432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44120</v>
      </c>
      <c r="B730" s="116">
        <v>255</v>
      </c>
      <c r="C730" s="116">
        <v>255</v>
      </c>
      <c r="D730" s="116">
        <v>246</v>
      </c>
      <c r="E730" s="116">
        <v>255</v>
      </c>
      <c r="F730" s="116">
        <v>255</v>
      </c>
      <c r="G730">
        <v>302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44123</v>
      </c>
      <c r="B731" s="116">
        <v>268.35000000000002</v>
      </c>
      <c r="C731" s="116">
        <v>246.25</v>
      </c>
      <c r="D731" s="116">
        <v>243.5</v>
      </c>
      <c r="E731" s="116">
        <v>268</v>
      </c>
      <c r="F731" s="116">
        <v>246.25</v>
      </c>
      <c r="G731">
        <v>2609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44124</v>
      </c>
      <c r="B732" s="116">
        <v>254.85</v>
      </c>
      <c r="C732" s="116">
        <v>248.35</v>
      </c>
      <c r="D732" s="116">
        <v>242</v>
      </c>
      <c r="E732" s="116">
        <v>245</v>
      </c>
      <c r="F732" s="116">
        <v>248.35</v>
      </c>
      <c r="G732">
        <v>264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44125</v>
      </c>
      <c r="B733" s="116">
        <v>253</v>
      </c>
      <c r="C733" s="116">
        <v>250</v>
      </c>
      <c r="D733" s="116">
        <v>249</v>
      </c>
      <c r="E733" s="116">
        <v>252.6</v>
      </c>
      <c r="F733" s="116">
        <v>250</v>
      </c>
      <c r="G733">
        <v>696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44126</v>
      </c>
      <c r="B734" s="116">
        <v>256</v>
      </c>
      <c r="C734" s="116">
        <v>255.6</v>
      </c>
      <c r="D734" s="116">
        <v>245.3</v>
      </c>
      <c r="E734" s="116">
        <v>250</v>
      </c>
      <c r="F734" s="116">
        <v>255.6</v>
      </c>
      <c r="G734">
        <v>5007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44127</v>
      </c>
      <c r="B735" s="116">
        <v>271.8</v>
      </c>
      <c r="C735" s="116">
        <v>268.60000000000002</v>
      </c>
      <c r="D735" s="116">
        <v>255.95</v>
      </c>
      <c r="E735" s="116">
        <v>255.95</v>
      </c>
      <c r="F735" s="116">
        <v>268.60000000000002</v>
      </c>
      <c r="G735">
        <v>18059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44130</v>
      </c>
      <c r="B736" s="116">
        <v>279.89999999999998</v>
      </c>
      <c r="C736" s="116">
        <v>276.05</v>
      </c>
      <c r="D736" s="116">
        <v>265</v>
      </c>
      <c r="E736" s="116">
        <v>269.89999999999998</v>
      </c>
      <c r="F736" s="116">
        <v>276.05</v>
      </c>
      <c r="G736">
        <v>9200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44131</v>
      </c>
      <c r="B737" s="116">
        <v>275.89999999999998</v>
      </c>
      <c r="C737" s="116">
        <v>272</v>
      </c>
      <c r="D737" s="116">
        <v>265.60000000000002</v>
      </c>
      <c r="E737" s="116">
        <v>267.10000000000002</v>
      </c>
      <c r="F737" s="116">
        <v>272</v>
      </c>
      <c r="G737">
        <v>1721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44132</v>
      </c>
      <c r="B738" s="116">
        <v>280</v>
      </c>
      <c r="C738" s="116">
        <v>270</v>
      </c>
      <c r="D738" s="116">
        <v>246.15</v>
      </c>
      <c r="E738" s="116">
        <v>280</v>
      </c>
      <c r="F738" s="116">
        <v>270</v>
      </c>
      <c r="G738">
        <v>2702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44133</v>
      </c>
      <c r="B739" s="116">
        <v>278.7</v>
      </c>
      <c r="C739" s="116">
        <v>270</v>
      </c>
      <c r="D739" s="116">
        <v>255.05</v>
      </c>
      <c r="E739" s="116">
        <v>255.05</v>
      </c>
      <c r="F739" s="116">
        <v>270</v>
      </c>
      <c r="G739">
        <v>4214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44134</v>
      </c>
      <c r="B740" s="116">
        <v>277</v>
      </c>
      <c r="C740" s="116">
        <v>270.85000000000002</v>
      </c>
      <c r="D740" s="116">
        <v>257.55</v>
      </c>
      <c r="E740" s="116">
        <v>274</v>
      </c>
      <c r="F740" s="116">
        <v>270.85000000000002</v>
      </c>
      <c r="G740">
        <v>5499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44137</v>
      </c>
      <c r="B741" s="116">
        <v>273.95</v>
      </c>
      <c r="C741" s="116">
        <v>270.25</v>
      </c>
      <c r="D741" s="116">
        <v>261</v>
      </c>
      <c r="E741" s="116">
        <v>261</v>
      </c>
      <c r="F741" s="116">
        <v>270.25</v>
      </c>
      <c r="G741">
        <v>2072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44138</v>
      </c>
      <c r="B742" s="116">
        <v>270</v>
      </c>
      <c r="C742" s="116">
        <v>267.95</v>
      </c>
      <c r="D742" s="116">
        <v>266.5</v>
      </c>
      <c r="E742" s="116">
        <v>266.5</v>
      </c>
      <c r="F742" s="116">
        <v>267.95</v>
      </c>
      <c r="G742">
        <v>2769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44139</v>
      </c>
      <c r="B743" s="116">
        <v>279.89999999999998</v>
      </c>
      <c r="C743" s="116">
        <v>277.10000000000002</v>
      </c>
      <c r="D743" s="116">
        <v>260.8</v>
      </c>
      <c r="E743" s="116">
        <v>260.8</v>
      </c>
      <c r="F743" s="116">
        <v>277.10000000000002</v>
      </c>
      <c r="G743">
        <v>5010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44140</v>
      </c>
      <c r="B744" s="116">
        <v>279.25</v>
      </c>
      <c r="C744" s="116">
        <v>277.2</v>
      </c>
      <c r="D744" s="116">
        <v>266.55</v>
      </c>
      <c r="E744" s="116">
        <v>266.55</v>
      </c>
      <c r="F744" s="116">
        <v>277.2</v>
      </c>
      <c r="G744">
        <v>4716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44141</v>
      </c>
      <c r="B745" s="116">
        <v>278.89999999999998</v>
      </c>
      <c r="C745" s="116">
        <v>277</v>
      </c>
      <c r="D745" s="116">
        <v>267.05</v>
      </c>
      <c r="E745" s="116">
        <v>277</v>
      </c>
      <c r="F745" s="116">
        <v>277</v>
      </c>
      <c r="G745">
        <v>8838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44144</v>
      </c>
      <c r="B746" s="116">
        <v>279.89999999999998</v>
      </c>
      <c r="C746" s="116">
        <v>275.8</v>
      </c>
      <c r="D746" s="116">
        <v>267.5</v>
      </c>
      <c r="E746" s="116">
        <v>278</v>
      </c>
      <c r="F746" s="116">
        <v>275.8</v>
      </c>
      <c r="G746">
        <v>4605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44145</v>
      </c>
      <c r="B747" s="116">
        <v>285</v>
      </c>
      <c r="C747" s="116">
        <v>277.8</v>
      </c>
      <c r="D747" s="116">
        <v>268.55</v>
      </c>
      <c r="E747" s="116">
        <v>270</v>
      </c>
      <c r="F747" s="116">
        <v>277.8</v>
      </c>
      <c r="G747">
        <v>17299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44146</v>
      </c>
      <c r="B748" s="116">
        <v>280</v>
      </c>
      <c r="C748" s="116">
        <v>279.25</v>
      </c>
      <c r="D748" s="116">
        <v>260.64999999999998</v>
      </c>
      <c r="E748" s="116">
        <v>280</v>
      </c>
      <c r="F748" s="116">
        <v>279.25</v>
      </c>
      <c r="G748">
        <v>4874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44147</v>
      </c>
      <c r="B749" s="116">
        <v>288.89999999999998</v>
      </c>
      <c r="C749" s="116">
        <v>287.60000000000002</v>
      </c>
      <c r="D749" s="116">
        <v>273</v>
      </c>
      <c r="E749" s="116">
        <v>279</v>
      </c>
      <c r="F749" s="116">
        <v>287.60000000000002</v>
      </c>
      <c r="G749">
        <v>8379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44148</v>
      </c>
      <c r="B750" s="116">
        <v>307.89999999999998</v>
      </c>
      <c r="C750" s="116">
        <v>291.89999999999998</v>
      </c>
      <c r="D750" s="116">
        <v>280</v>
      </c>
      <c r="E750" s="116">
        <v>285</v>
      </c>
      <c r="F750" s="116">
        <v>291.89999999999998</v>
      </c>
      <c r="G750">
        <v>8736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44149</v>
      </c>
      <c r="B751" s="116">
        <v>300</v>
      </c>
      <c r="C751" s="116">
        <v>299.14999999999998</v>
      </c>
      <c r="D751" s="116">
        <v>280.8</v>
      </c>
      <c r="E751" s="116">
        <v>280.8</v>
      </c>
      <c r="F751" s="116">
        <v>299.14999999999998</v>
      </c>
      <c r="G751">
        <v>1252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44152</v>
      </c>
      <c r="B752" s="116">
        <v>299</v>
      </c>
      <c r="C752" s="116">
        <v>282.85000000000002</v>
      </c>
      <c r="D752" s="116">
        <v>280</v>
      </c>
      <c r="E752" s="116">
        <v>298.95</v>
      </c>
      <c r="F752" s="116">
        <v>282.85000000000002</v>
      </c>
      <c r="G752">
        <v>8010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44153</v>
      </c>
      <c r="B753" s="116">
        <v>286.2</v>
      </c>
      <c r="C753" s="116">
        <v>281.75</v>
      </c>
      <c r="D753" s="116">
        <v>275</v>
      </c>
      <c r="E753" s="116">
        <v>282</v>
      </c>
      <c r="F753" s="116">
        <v>281.75</v>
      </c>
      <c r="G753">
        <v>1695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44154</v>
      </c>
      <c r="B754" s="116">
        <v>290</v>
      </c>
      <c r="C754" s="116">
        <v>277.64999999999998</v>
      </c>
      <c r="D754" s="116">
        <v>275</v>
      </c>
      <c r="E754" s="116">
        <v>275</v>
      </c>
      <c r="F754" s="116">
        <v>277.64999999999998</v>
      </c>
      <c r="G754">
        <v>2802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44155</v>
      </c>
      <c r="B755" s="116">
        <v>287.5</v>
      </c>
      <c r="C755" s="116">
        <v>279.45</v>
      </c>
      <c r="D755" s="116">
        <v>271.05</v>
      </c>
      <c r="E755" s="116">
        <v>287.5</v>
      </c>
      <c r="F755" s="116">
        <v>279.45</v>
      </c>
      <c r="G755">
        <v>2508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44158</v>
      </c>
      <c r="B756" s="116">
        <v>280</v>
      </c>
      <c r="C756" s="116">
        <v>274.5</v>
      </c>
      <c r="D756" s="116">
        <v>273.05</v>
      </c>
      <c r="E756" s="116">
        <v>280</v>
      </c>
      <c r="F756" s="116">
        <v>274.5</v>
      </c>
      <c r="G756">
        <v>813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44159</v>
      </c>
      <c r="B757" s="116">
        <v>285</v>
      </c>
      <c r="C757" s="116">
        <v>280.75</v>
      </c>
      <c r="D757" s="116">
        <v>273</v>
      </c>
      <c r="E757" s="116">
        <v>275</v>
      </c>
      <c r="F757" s="116">
        <v>280.75</v>
      </c>
      <c r="G757">
        <v>807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44160</v>
      </c>
      <c r="B758" s="116">
        <v>280.75</v>
      </c>
      <c r="C758" s="116">
        <v>272.3</v>
      </c>
      <c r="D758" s="116">
        <v>270</v>
      </c>
      <c r="E758" s="116">
        <v>280.75</v>
      </c>
      <c r="F758" s="116">
        <v>272.3</v>
      </c>
      <c r="G758">
        <v>794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44161</v>
      </c>
      <c r="B759" s="116">
        <v>278</v>
      </c>
      <c r="C759" s="116">
        <v>270.85000000000002</v>
      </c>
      <c r="D759" s="116">
        <v>270.10000000000002</v>
      </c>
      <c r="E759" s="116">
        <v>270.10000000000002</v>
      </c>
      <c r="F759" s="116">
        <v>270.85000000000002</v>
      </c>
      <c r="G759">
        <v>1831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44162</v>
      </c>
      <c r="B760" s="116">
        <v>287.39999999999998</v>
      </c>
      <c r="C760" s="116">
        <v>285.45</v>
      </c>
      <c r="D760" s="116">
        <v>269.75</v>
      </c>
      <c r="E760" s="116">
        <v>270.10000000000002</v>
      </c>
      <c r="F760" s="116">
        <v>285.45</v>
      </c>
      <c r="G760">
        <v>18690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44166</v>
      </c>
      <c r="B761" s="116">
        <v>305.75</v>
      </c>
      <c r="C761" s="116">
        <v>290</v>
      </c>
      <c r="D761" s="116">
        <v>280.2</v>
      </c>
      <c r="E761" s="116">
        <v>290</v>
      </c>
      <c r="F761" s="116">
        <v>290</v>
      </c>
      <c r="G761">
        <v>8407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44167</v>
      </c>
      <c r="B762" s="116">
        <v>291</v>
      </c>
      <c r="C762" s="116">
        <v>285</v>
      </c>
      <c r="D762" s="116">
        <v>282.5</v>
      </c>
      <c r="E762" s="116">
        <v>287.5</v>
      </c>
      <c r="F762" s="116">
        <v>285</v>
      </c>
      <c r="G762">
        <v>3213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44168</v>
      </c>
      <c r="B763" s="116">
        <v>290</v>
      </c>
      <c r="C763" s="116">
        <v>279.3</v>
      </c>
      <c r="D763" s="116">
        <v>275</v>
      </c>
      <c r="E763" s="116">
        <v>285.3</v>
      </c>
      <c r="F763" s="116">
        <v>279.3</v>
      </c>
      <c r="G763">
        <v>4314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44169</v>
      </c>
      <c r="B764" s="116">
        <v>297.75</v>
      </c>
      <c r="C764" s="116">
        <v>280.85000000000002</v>
      </c>
      <c r="D764" s="116">
        <v>275.05</v>
      </c>
      <c r="E764" s="116">
        <v>297.75</v>
      </c>
      <c r="F764" s="116">
        <v>280.85000000000002</v>
      </c>
      <c r="G764">
        <v>2264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44172</v>
      </c>
      <c r="B765" s="116">
        <v>289</v>
      </c>
      <c r="C765" s="116">
        <v>287</v>
      </c>
      <c r="D765" s="116">
        <v>275</v>
      </c>
      <c r="E765" s="116">
        <v>280.85000000000002</v>
      </c>
      <c r="F765" s="116">
        <v>287</v>
      </c>
      <c r="G765">
        <v>4163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44173</v>
      </c>
      <c r="B766" s="116">
        <v>300</v>
      </c>
      <c r="C766" s="116">
        <v>289.89999999999998</v>
      </c>
      <c r="D766" s="116">
        <v>280.05</v>
      </c>
      <c r="E766" s="116">
        <v>290</v>
      </c>
      <c r="F766" s="116">
        <v>289.89999999999998</v>
      </c>
      <c r="G766">
        <v>7278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44174</v>
      </c>
      <c r="B767" s="116">
        <v>300</v>
      </c>
      <c r="C767" s="116">
        <v>289</v>
      </c>
      <c r="D767" s="116">
        <v>280</v>
      </c>
      <c r="E767" s="116">
        <v>280</v>
      </c>
      <c r="F767" s="116">
        <v>289</v>
      </c>
      <c r="G767">
        <v>3708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44175</v>
      </c>
      <c r="B768" s="116">
        <v>290</v>
      </c>
      <c r="C768" s="116">
        <v>290</v>
      </c>
      <c r="D768" s="116">
        <v>281.05</v>
      </c>
      <c r="E768" s="116">
        <v>281.05</v>
      </c>
      <c r="F768" s="116">
        <v>290</v>
      </c>
      <c r="G768">
        <v>2333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44176</v>
      </c>
      <c r="B769" s="116">
        <v>298.39999999999998</v>
      </c>
      <c r="C769" s="116">
        <v>290.25</v>
      </c>
      <c r="D769" s="116">
        <v>288</v>
      </c>
      <c r="E769" s="116">
        <v>288.5</v>
      </c>
      <c r="F769" s="116">
        <v>290.25</v>
      </c>
      <c r="G769">
        <v>3939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44179</v>
      </c>
      <c r="B770" s="116">
        <v>302</v>
      </c>
      <c r="C770" s="116">
        <v>300.3</v>
      </c>
      <c r="D770" s="116">
        <v>285</v>
      </c>
      <c r="E770" s="116">
        <v>285</v>
      </c>
      <c r="F770" s="116">
        <v>300.3</v>
      </c>
      <c r="G770">
        <v>9746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44180</v>
      </c>
      <c r="B771" s="116">
        <v>307</v>
      </c>
      <c r="C771" s="116">
        <v>303</v>
      </c>
      <c r="D771" s="116">
        <v>291.05</v>
      </c>
      <c r="E771" s="116">
        <v>305</v>
      </c>
      <c r="F771" s="116">
        <v>303</v>
      </c>
      <c r="G771">
        <v>2466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44181</v>
      </c>
      <c r="B772" s="116">
        <v>304.89999999999998</v>
      </c>
      <c r="C772" s="116">
        <v>302.5</v>
      </c>
      <c r="D772" s="116">
        <v>297</v>
      </c>
      <c r="E772" s="116">
        <v>302.95</v>
      </c>
      <c r="F772" s="116">
        <v>302.5</v>
      </c>
      <c r="G772">
        <v>2046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44182</v>
      </c>
      <c r="B773" s="116">
        <v>334.7</v>
      </c>
      <c r="C773" s="116">
        <v>333.2</v>
      </c>
      <c r="D773" s="116">
        <v>297.55</v>
      </c>
      <c r="E773" s="116">
        <v>300</v>
      </c>
      <c r="F773" s="116">
        <v>333.2</v>
      </c>
      <c r="G773">
        <v>11779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44183</v>
      </c>
      <c r="B774" s="116">
        <v>343</v>
      </c>
      <c r="C774" s="116">
        <v>341.25</v>
      </c>
      <c r="D774" s="116">
        <v>325.25</v>
      </c>
      <c r="E774" s="116">
        <v>330</v>
      </c>
      <c r="F774" s="116">
        <v>341.25</v>
      </c>
      <c r="G774">
        <v>3980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44186</v>
      </c>
      <c r="B775" s="116">
        <v>361</v>
      </c>
      <c r="C775" s="116">
        <v>329.2</v>
      </c>
      <c r="D775" s="116">
        <v>301.05</v>
      </c>
      <c r="E775" s="116">
        <v>361</v>
      </c>
      <c r="F775" s="116">
        <v>329.2</v>
      </c>
      <c r="G775">
        <v>5626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44187</v>
      </c>
      <c r="B776" s="116">
        <v>340</v>
      </c>
      <c r="C776" s="116">
        <v>328.25</v>
      </c>
      <c r="D776" s="116">
        <v>300.05</v>
      </c>
      <c r="E776" s="116">
        <v>340</v>
      </c>
      <c r="F776" s="116">
        <v>328.25</v>
      </c>
      <c r="G776">
        <v>4996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44188</v>
      </c>
      <c r="B777" s="116">
        <v>335</v>
      </c>
      <c r="C777" s="116">
        <v>328.55</v>
      </c>
      <c r="D777" s="116">
        <v>316.2</v>
      </c>
      <c r="E777" s="116">
        <v>320</v>
      </c>
      <c r="F777" s="116">
        <v>328.55</v>
      </c>
      <c r="G777">
        <v>1923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44189</v>
      </c>
      <c r="B778" s="116">
        <v>341.95</v>
      </c>
      <c r="C778" s="116">
        <v>321.55</v>
      </c>
      <c r="D778" s="116">
        <v>320</v>
      </c>
      <c r="E778" s="116">
        <v>341.95</v>
      </c>
      <c r="F778" s="116">
        <v>321.55</v>
      </c>
      <c r="G778">
        <v>767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44193</v>
      </c>
      <c r="B779" s="116">
        <v>335</v>
      </c>
      <c r="C779" s="116">
        <v>328.05</v>
      </c>
      <c r="D779" s="116">
        <v>320</v>
      </c>
      <c r="E779" s="116">
        <v>335</v>
      </c>
      <c r="F779" s="116">
        <v>328.05</v>
      </c>
      <c r="G779">
        <v>6004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44194</v>
      </c>
      <c r="B780" s="116">
        <v>381.9</v>
      </c>
      <c r="C780" s="116">
        <v>371.85</v>
      </c>
      <c r="D780" s="116">
        <v>325</v>
      </c>
      <c r="E780" s="116">
        <v>334.9</v>
      </c>
      <c r="F780" s="116">
        <v>371.85</v>
      </c>
      <c r="G780">
        <v>17449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44195</v>
      </c>
      <c r="B781" s="116">
        <v>446.2</v>
      </c>
      <c r="C781" s="116">
        <v>438.6</v>
      </c>
      <c r="D781" s="116">
        <v>380</v>
      </c>
      <c r="E781" s="116">
        <v>409</v>
      </c>
      <c r="F781" s="116">
        <v>438.6</v>
      </c>
      <c r="G781">
        <v>45238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44196</v>
      </c>
      <c r="B782" s="116">
        <v>449</v>
      </c>
      <c r="C782" s="116">
        <v>433.25</v>
      </c>
      <c r="D782" s="116">
        <v>411</v>
      </c>
      <c r="E782" s="116">
        <v>440</v>
      </c>
      <c r="F782" s="116">
        <v>433.25</v>
      </c>
      <c r="G782">
        <v>16402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44197</v>
      </c>
      <c r="B783" s="116">
        <v>427.85</v>
      </c>
      <c r="C783" s="116">
        <v>405.3</v>
      </c>
      <c r="D783" s="116">
        <v>346.6</v>
      </c>
      <c r="E783" s="116">
        <v>401</v>
      </c>
      <c r="F783" s="116">
        <v>405.3</v>
      </c>
      <c r="G783">
        <v>12769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44200</v>
      </c>
      <c r="B784" s="116">
        <v>410</v>
      </c>
      <c r="C784" s="116">
        <v>407.55</v>
      </c>
      <c r="D784" s="116">
        <v>390</v>
      </c>
      <c r="E784" s="116">
        <v>405</v>
      </c>
      <c r="F784" s="116">
        <v>407.55</v>
      </c>
      <c r="G784">
        <v>8323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44201</v>
      </c>
      <c r="B785" s="116">
        <v>406.35</v>
      </c>
      <c r="C785" s="116">
        <v>401</v>
      </c>
      <c r="D785" s="116">
        <v>391.05</v>
      </c>
      <c r="E785" s="116">
        <v>391.05</v>
      </c>
      <c r="F785" s="116">
        <v>401</v>
      </c>
      <c r="G785">
        <v>952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44202</v>
      </c>
      <c r="B786" s="116">
        <v>409.95</v>
      </c>
      <c r="C786" s="116">
        <v>389.25</v>
      </c>
      <c r="D786" s="116">
        <v>385</v>
      </c>
      <c r="E786" s="116">
        <v>406</v>
      </c>
      <c r="F786" s="116">
        <v>389.25</v>
      </c>
      <c r="G786">
        <v>2825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44203</v>
      </c>
      <c r="B787" s="116">
        <v>424.9</v>
      </c>
      <c r="C787" s="116">
        <v>417.25</v>
      </c>
      <c r="D787" s="116">
        <v>375</v>
      </c>
      <c r="E787" s="116">
        <v>399.9</v>
      </c>
      <c r="F787" s="116">
        <v>417.25</v>
      </c>
      <c r="G787">
        <v>7050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44204</v>
      </c>
      <c r="B788" s="116">
        <v>430</v>
      </c>
      <c r="C788" s="116">
        <v>408.1</v>
      </c>
      <c r="D788" s="116">
        <v>395</v>
      </c>
      <c r="E788" s="116">
        <v>430</v>
      </c>
      <c r="F788" s="116">
        <v>408.1</v>
      </c>
      <c r="G788">
        <v>4049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44207</v>
      </c>
      <c r="B789" s="116">
        <v>420</v>
      </c>
      <c r="C789" s="116">
        <v>413.4</v>
      </c>
      <c r="D789" s="116">
        <v>380</v>
      </c>
      <c r="E789" s="116">
        <v>415</v>
      </c>
      <c r="F789" s="116">
        <v>413.4</v>
      </c>
      <c r="G789">
        <v>4473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44208</v>
      </c>
      <c r="B790" s="116">
        <v>424.95</v>
      </c>
      <c r="C790" s="116">
        <v>403.75</v>
      </c>
      <c r="D790" s="116">
        <v>400</v>
      </c>
      <c r="E790" s="116">
        <v>424.95</v>
      </c>
      <c r="F790" s="116">
        <v>403.75</v>
      </c>
      <c r="G790">
        <v>4655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44209</v>
      </c>
      <c r="B791" s="116">
        <v>414.7</v>
      </c>
      <c r="C791" s="116">
        <v>400.95</v>
      </c>
      <c r="D791" s="116">
        <v>381.05</v>
      </c>
      <c r="E791" s="116">
        <v>381.05</v>
      </c>
      <c r="F791" s="116">
        <v>400.95</v>
      </c>
      <c r="G791">
        <v>2999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44210</v>
      </c>
      <c r="B792" s="116">
        <v>411</v>
      </c>
      <c r="C792" s="116">
        <v>403</v>
      </c>
      <c r="D792" s="116">
        <v>382.5</v>
      </c>
      <c r="E792" s="116">
        <v>392.05</v>
      </c>
      <c r="F792" s="116">
        <v>403</v>
      </c>
      <c r="G792">
        <v>2968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44211</v>
      </c>
      <c r="B793" s="116">
        <v>400</v>
      </c>
      <c r="C793" s="116">
        <v>400</v>
      </c>
      <c r="D793" s="116">
        <v>390.05</v>
      </c>
      <c r="E793" s="116">
        <v>400</v>
      </c>
      <c r="F793" s="116">
        <v>400</v>
      </c>
      <c r="G793">
        <v>1152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44214</v>
      </c>
      <c r="B794" s="116">
        <v>407</v>
      </c>
      <c r="C794" s="116">
        <v>400</v>
      </c>
      <c r="D794" s="116">
        <v>386.8</v>
      </c>
      <c r="E794" s="116">
        <v>392.6</v>
      </c>
      <c r="F794" s="116">
        <v>400</v>
      </c>
      <c r="G794">
        <v>1169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44215</v>
      </c>
      <c r="B795" s="116">
        <v>410</v>
      </c>
      <c r="C795" s="116">
        <v>404.8</v>
      </c>
      <c r="D795" s="116">
        <v>385</v>
      </c>
      <c r="E795" s="116">
        <v>410</v>
      </c>
      <c r="F795" s="116">
        <v>404.8</v>
      </c>
      <c r="G795">
        <v>1890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44216</v>
      </c>
      <c r="B796" s="116">
        <v>440</v>
      </c>
      <c r="C796" s="116">
        <v>428.05</v>
      </c>
      <c r="D796" s="116">
        <v>393.25</v>
      </c>
      <c r="E796" s="116">
        <v>405</v>
      </c>
      <c r="F796" s="116">
        <v>428.05</v>
      </c>
      <c r="G796">
        <v>5653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44217</v>
      </c>
      <c r="B797" s="116">
        <v>464</v>
      </c>
      <c r="C797" s="116">
        <v>456.15</v>
      </c>
      <c r="D797" s="116">
        <v>428.05</v>
      </c>
      <c r="E797" s="116">
        <v>430</v>
      </c>
      <c r="F797" s="116">
        <v>456.15</v>
      </c>
      <c r="G797">
        <v>9866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44218</v>
      </c>
      <c r="B798" s="116">
        <v>469.9</v>
      </c>
      <c r="C798" s="116">
        <v>459.55</v>
      </c>
      <c r="D798" s="116">
        <v>440</v>
      </c>
      <c r="E798" s="116">
        <v>460</v>
      </c>
      <c r="F798" s="116">
        <v>459.55</v>
      </c>
      <c r="G798">
        <v>6644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44221</v>
      </c>
      <c r="B799" s="116">
        <v>468</v>
      </c>
      <c r="C799" s="116">
        <v>460</v>
      </c>
      <c r="D799" s="116">
        <v>441</v>
      </c>
      <c r="E799" s="116">
        <v>468</v>
      </c>
      <c r="F799" s="116">
        <v>460</v>
      </c>
      <c r="G799">
        <v>1760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44223</v>
      </c>
      <c r="B800" s="116">
        <v>465.8</v>
      </c>
      <c r="C800" s="116">
        <v>459.9</v>
      </c>
      <c r="D800" s="116">
        <v>430</v>
      </c>
      <c r="E800" s="116">
        <v>460</v>
      </c>
      <c r="F800" s="116">
        <v>459.9</v>
      </c>
      <c r="G800">
        <v>15271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44224</v>
      </c>
      <c r="B801" s="116">
        <v>459.8</v>
      </c>
      <c r="C801" s="116">
        <v>457.55</v>
      </c>
      <c r="D801" s="116">
        <v>440</v>
      </c>
      <c r="E801" s="116">
        <v>444.7</v>
      </c>
      <c r="F801" s="116">
        <v>457.55</v>
      </c>
      <c r="G801">
        <v>6666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44225</v>
      </c>
      <c r="B802" s="116">
        <v>460.2</v>
      </c>
      <c r="C802" s="116">
        <v>457.05</v>
      </c>
      <c r="D802" s="116">
        <v>448</v>
      </c>
      <c r="E802" s="116">
        <v>457.45</v>
      </c>
      <c r="F802" s="116">
        <v>457.05</v>
      </c>
      <c r="G802">
        <v>4264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44228</v>
      </c>
      <c r="B803" s="116">
        <v>460</v>
      </c>
      <c r="C803" s="116">
        <v>458.25</v>
      </c>
      <c r="D803" s="116">
        <v>438</v>
      </c>
      <c r="E803" s="116">
        <v>448</v>
      </c>
      <c r="F803" s="116">
        <v>458.25</v>
      </c>
      <c r="G803">
        <v>6232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44229</v>
      </c>
      <c r="B804" s="116">
        <v>481</v>
      </c>
      <c r="C804" s="116">
        <v>476.85</v>
      </c>
      <c r="D804" s="116">
        <v>435.35</v>
      </c>
      <c r="E804" s="116">
        <v>440.1</v>
      </c>
      <c r="F804" s="116">
        <v>476.85</v>
      </c>
      <c r="G804">
        <v>3726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44230</v>
      </c>
      <c r="B805" s="116">
        <v>499.4</v>
      </c>
      <c r="C805" s="116">
        <v>492.25</v>
      </c>
      <c r="D805" s="116">
        <v>456</v>
      </c>
      <c r="E805" s="116">
        <v>480</v>
      </c>
      <c r="F805" s="116">
        <v>492.25</v>
      </c>
      <c r="G805">
        <v>3068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44231</v>
      </c>
      <c r="B806" s="116">
        <v>500</v>
      </c>
      <c r="C806" s="116">
        <v>495.95</v>
      </c>
      <c r="D806" s="116">
        <v>470.5</v>
      </c>
      <c r="E806" s="116">
        <v>487</v>
      </c>
      <c r="F806" s="116">
        <v>495.95</v>
      </c>
      <c r="G806">
        <v>2262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44232</v>
      </c>
      <c r="B807" s="116">
        <v>500</v>
      </c>
      <c r="C807" s="116">
        <v>499</v>
      </c>
      <c r="D807" s="116">
        <v>475.5</v>
      </c>
      <c r="E807" s="116">
        <v>500</v>
      </c>
      <c r="F807" s="116">
        <v>499</v>
      </c>
      <c r="G807">
        <v>940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44235</v>
      </c>
      <c r="B808" s="116">
        <v>510</v>
      </c>
      <c r="C808" s="116">
        <v>501.95</v>
      </c>
      <c r="D808" s="116">
        <v>477</v>
      </c>
      <c r="E808" s="116">
        <v>510</v>
      </c>
      <c r="F808" s="116">
        <v>501.95</v>
      </c>
      <c r="G808">
        <v>3628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44236</v>
      </c>
      <c r="B809" s="116">
        <v>525</v>
      </c>
      <c r="C809" s="116">
        <v>508.4</v>
      </c>
      <c r="D809" s="116">
        <v>480.3</v>
      </c>
      <c r="E809" s="116">
        <v>505</v>
      </c>
      <c r="F809" s="116">
        <v>508.4</v>
      </c>
      <c r="G809">
        <v>5823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44237</v>
      </c>
      <c r="B810" s="116">
        <v>520</v>
      </c>
      <c r="C810" s="116">
        <v>507.45</v>
      </c>
      <c r="D810" s="116">
        <v>485</v>
      </c>
      <c r="E810" s="116">
        <v>485</v>
      </c>
      <c r="F810" s="116">
        <v>507.45</v>
      </c>
      <c r="G810">
        <v>2721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44238</v>
      </c>
      <c r="B811" s="116">
        <v>515</v>
      </c>
      <c r="C811" s="116">
        <v>513.85</v>
      </c>
      <c r="D811" s="116">
        <v>490.2</v>
      </c>
      <c r="E811" s="116">
        <v>507.45</v>
      </c>
      <c r="F811" s="116">
        <v>513.85</v>
      </c>
      <c r="G811">
        <v>4956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44239</v>
      </c>
      <c r="B812" s="116">
        <v>525</v>
      </c>
      <c r="C812" s="116">
        <v>509.75</v>
      </c>
      <c r="D812" s="116">
        <v>490</v>
      </c>
      <c r="E812" s="116">
        <v>519.75</v>
      </c>
      <c r="F812" s="116">
        <v>509.75</v>
      </c>
      <c r="G812">
        <v>5186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44242</v>
      </c>
      <c r="B813" s="116">
        <v>535.20000000000005</v>
      </c>
      <c r="C813" s="116">
        <v>528.65</v>
      </c>
      <c r="D813" s="116">
        <v>484.3</v>
      </c>
      <c r="E813" s="116">
        <v>500.6</v>
      </c>
      <c r="F813" s="116">
        <v>528.65</v>
      </c>
      <c r="G813">
        <v>12948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44243</v>
      </c>
      <c r="B814" s="116">
        <v>550</v>
      </c>
      <c r="C814" s="116">
        <v>539</v>
      </c>
      <c r="D814" s="116">
        <v>512.04999999999995</v>
      </c>
      <c r="E814" s="116">
        <v>545</v>
      </c>
      <c r="F814" s="116">
        <v>539</v>
      </c>
      <c r="G814">
        <v>3952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44244</v>
      </c>
      <c r="B815" s="116">
        <v>545</v>
      </c>
      <c r="C815" s="116">
        <v>530.95000000000005</v>
      </c>
      <c r="D815" s="116">
        <v>512.5</v>
      </c>
      <c r="E815" s="116">
        <v>512.5</v>
      </c>
      <c r="F815" s="116">
        <v>530.95000000000005</v>
      </c>
      <c r="G815">
        <v>2749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44245</v>
      </c>
      <c r="B816" s="116">
        <v>535</v>
      </c>
      <c r="C816" s="116">
        <v>531.04999999999995</v>
      </c>
      <c r="D816" s="116">
        <v>512</v>
      </c>
      <c r="E816" s="116">
        <v>532</v>
      </c>
      <c r="F816" s="116">
        <v>531.04999999999995</v>
      </c>
      <c r="G816">
        <v>1794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44246</v>
      </c>
      <c r="B817" s="116">
        <v>539</v>
      </c>
      <c r="C817" s="116">
        <v>527</v>
      </c>
      <c r="D817" s="116">
        <v>504.5</v>
      </c>
      <c r="E817" s="116">
        <v>510</v>
      </c>
      <c r="F817" s="116">
        <v>527</v>
      </c>
      <c r="G817">
        <v>1295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44249</v>
      </c>
      <c r="B818" s="116">
        <v>531</v>
      </c>
      <c r="C818" s="116">
        <v>516.70000000000005</v>
      </c>
      <c r="D818" s="116">
        <v>500.65</v>
      </c>
      <c r="E818" s="116">
        <v>500.7</v>
      </c>
      <c r="F818" s="116">
        <v>516.70000000000005</v>
      </c>
      <c r="G818">
        <v>2330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44250</v>
      </c>
      <c r="B819" s="116">
        <v>519.65</v>
      </c>
      <c r="C819" s="116">
        <v>512</v>
      </c>
      <c r="D819" s="116">
        <v>490.9</v>
      </c>
      <c r="E819" s="116">
        <v>519.65</v>
      </c>
      <c r="F819" s="116">
        <v>512</v>
      </c>
      <c r="G819">
        <v>3452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44251</v>
      </c>
      <c r="B820" s="116">
        <v>534</v>
      </c>
      <c r="C820" s="116">
        <v>523.4</v>
      </c>
      <c r="D820" s="116">
        <v>510</v>
      </c>
      <c r="E820" s="116">
        <v>529</v>
      </c>
      <c r="F820" s="116">
        <v>523.4</v>
      </c>
      <c r="G820">
        <v>3186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44252</v>
      </c>
      <c r="B821" s="116">
        <v>549.54999999999995</v>
      </c>
      <c r="C821" s="116">
        <v>549.54999999999995</v>
      </c>
      <c r="D821" s="116">
        <v>520</v>
      </c>
      <c r="E821" s="116">
        <v>525</v>
      </c>
      <c r="F821" s="116">
        <v>549.54999999999995</v>
      </c>
      <c r="G821">
        <v>7271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44253</v>
      </c>
      <c r="B822" s="116">
        <v>577</v>
      </c>
      <c r="C822" s="116">
        <v>555.04999999999995</v>
      </c>
      <c r="D822" s="116">
        <v>530</v>
      </c>
      <c r="E822" s="116">
        <v>535</v>
      </c>
      <c r="F822" s="116">
        <v>555.04999999999995</v>
      </c>
      <c r="G822">
        <v>6843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44256</v>
      </c>
      <c r="B823" s="116">
        <v>582</v>
      </c>
      <c r="C823" s="116">
        <v>572.9</v>
      </c>
      <c r="D823" s="116">
        <v>550</v>
      </c>
      <c r="E823" s="116">
        <v>582</v>
      </c>
      <c r="F823" s="116">
        <v>572.9</v>
      </c>
      <c r="G823">
        <v>2275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44257</v>
      </c>
      <c r="B824" s="116">
        <v>597</v>
      </c>
      <c r="C824" s="116">
        <v>584</v>
      </c>
      <c r="D824" s="116">
        <v>555</v>
      </c>
      <c r="E824" s="116">
        <v>570</v>
      </c>
      <c r="F824" s="116">
        <v>584</v>
      </c>
      <c r="G824">
        <v>1292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44258</v>
      </c>
      <c r="B825" s="116">
        <v>595</v>
      </c>
      <c r="C825" s="116">
        <v>575.70000000000005</v>
      </c>
      <c r="D825" s="116">
        <v>555.04999999999995</v>
      </c>
      <c r="E825" s="116">
        <v>595</v>
      </c>
      <c r="F825" s="116">
        <v>575.70000000000005</v>
      </c>
      <c r="G825">
        <v>2818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44259</v>
      </c>
      <c r="B826" s="116">
        <v>575</v>
      </c>
      <c r="C826" s="116">
        <v>566.6</v>
      </c>
      <c r="D826" s="116">
        <v>550</v>
      </c>
      <c r="E826" s="116">
        <v>570</v>
      </c>
      <c r="F826" s="116">
        <v>566.6</v>
      </c>
      <c r="G826">
        <v>845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44260</v>
      </c>
      <c r="B827" s="116">
        <v>570</v>
      </c>
      <c r="C827" s="116">
        <v>539.45000000000005</v>
      </c>
      <c r="D827" s="116">
        <v>539</v>
      </c>
      <c r="E827" s="116">
        <v>555</v>
      </c>
      <c r="F827" s="116">
        <v>539.45000000000005</v>
      </c>
      <c r="G827">
        <v>3574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44263</v>
      </c>
      <c r="B828" s="116">
        <v>566.4</v>
      </c>
      <c r="C828" s="116">
        <v>561.20000000000005</v>
      </c>
      <c r="D828" s="116">
        <v>539.45000000000005</v>
      </c>
      <c r="E828" s="116">
        <v>539.45000000000005</v>
      </c>
      <c r="F828" s="116">
        <v>561.20000000000005</v>
      </c>
      <c r="G828">
        <v>5288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44264</v>
      </c>
      <c r="B829" s="116">
        <v>565</v>
      </c>
      <c r="C829" s="116">
        <v>533.15</v>
      </c>
      <c r="D829" s="116">
        <v>533.15</v>
      </c>
      <c r="E829" s="116">
        <v>547.29999999999995</v>
      </c>
      <c r="F829" s="116">
        <v>533.15</v>
      </c>
      <c r="G829">
        <v>3671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44265</v>
      </c>
      <c r="B830" s="116">
        <v>548.79999999999995</v>
      </c>
      <c r="C830" s="116">
        <v>506.5</v>
      </c>
      <c r="D830" s="116">
        <v>506.5</v>
      </c>
      <c r="E830" s="116">
        <v>548.79999999999995</v>
      </c>
      <c r="F830" s="116">
        <v>506.5</v>
      </c>
      <c r="G830">
        <v>4296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44267</v>
      </c>
      <c r="B831" s="116">
        <v>528.85</v>
      </c>
      <c r="C831" s="116">
        <v>492.95</v>
      </c>
      <c r="D831" s="116">
        <v>481.2</v>
      </c>
      <c r="E831" s="116">
        <v>505</v>
      </c>
      <c r="F831" s="116">
        <v>492.95</v>
      </c>
      <c r="G831">
        <v>8532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44270</v>
      </c>
      <c r="B832" s="116">
        <v>516.9</v>
      </c>
      <c r="C832" s="116">
        <v>481.8</v>
      </c>
      <c r="D832" s="116">
        <v>468.35</v>
      </c>
      <c r="E832" s="116">
        <v>490</v>
      </c>
      <c r="F832" s="116">
        <v>481.8</v>
      </c>
      <c r="G832">
        <v>2242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44271</v>
      </c>
      <c r="B833" s="116">
        <v>498.75</v>
      </c>
      <c r="C833" s="116">
        <v>479</v>
      </c>
      <c r="D833" s="116">
        <v>478</v>
      </c>
      <c r="E833" s="116">
        <v>487.5</v>
      </c>
      <c r="F833" s="116">
        <v>479</v>
      </c>
      <c r="G833">
        <v>1143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44272</v>
      </c>
      <c r="B834" s="116">
        <v>497</v>
      </c>
      <c r="C834" s="116">
        <v>455.05</v>
      </c>
      <c r="D834" s="116">
        <v>455.05</v>
      </c>
      <c r="E834" s="116">
        <v>497</v>
      </c>
      <c r="F834" s="116">
        <v>455.05</v>
      </c>
      <c r="G834">
        <v>3050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44273</v>
      </c>
      <c r="B835" s="116">
        <v>464.95</v>
      </c>
      <c r="C835" s="116">
        <v>432.9</v>
      </c>
      <c r="D835" s="116">
        <v>432.3</v>
      </c>
      <c r="E835" s="116">
        <v>457</v>
      </c>
      <c r="F835" s="116">
        <v>432.9</v>
      </c>
      <c r="G835">
        <v>2643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44274</v>
      </c>
      <c r="B836" s="116">
        <v>454.5</v>
      </c>
      <c r="C836" s="116">
        <v>454.5</v>
      </c>
      <c r="D836" s="116">
        <v>411.3</v>
      </c>
      <c r="E836" s="116">
        <v>412.7</v>
      </c>
      <c r="F836" s="116">
        <v>454.5</v>
      </c>
      <c r="G836">
        <v>3200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44277</v>
      </c>
      <c r="B837" s="116">
        <v>476.85</v>
      </c>
      <c r="C837" s="116">
        <v>457</v>
      </c>
      <c r="D837" s="116">
        <v>432.65</v>
      </c>
      <c r="E837" s="116">
        <v>460</v>
      </c>
      <c r="F837" s="116">
        <v>457</v>
      </c>
      <c r="G837">
        <v>2392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44278</v>
      </c>
      <c r="B838" s="116">
        <v>459.85</v>
      </c>
      <c r="C838" s="116">
        <v>458.95</v>
      </c>
      <c r="D838" s="116">
        <v>440</v>
      </c>
      <c r="E838" s="116">
        <v>440</v>
      </c>
      <c r="F838" s="116">
        <v>458.95</v>
      </c>
      <c r="G838">
        <v>810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44279</v>
      </c>
      <c r="B839" s="116">
        <v>458</v>
      </c>
      <c r="C839" s="116">
        <v>443.3</v>
      </c>
      <c r="D839" s="116">
        <v>436.05</v>
      </c>
      <c r="E839" s="116">
        <v>436.35</v>
      </c>
      <c r="F839" s="116">
        <v>443.3</v>
      </c>
      <c r="G839">
        <v>3013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44280</v>
      </c>
      <c r="B840" s="116">
        <v>459.95</v>
      </c>
      <c r="C840" s="116">
        <v>448.35</v>
      </c>
      <c r="D840" s="116">
        <v>425</v>
      </c>
      <c r="E840" s="116">
        <v>459.95</v>
      </c>
      <c r="F840" s="116">
        <v>448.35</v>
      </c>
      <c r="G840">
        <v>282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44281</v>
      </c>
      <c r="B841" s="116">
        <v>469</v>
      </c>
      <c r="C841" s="116">
        <v>463.95</v>
      </c>
      <c r="D841" s="116">
        <v>426.05</v>
      </c>
      <c r="E841" s="116">
        <v>440</v>
      </c>
      <c r="F841" s="116">
        <v>463.95</v>
      </c>
      <c r="G841">
        <v>1166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44285</v>
      </c>
      <c r="B842" s="116">
        <v>474</v>
      </c>
      <c r="C842" s="116">
        <v>464.7</v>
      </c>
      <c r="D842" s="116">
        <v>441</v>
      </c>
      <c r="E842" s="116">
        <v>441.05</v>
      </c>
      <c r="F842" s="116">
        <v>464.7</v>
      </c>
      <c r="G842">
        <v>1537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44286</v>
      </c>
      <c r="B843" s="116">
        <v>464.65</v>
      </c>
      <c r="C843" s="116">
        <v>463.55</v>
      </c>
      <c r="D843" s="116">
        <v>441.55</v>
      </c>
      <c r="E843" s="116">
        <v>441.55</v>
      </c>
      <c r="F843" s="116">
        <v>463.55</v>
      </c>
      <c r="G843">
        <v>2154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44287</v>
      </c>
      <c r="B844" s="116">
        <v>469.9</v>
      </c>
      <c r="C844" s="116">
        <v>456</v>
      </c>
      <c r="D844" s="116">
        <v>440.6</v>
      </c>
      <c r="E844" s="116">
        <v>469.9</v>
      </c>
      <c r="F844" s="116">
        <v>456</v>
      </c>
      <c r="G844">
        <v>734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44291</v>
      </c>
      <c r="B845" s="116">
        <v>474.5</v>
      </c>
      <c r="C845" s="116">
        <v>437.1</v>
      </c>
      <c r="D845" s="116">
        <v>434</v>
      </c>
      <c r="E845" s="116">
        <v>474.5</v>
      </c>
      <c r="F845" s="116">
        <v>437.1</v>
      </c>
      <c r="G845">
        <v>1857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44292</v>
      </c>
      <c r="B846" s="116">
        <v>450</v>
      </c>
      <c r="C846" s="116">
        <v>436.5</v>
      </c>
      <c r="D846" s="116">
        <v>415.55</v>
      </c>
      <c r="E846" s="116">
        <v>415.55</v>
      </c>
      <c r="F846" s="116">
        <v>436.5</v>
      </c>
      <c r="G846">
        <v>957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44293</v>
      </c>
      <c r="B847" s="116">
        <v>449.9</v>
      </c>
      <c r="C847" s="116">
        <v>441.05</v>
      </c>
      <c r="D847" s="116">
        <v>422</v>
      </c>
      <c r="E847" s="116">
        <v>449.9</v>
      </c>
      <c r="F847" s="116">
        <v>441.05</v>
      </c>
      <c r="G847">
        <v>1192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44294</v>
      </c>
      <c r="B848" s="116">
        <v>458</v>
      </c>
      <c r="C848" s="116">
        <v>455</v>
      </c>
      <c r="D848" s="116">
        <v>425.15</v>
      </c>
      <c r="E848" s="116">
        <v>444</v>
      </c>
      <c r="F848" s="116">
        <v>455</v>
      </c>
      <c r="G848">
        <v>1772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44295</v>
      </c>
      <c r="B849" s="116">
        <v>474.85</v>
      </c>
      <c r="C849" s="116">
        <v>460</v>
      </c>
      <c r="D849" s="116">
        <v>433.05</v>
      </c>
      <c r="E849" s="116">
        <v>445</v>
      </c>
      <c r="F849" s="116">
        <v>460</v>
      </c>
      <c r="G849">
        <v>2744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44298</v>
      </c>
      <c r="B850" s="116">
        <v>464</v>
      </c>
      <c r="C850" s="116">
        <v>440</v>
      </c>
      <c r="D850" s="116">
        <v>437</v>
      </c>
      <c r="E850" s="116">
        <v>464</v>
      </c>
      <c r="F850" s="116">
        <v>440</v>
      </c>
      <c r="G850">
        <v>1657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44299</v>
      </c>
      <c r="B851" s="116">
        <v>449.95</v>
      </c>
      <c r="C851" s="116">
        <v>443.85</v>
      </c>
      <c r="D851" s="116">
        <v>418.05</v>
      </c>
      <c r="E851" s="116">
        <v>449.95</v>
      </c>
      <c r="F851" s="116">
        <v>443.85</v>
      </c>
      <c r="G851">
        <v>496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44301</v>
      </c>
      <c r="B852" s="116">
        <v>462</v>
      </c>
      <c r="C852" s="116">
        <v>439.3</v>
      </c>
      <c r="D852" s="116">
        <v>425.05</v>
      </c>
      <c r="E852" s="116">
        <v>450</v>
      </c>
      <c r="F852" s="116">
        <v>439.3</v>
      </c>
      <c r="G852">
        <v>636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44302</v>
      </c>
      <c r="B853" s="116">
        <v>450</v>
      </c>
      <c r="C853" s="116">
        <v>448.1</v>
      </c>
      <c r="D853" s="116">
        <v>420</v>
      </c>
      <c r="E853" s="116">
        <v>445</v>
      </c>
      <c r="F853" s="116">
        <v>448.1</v>
      </c>
      <c r="G853">
        <v>2419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44305</v>
      </c>
      <c r="B854" s="116">
        <v>462</v>
      </c>
      <c r="C854" s="116">
        <v>443.95</v>
      </c>
      <c r="D854" s="116">
        <v>425.7</v>
      </c>
      <c r="E854" s="116">
        <v>462</v>
      </c>
      <c r="F854" s="116">
        <v>443.95</v>
      </c>
      <c r="G854">
        <v>2831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44306</v>
      </c>
      <c r="B855" s="116">
        <v>449.95</v>
      </c>
      <c r="C855" s="116">
        <v>434.6</v>
      </c>
      <c r="D855" s="116">
        <v>421.8</v>
      </c>
      <c r="E855" s="116">
        <v>449.95</v>
      </c>
      <c r="F855" s="116">
        <v>434.6</v>
      </c>
      <c r="G855">
        <v>1818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44308</v>
      </c>
      <c r="B856" s="116">
        <v>444.95</v>
      </c>
      <c r="C856" s="116">
        <v>429.9</v>
      </c>
      <c r="D856" s="116">
        <v>412.9</v>
      </c>
      <c r="E856" s="116">
        <v>413.15</v>
      </c>
      <c r="F856" s="116">
        <v>429.9</v>
      </c>
      <c r="G856">
        <v>10459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44309</v>
      </c>
      <c r="B857" s="116">
        <v>450</v>
      </c>
      <c r="C857" s="116">
        <v>437.6</v>
      </c>
      <c r="D857" s="116">
        <v>420</v>
      </c>
      <c r="E857" s="116">
        <v>450</v>
      </c>
      <c r="F857" s="116">
        <v>437.6</v>
      </c>
      <c r="G857">
        <v>3315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44312</v>
      </c>
      <c r="B858" s="116">
        <v>448.9</v>
      </c>
      <c r="C858" s="116">
        <v>423.1</v>
      </c>
      <c r="D858" s="116">
        <v>416.05</v>
      </c>
      <c r="E858" s="116">
        <v>448.9</v>
      </c>
      <c r="F858" s="116">
        <v>423.1</v>
      </c>
      <c r="G858">
        <v>1691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44313</v>
      </c>
      <c r="B859" s="116">
        <v>438.8</v>
      </c>
      <c r="C859" s="116">
        <v>429.25</v>
      </c>
      <c r="D859" s="116">
        <v>410</v>
      </c>
      <c r="E859" s="116">
        <v>425</v>
      </c>
      <c r="F859" s="116">
        <v>429.25</v>
      </c>
      <c r="G859">
        <v>1702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44314</v>
      </c>
      <c r="B860" s="116">
        <v>439.75</v>
      </c>
      <c r="C860" s="116">
        <v>411.9</v>
      </c>
      <c r="D860" s="116">
        <v>410</v>
      </c>
      <c r="E860" s="116">
        <v>414.1</v>
      </c>
      <c r="F860" s="116">
        <v>411.9</v>
      </c>
      <c r="G860">
        <v>4537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44315</v>
      </c>
      <c r="B861" s="116">
        <v>424.7</v>
      </c>
      <c r="C861" s="116">
        <v>416.55</v>
      </c>
      <c r="D861" s="116">
        <v>401.05</v>
      </c>
      <c r="E861" s="116">
        <v>424.7</v>
      </c>
      <c r="F861" s="116">
        <v>416.55</v>
      </c>
      <c r="G861">
        <v>1707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44316</v>
      </c>
      <c r="B862" s="116">
        <v>419.95</v>
      </c>
      <c r="C862" s="116">
        <v>409.75</v>
      </c>
      <c r="D862" s="116">
        <v>404.15</v>
      </c>
      <c r="E862" s="116">
        <v>419.95</v>
      </c>
      <c r="F862" s="116">
        <v>409.75</v>
      </c>
      <c r="G862">
        <v>3285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44319</v>
      </c>
      <c r="B863" s="116">
        <v>424.95</v>
      </c>
      <c r="C863" s="116">
        <v>416.35</v>
      </c>
      <c r="D863" s="116">
        <v>395</v>
      </c>
      <c r="E863" s="116">
        <v>419.9</v>
      </c>
      <c r="F863" s="116">
        <v>416.35</v>
      </c>
      <c r="G863">
        <v>1833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44320</v>
      </c>
      <c r="B864" s="116">
        <v>419.4</v>
      </c>
      <c r="C864" s="116">
        <v>410.35</v>
      </c>
      <c r="D864" s="116">
        <v>405.1</v>
      </c>
      <c r="E864" s="116">
        <v>419.4</v>
      </c>
      <c r="F864" s="116">
        <v>410.35</v>
      </c>
      <c r="G864">
        <v>2162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44321</v>
      </c>
      <c r="B865" s="116">
        <v>430.85</v>
      </c>
      <c r="C865" s="116">
        <v>427.25</v>
      </c>
      <c r="D865" s="116">
        <v>408</v>
      </c>
      <c r="E865" s="116">
        <v>418</v>
      </c>
      <c r="F865" s="116">
        <v>427.25</v>
      </c>
      <c r="G865">
        <v>3538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44322</v>
      </c>
      <c r="B866" s="116">
        <v>446.9</v>
      </c>
      <c r="C866" s="116">
        <v>425.25</v>
      </c>
      <c r="D866" s="116">
        <v>406.25</v>
      </c>
      <c r="E866" s="116">
        <v>406.25</v>
      </c>
      <c r="F866" s="116">
        <v>425.25</v>
      </c>
      <c r="G866">
        <v>1274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44323</v>
      </c>
      <c r="B867" s="116">
        <v>439.95</v>
      </c>
      <c r="C867" s="116">
        <v>425.8</v>
      </c>
      <c r="D867" s="116">
        <v>415.05</v>
      </c>
      <c r="E867" s="116">
        <v>439.95</v>
      </c>
      <c r="F867" s="116">
        <v>425.8</v>
      </c>
      <c r="G867">
        <v>3659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44326</v>
      </c>
      <c r="B868" s="116">
        <v>440</v>
      </c>
      <c r="C868" s="116">
        <v>431.4</v>
      </c>
      <c r="D868" s="116">
        <v>415.8</v>
      </c>
      <c r="E868" s="116">
        <v>425.8</v>
      </c>
      <c r="F868" s="116">
        <v>431.4</v>
      </c>
      <c r="G868">
        <v>3059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44327</v>
      </c>
      <c r="B869" s="116">
        <v>446</v>
      </c>
      <c r="C869" s="116">
        <v>435.85</v>
      </c>
      <c r="D869" s="116">
        <v>421.55</v>
      </c>
      <c r="E869" s="116">
        <v>434</v>
      </c>
      <c r="F869" s="116">
        <v>435.85</v>
      </c>
      <c r="G869">
        <v>3576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44328</v>
      </c>
      <c r="B870" s="116">
        <v>454.95</v>
      </c>
      <c r="C870" s="116">
        <v>443.9</v>
      </c>
      <c r="D870" s="116">
        <v>423.15</v>
      </c>
      <c r="E870" s="116">
        <v>423.15</v>
      </c>
      <c r="F870" s="116">
        <v>443.9</v>
      </c>
      <c r="G870">
        <v>1415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44330</v>
      </c>
      <c r="B871" s="116">
        <v>460.5</v>
      </c>
      <c r="C871" s="116">
        <v>451.85</v>
      </c>
      <c r="D871" s="116">
        <v>438.05</v>
      </c>
      <c r="E871" s="116">
        <v>440</v>
      </c>
      <c r="F871" s="116">
        <v>451.85</v>
      </c>
      <c r="G871">
        <v>3982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44333</v>
      </c>
      <c r="B872" s="116">
        <v>464.8</v>
      </c>
      <c r="C872" s="116">
        <v>451.05</v>
      </c>
      <c r="D872" s="116">
        <v>445.65</v>
      </c>
      <c r="E872" s="116">
        <v>464.8</v>
      </c>
      <c r="F872" s="116">
        <v>451.05</v>
      </c>
      <c r="G872">
        <v>2732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44334</v>
      </c>
      <c r="B873" s="116">
        <v>468.7</v>
      </c>
      <c r="C873" s="116">
        <v>443.55</v>
      </c>
      <c r="D873" s="116">
        <v>430.5</v>
      </c>
      <c r="E873" s="116">
        <v>439</v>
      </c>
      <c r="F873" s="116">
        <v>443.55</v>
      </c>
      <c r="G873">
        <v>2555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44335</v>
      </c>
      <c r="B874" s="116">
        <v>457.4</v>
      </c>
      <c r="C874" s="116">
        <v>435.45</v>
      </c>
      <c r="D874" s="116">
        <v>427</v>
      </c>
      <c r="E874" s="116">
        <v>433.25</v>
      </c>
      <c r="F874" s="116">
        <v>435.45</v>
      </c>
      <c r="G874">
        <v>2067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44336</v>
      </c>
      <c r="B875" s="116">
        <v>449.65</v>
      </c>
      <c r="C875" s="116">
        <v>435.05</v>
      </c>
      <c r="D875" s="116">
        <v>425</v>
      </c>
      <c r="E875" s="116">
        <v>436</v>
      </c>
      <c r="F875" s="116">
        <v>435.05</v>
      </c>
      <c r="G875">
        <v>2713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44337</v>
      </c>
      <c r="B876" s="116">
        <v>445.95</v>
      </c>
      <c r="C876" s="116">
        <v>436.35</v>
      </c>
      <c r="D876" s="116">
        <v>424.05</v>
      </c>
      <c r="E876" s="116">
        <v>445.95</v>
      </c>
      <c r="F876" s="116">
        <v>436.35</v>
      </c>
      <c r="G876">
        <v>5998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44340</v>
      </c>
      <c r="B877" s="116">
        <v>446</v>
      </c>
      <c r="C877" s="116">
        <v>421.3</v>
      </c>
      <c r="D877" s="116">
        <v>420</v>
      </c>
      <c r="E877" s="116">
        <v>446</v>
      </c>
      <c r="F877" s="116">
        <v>421.3</v>
      </c>
      <c r="G877">
        <v>8437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44341</v>
      </c>
      <c r="B878" s="116">
        <v>441</v>
      </c>
      <c r="C878" s="116">
        <v>424</v>
      </c>
      <c r="D878" s="116">
        <v>415.05</v>
      </c>
      <c r="E878" s="116">
        <v>441</v>
      </c>
      <c r="F878" s="116">
        <v>424</v>
      </c>
      <c r="G878">
        <v>2629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44342</v>
      </c>
      <c r="B879" s="116">
        <v>435</v>
      </c>
      <c r="C879" s="116">
        <v>420</v>
      </c>
      <c r="D879" s="116">
        <v>415.35</v>
      </c>
      <c r="E879" s="116">
        <v>429.9</v>
      </c>
      <c r="F879" s="116">
        <v>420</v>
      </c>
      <c r="G879">
        <v>5294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44343</v>
      </c>
      <c r="B880" s="116">
        <v>436</v>
      </c>
      <c r="C880" s="116">
        <v>424</v>
      </c>
      <c r="D880" s="116">
        <v>410</v>
      </c>
      <c r="E880" s="116">
        <v>419</v>
      </c>
      <c r="F880" s="116">
        <v>424</v>
      </c>
      <c r="G880">
        <v>4898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44344</v>
      </c>
      <c r="B881" s="116">
        <v>428</v>
      </c>
      <c r="C881" s="116">
        <v>422.05</v>
      </c>
      <c r="D881" s="116">
        <v>410</v>
      </c>
      <c r="E881" s="116">
        <v>424</v>
      </c>
      <c r="F881" s="116">
        <v>422.05</v>
      </c>
      <c r="G881">
        <v>6918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44347</v>
      </c>
      <c r="B882" s="116">
        <v>441.25</v>
      </c>
      <c r="C882" s="116">
        <v>413.7</v>
      </c>
      <c r="D882" s="116">
        <v>403</v>
      </c>
      <c r="E882" s="116">
        <v>425</v>
      </c>
      <c r="F882" s="116">
        <v>413.7</v>
      </c>
      <c r="G882">
        <v>6759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44348</v>
      </c>
      <c r="B883" s="116">
        <v>426.1</v>
      </c>
      <c r="C883" s="116">
        <v>417.35</v>
      </c>
      <c r="D883" s="116">
        <v>406</v>
      </c>
      <c r="E883" s="116">
        <v>426.1</v>
      </c>
      <c r="F883" s="116">
        <v>417.35</v>
      </c>
      <c r="G883">
        <v>1286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44349</v>
      </c>
      <c r="B884" s="116">
        <v>427.9</v>
      </c>
      <c r="C884" s="116">
        <v>422.05</v>
      </c>
      <c r="D884" s="116">
        <v>407.2</v>
      </c>
      <c r="E884" s="116">
        <v>427.8</v>
      </c>
      <c r="F884" s="116">
        <v>422.05</v>
      </c>
      <c r="G884">
        <v>1587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44350</v>
      </c>
      <c r="B885" s="116">
        <v>428</v>
      </c>
      <c r="C885" s="116">
        <v>422.05</v>
      </c>
      <c r="D885" s="116">
        <v>410.25</v>
      </c>
      <c r="E885" s="116">
        <v>428</v>
      </c>
      <c r="F885" s="116">
        <v>422.05</v>
      </c>
      <c r="G885">
        <v>1462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44351</v>
      </c>
      <c r="B886" s="116">
        <v>428</v>
      </c>
      <c r="C886" s="116">
        <v>425.65</v>
      </c>
      <c r="D886" s="116">
        <v>417.15</v>
      </c>
      <c r="E886" s="116">
        <v>428</v>
      </c>
      <c r="F886" s="116">
        <v>425.65</v>
      </c>
      <c r="G886">
        <v>2608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44354</v>
      </c>
      <c r="B887" s="116">
        <v>444.9</v>
      </c>
      <c r="C887" s="116">
        <v>426.4</v>
      </c>
      <c r="D887" s="116">
        <v>416.5</v>
      </c>
      <c r="E887" s="116">
        <v>444.9</v>
      </c>
      <c r="F887" s="116">
        <v>426.4</v>
      </c>
      <c r="G887">
        <v>5286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44355</v>
      </c>
      <c r="B888" s="116">
        <v>435</v>
      </c>
      <c r="C888" s="116">
        <v>420.55</v>
      </c>
      <c r="D888" s="116">
        <v>410.25</v>
      </c>
      <c r="E888" s="116">
        <v>435</v>
      </c>
      <c r="F888" s="116">
        <v>420.55</v>
      </c>
      <c r="G888">
        <v>2715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44356</v>
      </c>
      <c r="B889" s="116">
        <v>438.35</v>
      </c>
      <c r="C889" s="116">
        <v>417.8</v>
      </c>
      <c r="D889" s="116">
        <v>415.05</v>
      </c>
      <c r="E889" s="116">
        <v>421</v>
      </c>
      <c r="F889" s="116">
        <v>417.8</v>
      </c>
      <c r="G889">
        <v>5467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44357</v>
      </c>
      <c r="B890" s="116">
        <v>444</v>
      </c>
      <c r="C890" s="116">
        <v>427.85</v>
      </c>
      <c r="D890" s="116">
        <v>410.05</v>
      </c>
      <c r="E890" s="116">
        <v>427</v>
      </c>
      <c r="F890" s="116">
        <v>427.85</v>
      </c>
      <c r="G890">
        <v>5657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44358</v>
      </c>
      <c r="B891" s="116">
        <v>443.8</v>
      </c>
      <c r="C891" s="116">
        <v>426.1</v>
      </c>
      <c r="D891" s="116">
        <v>411.65</v>
      </c>
      <c r="E891" s="116">
        <v>411.65</v>
      </c>
      <c r="F891" s="116">
        <v>426.1</v>
      </c>
      <c r="G891">
        <v>3502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44361</v>
      </c>
      <c r="B892" s="116">
        <v>443</v>
      </c>
      <c r="C892" s="116">
        <v>436.35</v>
      </c>
      <c r="D892" s="116">
        <v>412.25</v>
      </c>
      <c r="E892" s="116">
        <v>443</v>
      </c>
      <c r="F892" s="116">
        <v>436.35</v>
      </c>
      <c r="G892">
        <v>2092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44362</v>
      </c>
      <c r="B893" s="116">
        <v>436.35</v>
      </c>
      <c r="C893" s="116">
        <v>434.15</v>
      </c>
      <c r="D893" s="116">
        <v>423.25</v>
      </c>
      <c r="E893" s="116">
        <v>436.35</v>
      </c>
      <c r="F893" s="116">
        <v>434.15</v>
      </c>
      <c r="G893">
        <v>1775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44363</v>
      </c>
      <c r="B894" s="116">
        <v>436.4</v>
      </c>
      <c r="C894" s="116">
        <v>420.25</v>
      </c>
      <c r="D894" s="116">
        <v>419</v>
      </c>
      <c r="E894" s="116">
        <v>436.4</v>
      </c>
      <c r="F894" s="116">
        <v>420.25</v>
      </c>
      <c r="G894">
        <v>1602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44364</v>
      </c>
      <c r="B895" s="116">
        <v>436</v>
      </c>
      <c r="C895" s="116">
        <v>424.6</v>
      </c>
      <c r="D895" s="116">
        <v>412.7</v>
      </c>
      <c r="E895" s="116">
        <v>436</v>
      </c>
      <c r="F895" s="116">
        <v>424.6</v>
      </c>
      <c r="G895">
        <v>3595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44365</v>
      </c>
      <c r="B896" s="116">
        <v>435.15</v>
      </c>
      <c r="C896" s="116">
        <v>422.3</v>
      </c>
      <c r="D896" s="116">
        <v>412.05</v>
      </c>
      <c r="E896" s="116">
        <v>412.05</v>
      </c>
      <c r="F896" s="116">
        <v>422.3</v>
      </c>
      <c r="G896">
        <v>1270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44368</v>
      </c>
      <c r="B897" s="116">
        <v>436</v>
      </c>
      <c r="C897" s="116">
        <v>423.35</v>
      </c>
      <c r="D897" s="116">
        <v>403</v>
      </c>
      <c r="E897" s="116">
        <v>436</v>
      </c>
      <c r="F897" s="116">
        <v>423.35</v>
      </c>
      <c r="G897">
        <v>1604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44369</v>
      </c>
      <c r="B898" s="116">
        <v>431</v>
      </c>
      <c r="C898" s="116">
        <v>420.35</v>
      </c>
      <c r="D898" s="116">
        <v>411.5</v>
      </c>
      <c r="E898" s="116">
        <v>423</v>
      </c>
      <c r="F898" s="116">
        <v>420.35</v>
      </c>
      <c r="G898">
        <v>2190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44370</v>
      </c>
      <c r="B899" s="116">
        <v>429.8</v>
      </c>
      <c r="C899" s="116">
        <v>419.25</v>
      </c>
      <c r="D899" s="116">
        <v>412.1</v>
      </c>
      <c r="E899" s="116">
        <v>429.8</v>
      </c>
      <c r="F899" s="116">
        <v>419.25</v>
      </c>
      <c r="G899">
        <v>1036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44371</v>
      </c>
      <c r="B900" s="116">
        <v>435</v>
      </c>
      <c r="C900" s="116">
        <v>430.6</v>
      </c>
      <c r="D900" s="116">
        <v>415.2</v>
      </c>
      <c r="E900" s="116">
        <v>430.5</v>
      </c>
      <c r="F900" s="116">
        <v>430.6</v>
      </c>
      <c r="G900">
        <v>1849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44372</v>
      </c>
      <c r="B901" s="116">
        <v>437</v>
      </c>
      <c r="C901" s="116">
        <v>421.75</v>
      </c>
      <c r="D901" s="116">
        <v>418</v>
      </c>
      <c r="E901" s="116">
        <v>436.5</v>
      </c>
      <c r="F901" s="116">
        <v>421.75</v>
      </c>
      <c r="G901">
        <v>1481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44375</v>
      </c>
      <c r="B902" s="116">
        <v>435.5</v>
      </c>
      <c r="C902" s="116">
        <v>415.7</v>
      </c>
      <c r="D902" s="116">
        <v>415.1</v>
      </c>
      <c r="E902" s="116">
        <v>435.5</v>
      </c>
      <c r="F902" s="116">
        <v>415.7</v>
      </c>
      <c r="G902">
        <v>3312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44376</v>
      </c>
      <c r="B903" s="116">
        <v>425.95</v>
      </c>
      <c r="C903" s="116">
        <v>414.15</v>
      </c>
      <c r="D903" s="116">
        <v>406</v>
      </c>
      <c r="E903" s="116">
        <v>415.75</v>
      </c>
      <c r="F903" s="116">
        <v>414.15</v>
      </c>
      <c r="G903">
        <v>4231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44377</v>
      </c>
      <c r="B904" s="116">
        <v>425.95</v>
      </c>
      <c r="C904" s="116">
        <v>415.4</v>
      </c>
      <c r="D904" s="116">
        <v>380.5</v>
      </c>
      <c r="E904" s="116">
        <v>425.95</v>
      </c>
      <c r="F904" s="116">
        <v>415.4</v>
      </c>
      <c r="G904">
        <v>510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44378</v>
      </c>
      <c r="B905" s="116">
        <v>421.85</v>
      </c>
      <c r="C905" s="116">
        <v>414.45</v>
      </c>
      <c r="D905" s="116">
        <v>410</v>
      </c>
      <c r="E905" s="116">
        <v>421.85</v>
      </c>
      <c r="F905" s="116">
        <v>414.45</v>
      </c>
      <c r="G905">
        <v>1008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44379</v>
      </c>
      <c r="B906" s="116">
        <v>418.5</v>
      </c>
      <c r="C906" s="116">
        <v>411.8</v>
      </c>
      <c r="D906" s="116">
        <v>408.5</v>
      </c>
      <c r="E906" s="116">
        <v>415</v>
      </c>
      <c r="F906" s="116">
        <v>411.8</v>
      </c>
      <c r="G906">
        <v>1277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44382</v>
      </c>
      <c r="B907" s="116">
        <v>420.9</v>
      </c>
      <c r="C907" s="116">
        <v>409.8</v>
      </c>
      <c r="D907" s="116">
        <v>405.55</v>
      </c>
      <c r="E907" s="116">
        <v>408</v>
      </c>
      <c r="F907" s="116">
        <v>409.8</v>
      </c>
      <c r="G907">
        <v>2626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44383</v>
      </c>
      <c r="B908" s="116">
        <v>425</v>
      </c>
      <c r="C908" s="116">
        <v>423.2</v>
      </c>
      <c r="D908" s="116">
        <v>400</v>
      </c>
      <c r="E908" s="116">
        <v>419.95</v>
      </c>
      <c r="F908" s="116">
        <v>423.2</v>
      </c>
      <c r="G908">
        <v>4363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44384</v>
      </c>
      <c r="B909" s="116">
        <v>422.75</v>
      </c>
      <c r="C909" s="116">
        <v>414.9</v>
      </c>
      <c r="D909" s="116">
        <v>405.3</v>
      </c>
      <c r="E909" s="116">
        <v>405.3</v>
      </c>
      <c r="F909" s="116">
        <v>414.9</v>
      </c>
      <c r="G909">
        <v>2102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44385</v>
      </c>
      <c r="B910" s="116">
        <v>425</v>
      </c>
      <c r="C910" s="116">
        <v>409.5</v>
      </c>
      <c r="D910" s="116">
        <v>403</v>
      </c>
      <c r="E910" s="116">
        <v>425</v>
      </c>
      <c r="F910" s="116">
        <v>409.5</v>
      </c>
      <c r="G910">
        <v>3530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44386</v>
      </c>
      <c r="B911" s="116">
        <v>436.5</v>
      </c>
      <c r="C911" s="116">
        <v>432.15</v>
      </c>
      <c r="D911" s="116">
        <v>403.9</v>
      </c>
      <c r="E911" s="116">
        <v>421.95</v>
      </c>
      <c r="F911" s="116">
        <v>432.15</v>
      </c>
      <c r="G911">
        <v>11940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44389</v>
      </c>
      <c r="B912" s="116">
        <v>472</v>
      </c>
      <c r="C912" s="116">
        <v>445.2</v>
      </c>
      <c r="D912" s="116">
        <v>425</v>
      </c>
      <c r="E912" s="116">
        <v>445</v>
      </c>
      <c r="F912" s="116">
        <v>445.2</v>
      </c>
      <c r="G912">
        <v>8568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44390</v>
      </c>
      <c r="B913" s="116">
        <v>450</v>
      </c>
      <c r="C913" s="116">
        <v>447.8</v>
      </c>
      <c r="D913" s="116">
        <v>436.2</v>
      </c>
      <c r="E913" s="116">
        <v>450</v>
      </c>
      <c r="F913" s="116">
        <v>447.8</v>
      </c>
      <c r="G913">
        <v>988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44391</v>
      </c>
      <c r="B914" s="116">
        <v>455</v>
      </c>
      <c r="C914" s="116">
        <v>428.55</v>
      </c>
      <c r="D914" s="116">
        <v>420</v>
      </c>
      <c r="E914" s="116">
        <v>455</v>
      </c>
      <c r="F914" s="116">
        <v>428.55</v>
      </c>
      <c r="G914">
        <v>3816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44392</v>
      </c>
      <c r="B915" s="116">
        <v>440</v>
      </c>
      <c r="C915" s="116">
        <v>430.1</v>
      </c>
      <c r="D915" s="116">
        <v>420.05</v>
      </c>
      <c r="E915" s="116">
        <v>428.55</v>
      </c>
      <c r="F915" s="116">
        <v>430.1</v>
      </c>
      <c r="G915">
        <v>1613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44393</v>
      </c>
      <c r="B916" s="116">
        <v>436.8</v>
      </c>
      <c r="C916" s="116">
        <v>410.35</v>
      </c>
      <c r="D916" s="116">
        <v>405</v>
      </c>
      <c r="E916" s="116">
        <v>431.5</v>
      </c>
      <c r="F916" s="116">
        <v>410.35</v>
      </c>
      <c r="G916">
        <v>8793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44396</v>
      </c>
      <c r="B917" s="116">
        <v>424.85</v>
      </c>
      <c r="C917" s="116">
        <v>408.05</v>
      </c>
      <c r="D917" s="116">
        <v>400.05</v>
      </c>
      <c r="E917" s="116">
        <v>410.35</v>
      </c>
      <c r="F917" s="116">
        <v>408.05</v>
      </c>
      <c r="G917">
        <v>3316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44397</v>
      </c>
      <c r="B918" s="116">
        <v>448</v>
      </c>
      <c r="C918" s="116">
        <v>419.05</v>
      </c>
      <c r="D918" s="116">
        <v>400</v>
      </c>
      <c r="E918" s="116">
        <v>400.1</v>
      </c>
      <c r="F918" s="116">
        <v>419.05</v>
      </c>
      <c r="G918">
        <v>8183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44399</v>
      </c>
      <c r="B919" s="116">
        <v>426</v>
      </c>
      <c r="C919" s="116">
        <v>415.6</v>
      </c>
      <c r="D919" s="116">
        <v>415</v>
      </c>
      <c r="E919" s="116">
        <v>420.05</v>
      </c>
      <c r="F919" s="116">
        <v>415.6</v>
      </c>
      <c r="G919">
        <v>3508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44400</v>
      </c>
      <c r="B920" s="116">
        <v>423.85</v>
      </c>
      <c r="C920" s="116">
        <v>420.4</v>
      </c>
      <c r="D920" s="116">
        <v>410.05</v>
      </c>
      <c r="E920" s="116">
        <v>410.1</v>
      </c>
      <c r="F920" s="116">
        <v>420.4</v>
      </c>
      <c r="G920">
        <v>1778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44403</v>
      </c>
      <c r="B921" s="116">
        <v>435</v>
      </c>
      <c r="C921" s="116">
        <v>432.05</v>
      </c>
      <c r="D921" s="116">
        <v>410.2</v>
      </c>
      <c r="E921" s="116">
        <v>425</v>
      </c>
      <c r="F921" s="116">
        <v>432.05</v>
      </c>
      <c r="G921">
        <v>2322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44404</v>
      </c>
      <c r="B922" s="116">
        <v>436.9</v>
      </c>
      <c r="C922" s="116">
        <v>429.65</v>
      </c>
      <c r="D922" s="116">
        <v>419</v>
      </c>
      <c r="E922" s="116">
        <v>436.9</v>
      </c>
      <c r="F922" s="116">
        <v>429.65</v>
      </c>
      <c r="G922">
        <v>726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44405</v>
      </c>
      <c r="B923" s="116">
        <v>439</v>
      </c>
      <c r="C923" s="116">
        <v>426.75</v>
      </c>
      <c r="D923" s="116">
        <v>415.25</v>
      </c>
      <c r="E923" s="116">
        <v>430</v>
      </c>
      <c r="F923" s="116">
        <v>426.75</v>
      </c>
      <c r="G923">
        <v>1113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44406</v>
      </c>
      <c r="B924" s="116">
        <v>430</v>
      </c>
      <c r="C924" s="116">
        <v>421.65</v>
      </c>
      <c r="D924" s="116">
        <v>415.1</v>
      </c>
      <c r="E924" s="116">
        <v>417.5</v>
      </c>
      <c r="F924" s="116">
        <v>421.65</v>
      </c>
      <c r="G924">
        <v>3977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44407</v>
      </c>
      <c r="B925" s="116">
        <v>429.5</v>
      </c>
      <c r="C925" s="116">
        <v>415.45</v>
      </c>
      <c r="D925" s="116">
        <v>415.1</v>
      </c>
      <c r="E925" s="116">
        <v>422</v>
      </c>
      <c r="F925" s="116">
        <v>415.45</v>
      </c>
      <c r="G925">
        <v>1832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44410</v>
      </c>
      <c r="B926" s="116">
        <v>428.95</v>
      </c>
      <c r="C926" s="116">
        <v>420.1</v>
      </c>
      <c r="D926" s="116">
        <v>415</v>
      </c>
      <c r="E926" s="116">
        <v>428.95</v>
      </c>
      <c r="F926" s="116">
        <v>420.1</v>
      </c>
      <c r="G926">
        <v>1247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44411</v>
      </c>
      <c r="B927" s="116">
        <v>428</v>
      </c>
      <c r="C927" s="116">
        <v>426.5</v>
      </c>
      <c r="D927" s="116">
        <v>410</v>
      </c>
      <c r="E927" s="116">
        <v>425</v>
      </c>
      <c r="F927" s="116">
        <v>426.5</v>
      </c>
      <c r="G927">
        <v>4455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44412</v>
      </c>
      <c r="B928" s="116">
        <v>430</v>
      </c>
      <c r="C928" s="116">
        <v>419.95</v>
      </c>
      <c r="D928" s="116">
        <v>417.5</v>
      </c>
      <c r="E928" s="116">
        <v>430</v>
      </c>
      <c r="F928" s="116">
        <v>419.95</v>
      </c>
      <c r="G928">
        <v>3934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44413</v>
      </c>
      <c r="B929" s="116">
        <v>428</v>
      </c>
      <c r="C929" s="116">
        <v>413.6</v>
      </c>
      <c r="D929" s="116">
        <v>405</v>
      </c>
      <c r="E929" s="116">
        <v>419.95</v>
      </c>
      <c r="F929" s="116">
        <v>413.6</v>
      </c>
      <c r="G929">
        <v>3180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44414</v>
      </c>
      <c r="B930" s="116">
        <v>430</v>
      </c>
      <c r="C930" s="116">
        <v>425.3</v>
      </c>
      <c r="D930" s="116">
        <v>409.25</v>
      </c>
      <c r="E930" s="116">
        <v>419.95</v>
      </c>
      <c r="F930" s="116">
        <v>425.3</v>
      </c>
      <c r="G930">
        <v>7518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44417</v>
      </c>
      <c r="B931" s="116">
        <v>444.65</v>
      </c>
      <c r="C931" s="116">
        <v>428.65</v>
      </c>
      <c r="D931" s="116">
        <v>421</v>
      </c>
      <c r="E931" s="116">
        <v>430</v>
      </c>
      <c r="F931" s="116">
        <v>428.65</v>
      </c>
      <c r="G931">
        <v>6466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44418</v>
      </c>
      <c r="B932" s="116">
        <v>449.95</v>
      </c>
      <c r="C932" s="116">
        <v>434.75</v>
      </c>
      <c r="D932" s="116">
        <v>432.25</v>
      </c>
      <c r="E932" s="116">
        <v>449.95</v>
      </c>
      <c r="F932" s="116">
        <v>434.75</v>
      </c>
      <c r="G932">
        <v>3017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44419</v>
      </c>
      <c r="B933" s="116">
        <v>432</v>
      </c>
      <c r="C933" s="116">
        <v>411.95</v>
      </c>
      <c r="D933" s="116">
        <v>396.2</v>
      </c>
      <c r="E933" s="116">
        <v>429.1</v>
      </c>
      <c r="F933" s="116">
        <v>411.95</v>
      </c>
      <c r="G933">
        <v>10832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44420</v>
      </c>
      <c r="B934" s="116">
        <v>412</v>
      </c>
      <c r="C934" s="116">
        <v>394.25</v>
      </c>
      <c r="D934" s="116">
        <v>377.5</v>
      </c>
      <c r="E934" s="116">
        <v>407.05</v>
      </c>
      <c r="F934" s="116">
        <v>394.25</v>
      </c>
      <c r="G934">
        <v>28479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44421</v>
      </c>
      <c r="B935" s="116">
        <v>409</v>
      </c>
      <c r="C935" s="116">
        <v>406.65</v>
      </c>
      <c r="D935" s="116">
        <v>398</v>
      </c>
      <c r="E935" s="116">
        <v>398</v>
      </c>
      <c r="F935" s="116">
        <v>406.65</v>
      </c>
      <c r="G935">
        <v>2738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44424</v>
      </c>
      <c r="B936" s="116">
        <v>417.95</v>
      </c>
      <c r="C936" s="116">
        <v>399.9</v>
      </c>
      <c r="D936" s="116">
        <v>385</v>
      </c>
      <c r="E936" s="116">
        <v>407</v>
      </c>
      <c r="F936" s="116">
        <v>399.9</v>
      </c>
      <c r="G936">
        <v>1440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44425</v>
      </c>
      <c r="B937" s="116">
        <v>411.9</v>
      </c>
      <c r="C937" s="116">
        <v>396.5</v>
      </c>
      <c r="D937" s="116">
        <v>385</v>
      </c>
      <c r="E937" s="116">
        <v>390.05</v>
      </c>
      <c r="F937" s="116">
        <v>396.5</v>
      </c>
      <c r="G937">
        <v>1573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44426</v>
      </c>
      <c r="B938" s="116">
        <v>409</v>
      </c>
      <c r="C938" s="116">
        <v>392.25</v>
      </c>
      <c r="D938" s="116">
        <v>390</v>
      </c>
      <c r="E938" s="116">
        <v>409</v>
      </c>
      <c r="F938" s="116">
        <v>392.25</v>
      </c>
      <c r="G938">
        <v>802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44428</v>
      </c>
      <c r="B939" s="116">
        <v>404.45</v>
      </c>
      <c r="C939" s="116">
        <v>378.2</v>
      </c>
      <c r="D939" s="116">
        <v>375.05</v>
      </c>
      <c r="E939" s="116">
        <v>395</v>
      </c>
      <c r="F939" s="116">
        <v>378.2</v>
      </c>
      <c r="G939">
        <v>4037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44431</v>
      </c>
      <c r="B940" s="116">
        <v>408.8</v>
      </c>
      <c r="C940" s="116">
        <v>375.65</v>
      </c>
      <c r="D940" s="116">
        <v>351.2</v>
      </c>
      <c r="E940" s="116">
        <v>408.8</v>
      </c>
      <c r="F940" s="116">
        <v>375.65</v>
      </c>
      <c r="G940">
        <v>2701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44432</v>
      </c>
      <c r="B941" s="116">
        <v>405</v>
      </c>
      <c r="C941" s="116">
        <v>386.6</v>
      </c>
      <c r="D941" s="116">
        <v>374</v>
      </c>
      <c r="E941" s="116">
        <v>405</v>
      </c>
      <c r="F941" s="116">
        <v>386.6</v>
      </c>
      <c r="G941">
        <v>9689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44433</v>
      </c>
      <c r="B942" s="116">
        <v>400</v>
      </c>
      <c r="C942" s="116">
        <v>379.45</v>
      </c>
      <c r="D942" s="116">
        <v>373.4</v>
      </c>
      <c r="E942" s="116">
        <v>375</v>
      </c>
      <c r="F942" s="116">
        <v>379.45</v>
      </c>
      <c r="G942">
        <v>3980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44434</v>
      </c>
      <c r="B943" s="116">
        <v>387.95</v>
      </c>
      <c r="C943" s="116">
        <v>378.2</v>
      </c>
      <c r="D943" s="116">
        <v>375</v>
      </c>
      <c r="E943" s="116">
        <v>375.05</v>
      </c>
      <c r="F943" s="116">
        <v>378.2</v>
      </c>
      <c r="G943">
        <v>1907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44435</v>
      </c>
      <c r="B944" s="116">
        <v>387.75</v>
      </c>
      <c r="C944" s="116">
        <v>380</v>
      </c>
      <c r="D944" s="116">
        <v>361.6</v>
      </c>
      <c r="E944" s="116">
        <v>370.65</v>
      </c>
      <c r="F944" s="116">
        <v>380</v>
      </c>
      <c r="G944">
        <v>8796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44438</v>
      </c>
      <c r="B945" s="116">
        <v>409.7</v>
      </c>
      <c r="C945" s="116">
        <v>385.6</v>
      </c>
      <c r="D945" s="116">
        <v>380</v>
      </c>
      <c r="E945" s="116">
        <v>409.7</v>
      </c>
      <c r="F945" s="116">
        <v>385.6</v>
      </c>
      <c r="G945">
        <v>2986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44439</v>
      </c>
      <c r="B946" s="116">
        <v>393.8</v>
      </c>
      <c r="C946" s="116">
        <v>380.5</v>
      </c>
      <c r="D946" s="116">
        <v>378</v>
      </c>
      <c r="E946" s="116">
        <v>390</v>
      </c>
      <c r="F946" s="116">
        <v>380.5</v>
      </c>
      <c r="G946">
        <v>3782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44440</v>
      </c>
      <c r="B947" s="116">
        <v>393.75</v>
      </c>
      <c r="C947" s="116">
        <v>382.85</v>
      </c>
      <c r="D947" s="116">
        <v>375</v>
      </c>
      <c r="E947" s="116">
        <v>393.75</v>
      </c>
      <c r="F947" s="116">
        <v>382.85</v>
      </c>
      <c r="G947">
        <v>3340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44441</v>
      </c>
      <c r="B948" s="116">
        <v>387.95</v>
      </c>
      <c r="C948" s="116">
        <v>378.05</v>
      </c>
      <c r="D948" s="116">
        <v>370</v>
      </c>
      <c r="E948" s="116">
        <v>384.15</v>
      </c>
      <c r="F948" s="116">
        <v>378.05</v>
      </c>
      <c r="G948">
        <v>5247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44442</v>
      </c>
      <c r="B949" s="116">
        <v>385</v>
      </c>
      <c r="C949" s="116">
        <v>377.45</v>
      </c>
      <c r="D949" s="116">
        <v>370</v>
      </c>
      <c r="E949" s="116">
        <v>385</v>
      </c>
      <c r="F949" s="116">
        <v>377.45</v>
      </c>
      <c r="G949">
        <v>2221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44445</v>
      </c>
      <c r="B950" s="116">
        <v>388.5</v>
      </c>
      <c r="C950" s="116">
        <v>379.2</v>
      </c>
      <c r="D950" s="116">
        <v>372.6</v>
      </c>
      <c r="E950" s="116">
        <v>372.6</v>
      </c>
      <c r="F950" s="116">
        <v>379.2</v>
      </c>
      <c r="G950">
        <v>1036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44446</v>
      </c>
      <c r="B951" s="116">
        <v>383.85</v>
      </c>
      <c r="C951" s="116">
        <v>376.4</v>
      </c>
      <c r="D951" s="116">
        <v>360</v>
      </c>
      <c r="E951" s="116">
        <v>381</v>
      </c>
      <c r="F951" s="116">
        <v>376.4</v>
      </c>
      <c r="G951">
        <v>2266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44447</v>
      </c>
      <c r="B952" s="116">
        <v>386</v>
      </c>
      <c r="C952" s="116">
        <v>381.3</v>
      </c>
      <c r="D952" s="116">
        <v>370.2</v>
      </c>
      <c r="E952" s="116">
        <v>381.65</v>
      </c>
      <c r="F952" s="116">
        <v>381.3</v>
      </c>
      <c r="G952">
        <v>2854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44448</v>
      </c>
      <c r="B953" s="116">
        <v>395</v>
      </c>
      <c r="C953" s="116">
        <v>393.8</v>
      </c>
      <c r="D953" s="116">
        <v>377.05</v>
      </c>
      <c r="E953" s="116">
        <v>389.9</v>
      </c>
      <c r="F953" s="116">
        <v>393.8</v>
      </c>
      <c r="G953">
        <v>4256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44452</v>
      </c>
      <c r="B954" s="116">
        <v>404</v>
      </c>
      <c r="C954" s="116">
        <v>393.05</v>
      </c>
      <c r="D954" s="116">
        <v>372.2</v>
      </c>
      <c r="E954" s="116">
        <v>394</v>
      </c>
      <c r="F954" s="116">
        <v>393.05</v>
      </c>
      <c r="G954">
        <v>4476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44453</v>
      </c>
      <c r="B955" s="116">
        <v>471.65</v>
      </c>
      <c r="C955" s="116">
        <v>462.1</v>
      </c>
      <c r="D955" s="116">
        <v>382.6</v>
      </c>
      <c r="E955" s="116">
        <v>382.6</v>
      </c>
      <c r="F955" s="116">
        <v>462.1</v>
      </c>
      <c r="G955">
        <v>132811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44454</v>
      </c>
      <c r="B956" s="116">
        <v>509.7</v>
      </c>
      <c r="C956" s="116">
        <v>472.9</v>
      </c>
      <c r="D956" s="116">
        <v>450</v>
      </c>
      <c r="E956" s="116">
        <v>473</v>
      </c>
      <c r="F956" s="116">
        <v>472.9</v>
      </c>
      <c r="G956">
        <v>46047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44455</v>
      </c>
      <c r="B957" s="116">
        <v>479.95</v>
      </c>
      <c r="C957" s="116">
        <v>459.15</v>
      </c>
      <c r="D957" s="116">
        <v>451</v>
      </c>
      <c r="E957" s="116">
        <v>476</v>
      </c>
      <c r="F957" s="116">
        <v>459.15</v>
      </c>
      <c r="G957">
        <v>8429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44456</v>
      </c>
      <c r="B958" s="116">
        <v>469</v>
      </c>
      <c r="C958" s="116">
        <v>454.45</v>
      </c>
      <c r="D958" s="116">
        <v>431.3</v>
      </c>
      <c r="E958" s="116">
        <v>459</v>
      </c>
      <c r="F958" s="116">
        <v>454.45</v>
      </c>
      <c r="G958">
        <v>7006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44459</v>
      </c>
      <c r="B959" s="116">
        <v>498.7</v>
      </c>
      <c r="C959" s="116">
        <v>472.8</v>
      </c>
      <c r="D959" s="116">
        <v>424.1</v>
      </c>
      <c r="E959" s="116">
        <v>469</v>
      </c>
      <c r="F959" s="116">
        <v>472.8</v>
      </c>
      <c r="G959">
        <v>25796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44460</v>
      </c>
      <c r="B960" s="116">
        <v>478</v>
      </c>
      <c r="C960" s="116">
        <v>467.1</v>
      </c>
      <c r="D960" s="116">
        <v>451</v>
      </c>
      <c r="E960" s="116">
        <v>474</v>
      </c>
      <c r="F960" s="116">
        <v>467.1</v>
      </c>
      <c r="G960">
        <v>5094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44461</v>
      </c>
      <c r="B961" s="116">
        <v>560.5</v>
      </c>
      <c r="C961" s="116">
        <v>560.5</v>
      </c>
      <c r="D961" s="116">
        <v>462.6</v>
      </c>
      <c r="E961" s="116">
        <v>489</v>
      </c>
      <c r="F961" s="116">
        <v>560.5</v>
      </c>
      <c r="G961">
        <v>47313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44462</v>
      </c>
      <c r="B962" s="116">
        <v>637</v>
      </c>
      <c r="C962" s="116">
        <v>605.20000000000005</v>
      </c>
      <c r="D962" s="116">
        <v>584</v>
      </c>
      <c r="E962" s="116">
        <v>637</v>
      </c>
      <c r="F962" s="116">
        <v>605.20000000000005</v>
      </c>
      <c r="G962">
        <v>77328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44463</v>
      </c>
      <c r="B963" s="116">
        <v>615</v>
      </c>
      <c r="C963" s="116">
        <v>563.20000000000005</v>
      </c>
      <c r="D963" s="116">
        <v>552</v>
      </c>
      <c r="E963" s="116">
        <v>609.95000000000005</v>
      </c>
      <c r="F963" s="116">
        <v>563.20000000000005</v>
      </c>
      <c r="G963">
        <v>20406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44466</v>
      </c>
      <c r="B964" s="116">
        <v>567</v>
      </c>
      <c r="C964" s="116">
        <v>529.65</v>
      </c>
      <c r="D964" s="116">
        <v>522.20000000000005</v>
      </c>
      <c r="E964" s="116">
        <v>565</v>
      </c>
      <c r="F964" s="116">
        <v>529.65</v>
      </c>
      <c r="G964">
        <v>12312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44467</v>
      </c>
      <c r="B965" s="116">
        <v>547.95000000000005</v>
      </c>
      <c r="C965" s="116">
        <v>513.20000000000005</v>
      </c>
      <c r="D965" s="116">
        <v>510</v>
      </c>
      <c r="E965" s="116">
        <v>547.95000000000005</v>
      </c>
      <c r="F965" s="116">
        <v>513.20000000000005</v>
      </c>
      <c r="G965">
        <v>6979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44468</v>
      </c>
      <c r="B966" s="116">
        <v>510</v>
      </c>
      <c r="C966" s="116">
        <v>496.55</v>
      </c>
      <c r="D966" s="116">
        <v>462.4</v>
      </c>
      <c r="E966" s="116">
        <v>508</v>
      </c>
      <c r="F966" s="116">
        <v>496.55</v>
      </c>
      <c r="G966">
        <v>23982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44469</v>
      </c>
      <c r="B967" s="116">
        <v>534.95000000000005</v>
      </c>
      <c r="C967" s="116">
        <v>515.29999999999995</v>
      </c>
      <c r="D967" s="116">
        <v>497.8</v>
      </c>
      <c r="E967" s="116">
        <v>509.9</v>
      </c>
      <c r="F967" s="116">
        <v>515.29999999999995</v>
      </c>
      <c r="G967">
        <v>11228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44470</v>
      </c>
      <c r="B968" s="116">
        <v>555</v>
      </c>
      <c r="C968" s="116">
        <v>538.1</v>
      </c>
      <c r="D968" s="116">
        <v>514.20000000000005</v>
      </c>
      <c r="E968" s="116">
        <v>514.20000000000005</v>
      </c>
      <c r="F968" s="116">
        <v>538.1</v>
      </c>
      <c r="G968">
        <v>11408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44473</v>
      </c>
      <c r="B969" s="116">
        <v>545.95000000000005</v>
      </c>
      <c r="C969" s="116">
        <v>544.20000000000005</v>
      </c>
      <c r="D969" s="116">
        <v>525</v>
      </c>
      <c r="E969" s="116">
        <v>540</v>
      </c>
      <c r="F969" s="116">
        <v>544.20000000000005</v>
      </c>
      <c r="G969">
        <v>3231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44474</v>
      </c>
      <c r="B970" s="116">
        <v>548</v>
      </c>
      <c r="C970" s="116">
        <v>526.25</v>
      </c>
      <c r="D970" s="116">
        <v>525</v>
      </c>
      <c r="E970" s="116">
        <v>540</v>
      </c>
      <c r="F970" s="116">
        <v>526.25</v>
      </c>
      <c r="G970">
        <v>5622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44475</v>
      </c>
      <c r="B971" s="116">
        <v>545.9</v>
      </c>
      <c r="C971" s="116">
        <v>504.1</v>
      </c>
      <c r="D971" s="116">
        <v>500</v>
      </c>
      <c r="E971" s="116">
        <v>531.5</v>
      </c>
      <c r="F971" s="116">
        <v>504.1</v>
      </c>
      <c r="G971">
        <v>4991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44476</v>
      </c>
      <c r="B972" s="116">
        <v>518.9</v>
      </c>
      <c r="C972" s="116">
        <v>507.45</v>
      </c>
      <c r="D972" s="116">
        <v>505.2</v>
      </c>
      <c r="E972" s="116">
        <v>508</v>
      </c>
      <c r="F972" s="116">
        <v>507.45</v>
      </c>
      <c r="G972">
        <v>3298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44477</v>
      </c>
      <c r="B973" s="116">
        <v>517.95000000000005</v>
      </c>
      <c r="C973" s="116">
        <v>493.4</v>
      </c>
      <c r="D973" s="116">
        <v>490</v>
      </c>
      <c r="E973" s="116">
        <v>517.95000000000005</v>
      </c>
      <c r="F973" s="116">
        <v>493.4</v>
      </c>
      <c r="G973">
        <v>4173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44480</v>
      </c>
      <c r="B974" s="116">
        <v>525</v>
      </c>
      <c r="C974" s="116">
        <v>508.35</v>
      </c>
      <c r="D974" s="116">
        <v>487</v>
      </c>
      <c r="E974" s="116">
        <v>493.4</v>
      </c>
      <c r="F974" s="116">
        <v>508.35</v>
      </c>
      <c r="G974">
        <v>6912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44481</v>
      </c>
      <c r="B975" s="116">
        <v>520</v>
      </c>
      <c r="C975" s="116">
        <v>509.15</v>
      </c>
      <c r="D975" s="116">
        <v>500.55</v>
      </c>
      <c r="E975" s="116">
        <v>508.1</v>
      </c>
      <c r="F975" s="116">
        <v>509.15</v>
      </c>
      <c r="G975">
        <v>4006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44482</v>
      </c>
      <c r="B976" s="116">
        <v>509.9</v>
      </c>
      <c r="C976" s="116">
        <v>487.25</v>
      </c>
      <c r="D976" s="116">
        <v>483.7</v>
      </c>
      <c r="E976" s="116">
        <v>501.1</v>
      </c>
      <c r="F976" s="116">
        <v>487.25</v>
      </c>
      <c r="G976">
        <v>7201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44483</v>
      </c>
      <c r="B977" s="116">
        <v>504.95</v>
      </c>
      <c r="C977" s="116">
        <v>484.45</v>
      </c>
      <c r="D977" s="116">
        <v>478</v>
      </c>
      <c r="E977" s="116">
        <v>498.95</v>
      </c>
      <c r="F977" s="116">
        <v>484.45</v>
      </c>
      <c r="G977">
        <v>4801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44487</v>
      </c>
      <c r="B978" s="116">
        <v>504.9</v>
      </c>
      <c r="C978" s="116">
        <v>485.8</v>
      </c>
      <c r="D978" s="116">
        <v>470</v>
      </c>
      <c r="E978" s="116">
        <v>491</v>
      </c>
      <c r="F978" s="116">
        <v>485.8</v>
      </c>
      <c r="G978">
        <v>3835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44488</v>
      </c>
      <c r="B979" s="116">
        <v>506</v>
      </c>
      <c r="C979" s="116">
        <v>486.05</v>
      </c>
      <c r="D979" s="116">
        <v>463.15</v>
      </c>
      <c r="E979" s="116">
        <v>504.9</v>
      </c>
      <c r="F979" s="116">
        <v>486.05</v>
      </c>
      <c r="G979">
        <v>13458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44489</v>
      </c>
      <c r="B980" s="116">
        <v>494.95</v>
      </c>
      <c r="C980" s="116">
        <v>471.95</v>
      </c>
      <c r="D980" s="116">
        <v>466.1</v>
      </c>
      <c r="E980" s="116">
        <v>494.95</v>
      </c>
      <c r="F980" s="116">
        <v>471.95</v>
      </c>
      <c r="G980">
        <v>3182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44490</v>
      </c>
      <c r="B981" s="116">
        <v>484.7</v>
      </c>
      <c r="C981" s="116">
        <v>467.6</v>
      </c>
      <c r="D981" s="116">
        <v>465</v>
      </c>
      <c r="E981" s="116">
        <v>475</v>
      </c>
      <c r="F981" s="116">
        <v>467.6</v>
      </c>
      <c r="G981">
        <v>3773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44491</v>
      </c>
      <c r="B982" s="116">
        <v>490.95</v>
      </c>
      <c r="C982" s="116">
        <v>484.5</v>
      </c>
      <c r="D982" s="116">
        <v>460</v>
      </c>
      <c r="E982" s="116">
        <v>460.4</v>
      </c>
      <c r="F982" s="116">
        <v>484.5</v>
      </c>
      <c r="G982">
        <v>7864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44494</v>
      </c>
      <c r="B983" s="116">
        <v>508.7</v>
      </c>
      <c r="C983" s="116">
        <v>479.65</v>
      </c>
      <c r="D983" s="116">
        <v>472</v>
      </c>
      <c r="E983" s="116">
        <v>505.35</v>
      </c>
      <c r="F983" s="116">
        <v>479.65</v>
      </c>
      <c r="G983">
        <v>4387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44495</v>
      </c>
      <c r="B984" s="116">
        <v>500</v>
      </c>
      <c r="C984" s="116">
        <v>482</v>
      </c>
      <c r="D984" s="116">
        <v>475</v>
      </c>
      <c r="E984" s="116">
        <v>497.95</v>
      </c>
      <c r="F984" s="116">
        <v>482</v>
      </c>
      <c r="G984">
        <v>2743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44496</v>
      </c>
      <c r="B985" s="116">
        <v>494.95</v>
      </c>
      <c r="C985" s="116">
        <v>477.3</v>
      </c>
      <c r="D985" s="116">
        <v>470</v>
      </c>
      <c r="E985" s="116">
        <v>486.8</v>
      </c>
      <c r="F985" s="116">
        <v>477.3</v>
      </c>
      <c r="G985">
        <v>1471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44497</v>
      </c>
      <c r="B986" s="116">
        <v>480</v>
      </c>
      <c r="C986" s="116">
        <v>476.9</v>
      </c>
      <c r="D986" s="116">
        <v>462</v>
      </c>
      <c r="E986" s="116">
        <v>480</v>
      </c>
      <c r="F986" s="116">
        <v>476.9</v>
      </c>
      <c r="G986">
        <v>1291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44498</v>
      </c>
      <c r="B987" s="116">
        <v>484.9</v>
      </c>
      <c r="C987" s="116">
        <v>469.95</v>
      </c>
      <c r="D987" s="116">
        <v>455</v>
      </c>
      <c r="E987" s="116">
        <v>474</v>
      </c>
      <c r="F987" s="116">
        <v>469.95</v>
      </c>
      <c r="G987">
        <v>1924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44501</v>
      </c>
      <c r="B988" s="116">
        <v>489</v>
      </c>
      <c r="C988" s="116">
        <v>472.65</v>
      </c>
      <c r="D988" s="116">
        <v>465</v>
      </c>
      <c r="E988" s="116">
        <v>489</v>
      </c>
      <c r="F988" s="116">
        <v>472.65</v>
      </c>
      <c r="G988">
        <v>1192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44502</v>
      </c>
      <c r="B989" s="116">
        <v>486.7</v>
      </c>
      <c r="C989" s="116">
        <v>482.55</v>
      </c>
      <c r="D989" s="116">
        <v>470</v>
      </c>
      <c r="E989" s="116">
        <v>470</v>
      </c>
      <c r="F989" s="116">
        <v>482.55</v>
      </c>
      <c r="G989">
        <v>1074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44503</v>
      </c>
      <c r="B990" s="116">
        <v>506.65</v>
      </c>
      <c r="C990" s="116">
        <v>506.65</v>
      </c>
      <c r="D990" s="116">
        <v>482.55</v>
      </c>
      <c r="E990" s="116">
        <v>482.55</v>
      </c>
      <c r="F990" s="116">
        <v>506.65</v>
      </c>
      <c r="G990">
        <v>8077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44504</v>
      </c>
      <c r="B991" s="116">
        <v>519</v>
      </c>
      <c r="C991" s="116">
        <v>506.4</v>
      </c>
      <c r="D991" s="116">
        <v>490</v>
      </c>
      <c r="E991" s="116">
        <v>519</v>
      </c>
      <c r="F991" s="116">
        <v>506.4</v>
      </c>
      <c r="G991">
        <v>2070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44508</v>
      </c>
      <c r="B992" s="116">
        <v>531.70000000000005</v>
      </c>
      <c r="C992" s="116">
        <v>531.70000000000005</v>
      </c>
      <c r="D992" s="116">
        <v>521.95000000000005</v>
      </c>
      <c r="E992" s="116">
        <v>528</v>
      </c>
      <c r="F992" s="116">
        <v>531.70000000000005</v>
      </c>
      <c r="G992">
        <v>8035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44509</v>
      </c>
      <c r="B993" s="116">
        <v>539.5</v>
      </c>
      <c r="C993" s="116">
        <v>517.95000000000005</v>
      </c>
      <c r="D993" s="116">
        <v>514</v>
      </c>
      <c r="E993" s="116">
        <v>531</v>
      </c>
      <c r="F993" s="116">
        <v>517.95000000000005</v>
      </c>
      <c r="G993">
        <v>1988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44510</v>
      </c>
      <c r="B994" s="116">
        <v>534</v>
      </c>
      <c r="C994" s="116">
        <v>523.9</v>
      </c>
      <c r="D994" s="116">
        <v>502</v>
      </c>
      <c r="E994" s="116">
        <v>520</v>
      </c>
      <c r="F994" s="116">
        <v>523.9</v>
      </c>
      <c r="G994">
        <v>4134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44511</v>
      </c>
      <c r="B995" s="116">
        <v>549</v>
      </c>
      <c r="C995" s="116">
        <v>514.6</v>
      </c>
      <c r="D995" s="116">
        <v>505.15</v>
      </c>
      <c r="E995" s="116">
        <v>549</v>
      </c>
      <c r="F995" s="116">
        <v>514.6</v>
      </c>
      <c r="G995">
        <v>2730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44512</v>
      </c>
      <c r="B996" s="116">
        <v>534.4</v>
      </c>
      <c r="C996" s="116">
        <v>502.85</v>
      </c>
      <c r="D996" s="116">
        <v>500</v>
      </c>
      <c r="E996" s="116">
        <v>534.4</v>
      </c>
      <c r="F996" s="116">
        <v>502.85</v>
      </c>
      <c r="G996">
        <v>2062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44515</v>
      </c>
      <c r="B997" s="116">
        <v>523</v>
      </c>
      <c r="C997" s="116">
        <v>485.9</v>
      </c>
      <c r="D997" s="116">
        <v>482.9</v>
      </c>
      <c r="E997" s="116">
        <v>507</v>
      </c>
      <c r="F997" s="116">
        <v>485.9</v>
      </c>
      <c r="G997">
        <v>1828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44516</v>
      </c>
      <c r="B998" s="116">
        <v>490.15</v>
      </c>
      <c r="C998" s="116">
        <v>469</v>
      </c>
      <c r="D998" s="116">
        <v>465</v>
      </c>
      <c r="E998" s="116">
        <v>490.15</v>
      </c>
      <c r="F998" s="116">
        <v>469</v>
      </c>
      <c r="G998">
        <v>3968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44517</v>
      </c>
      <c r="B999" s="116">
        <v>475.25</v>
      </c>
      <c r="C999" s="116">
        <v>459.4</v>
      </c>
      <c r="D999" s="116">
        <v>451</v>
      </c>
      <c r="E999" s="116">
        <v>461.65</v>
      </c>
      <c r="F999" s="116">
        <v>459.4</v>
      </c>
      <c r="G999">
        <v>7181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44518</v>
      </c>
      <c r="B1000" s="116">
        <v>482</v>
      </c>
      <c r="C1000" s="116">
        <v>461.1</v>
      </c>
      <c r="D1000" s="116">
        <v>445.3</v>
      </c>
      <c r="E1000" s="116">
        <v>482</v>
      </c>
      <c r="F1000" s="116">
        <v>461.1</v>
      </c>
      <c r="G1000">
        <v>2771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44522</v>
      </c>
      <c r="B1001" s="116">
        <v>484</v>
      </c>
      <c r="C1001" s="116">
        <v>463.65</v>
      </c>
      <c r="D1001" s="116">
        <v>461.2</v>
      </c>
      <c r="E1001" s="116">
        <v>482.5</v>
      </c>
      <c r="F1001" s="116">
        <v>463.65</v>
      </c>
      <c r="G1001">
        <v>1076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44523</v>
      </c>
      <c r="B1002" s="116">
        <v>479</v>
      </c>
      <c r="C1002" s="116">
        <v>476.45</v>
      </c>
      <c r="D1002" s="116">
        <v>462</v>
      </c>
      <c r="E1002" s="116">
        <v>463</v>
      </c>
      <c r="F1002" s="116">
        <v>476.45</v>
      </c>
      <c r="G1002">
        <v>2263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44524</v>
      </c>
      <c r="B1003" s="116">
        <v>480</v>
      </c>
      <c r="C1003" s="116">
        <v>472</v>
      </c>
      <c r="D1003" s="116">
        <v>460.1</v>
      </c>
      <c r="E1003" s="116">
        <v>478.7</v>
      </c>
      <c r="F1003" s="116">
        <v>472</v>
      </c>
      <c r="G1003">
        <v>2641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44525</v>
      </c>
      <c r="B1004" s="116">
        <v>495.6</v>
      </c>
      <c r="C1004" s="116">
        <v>495.6</v>
      </c>
      <c r="D1004" s="116">
        <v>452</v>
      </c>
      <c r="E1004" s="116">
        <v>472</v>
      </c>
      <c r="F1004" s="116">
        <v>495.6</v>
      </c>
      <c r="G1004">
        <v>3184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44526</v>
      </c>
      <c r="B1005" s="116">
        <v>500</v>
      </c>
      <c r="C1005" s="116">
        <v>496.5</v>
      </c>
      <c r="D1005" s="116">
        <v>471.05</v>
      </c>
      <c r="E1005" s="116">
        <v>500</v>
      </c>
      <c r="F1005" s="116">
        <v>496.5</v>
      </c>
      <c r="G1005">
        <v>6827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44529</v>
      </c>
      <c r="B1006" s="116">
        <v>498</v>
      </c>
      <c r="C1006" s="116">
        <v>482.7</v>
      </c>
      <c r="D1006" s="116">
        <v>471.7</v>
      </c>
      <c r="E1006" s="116">
        <v>493.95</v>
      </c>
      <c r="F1006" s="116">
        <v>482.7</v>
      </c>
      <c r="G1006">
        <v>2091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44530</v>
      </c>
      <c r="B1007" s="116">
        <v>498.4</v>
      </c>
      <c r="C1007" s="116">
        <v>486.25</v>
      </c>
      <c r="D1007" s="116">
        <v>475</v>
      </c>
      <c r="E1007" s="116">
        <v>482.7</v>
      </c>
      <c r="F1007" s="116">
        <v>486.25</v>
      </c>
      <c r="G1007">
        <v>2121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44531</v>
      </c>
      <c r="B1008" s="116">
        <v>499.9</v>
      </c>
      <c r="C1008" s="116">
        <v>485.5</v>
      </c>
      <c r="D1008" s="116">
        <v>478</v>
      </c>
      <c r="E1008" s="116">
        <v>486.25</v>
      </c>
      <c r="F1008" s="116">
        <v>485.5</v>
      </c>
      <c r="G1008">
        <v>2736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44532</v>
      </c>
      <c r="B1009" s="116">
        <v>504.5</v>
      </c>
      <c r="C1009" s="116">
        <v>480</v>
      </c>
      <c r="D1009" s="116">
        <v>477.35</v>
      </c>
      <c r="E1009" s="116">
        <v>504.5</v>
      </c>
      <c r="F1009" s="116">
        <v>480</v>
      </c>
      <c r="G1009">
        <v>1371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44533</v>
      </c>
      <c r="B1010" s="116">
        <v>503.85</v>
      </c>
      <c r="C1010" s="116">
        <v>501.65</v>
      </c>
      <c r="D1010" s="116">
        <v>488</v>
      </c>
      <c r="E1010" s="116">
        <v>499.8</v>
      </c>
      <c r="F1010" s="116">
        <v>501.65</v>
      </c>
      <c r="G1010">
        <v>1857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44536</v>
      </c>
      <c r="B1011" s="116">
        <v>505</v>
      </c>
      <c r="C1011" s="116">
        <v>500.55</v>
      </c>
      <c r="D1011" s="116">
        <v>485</v>
      </c>
      <c r="E1011" s="116">
        <v>503.85</v>
      </c>
      <c r="F1011" s="116">
        <v>500.55</v>
      </c>
      <c r="G1011">
        <v>2037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44537</v>
      </c>
      <c r="B1012" s="116">
        <v>513</v>
      </c>
      <c r="C1012" s="116">
        <v>500.95</v>
      </c>
      <c r="D1012" s="116">
        <v>485.25</v>
      </c>
      <c r="E1012" s="116">
        <v>513</v>
      </c>
      <c r="F1012" s="116">
        <v>500.95</v>
      </c>
      <c r="G1012">
        <v>363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44538</v>
      </c>
      <c r="B1013" s="116">
        <v>525.95000000000005</v>
      </c>
      <c r="C1013" s="116">
        <v>520.95000000000005</v>
      </c>
      <c r="D1013" s="116">
        <v>495</v>
      </c>
      <c r="E1013" s="116">
        <v>519</v>
      </c>
      <c r="F1013" s="116">
        <v>520.95000000000005</v>
      </c>
      <c r="G1013">
        <v>7400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44539</v>
      </c>
      <c r="B1014" s="116">
        <v>546.95000000000005</v>
      </c>
      <c r="C1014" s="116">
        <v>546.95000000000005</v>
      </c>
      <c r="D1014" s="116">
        <v>515</v>
      </c>
      <c r="E1014" s="116">
        <v>525.5</v>
      </c>
      <c r="F1014" s="116">
        <v>546.95000000000005</v>
      </c>
      <c r="G1014">
        <v>5413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44540</v>
      </c>
      <c r="B1015" s="116">
        <v>574.25</v>
      </c>
      <c r="C1015" s="116">
        <v>574.25</v>
      </c>
      <c r="D1015" s="116">
        <v>555</v>
      </c>
      <c r="E1015" s="116">
        <v>555</v>
      </c>
      <c r="F1015" s="116">
        <v>574.25</v>
      </c>
      <c r="G1015">
        <v>2906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44543</v>
      </c>
      <c r="B1016" s="116">
        <v>602.95000000000005</v>
      </c>
      <c r="C1016" s="116">
        <v>602.95000000000005</v>
      </c>
      <c r="D1016" s="116">
        <v>575</v>
      </c>
      <c r="E1016" s="116">
        <v>575</v>
      </c>
      <c r="F1016" s="116">
        <v>602.95000000000005</v>
      </c>
      <c r="G1016">
        <v>6793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44544</v>
      </c>
      <c r="B1017" s="116">
        <v>633.04999999999995</v>
      </c>
      <c r="C1017" s="116">
        <v>633.04999999999995</v>
      </c>
      <c r="D1017" s="116">
        <v>611</v>
      </c>
      <c r="E1017" s="116">
        <v>632</v>
      </c>
      <c r="F1017" s="116">
        <v>633.04999999999995</v>
      </c>
      <c r="G1017">
        <v>6886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44545</v>
      </c>
      <c r="B1018" s="116">
        <v>664.7</v>
      </c>
      <c r="C1018" s="116">
        <v>664.7</v>
      </c>
      <c r="D1018" s="116">
        <v>638</v>
      </c>
      <c r="E1018" s="116">
        <v>662</v>
      </c>
      <c r="F1018" s="116">
        <v>664.7</v>
      </c>
      <c r="G1018">
        <v>4954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44546</v>
      </c>
      <c r="B1019" s="116">
        <v>697.9</v>
      </c>
      <c r="C1019" s="116">
        <v>677.3</v>
      </c>
      <c r="D1019" s="116">
        <v>670.1</v>
      </c>
      <c r="E1019" s="116">
        <v>697</v>
      </c>
      <c r="F1019" s="116">
        <v>677.3</v>
      </c>
      <c r="G1019">
        <v>7963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44547</v>
      </c>
      <c r="B1020" s="116">
        <v>711.15</v>
      </c>
      <c r="C1020" s="116">
        <v>684.25</v>
      </c>
      <c r="D1020" s="116">
        <v>643.45000000000005</v>
      </c>
      <c r="E1020" s="116">
        <v>697.9</v>
      </c>
      <c r="F1020" s="116">
        <v>684.25</v>
      </c>
      <c r="G1020">
        <v>5118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44550</v>
      </c>
      <c r="B1021" s="116">
        <v>685</v>
      </c>
      <c r="C1021" s="116">
        <v>665.7</v>
      </c>
      <c r="D1021" s="116">
        <v>650.04999999999995</v>
      </c>
      <c r="E1021" s="116">
        <v>682.95</v>
      </c>
      <c r="F1021" s="116">
        <v>665.7</v>
      </c>
      <c r="G1021">
        <v>2441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44551</v>
      </c>
      <c r="B1022" s="116">
        <v>698.95</v>
      </c>
      <c r="C1022" s="116">
        <v>698.95</v>
      </c>
      <c r="D1022" s="116">
        <v>646.95000000000005</v>
      </c>
      <c r="E1022" s="116">
        <v>683.95</v>
      </c>
      <c r="F1022" s="116">
        <v>698.95</v>
      </c>
      <c r="G1022">
        <v>3766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44552</v>
      </c>
      <c r="B1023" s="116">
        <v>733.85</v>
      </c>
      <c r="C1023" s="116">
        <v>733.85</v>
      </c>
      <c r="D1023" s="116">
        <v>691</v>
      </c>
      <c r="E1023" s="116">
        <v>691</v>
      </c>
      <c r="F1023" s="116">
        <v>733.85</v>
      </c>
      <c r="G1023">
        <v>7630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44553</v>
      </c>
      <c r="B1024" s="116">
        <v>770.5</v>
      </c>
      <c r="C1024" s="116">
        <v>769.9</v>
      </c>
      <c r="D1024" s="116">
        <v>734.1</v>
      </c>
      <c r="E1024" s="116">
        <v>764</v>
      </c>
      <c r="F1024" s="116">
        <v>769.9</v>
      </c>
      <c r="G1024">
        <v>7648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44554</v>
      </c>
      <c r="B1025" s="116">
        <v>808</v>
      </c>
      <c r="C1025" s="116">
        <v>791.25</v>
      </c>
      <c r="D1025" s="116">
        <v>737</v>
      </c>
      <c r="E1025" s="116">
        <v>807.4</v>
      </c>
      <c r="F1025" s="116">
        <v>791.25</v>
      </c>
      <c r="G1025">
        <v>11565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44557</v>
      </c>
      <c r="B1026" s="116">
        <v>830.8</v>
      </c>
      <c r="C1026" s="116">
        <v>830.8</v>
      </c>
      <c r="D1026" s="116">
        <v>810</v>
      </c>
      <c r="E1026" s="116">
        <v>810</v>
      </c>
      <c r="F1026" s="116">
        <v>830.8</v>
      </c>
      <c r="G1026">
        <v>2301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44558</v>
      </c>
      <c r="B1027" s="116">
        <v>872.3</v>
      </c>
      <c r="C1027" s="116">
        <v>872.3</v>
      </c>
      <c r="D1027" s="116">
        <v>840</v>
      </c>
      <c r="E1027" s="116">
        <v>872.3</v>
      </c>
      <c r="F1027" s="116">
        <v>872.3</v>
      </c>
      <c r="G1027">
        <v>3049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44559</v>
      </c>
      <c r="B1028" s="116">
        <v>915.9</v>
      </c>
      <c r="C1028" s="116">
        <v>912.4</v>
      </c>
      <c r="D1028" s="116">
        <v>850.05</v>
      </c>
      <c r="E1028" s="116">
        <v>915</v>
      </c>
      <c r="F1028" s="116">
        <v>912.4</v>
      </c>
      <c r="G1028">
        <v>6862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44560</v>
      </c>
      <c r="B1029" s="116">
        <v>957</v>
      </c>
      <c r="C1029" s="116">
        <v>890.25</v>
      </c>
      <c r="D1029" s="116">
        <v>880</v>
      </c>
      <c r="E1029" s="116">
        <v>957</v>
      </c>
      <c r="F1029" s="116">
        <v>890.25</v>
      </c>
      <c r="G1029">
        <v>5545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44561</v>
      </c>
      <c r="B1030" s="116">
        <v>880</v>
      </c>
      <c r="C1030" s="116">
        <v>845.75</v>
      </c>
      <c r="D1030" s="116">
        <v>845.75</v>
      </c>
      <c r="E1030" s="116">
        <v>880</v>
      </c>
      <c r="F1030" s="116">
        <v>845.75</v>
      </c>
      <c r="G1030">
        <v>3157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44564</v>
      </c>
      <c r="B1031" s="116">
        <v>888</v>
      </c>
      <c r="C1031" s="116">
        <v>865.15</v>
      </c>
      <c r="D1031" s="116">
        <v>803.5</v>
      </c>
      <c r="E1031" s="116">
        <v>803.5</v>
      </c>
      <c r="F1031" s="116">
        <v>865.15</v>
      </c>
      <c r="G1031">
        <v>8523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44565</v>
      </c>
      <c r="B1032" s="116">
        <v>899.9</v>
      </c>
      <c r="C1032" s="116">
        <v>865.85</v>
      </c>
      <c r="D1032" s="116">
        <v>840</v>
      </c>
      <c r="E1032" s="116">
        <v>899.9</v>
      </c>
      <c r="F1032" s="116">
        <v>865.85</v>
      </c>
      <c r="G1032">
        <v>2986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44566</v>
      </c>
      <c r="B1033" s="116">
        <v>880</v>
      </c>
      <c r="C1033" s="116">
        <v>831.65</v>
      </c>
      <c r="D1033" s="116">
        <v>825.1</v>
      </c>
      <c r="E1033" s="116">
        <v>880</v>
      </c>
      <c r="F1033" s="116">
        <v>831.65</v>
      </c>
      <c r="G1033">
        <v>6415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44567</v>
      </c>
      <c r="B1034" s="116">
        <v>872</v>
      </c>
      <c r="C1034" s="116">
        <v>859.65</v>
      </c>
      <c r="D1034" s="116">
        <v>800</v>
      </c>
      <c r="E1034" s="116">
        <v>831</v>
      </c>
      <c r="F1034" s="116">
        <v>859.65</v>
      </c>
      <c r="G1034">
        <v>6563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44568</v>
      </c>
      <c r="B1035" s="116">
        <v>897.95</v>
      </c>
      <c r="C1035" s="116">
        <v>862.7</v>
      </c>
      <c r="D1035" s="116">
        <v>825</v>
      </c>
      <c r="E1035" s="116">
        <v>897.95</v>
      </c>
      <c r="F1035" s="116">
        <v>862.7</v>
      </c>
      <c r="G1035">
        <v>4316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44571</v>
      </c>
      <c r="B1036" s="116">
        <v>880</v>
      </c>
      <c r="C1036" s="116">
        <v>845.2</v>
      </c>
      <c r="D1036" s="116">
        <v>832.4</v>
      </c>
      <c r="E1036" s="116">
        <v>845</v>
      </c>
      <c r="F1036" s="116">
        <v>845.2</v>
      </c>
      <c r="G1036">
        <v>3563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44572</v>
      </c>
      <c r="B1037" s="116">
        <v>880</v>
      </c>
      <c r="C1037" s="116">
        <v>876.95</v>
      </c>
      <c r="D1037" s="116">
        <v>830</v>
      </c>
      <c r="E1037" s="116">
        <v>848</v>
      </c>
      <c r="F1037" s="116">
        <v>876.95</v>
      </c>
      <c r="G1037">
        <v>3546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44573</v>
      </c>
      <c r="B1038" s="116">
        <v>887</v>
      </c>
      <c r="C1038" s="116">
        <v>868.45</v>
      </c>
      <c r="D1038" s="116">
        <v>860</v>
      </c>
      <c r="E1038" s="116">
        <v>885</v>
      </c>
      <c r="F1038" s="116">
        <v>868.45</v>
      </c>
      <c r="G1038">
        <v>1503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44574</v>
      </c>
      <c r="B1039" s="116">
        <v>890</v>
      </c>
      <c r="C1039" s="116">
        <v>846.15</v>
      </c>
      <c r="D1039" s="116">
        <v>840.8</v>
      </c>
      <c r="E1039" s="116">
        <v>870</v>
      </c>
      <c r="F1039" s="116">
        <v>846.15</v>
      </c>
      <c r="G1039">
        <v>1415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44575</v>
      </c>
      <c r="B1040" s="116">
        <v>888.45</v>
      </c>
      <c r="C1040" s="116">
        <v>888.45</v>
      </c>
      <c r="D1040" s="116">
        <v>850</v>
      </c>
      <c r="E1040" s="116">
        <v>858</v>
      </c>
      <c r="F1040" s="116">
        <v>888.45</v>
      </c>
      <c r="G1040">
        <v>2978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44578</v>
      </c>
      <c r="B1041" s="116">
        <v>932.85</v>
      </c>
      <c r="C1041" s="116">
        <v>932.85</v>
      </c>
      <c r="D1041" s="116">
        <v>890</v>
      </c>
      <c r="E1041" s="116">
        <v>890</v>
      </c>
      <c r="F1041" s="116">
        <v>932.85</v>
      </c>
      <c r="G1041">
        <v>3093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44579</v>
      </c>
      <c r="B1042" s="116">
        <v>979.45</v>
      </c>
      <c r="C1042" s="116">
        <v>964.85</v>
      </c>
      <c r="D1042" s="116">
        <v>935.1</v>
      </c>
      <c r="E1042" s="116">
        <v>979.45</v>
      </c>
      <c r="F1042" s="116">
        <v>964.85</v>
      </c>
      <c r="G1042">
        <v>4846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44580</v>
      </c>
      <c r="B1043" s="116">
        <v>1013</v>
      </c>
      <c r="C1043" s="116">
        <v>995.8</v>
      </c>
      <c r="D1043" s="116">
        <v>935.05</v>
      </c>
      <c r="E1043" s="116">
        <v>973.4</v>
      </c>
      <c r="F1043" s="116">
        <v>995.8</v>
      </c>
      <c r="G1043">
        <v>7743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44581</v>
      </c>
      <c r="B1044" s="116">
        <v>1045</v>
      </c>
      <c r="C1044" s="116">
        <v>1042.2</v>
      </c>
      <c r="D1044" s="116">
        <v>961.7</v>
      </c>
      <c r="E1044" s="116">
        <v>1000</v>
      </c>
      <c r="F1044" s="116">
        <v>1042.2</v>
      </c>
      <c r="G1044">
        <v>5980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44582</v>
      </c>
      <c r="B1045" s="116">
        <v>1094.3</v>
      </c>
      <c r="C1045" s="116">
        <v>1094.3</v>
      </c>
      <c r="D1045" s="116">
        <v>1000</v>
      </c>
      <c r="E1045" s="116">
        <v>1060</v>
      </c>
      <c r="F1045" s="116">
        <v>1094.3</v>
      </c>
      <c r="G1045">
        <v>6915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44585</v>
      </c>
      <c r="B1046" s="116">
        <v>1139.8499999999999</v>
      </c>
      <c r="C1046" s="116">
        <v>1039.5999999999999</v>
      </c>
      <c r="D1046" s="116">
        <v>1039.5999999999999</v>
      </c>
      <c r="E1046" s="116">
        <v>1139.8499999999999</v>
      </c>
      <c r="F1046" s="116">
        <v>1039.5999999999999</v>
      </c>
      <c r="G1046">
        <v>5251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44586</v>
      </c>
      <c r="B1047" s="116">
        <v>1091.55</v>
      </c>
      <c r="C1047" s="116">
        <v>1091.55</v>
      </c>
      <c r="D1047" s="116">
        <v>987.65</v>
      </c>
      <c r="E1047" s="116">
        <v>987.65</v>
      </c>
      <c r="F1047" s="116">
        <v>1091.55</v>
      </c>
      <c r="G1047">
        <v>12045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44588</v>
      </c>
      <c r="B1048" s="116">
        <v>1118</v>
      </c>
      <c r="C1048" s="116">
        <v>1064.45</v>
      </c>
      <c r="D1048" s="116">
        <v>1050</v>
      </c>
      <c r="E1048" s="116">
        <v>1050</v>
      </c>
      <c r="F1048" s="116">
        <v>1064.45</v>
      </c>
      <c r="G1048">
        <v>2847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44589</v>
      </c>
      <c r="B1049" s="116">
        <v>1114.5</v>
      </c>
      <c r="C1049" s="116">
        <v>1091.5</v>
      </c>
      <c r="D1049" s="116">
        <v>1011.25</v>
      </c>
      <c r="E1049" s="116">
        <v>1020.5</v>
      </c>
      <c r="F1049" s="116">
        <v>1091.5</v>
      </c>
      <c r="G1049">
        <v>4906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44592</v>
      </c>
      <c r="B1050" s="116">
        <v>1140</v>
      </c>
      <c r="C1050" s="116">
        <v>1109.0999999999999</v>
      </c>
      <c r="D1050" s="116">
        <v>1037</v>
      </c>
      <c r="E1050" s="116">
        <v>1045</v>
      </c>
      <c r="F1050" s="116">
        <v>1109.0999999999999</v>
      </c>
      <c r="G1050">
        <v>6768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44593</v>
      </c>
      <c r="B1051" s="116">
        <v>1138.8499999999999</v>
      </c>
      <c r="C1051" s="116">
        <v>1083.45</v>
      </c>
      <c r="D1051" s="116">
        <v>1054</v>
      </c>
      <c r="E1051" s="116">
        <v>1106.0999999999999</v>
      </c>
      <c r="F1051" s="116">
        <v>1083.45</v>
      </c>
      <c r="G1051">
        <v>2740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44594</v>
      </c>
      <c r="B1052" s="116">
        <v>1099.95</v>
      </c>
      <c r="C1052" s="116">
        <v>1046.25</v>
      </c>
      <c r="D1052" s="116">
        <v>1035.3</v>
      </c>
      <c r="E1052" s="116">
        <v>1083.4000000000001</v>
      </c>
      <c r="F1052" s="116">
        <v>1046.25</v>
      </c>
      <c r="G1052">
        <v>2011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44595</v>
      </c>
      <c r="B1053" s="116">
        <v>1050</v>
      </c>
      <c r="C1053" s="116">
        <v>1001.1</v>
      </c>
      <c r="D1053" s="116">
        <v>993.95</v>
      </c>
      <c r="E1053" s="116">
        <v>1050</v>
      </c>
      <c r="F1053" s="116">
        <v>1001.1</v>
      </c>
      <c r="G1053">
        <v>3436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44596</v>
      </c>
      <c r="B1054" s="116">
        <v>1051</v>
      </c>
      <c r="C1054" s="116">
        <v>1036.6500000000001</v>
      </c>
      <c r="D1054" s="116">
        <v>993.95</v>
      </c>
      <c r="E1054" s="116">
        <v>1019</v>
      </c>
      <c r="F1054" s="116">
        <v>1036.6500000000001</v>
      </c>
      <c r="G1054">
        <v>1063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44599</v>
      </c>
      <c r="B1055" s="116">
        <v>1087</v>
      </c>
      <c r="C1055" s="116">
        <v>1038.8</v>
      </c>
      <c r="D1055" s="116">
        <v>1000.05</v>
      </c>
      <c r="E1055" s="116">
        <v>1026.05</v>
      </c>
      <c r="F1055" s="116">
        <v>1038.8</v>
      </c>
      <c r="G1055">
        <v>2173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44600</v>
      </c>
      <c r="B1056" s="116">
        <v>1079</v>
      </c>
      <c r="C1056" s="116">
        <v>1015.45</v>
      </c>
      <c r="D1056" s="116">
        <v>1001</v>
      </c>
      <c r="E1056" s="116">
        <v>1038.55</v>
      </c>
      <c r="F1056" s="116">
        <v>1015.45</v>
      </c>
      <c r="G1056">
        <v>2147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44601</v>
      </c>
      <c r="B1057" s="116">
        <v>1046.8</v>
      </c>
      <c r="C1057" s="116">
        <v>1001.85</v>
      </c>
      <c r="D1057" s="116">
        <v>990</v>
      </c>
      <c r="E1057" s="116">
        <v>990</v>
      </c>
      <c r="F1057" s="116">
        <v>1001.85</v>
      </c>
      <c r="G1057">
        <v>1366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44602</v>
      </c>
      <c r="B1058" s="116">
        <v>1030</v>
      </c>
      <c r="C1058" s="116">
        <v>998.3</v>
      </c>
      <c r="D1058" s="116">
        <v>986</v>
      </c>
      <c r="E1058" s="116">
        <v>1030</v>
      </c>
      <c r="F1058" s="116">
        <v>998.3</v>
      </c>
      <c r="G1058">
        <v>546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44603</v>
      </c>
      <c r="B1059" s="116">
        <v>1015</v>
      </c>
      <c r="C1059" s="116">
        <v>1002.35</v>
      </c>
      <c r="D1059" s="116">
        <v>965</v>
      </c>
      <c r="E1059" s="116">
        <v>1000</v>
      </c>
      <c r="F1059" s="116">
        <v>1002.35</v>
      </c>
      <c r="G1059">
        <v>1737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44606</v>
      </c>
      <c r="B1060" s="116">
        <v>1006</v>
      </c>
      <c r="C1060" s="116">
        <v>952.25</v>
      </c>
      <c r="D1060" s="116">
        <v>952.25</v>
      </c>
      <c r="E1060" s="116">
        <v>1000</v>
      </c>
      <c r="F1060" s="116">
        <v>952.25</v>
      </c>
      <c r="G1060">
        <v>2234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44607</v>
      </c>
      <c r="B1061" s="116">
        <v>990</v>
      </c>
      <c r="C1061" s="116">
        <v>966.85</v>
      </c>
      <c r="D1061" s="116">
        <v>904.65</v>
      </c>
      <c r="E1061" s="116">
        <v>952.3</v>
      </c>
      <c r="F1061" s="116">
        <v>966.85</v>
      </c>
      <c r="G1061">
        <v>5038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44608</v>
      </c>
      <c r="B1062" s="116">
        <v>997.95</v>
      </c>
      <c r="C1062" s="116">
        <v>932</v>
      </c>
      <c r="D1062" s="116">
        <v>926</v>
      </c>
      <c r="E1062" s="116">
        <v>980</v>
      </c>
      <c r="F1062" s="116">
        <v>932</v>
      </c>
      <c r="G1062">
        <v>1291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44609</v>
      </c>
      <c r="B1063" s="116">
        <v>958.8</v>
      </c>
      <c r="C1063" s="116">
        <v>886.55</v>
      </c>
      <c r="D1063" s="116">
        <v>885.4</v>
      </c>
      <c r="E1063" s="116">
        <v>958.8</v>
      </c>
      <c r="F1063" s="116">
        <v>886.55</v>
      </c>
      <c r="G1063">
        <v>2174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44610</v>
      </c>
      <c r="B1064" s="116">
        <v>909.95</v>
      </c>
      <c r="C1064" s="116">
        <v>895.35</v>
      </c>
      <c r="D1064" s="116">
        <v>842.25</v>
      </c>
      <c r="E1064" s="116">
        <v>880.1</v>
      </c>
      <c r="F1064" s="116">
        <v>895.35</v>
      </c>
      <c r="G1064">
        <v>4495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44613</v>
      </c>
      <c r="B1065" s="116">
        <v>925</v>
      </c>
      <c r="C1065" s="116">
        <v>858.5</v>
      </c>
      <c r="D1065" s="116">
        <v>851</v>
      </c>
      <c r="E1065" s="116">
        <v>851.55</v>
      </c>
      <c r="F1065" s="116">
        <v>858.5</v>
      </c>
      <c r="G1065">
        <v>2405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44614</v>
      </c>
      <c r="B1066" s="116">
        <v>895.95</v>
      </c>
      <c r="C1066" s="116">
        <v>848.1</v>
      </c>
      <c r="D1066" s="116">
        <v>816</v>
      </c>
      <c r="E1066" s="116">
        <v>820.55</v>
      </c>
      <c r="F1066" s="116">
        <v>848.1</v>
      </c>
      <c r="G1066">
        <v>2555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44615</v>
      </c>
      <c r="B1067" s="116">
        <v>885</v>
      </c>
      <c r="C1067" s="116">
        <v>862.5</v>
      </c>
      <c r="D1067" s="116">
        <v>840</v>
      </c>
      <c r="E1067" s="116">
        <v>879.7</v>
      </c>
      <c r="F1067" s="116">
        <v>862.5</v>
      </c>
      <c r="G1067">
        <v>3051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44616</v>
      </c>
      <c r="B1068" s="116">
        <v>860</v>
      </c>
      <c r="C1068" s="116">
        <v>819.4</v>
      </c>
      <c r="D1068" s="116">
        <v>819.4</v>
      </c>
      <c r="E1068" s="116">
        <v>820.75</v>
      </c>
      <c r="F1068" s="116">
        <v>819.4</v>
      </c>
      <c r="G1068">
        <v>1844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44617</v>
      </c>
      <c r="B1069" s="116">
        <v>854</v>
      </c>
      <c r="C1069" s="116">
        <v>826.7</v>
      </c>
      <c r="D1069" s="116">
        <v>801</v>
      </c>
      <c r="E1069" s="116">
        <v>839.95</v>
      </c>
      <c r="F1069" s="116">
        <v>826.7</v>
      </c>
      <c r="G1069">
        <v>1095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44620</v>
      </c>
      <c r="B1070" s="116">
        <v>843.4</v>
      </c>
      <c r="C1070" s="116">
        <v>836.05</v>
      </c>
      <c r="D1070" s="116">
        <v>786</v>
      </c>
      <c r="E1070" s="116">
        <v>820</v>
      </c>
      <c r="F1070" s="116">
        <v>836.05</v>
      </c>
      <c r="G1070">
        <v>1155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44622</v>
      </c>
      <c r="B1071" s="116">
        <v>834.95</v>
      </c>
      <c r="C1071" s="116">
        <v>805.95</v>
      </c>
      <c r="D1071" s="116">
        <v>795.05</v>
      </c>
      <c r="E1071" s="116">
        <v>834.95</v>
      </c>
      <c r="F1071" s="116">
        <v>805.95</v>
      </c>
      <c r="G1071">
        <v>2192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44623</v>
      </c>
      <c r="B1072" s="116">
        <v>825.85</v>
      </c>
      <c r="C1072" s="116">
        <v>815</v>
      </c>
      <c r="D1072" s="116">
        <v>800</v>
      </c>
      <c r="E1072" s="116">
        <v>814.8</v>
      </c>
      <c r="F1072" s="116">
        <v>815</v>
      </c>
      <c r="G1072">
        <v>1129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44624</v>
      </c>
      <c r="B1073" s="116">
        <v>848.7</v>
      </c>
      <c r="C1073" s="116">
        <v>844.9</v>
      </c>
      <c r="D1073" s="116">
        <v>783.05</v>
      </c>
      <c r="E1073" s="116">
        <v>829.8</v>
      </c>
      <c r="F1073" s="116">
        <v>844.9</v>
      </c>
      <c r="G1073">
        <v>1997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44627</v>
      </c>
      <c r="B1074" s="116">
        <v>840</v>
      </c>
      <c r="C1074" s="116">
        <v>810.2</v>
      </c>
      <c r="D1074" s="116">
        <v>806.25</v>
      </c>
      <c r="E1074" s="116">
        <v>840</v>
      </c>
      <c r="F1074" s="116">
        <v>810.2</v>
      </c>
      <c r="G1074">
        <v>1108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44628</v>
      </c>
      <c r="B1075" s="116">
        <v>822.8</v>
      </c>
      <c r="C1075" s="116">
        <v>818.35</v>
      </c>
      <c r="D1075" s="116">
        <v>769.7</v>
      </c>
      <c r="E1075" s="116">
        <v>820</v>
      </c>
      <c r="F1075" s="116">
        <v>818.35</v>
      </c>
      <c r="G1075">
        <v>3016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44629</v>
      </c>
      <c r="B1076" s="116">
        <v>859.25</v>
      </c>
      <c r="C1076" s="116">
        <v>824.35</v>
      </c>
      <c r="D1076" s="116">
        <v>778</v>
      </c>
      <c r="E1076" s="116">
        <v>845</v>
      </c>
      <c r="F1076" s="116">
        <v>824.35</v>
      </c>
      <c r="G1076">
        <v>3039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44630</v>
      </c>
      <c r="B1077" s="116">
        <v>865</v>
      </c>
      <c r="C1077" s="116">
        <v>852.5</v>
      </c>
      <c r="D1077" s="116">
        <v>825</v>
      </c>
      <c r="E1077" s="116">
        <v>841</v>
      </c>
      <c r="F1077" s="116">
        <v>852.5</v>
      </c>
      <c r="G1077">
        <v>1502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44631</v>
      </c>
      <c r="B1078" s="116">
        <v>889.9</v>
      </c>
      <c r="C1078" s="116">
        <v>880</v>
      </c>
      <c r="D1078" s="116">
        <v>850</v>
      </c>
      <c r="E1078" s="116">
        <v>889.9</v>
      </c>
      <c r="F1078" s="116">
        <v>880</v>
      </c>
      <c r="G1078">
        <v>770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44634</v>
      </c>
      <c r="B1079" s="116">
        <v>917.95</v>
      </c>
      <c r="C1079" s="116">
        <v>909.95</v>
      </c>
      <c r="D1079" s="116">
        <v>863</v>
      </c>
      <c r="E1079" s="116">
        <v>863</v>
      </c>
      <c r="F1079" s="116">
        <v>909.95</v>
      </c>
      <c r="G1079">
        <v>937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44635</v>
      </c>
      <c r="B1080" s="116">
        <v>955.4</v>
      </c>
      <c r="C1080" s="116">
        <v>955.4</v>
      </c>
      <c r="D1080" s="116">
        <v>929.95</v>
      </c>
      <c r="E1080" s="116">
        <v>929.95</v>
      </c>
      <c r="F1080" s="116">
        <v>955.4</v>
      </c>
      <c r="G1080">
        <v>3987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44636</v>
      </c>
      <c r="B1081" s="116">
        <v>996</v>
      </c>
      <c r="C1081" s="116">
        <v>978.75</v>
      </c>
      <c r="D1081" s="116">
        <v>932</v>
      </c>
      <c r="E1081" s="116">
        <v>996</v>
      </c>
      <c r="F1081" s="116">
        <v>978.75</v>
      </c>
      <c r="G1081">
        <v>965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44637</v>
      </c>
      <c r="B1082" s="116">
        <v>1025</v>
      </c>
      <c r="C1082" s="116">
        <v>999.65</v>
      </c>
      <c r="D1082" s="116">
        <v>975</v>
      </c>
      <c r="E1082" s="116">
        <v>1024.95</v>
      </c>
      <c r="F1082" s="116">
        <v>999.65</v>
      </c>
      <c r="G1082">
        <v>979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44641</v>
      </c>
      <c r="B1083" s="116">
        <v>1045</v>
      </c>
      <c r="C1083" s="116">
        <v>1000.6</v>
      </c>
      <c r="D1083" s="116">
        <v>950.1</v>
      </c>
      <c r="E1083" s="116">
        <v>990</v>
      </c>
      <c r="F1083" s="116">
        <v>1000.6</v>
      </c>
      <c r="G1083">
        <v>1412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44642</v>
      </c>
      <c r="B1084" s="116">
        <v>1006</v>
      </c>
      <c r="C1084" s="116">
        <v>985.55</v>
      </c>
      <c r="D1084" s="116">
        <v>961.25</v>
      </c>
      <c r="E1084" s="116">
        <v>1006</v>
      </c>
      <c r="F1084" s="116">
        <v>985.55</v>
      </c>
      <c r="G1084">
        <v>975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44643</v>
      </c>
      <c r="B1085" s="116">
        <v>1023</v>
      </c>
      <c r="C1085" s="116">
        <v>999.05</v>
      </c>
      <c r="D1085" s="116">
        <v>936.5</v>
      </c>
      <c r="E1085" s="116">
        <v>1023</v>
      </c>
      <c r="F1085" s="116">
        <v>999.05</v>
      </c>
      <c r="G1085">
        <v>3134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44644</v>
      </c>
      <c r="B1086" s="116">
        <v>1008.95</v>
      </c>
      <c r="C1086" s="116">
        <v>965.45</v>
      </c>
      <c r="D1086" s="116">
        <v>951.6</v>
      </c>
      <c r="E1086" s="116">
        <v>980</v>
      </c>
      <c r="F1086" s="116">
        <v>965.45</v>
      </c>
      <c r="G1086">
        <v>1023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44645</v>
      </c>
      <c r="B1087" s="116">
        <v>999.8</v>
      </c>
      <c r="C1087" s="116">
        <v>961.9</v>
      </c>
      <c r="D1087" s="116">
        <v>951</v>
      </c>
      <c r="E1087" s="116">
        <v>999.8</v>
      </c>
      <c r="F1087" s="116">
        <v>961.9</v>
      </c>
      <c r="G1087">
        <v>2470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44648</v>
      </c>
      <c r="B1088" s="116">
        <v>960</v>
      </c>
      <c r="C1088" s="116">
        <v>928.55</v>
      </c>
      <c r="D1088" s="116">
        <v>928</v>
      </c>
      <c r="E1088" s="116">
        <v>960</v>
      </c>
      <c r="F1088" s="116">
        <v>928.55</v>
      </c>
      <c r="G1088">
        <v>1678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44649</v>
      </c>
      <c r="B1089" s="116">
        <v>949.85</v>
      </c>
      <c r="C1089" s="116">
        <v>920.65</v>
      </c>
      <c r="D1089" s="116">
        <v>918</v>
      </c>
      <c r="E1089" s="116">
        <v>928.55</v>
      </c>
      <c r="F1089" s="116">
        <v>920.65</v>
      </c>
      <c r="G1089">
        <v>680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44650</v>
      </c>
      <c r="B1090" s="116">
        <v>949.75</v>
      </c>
      <c r="C1090" s="116">
        <v>925</v>
      </c>
      <c r="D1090" s="116">
        <v>905</v>
      </c>
      <c r="E1090" s="116">
        <v>949</v>
      </c>
      <c r="F1090" s="116">
        <v>925</v>
      </c>
      <c r="G1090">
        <v>1780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44651</v>
      </c>
      <c r="B1091" s="116">
        <v>945</v>
      </c>
      <c r="C1091" s="116">
        <v>915.3</v>
      </c>
      <c r="D1091" s="116">
        <v>880.85</v>
      </c>
      <c r="E1091" s="116">
        <v>945</v>
      </c>
      <c r="F1091" s="116">
        <v>915.3</v>
      </c>
      <c r="G1091">
        <v>4796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44652</v>
      </c>
      <c r="B1092" s="116">
        <v>961.05</v>
      </c>
      <c r="C1092" s="116">
        <v>961.05</v>
      </c>
      <c r="D1092" s="116">
        <v>908</v>
      </c>
      <c r="E1092" s="116">
        <v>939.9</v>
      </c>
      <c r="F1092" s="116">
        <v>961.05</v>
      </c>
      <c r="G1092">
        <v>1295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44655</v>
      </c>
      <c r="B1093" s="116">
        <v>1003.95</v>
      </c>
      <c r="C1093" s="116">
        <v>996.35</v>
      </c>
      <c r="D1093" s="116">
        <v>957</v>
      </c>
      <c r="E1093" s="116">
        <v>1003.95</v>
      </c>
      <c r="F1093" s="116">
        <v>996.35</v>
      </c>
      <c r="G1093">
        <v>1794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44656</v>
      </c>
      <c r="B1094" s="116">
        <v>1025</v>
      </c>
      <c r="C1094" s="116">
        <v>1015</v>
      </c>
      <c r="D1094" s="116">
        <v>971.05</v>
      </c>
      <c r="E1094" s="116">
        <v>971.05</v>
      </c>
      <c r="F1094" s="116">
        <v>1015</v>
      </c>
      <c r="G1094">
        <v>1413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44657</v>
      </c>
      <c r="B1095" s="116">
        <v>1029.8</v>
      </c>
      <c r="C1095" s="116">
        <v>1000.05</v>
      </c>
      <c r="D1095" s="116">
        <v>985</v>
      </c>
      <c r="E1095" s="116">
        <v>1029.8</v>
      </c>
      <c r="F1095" s="116">
        <v>1000.05</v>
      </c>
      <c r="G1095">
        <v>1095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44658</v>
      </c>
      <c r="B1096" s="116">
        <v>1089</v>
      </c>
      <c r="C1096" s="116">
        <v>993.35</v>
      </c>
      <c r="D1096" s="116">
        <v>960.6</v>
      </c>
      <c r="E1096" s="116">
        <v>960.6</v>
      </c>
      <c r="F1096" s="116">
        <v>993.35</v>
      </c>
      <c r="G1096">
        <v>1403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44659</v>
      </c>
      <c r="B1097" s="116">
        <v>1000</v>
      </c>
      <c r="C1097" s="116">
        <v>970.7</v>
      </c>
      <c r="D1097" s="116">
        <v>965</v>
      </c>
      <c r="E1097" s="116">
        <v>1000</v>
      </c>
      <c r="F1097" s="116">
        <v>970.7</v>
      </c>
      <c r="G1097">
        <v>1777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44662</v>
      </c>
      <c r="B1098" s="116">
        <v>1000</v>
      </c>
      <c r="C1098" s="116">
        <v>946.6</v>
      </c>
      <c r="D1098" s="116">
        <v>920</v>
      </c>
      <c r="E1098" s="116">
        <v>1000</v>
      </c>
      <c r="F1098" s="116">
        <v>946.6</v>
      </c>
      <c r="G1098">
        <v>4438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44663</v>
      </c>
      <c r="B1099" s="116">
        <v>959.95</v>
      </c>
      <c r="C1099" s="116">
        <v>926.1</v>
      </c>
      <c r="D1099" s="116">
        <v>920</v>
      </c>
      <c r="E1099" s="116">
        <v>946.6</v>
      </c>
      <c r="F1099" s="116">
        <v>926.1</v>
      </c>
      <c r="G1099">
        <v>1312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44664</v>
      </c>
      <c r="B1100" s="116">
        <v>978.95</v>
      </c>
      <c r="C1100" s="116">
        <v>923.6</v>
      </c>
      <c r="D1100" s="116">
        <v>912.2</v>
      </c>
      <c r="E1100" s="116">
        <v>934.05</v>
      </c>
      <c r="F1100" s="116">
        <v>923.6</v>
      </c>
      <c r="G1100">
        <v>1609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44669</v>
      </c>
      <c r="B1101" s="116">
        <v>960</v>
      </c>
      <c r="C1101" s="116">
        <v>940</v>
      </c>
      <c r="D1101" s="116">
        <v>901</v>
      </c>
      <c r="E1101" s="116">
        <v>916</v>
      </c>
      <c r="F1101" s="116">
        <v>940</v>
      </c>
      <c r="G1101">
        <v>8012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44670</v>
      </c>
      <c r="B1102" s="116">
        <v>1010</v>
      </c>
      <c r="C1102" s="116">
        <v>985.2</v>
      </c>
      <c r="D1102" s="116">
        <v>942.2</v>
      </c>
      <c r="E1102" s="116">
        <v>969.8</v>
      </c>
      <c r="F1102" s="116">
        <v>985.2</v>
      </c>
      <c r="G1102">
        <v>4249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44671</v>
      </c>
      <c r="B1103" s="116">
        <v>1083.7</v>
      </c>
      <c r="C1103" s="116">
        <v>1053.05</v>
      </c>
      <c r="D1103" s="116">
        <v>970.15</v>
      </c>
      <c r="E1103" s="116">
        <v>970.15</v>
      </c>
      <c r="F1103" s="116">
        <v>1053.05</v>
      </c>
      <c r="G1103">
        <v>5429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44672</v>
      </c>
      <c r="B1104" s="116">
        <v>1158.3499999999999</v>
      </c>
      <c r="C1104" s="116">
        <v>1158.3499999999999</v>
      </c>
      <c r="D1104" s="116">
        <v>1027</v>
      </c>
      <c r="E1104" s="116">
        <v>1053.05</v>
      </c>
      <c r="F1104" s="116">
        <v>1158.3499999999999</v>
      </c>
      <c r="G1104">
        <v>5272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44673</v>
      </c>
      <c r="B1105" s="116">
        <v>1216.25</v>
      </c>
      <c r="C1105" s="116">
        <v>1175.4000000000001</v>
      </c>
      <c r="D1105" s="116">
        <v>1170</v>
      </c>
      <c r="E1105" s="116">
        <v>1210</v>
      </c>
      <c r="F1105" s="116">
        <v>1175.4000000000001</v>
      </c>
      <c r="G1105">
        <v>7466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44676</v>
      </c>
      <c r="B1106" s="116">
        <v>1234.1500000000001</v>
      </c>
      <c r="C1106" s="116">
        <v>1234.1500000000001</v>
      </c>
      <c r="D1106" s="116">
        <v>1131.05</v>
      </c>
      <c r="E1106" s="116">
        <v>1170</v>
      </c>
      <c r="F1106" s="116">
        <v>1234.1500000000001</v>
      </c>
      <c r="G1106">
        <v>5778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44677</v>
      </c>
      <c r="B1107" s="116">
        <v>1285</v>
      </c>
      <c r="C1107" s="116">
        <v>1269.55</v>
      </c>
      <c r="D1107" s="116">
        <v>1225.0999999999999</v>
      </c>
      <c r="E1107" s="116">
        <v>1235.05</v>
      </c>
      <c r="F1107" s="116">
        <v>1269.55</v>
      </c>
      <c r="G1107">
        <v>3951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44678</v>
      </c>
      <c r="B1108" s="116">
        <v>1319.9</v>
      </c>
      <c r="C1108" s="116">
        <v>1263.8499999999999</v>
      </c>
      <c r="D1108" s="116">
        <v>1221</v>
      </c>
      <c r="E1108" s="116">
        <v>1319.9</v>
      </c>
      <c r="F1108" s="116">
        <v>1263.8499999999999</v>
      </c>
      <c r="G1108">
        <v>3020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44679</v>
      </c>
      <c r="B1109" s="116">
        <v>1290</v>
      </c>
      <c r="C1109" s="116">
        <v>1200.7</v>
      </c>
      <c r="D1109" s="116">
        <v>1200.7</v>
      </c>
      <c r="E1109" s="116">
        <v>1250</v>
      </c>
      <c r="F1109" s="116">
        <v>1200.7</v>
      </c>
      <c r="G1109">
        <v>2239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44680</v>
      </c>
      <c r="B1110" s="116">
        <v>1199.4000000000001</v>
      </c>
      <c r="C1110" s="116">
        <v>1141.95</v>
      </c>
      <c r="D1110" s="116">
        <v>1140.75</v>
      </c>
      <c r="E1110" s="116">
        <v>1199.4000000000001</v>
      </c>
      <c r="F1110" s="116">
        <v>1141.95</v>
      </c>
      <c r="G1110">
        <v>3419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44683</v>
      </c>
      <c r="B1111" s="116">
        <v>1195.95</v>
      </c>
      <c r="C1111" s="116">
        <v>1087.5999999999999</v>
      </c>
      <c r="D1111" s="116">
        <v>1084.9000000000001</v>
      </c>
      <c r="E1111" s="116">
        <v>1195.95</v>
      </c>
      <c r="F1111" s="116">
        <v>1087.5999999999999</v>
      </c>
      <c r="G1111">
        <v>1201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44685</v>
      </c>
      <c r="B1112" s="116">
        <v>1090</v>
      </c>
      <c r="C1112" s="116">
        <v>1056.8499999999999</v>
      </c>
      <c r="D1112" s="116">
        <v>1033.25</v>
      </c>
      <c r="E1112" s="116">
        <v>1084.5</v>
      </c>
      <c r="F1112" s="116">
        <v>1056.8499999999999</v>
      </c>
      <c r="G1112">
        <v>3178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44686</v>
      </c>
      <c r="B1113" s="116">
        <v>1078</v>
      </c>
      <c r="C1113" s="116">
        <v>1051.3</v>
      </c>
      <c r="D1113" s="116">
        <v>1004.5</v>
      </c>
      <c r="E1113" s="116">
        <v>1042</v>
      </c>
      <c r="F1113" s="116">
        <v>1051.3</v>
      </c>
      <c r="G1113">
        <v>2374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44687</v>
      </c>
      <c r="B1114" s="116">
        <v>1045</v>
      </c>
      <c r="C1114" s="116">
        <v>1001.95</v>
      </c>
      <c r="D1114" s="116">
        <v>998.75</v>
      </c>
      <c r="E1114" s="116">
        <v>1013.2</v>
      </c>
      <c r="F1114" s="116">
        <v>1001.95</v>
      </c>
      <c r="G1114">
        <v>2199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44690</v>
      </c>
      <c r="B1115" s="116">
        <v>1048.8</v>
      </c>
      <c r="C1115" s="116">
        <v>1018</v>
      </c>
      <c r="D1115" s="116">
        <v>952</v>
      </c>
      <c r="E1115" s="116">
        <v>993</v>
      </c>
      <c r="F1115" s="116">
        <v>1018</v>
      </c>
      <c r="G1115">
        <v>4724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44691</v>
      </c>
      <c r="B1116" s="116">
        <v>1048.45</v>
      </c>
      <c r="C1116" s="116">
        <v>967.15</v>
      </c>
      <c r="D1116" s="116">
        <v>967.1</v>
      </c>
      <c r="E1116" s="116">
        <v>976</v>
      </c>
      <c r="F1116" s="116">
        <v>967.15</v>
      </c>
      <c r="G1116">
        <v>7929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44692</v>
      </c>
      <c r="B1117" s="116">
        <v>995</v>
      </c>
      <c r="C1117" s="116">
        <v>919.45</v>
      </c>
      <c r="D1117" s="116">
        <v>918.8</v>
      </c>
      <c r="E1117" s="116">
        <v>994</v>
      </c>
      <c r="F1117" s="116">
        <v>919.45</v>
      </c>
      <c r="G1117">
        <v>4991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44693</v>
      </c>
      <c r="B1118" s="116">
        <v>930</v>
      </c>
      <c r="C1118" s="116">
        <v>902.3</v>
      </c>
      <c r="D1118" s="116">
        <v>877</v>
      </c>
      <c r="E1118" s="116">
        <v>900</v>
      </c>
      <c r="F1118" s="116">
        <v>902.3</v>
      </c>
      <c r="G1118">
        <v>4776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44694</v>
      </c>
      <c r="B1119" s="116">
        <v>930</v>
      </c>
      <c r="C1119" s="116">
        <v>909.15</v>
      </c>
      <c r="D1119" s="116">
        <v>885.1</v>
      </c>
      <c r="E1119" s="116">
        <v>919</v>
      </c>
      <c r="F1119" s="116">
        <v>909.15</v>
      </c>
      <c r="G1119">
        <v>2873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44697</v>
      </c>
      <c r="B1120" s="116">
        <v>954.6</v>
      </c>
      <c r="C1120" s="116">
        <v>948.75</v>
      </c>
      <c r="D1120" s="116">
        <v>881.6</v>
      </c>
      <c r="E1120" s="116">
        <v>919</v>
      </c>
      <c r="F1120" s="116">
        <v>948.75</v>
      </c>
      <c r="G1120">
        <v>4284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44698</v>
      </c>
      <c r="B1121" s="116">
        <v>996.15</v>
      </c>
      <c r="C1121" s="116">
        <v>996.15</v>
      </c>
      <c r="D1121" s="116">
        <v>990</v>
      </c>
      <c r="E1121" s="116">
        <v>995</v>
      </c>
      <c r="F1121" s="116">
        <v>996.15</v>
      </c>
      <c r="G1121">
        <v>2458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44699</v>
      </c>
      <c r="B1122" s="116">
        <v>1045</v>
      </c>
      <c r="C1122" s="116">
        <v>1022.65</v>
      </c>
      <c r="D1122" s="116">
        <v>1010.05</v>
      </c>
      <c r="E1122" s="116">
        <v>1045</v>
      </c>
      <c r="F1122" s="116">
        <v>1022.65</v>
      </c>
      <c r="G1122">
        <v>4686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44700</v>
      </c>
      <c r="B1123" s="116">
        <v>1015</v>
      </c>
      <c r="C1123" s="116">
        <v>971.85</v>
      </c>
      <c r="D1123" s="116">
        <v>971.55</v>
      </c>
      <c r="E1123" s="116">
        <v>1015</v>
      </c>
      <c r="F1123" s="116">
        <v>971.85</v>
      </c>
      <c r="G1123">
        <v>1503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44701</v>
      </c>
      <c r="B1124" s="116">
        <v>999</v>
      </c>
      <c r="C1124" s="116">
        <v>953.8</v>
      </c>
      <c r="D1124" s="116">
        <v>942</v>
      </c>
      <c r="E1124" s="116">
        <v>999</v>
      </c>
      <c r="F1124" s="116">
        <v>953.8</v>
      </c>
      <c r="G1124">
        <v>4805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44704</v>
      </c>
      <c r="B1125" s="116">
        <v>989</v>
      </c>
      <c r="C1125" s="116">
        <v>907.15</v>
      </c>
      <c r="D1125" s="116">
        <v>906.15</v>
      </c>
      <c r="E1125" s="116">
        <v>965</v>
      </c>
      <c r="F1125" s="116">
        <v>907.15</v>
      </c>
      <c r="G1125">
        <v>3052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44705</v>
      </c>
      <c r="B1126" s="116">
        <v>920</v>
      </c>
      <c r="C1126" s="116">
        <v>885.95</v>
      </c>
      <c r="D1126" s="116">
        <v>880</v>
      </c>
      <c r="E1126" s="116">
        <v>920</v>
      </c>
      <c r="F1126" s="116">
        <v>885.95</v>
      </c>
      <c r="G1126">
        <v>954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44706</v>
      </c>
      <c r="B1127" s="116">
        <v>905</v>
      </c>
      <c r="C1127" s="116">
        <v>851.1</v>
      </c>
      <c r="D1127" s="116">
        <v>848</v>
      </c>
      <c r="E1127" s="116">
        <v>905</v>
      </c>
      <c r="F1127" s="116">
        <v>851.1</v>
      </c>
      <c r="G1127">
        <v>3014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44707</v>
      </c>
      <c r="B1128" s="116">
        <v>870.3</v>
      </c>
      <c r="C1128" s="116">
        <v>846.4</v>
      </c>
      <c r="D1128" s="116">
        <v>831</v>
      </c>
      <c r="E1128" s="116">
        <v>850</v>
      </c>
      <c r="F1128" s="116">
        <v>846.4</v>
      </c>
      <c r="G1128">
        <v>2469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44708</v>
      </c>
      <c r="B1129" s="116">
        <v>870</v>
      </c>
      <c r="C1129" s="116">
        <v>868.2</v>
      </c>
      <c r="D1129" s="116">
        <v>851</v>
      </c>
      <c r="E1129" s="116">
        <v>870</v>
      </c>
      <c r="F1129" s="116">
        <v>868.2</v>
      </c>
      <c r="G1129">
        <v>1773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44711</v>
      </c>
      <c r="B1130" s="116">
        <v>890</v>
      </c>
      <c r="C1130" s="116">
        <v>875.05</v>
      </c>
      <c r="D1130" s="116">
        <v>870.05</v>
      </c>
      <c r="E1130" s="116">
        <v>888</v>
      </c>
      <c r="F1130" s="116">
        <v>875.05</v>
      </c>
      <c r="G1130">
        <v>618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44712</v>
      </c>
      <c r="B1131" s="116">
        <v>905</v>
      </c>
      <c r="C1131" s="116">
        <v>900.5</v>
      </c>
      <c r="D1131" s="116">
        <v>852.05</v>
      </c>
      <c r="E1131" s="116">
        <v>889</v>
      </c>
      <c r="F1131" s="116">
        <v>900.5</v>
      </c>
      <c r="G1131">
        <v>1593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44713</v>
      </c>
      <c r="B1132" s="116">
        <v>910</v>
      </c>
      <c r="C1132" s="116">
        <v>886.7</v>
      </c>
      <c r="D1132" s="116">
        <v>867.05</v>
      </c>
      <c r="E1132" s="116">
        <v>905</v>
      </c>
      <c r="F1132" s="116">
        <v>886.7</v>
      </c>
      <c r="G1132">
        <v>1417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44714</v>
      </c>
      <c r="B1133" s="116">
        <v>910</v>
      </c>
      <c r="C1133" s="116">
        <v>909.9</v>
      </c>
      <c r="D1133" s="116">
        <v>875</v>
      </c>
      <c r="E1133" s="116">
        <v>889.8</v>
      </c>
      <c r="F1133" s="116">
        <v>909.9</v>
      </c>
      <c r="G1133">
        <v>769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44715</v>
      </c>
      <c r="B1134" s="116">
        <v>930</v>
      </c>
      <c r="C1134" s="116">
        <v>876.15</v>
      </c>
      <c r="D1134" s="116">
        <v>872.2</v>
      </c>
      <c r="E1134" s="116">
        <v>929</v>
      </c>
      <c r="F1134" s="116">
        <v>876.15</v>
      </c>
      <c r="G1134">
        <v>2272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44718</v>
      </c>
      <c r="B1135" s="116">
        <v>880</v>
      </c>
      <c r="C1135" s="116">
        <v>851.85</v>
      </c>
      <c r="D1135" s="116">
        <v>845.05</v>
      </c>
      <c r="E1135" s="116">
        <v>880</v>
      </c>
      <c r="F1135" s="116">
        <v>851.85</v>
      </c>
      <c r="G1135">
        <v>552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44719</v>
      </c>
      <c r="B1136" s="116">
        <v>887.4</v>
      </c>
      <c r="C1136" s="116">
        <v>879.6</v>
      </c>
      <c r="D1136" s="116">
        <v>853</v>
      </c>
      <c r="E1136" s="116">
        <v>865</v>
      </c>
      <c r="F1136" s="116">
        <v>879.6</v>
      </c>
      <c r="G1136">
        <v>850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44720</v>
      </c>
      <c r="B1137" s="116">
        <v>924.95</v>
      </c>
      <c r="C1137" s="116">
        <v>880</v>
      </c>
      <c r="D1137" s="116">
        <v>871</v>
      </c>
      <c r="E1137" s="116">
        <v>894.4</v>
      </c>
      <c r="F1137" s="116">
        <v>880</v>
      </c>
      <c r="G1137">
        <v>1113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44721</v>
      </c>
      <c r="B1138" s="116">
        <v>944.9</v>
      </c>
      <c r="C1138" s="116">
        <v>917.25</v>
      </c>
      <c r="D1138" s="116">
        <v>884.95</v>
      </c>
      <c r="E1138" s="116">
        <v>885</v>
      </c>
      <c r="F1138" s="116">
        <v>917.25</v>
      </c>
      <c r="G1138">
        <v>1922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44722</v>
      </c>
      <c r="B1139" s="116">
        <v>921</v>
      </c>
      <c r="C1139" s="116">
        <v>906.55</v>
      </c>
      <c r="D1139" s="116">
        <v>900</v>
      </c>
      <c r="E1139" s="116">
        <v>918.95</v>
      </c>
      <c r="F1139" s="116">
        <v>906.55</v>
      </c>
      <c r="G1139">
        <v>753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44725</v>
      </c>
      <c r="B1140" s="116">
        <v>925</v>
      </c>
      <c r="C1140" s="116">
        <v>882.25</v>
      </c>
      <c r="D1140" s="116">
        <v>855.55</v>
      </c>
      <c r="E1140" s="116">
        <v>910</v>
      </c>
      <c r="F1140" s="116">
        <v>882.25</v>
      </c>
      <c r="G1140">
        <v>1140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44726</v>
      </c>
      <c r="B1141" s="116">
        <v>884.95</v>
      </c>
      <c r="C1141" s="116">
        <v>844.65</v>
      </c>
      <c r="D1141" s="116">
        <v>833.25</v>
      </c>
      <c r="E1141" s="116">
        <v>884.95</v>
      </c>
      <c r="F1141" s="116">
        <v>844.65</v>
      </c>
      <c r="G1141">
        <v>5077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44727</v>
      </c>
      <c r="B1142" s="116">
        <v>865</v>
      </c>
      <c r="C1142" s="116">
        <v>841.95</v>
      </c>
      <c r="D1142" s="116">
        <v>835</v>
      </c>
      <c r="E1142" s="116">
        <v>847.5</v>
      </c>
      <c r="F1142" s="116">
        <v>841.95</v>
      </c>
      <c r="G1142">
        <v>738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44728</v>
      </c>
      <c r="B1143" s="116">
        <v>868.4</v>
      </c>
      <c r="C1143" s="116">
        <v>823.95</v>
      </c>
      <c r="D1143" s="116">
        <v>810</v>
      </c>
      <c r="E1143" s="116">
        <v>847.1</v>
      </c>
      <c r="F1143" s="116">
        <v>823.95</v>
      </c>
      <c r="G1143">
        <v>1394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44729</v>
      </c>
      <c r="B1144" s="116">
        <v>800</v>
      </c>
      <c r="C1144" s="116">
        <v>767.35</v>
      </c>
      <c r="D1144" s="116">
        <v>755.3</v>
      </c>
      <c r="E1144" s="116">
        <v>800</v>
      </c>
      <c r="F1144" s="116">
        <v>767.35</v>
      </c>
      <c r="G1144">
        <v>5895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44732</v>
      </c>
      <c r="B1145" s="116">
        <v>793.95</v>
      </c>
      <c r="C1145" s="116">
        <v>699.45</v>
      </c>
      <c r="D1145" s="116">
        <v>690.65</v>
      </c>
      <c r="E1145" s="116">
        <v>790</v>
      </c>
      <c r="F1145" s="116">
        <v>699.45</v>
      </c>
      <c r="G1145">
        <v>3559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44733</v>
      </c>
      <c r="B1146" s="116">
        <v>769.35</v>
      </c>
      <c r="C1146" s="116">
        <v>757</v>
      </c>
      <c r="D1146" s="116">
        <v>675</v>
      </c>
      <c r="E1146" s="116">
        <v>676.6</v>
      </c>
      <c r="F1146" s="116">
        <v>757</v>
      </c>
      <c r="G1146">
        <v>2467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44734</v>
      </c>
      <c r="B1147" s="116">
        <v>787.7</v>
      </c>
      <c r="C1147" s="116">
        <v>761.55</v>
      </c>
      <c r="D1147" s="116">
        <v>707.15</v>
      </c>
      <c r="E1147" s="116">
        <v>707.15</v>
      </c>
      <c r="F1147" s="116">
        <v>761.55</v>
      </c>
      <c r="G1147">
        <v>647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44735</v>
      </c>
      <c r="B1148" s="116">
        <v>837.7</v>
      </c>
      <c r="C1148" s="116">
        <v>833.75</v>
      </c>
      <c r="D1148" s="116">
        <v>766.05</v>
      </c>
      <c r="E1148" s="116">
        <v>784</v>
      </c>
      <c r="F1148" s="116">
        <v>833.75</v>
      </c>
      <c r="G1148">
        <v>1892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44736</v>
      </c>
      <c r="B1149" s="116">
        <v>913.75</v>
      </c>
      <c r="C1149" s="116">
        <v>847.8</v>
      </c>
      <c r="D1149" s="116">
        <v>845</v>
      </c>
      <c r="E1149" s="116">
        <v>913.75</v>
      </c>
      <c r="F1149" s="116">
        <v>847.8</v>
      </c>
      <c r="G1149">
        <v>1390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44739</v>
      </c>
      <c r="B1150" s="116">
        <v>899.9</v>
      </c>
      <c r="C1150" s="116">
        <v>862.8</v>
      </c>
      <c r="D1150" s="116">
        <v>850</v>
      </c>
      <c r="E1150" s="116">
        <v>850</v>
      </c>
      <c r="F1150" s="116">
        <v>862.8</v>
      </c>
      <c r="G1150">
        <v>1153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44740</v>
      </c>
      <c r="B1151" s="116">
        <v>863</v>
      </c>
      <c r="C1151" s="116">
        <v>852</v>
      </c>
      <c r="D1151" s="116">
        <v>841.1</v>
      </c>
      <c r="E1151" s="116">
        <v>863</v>
      </c>
      <c r="F1151" s="116">
        <v>852</v>
      </c>
      <c r="G1151">
        <v>634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44741</v>
      </c>
      <c r="B1152" s="116">
        <v>876.8</v>
      </c>
      <c r="C1152" s="116">
        <v>834.3</v>
      </c>
      <c r="D1152" s="116">
        <v>820</v>
      </c>
      <c r="E1152" s="116">
        <v>876.8</v>
      </c>
      <c r="F1152" s="116">
        <v>834.3</v>
      </c>
      <c r="G1152">
        <v>815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44742</v>
      </c>
      <c r="B1153" s="116">
        <v>860</v>
      </c>
      <c r="C1153" s="116">
        <v>784.25</v>
      </c>
      <c r="D1153" s="116">
        <v>772.3</v>
      </c>
      <c r="E1153" s="116">
        <v>850</v>
      </c>
      <c r="F1153" s="116">
        <v>784.25</v>
      </c>
      <c r="G1153">
        <v>1171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44743</v>
      </c>
      <c r="B1154" s="116">
        <v>828.45</v>
      </c>
      <c r="C1154" s="116">
        <v>810</v>
      </c>
      <c r="D1154" s="116">
        <v>789.25</v>
      </c>
      <c r="E1154" s="116">
        <v>828.45</v>
      </c>
      <c r="F1154" s="116">
        <v>810</v>
      </c>
      <c r="G1154">
        <v>396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44746</v>
      </c>
      <c r="B1155" s="116">
        <v>836.9</v>
      </c>
      <c r="C1155" s="116">
        <v>829.95</v>
      </c>
      <c r="D1155" s="116">
        <v>802.6</v>
      </c>
      <c r="E1155" s="116">
        <v>830.05</v>
      </c>
      <c r="F1155" s="116">
        <v>829.95</v>
      </c>
      <c r="G1155">
        <v>180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44747</v>
      </c>
      <c r="B1156" s="116">
        <v>841.95</v>
      </c>
      <c r="C1156" s="116">
        <v>801.5</v>
      </c>
      <c r="D1156" s="116">
        <v>800</v>
      </c>
      <c r="E1156" s="116">
        <v>841.95</v>
      </c>
      <c r="F1156" s="116">
        <v>801.5</v>
      </c>
      <c r="G1156">
        <v>784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44748</v>
      </c>
      <c r="B1157" s="116">
        <v>824.95</v>
      </c>
      <c r="C1157" s="116">
        <v>795.15</v>
      </c>
      <c r="D1157" s="116">
        <v>773.05</v>
      </c>
      <c r="E1157" s="116">
        <v>824.95</v>
      </c>
      <c r="F1157" s="116">
        <v>795.15</v>
      </c>
      <c r="G1157">
        <v>360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44749</v>
      </c>
      <c r="B1158" s="116">
        <v>839.9</v>
      </c>
      <c r="C1158" s="116">
        <v>836.95</v>
      </c>
      <c r="D1158" s="116">
        <v>793.05</v>
      </c>
      <c r="E1158" s="116">
        <v>833.7</v>
      </c>
      <c r="F1158" s="116">
        <v>836.95</v>
      </c>
      <c r="G1158">
        <v>412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44750</v>
      </c>
      <c r="B1159" s="116">
        <v>860</v>
      </c>
      <c r="C1159" s="116">
        <v>847.05</v>
      </c>
      <c r="D1159" s="116">
        <v>805.2</v>
      </c>
      <c r="E1159" s="116">
        <v>805.2</v>
      </c>
      <c r="F1159" s="116">
        <v>847.05</v>
      </c>
      <c r="G1159">
        <v>564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44753</v>
      </c>
      <c r="B1160" s="116">
        <v>931.75</v>
      </c>
      <c r="C1160" s="116">
        <v>878.1</v>
      </c>
      <c r="D1160" s="116">
        <v>855</v>
      </c>
      <c r="E1160" s="116">
        <v>931.75</v>
      </c>
      <c r="F1160" s="116">
        <v>878.1</v>
      </c>
      <c r="G1160">
        <v>1198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44754</v>
      </c>
      <c r="B1161" s="116">
        <v>888.95</v>
      </c>
      <c r="C1161" s="116">
        <v>863.9</v>
      </c>
      <c r="D1161" s="116">
        <v>860</v>
      </c>
      <c r="E1161" s="116">
        <v>888.8</v>
      </c>
      <c r="F1161" s="116">
        <v>863.9</v>
      </c>
      <c r="G1161">
        <v>292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44755</v>
      </c>
      <c r="B1162" s="116">
        <v>894.9</v>
      </c>
      <c r="C1162" s="116">
        <v>848.7</v>
      </c>
      <c r="D1162" s="116">
        <v>835.05</v>
      </c>
      <c r="E1162" s="116">
        <v>894.9</v>
      </c>
      <c r="F1162" s="116">
        <v>848.7</v>
      </c>
      <c r="G1162">
        <v>863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44756</v>
      </c>
      <c r="B1163" s="116">
        <v>859.9</v>
      </c>
      <c r="C1163" s="116">
        <v>820.75</v>
      </c>
      <c r="D1163" s="116">
        <v>810</v>
      </c>
      <c r="E1163" s="116">
        <v>859.9</v>
      </c>
      <c r="F1163" s="116">
        <v>820.75</v>
      </c>
      <c r="G1163">
        <v>500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44757</v>
      </c>
      <c r="B1164" s="116">
        <v>859.8</v>
      </c>
      <c r="C1164" s="116">
        <v>841.5</v>
      </c>
      <c r="D1164" s="116">
        <v>826.5</v>
      </c>
      <c r="E1164" s="116">
        <v>859.8</v>
      </c>
      <c r="F1164" s="116">
        <v>841.5</v>
      </c>
      <c r="G1164">
        <v>281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44760</v>
      </c>
      <c r="B1165" s="116">
        <v>873.95</v>
      </c>
      <c r="C1165" s="116">
        <v>854.5</v>
      </c>
      <c r="D1165" s="116">
        <v>826</v>
      </c>
      <c r="E1165" s="116">
        <v>873.95</v>
      </c>
      <c r="F1165" s="116">
        <v>854.5</v>
      </c>
      <c r="G1165">
        <v>1063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44761</v>
      </c>
      <c r="B1166" s="116">
        <v>861.25</v>
      </c>
      <c r="C1166" s="116">
        <v>833.05</v>
      </c>
      <c r="D1166" s="116">
        <v>830</v>
      </c>
      <c r="E1166" s="116">
        <v>840.05</v>
      </c>
      <c r="F1166" s="116">
        <v>833.05</v>
      </c>
      <c r="G1166">
        <v>579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44762</v>
      </c>
      <c r="B1167" s="116">
        <v>904.9</v>
      </c>
      <c r="C1167" s="116">
        <v>889.75</v>
      </c>
      <c r="D1167" s="116">
        <v>826.05</v>
      </c>
      <c r="E1167" s="116">
        <v>835</v>
      </c>
      <c r="F1167" s="116">
        <v>889.75</v>
      </c>
      <c r="G1167">
        <v>2044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44763</v>
      </c>
      <c r="B1168" s="116">
        <v>978.7</v>
      </c>
      <c r="C1168" s="116">
        <v>978</v>
      </c>
      <c r="D1168" s="116">
        <v>885</v>
      </c>
      <c r="E1168" s="116">
        <v>899.4</v>
      </c>
      <c r="F1168" s="116">
        <v>978</v>
      </c>
      <c r="G1168">
        <v>14360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44764</v>
      </c>
      <c r="B1169" s="116">
        <v>1075.8</v>
      </c>
      <c r="C1169" s="116">
        <v>1066.55</v>
      </c>
      <c r="D1169" s="116">
        <v>940.05</v>
      </c>
      <c r="E1169" s="116">
        <v>984.95</v>
      </c>
      <c r="F1169" s="116">
        <v>1066.55</v>
      </c>
      <c r="G1169">
        <v>8975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44767</v>
      </c>
      <c r="B1170" s="116">
        <v>1104.9000000000001</v>
      </c>
      <c r="C1170" s="116">
        <v>1028.0999999999999</v>
      </c>
      <c r="D1170" s="116">
        <v>1015</v>
      </c>
      <c r="E1170" s="116">
        <v>1070</v>
      </c>
      <c r="F1170" s="116">
        <v>1028.0999999999999</v>
      </c>
      <c r="G1170">
        <v>2880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44768</v>
      </c>
      <c r="B1171" s="116">
        <v>1030</v>
      </c>
      <c r="C1171" s="116">
        <v>993.95</v>
      </c>
      <c r="D1171" s="116">
        <v>985</v>
      </c>
      <c r="E1171" s="116">
        <v>1030</v>
      </c>
      <c r="F1171" s="116">
        <v>993.95</v>
      </c>
      <c r="G1171">
        <v>1494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44769</v>
      </c>
      <c r="B1172" s="116">
        <v>1025</v>
      </c>
      <c r="C1172" s="116">
        <v>1003.55</v>
      </c>
      <c r="D1172" s="116">
        <v>995.2</v>
      </c>
      <c r="E1172" s="116">
        <v>1003.95</v>
      </c>
      <c r="F1172" s="116">
        <v>1003.55</v>
      </c>
      <c r="G1172">
        <v>656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44770</v>
      </c>
      <c r="B1173" s="116">
        <v>1012</v>
      </c>
      <c r="C1173" s="116">
        <v>978.6</v>
      </c>
      <c r="D1173" s="116">
        <v>965</v>
      </c>
      <c r="E1173" s="116">
        <v>990.2</v>
      </c>
      <c r="F1173" s="116">
        <v>978.6</v>
      </c>
      <c r="G1173">
        <v>1621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44771</v>
      </c>
      <c r="B1174" s="116">
        <v>1019.95</v>
      </c>
      <c r="C1174" s="116">
        <v>954.65</v>
      </c>
      <c r="D1174" s="116">
        <v>907</v>
      </c>
      <c r="E1174" s="116">
        <v>1019.95</v>
      </c>
      <c r="F1174" s="116">
        <v>954.65</v>
      </c>
      <c r="G1174">
        <v>1277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44774</v>
      </c>
      <c r="B1175" s="116">
        <v>994</v>
      </c>
      <c r="C1175" s="116">
        <v>984.95</v>
      </c>
      <c r="D1175" s="116">
        <v>930.95</v>
      </c>
      <c r="E1175" s="116">
        <v>969.9</v>
      </c>
      <c r="F1175" s="116">
        <v>984.95</v>
      </c>
      <c r="G1175">
        <v>1215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44775</v>
      </c>
      <c r="B1176" s="116">
        <v>1000</v>
      </c>
      <c r="C1176" s="116">
        <v>980.05</v>
      </c>
      <c r="D1176" s="116">
        <v>930</v>
      </c>
      <c r="E1176" s="116">
        <v>965</v>
      </c>
      <c r="F1176" s="116">
        <v>980.05</v>
      </c>
      <c r="G1176">
        <v>552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44776</v>
      </c>
      <c r="B1177" s="116">
        <v>982.95</v>
      </c>
      <c r="C1177" s="116">
        <v>959.7</v>
      </c>
      <c r="D1177" s="116">
        <v>925.5</v>
      </c>
      <c r="E1177" s="116">
        <v>925.5</v>
      </c>
      <c r="F1177" s="116">
        <v>959.7</v>
      </c>
      <c r="G1177">
        <v>809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44777</v>
      </c>
      <c r="B1178" s="116">
        <v>961.4</v>
      </c>
      <c r="C1178" s="116">
        <v>938.05</v>
      </c>
      <c r="D1178" s="116">
        <v>933</v>
      </c>
      <c r="E1178" s="116">
        <v>950</v>
      </c>
      <c r="F1178" s="116">
        <v>938.05</v>
      </c>
      <c r="G1178">
        <v>905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44778</v>
      </c>
      <c r="B1179" s="116">
        <v>954.4</v>
      </c>
      <c r="C1179" s="116">
        <v>944</v>
      </c>
      <c r="D1179" s="116">
        <v>911.05</v>
      </c>
      <c r="E1179" s="116">
        <v>911.05</v>
      </c>
      <c r="F1179" s="116">
        <v>944</v>
      </c>
      <c r="G1179">
        <v>493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44781</v>
      </c>
      <c r="B1180" s="116">
        <v>969</v>
      </c>
      <c r="C1180" s="116">
        <v>938.9</v>
      </c>
      <c r="D1180" s="116">
        <v>930</v>
      </c>
      <c r="E1180" s="116">
        <v>930</v>
      </c>
      <c r="F1180" s="116">
        <v>938.9</v>
      </c>
      <c r="G1180">
        <v>502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44783</v>
      </c>
      <c r="B1181" s="116">
        <v>948.95</v>
      </c>
      <c r="C1181" s="116">
        <v>929.95</v>
      </c>
      <c r="D1181" s="116">
        <v>924.1</v>
      </c>
      <c r="E1181" s="116">
        <v>924.1</v>
      </c>
      <c r="F1181" s="116">
        <v>929.95</v>
      </c>
      <c r="G1181">
        <v>2518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44784</v>
      </c>
      <c r="B1182" s="116">
        <v>960</v>
      </c>
      <c r="C1182" s="116">
        <v>930</v>
      </c>
      <c r="D1182" s="116">
        <v>850</v>
      </c>
      <c r="E1182" s="116">
        <v>850</v>
      </c>
      <c r="F1182" s="116">
        <v>930</v>
      </c>
      <c r="G1182">
        <v>1218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44785</v>
      </c>
      <c r="B1183" s="116">
        <v>934.4</v>
      </c>
      <c r="C1183" s="116">
        <v>929.4</v>
      </c>
      <c r="D1183" s="116">
        <v>904.1</v>
      </c>
      <c r="E1183" s="116">
        <v>930.05</v>
      </c>
      <c r="F1183" s="116">
        <v>929.4</v>
      </c>
      <c r="G1183">
        <v>367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44789</v>
      </c>
      <c r="B1184" s="116">
        <v>920.35</v>
      </c>
      <c r="C1184" s="116">
        <v>899.7</v>
      </c>
      <c r="D1184" s="116">
        <v>850</v>
      </c>
      <c r="E1184" s="116">
        <v>909.95</v>
      </c>
      <c r="F1184" s="116">
        <v>899.7</v>
      </c>
      <c r="G1184">
        <v>10274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44790</v>
      </c>
      <c r="B1185" s="116">
        <v>947</v>
      </c>
      <c r="C1185" s="116">
        <v>922.6</v>
      </c>
      <c r="D1185" s="116">
        <v>880.5</v>
      </c>
      <c r="E1185" s="116">
        <v>880.5</v>
      </c>
      <c r="F1185" s="116">
        <v>922.6</v>
      </c>
      <c r="G1185">
        <v>2953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44791</v>
      </c>
      <c r="B1186" s="116">
        <v>923.4</v>
      </c>
      <c r="C1186" s="116">
        <v>896.45</v>
      </c>
      <c r="D1186" s="116">
        <v>892.2</v>
      </c>
      <c r="E1186" s="116">
        <v>905</v>
      </c>
      <c r="F1186" s="116">
        <v>896.45</v>
      </c>
      <c r="G1186">
        <v>815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44792</v>
      </c>
      <c r="B1187" s="116">
        <v>986.05</v>
      </c>
      <c r="C1187" s="116">
        <v>961.15</v>
      </c>
      <c r="D1187" s="116">
        <v>890</v>
      </c>
      <c r="E1187" s="116">
        <v>890</v>
      </c>
      <c r="F1187" s="116">
        <v>961.15</v>
      </c>
      <c r="G1187">
        <v>6156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44795</v>
      </c>
      <c r="B1188" s="116">
        <v>1057.25</v>
      </c>
      <c r="C1188" s="116">
        <v>1057.25</v>
      </c>
      <c r="D1188" s="116">
        <v>945.2</v>
      </c>
      <c r="E1188" s="116">
        <v>975</v>
      </c>
      <c r="F1188" s="116">
        <v>1057.25</v>
      </c>
      <c r="G1188">
        <v>8171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44796</v>
      </c>
      <c r="B1189" s="116">
        <v>1162.95</v>
      </c>
      <c r="C1189" s="116">
        <v>1162.95</v>
      </c>
      <c r="D1189" s="116">
        <v>1067</v>
      </c>
      <c r="E1189" s="116">
        <v>1092.7</v>
      </c>
      <c r="F1189" s="116">
        <v>1162.95</v>
      </c>
      <c r="G1189">
        <v>10929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44797</v>
      </c>
      <c r="B1190" s="116">
        <v>1221</v>
      </c>
      <c r="C1190" s="116">
        <v>1126.95</v>
      </c>
      <c r="D1190" s="116">
        <v>1105</v>
      </c>
      <c r="E1190" s="116">
        <v>1199</v>
      </c>
      <c r="F1190" s="116">
        <v>1126.95</v>
      </c>
      <c r="G1190">
        <v>8686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44798</v>
      </c>
      <c r="B1191" s="116">
        <v>1183.25</v>
      </c>
      <c r="C1191" s="116">
        <v>1183.25</v>
      </c>
      <c r="D1191" s="116">
        <v>1106.0999999999999</v>
      </c>
      <c r="E1191" s="116">
        <v>1135</v>
      </c>
      <c r="F1191" s="116">
        <v>1183.25</v>
      </c>
      <c r="G1191">
        <v>5936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44799</v>
      </c>
      <c r="B1192" s="116">
        <v>1239</v>
      </c>
      <c r="C1192" s="116">
        <v>1218.5999999999999</v>
      </c>
      <c r="D1192" s="116">
        <v>1181.05</v>
      </c>
      <c r="E1192" s="116">
        <v>1237.8</v>
      </c>
      <c r="F1192" s="116">
        <v>1218.5999999999999</v>
      </c>
      <c r="G1192">
        <v>6303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44802</v>
      </c>
      <c r="B1193" s="116">
        <v>1252</v>
      </c>
      <c r="C1193" s="116">
        <v>1169.6500000000001</v>
      </c>
      <c r="D1193" s="116">
        <v>1160.05</v>
      </c>
      <c r="E1193" s="116">
        <v>1200</v>
      </c>
      <c r="F1193" s="116">
        <v>1169.6500000000001</v>
      </c>
      <c r="G1193">
        <v>3069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44803</v>
      </c>
      <c r="B1194" s="116">
        <v>1227</v>
      </c>
      <c r="C1194" s="116">
        <v>1202.05</v>
      </c>
      <c r="D1194" s="116">
        <v>1143</v>
      </c>
      <c r="E1194" s="116">
        <v>1195</v>
      </c>
      <c r="F1194" s="116">
        <v>1202.05</v>
      </c>
      <c r="G1194">
        <v>8455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44805</v>
      </c>
      <c r="B1195" s="116">
        <v>1257</v>
      </c>
      <c r="C1195" s="116">
        <v>1217.5</v>
      </c>
      <c r="D1195" s="116">
        <v>1200</v>
      </c>
      <c r="E1195" s="116">
        <v>1227</v>
      </c>
      <c r="F1195" s="116">
        <v>1217.5</v>
      </c>
      <c r="G1195">
        <v>4429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44806</v>
      </c>
      <c r="B1196" s="116">
        <v>1254.8</v>
      </c>
      <c r="C1196" s="116">
        <v>1178.5</v>
      </c>
      <c r="D1196" s="116">
        <v>1165</v>
      </c>
      <c r="E1196" s="116">
        <v>1254.8</v>
      </c>
      <c r="F1196" s="116">
        <v>1178.5</v>
      </c>
      <c r="G1196">
        <v>4968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44809</v>
      </c>
      <c r="B1197" s="116">
        <v>1218.95</v>
      </c>
      <c r="C1197" s="116">
        <v>1167.25</v>
      </c>
      <c r="D1197" s="116">
        <v>1119.5999999999999</v>
      </c>
      <c r="E1197" s="116">
        <v>1194.95</v>
      </c>
      <c r="F1197" s="116">
        <v>1167.25</v>
      </c>
      <c r="G1197">
        <v>4907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44810</v>
      </c>
      <c r="B1198" s="116">
        <v>1183.95</v>
      </c>
      <c r="C1198" s="116">
        <v>1125.8499999999999</v>
      </c>
      <c r="D1198" s="116">
        <v>1111.0999999999999</v>
      </c>
      <c r="E1198" s="116">
        <v>1170</v>
      </c>
      <c r="F1198" s="116">
        <v>1125.8499999999999</v>
      </c>
      <c r="G1198">
        <v>1644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44811</v>
      </c>
      <c r="B1199" s="116">
        <v>1147</v>
      </c>
      <c r="C1199" s="116">
        <v>1099.95</v>
      </c>
      <c r="D1199" s="116">
        <v>1090</v>
      </c>
      <c r="E1199" s="116">
        <v>1135</v>
      </c>
      <c r="F1199" s="116">
        <v>1099.95</v>
      </c>
      <c r="G1199">
        <v>3569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44812</v>
      </c>
      <c r="B1200" s="116">
        <v>1133.95</v>
      </c>
      <c r="C1200" s="116">
        <v>1078.2</v>
      </c>
      <c r="D1200" s="116">
        <v>1075</v>
      </c>
      <c r="E1200" s="116">
        <v>1100</v>
      </c>
      <c r="F1200" s="116">
        <v>1078.2</v>
      </c>
      <c r="G1200">
        <v>1965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44813</v>
      </c>
      <c r="B1201" s="116">
        <v>1114.95</v>
      </c>
      <c r="C1201" s="116">
        <v>1077.6500000000001</v>
      </c>
      <c r="D1201" s="116">
        <v>1065.2</v>
      </c>
      <c r="E1201" s="116">
        <v>1065.2</v>
      </c>
      <c r="F1201" s="116">
        <v>1077.6500000000001</v>
      </c>
      <c r="G1201">
        <v>1676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44816</v>
      </c>
      <c r="B1202" s="116">
        <v>1097</v>
      </c>
      <c r="C1202" s="116">
        <v>1097</v>
      </c>
      <c r="D1202" s="116">
        <v>1060</v>
      </c>
      <c r="E1202" s="116">
        <v>1060</v>
      </c>
      <c r="F1202" s="116">
        <v>1097</v>
      </c>
      <c r="G1202">
        <v>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44817</v>
      </c>
      <c r="B1203" s="116">
        <v>1130</v>
      </c>
      <c r="C1203" s="116">
        <v>1074.45</v>
      </c>
      <c r="D1203" s="116">
        <v>1047</v>
      </c>
      <c r="E1203" s="116">
        <v>1124</v>
      </c>
      <c r="F1203" s="116">
        <v>1074.45</v>
      </c>
      <c r="G1203">
        <v>6459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44818</v>
      </c>
      <c r="B1204" s="116">
        <v>1075</v>
      </c>
      <c r="C1204" s="116">
        <v>1063.3</v>
      </c>
      <c r="D1204" s="116">
        <v>1032.2</v>
      </c>
      <c r="E1204" s="116">
        <v>1032.2</v>
      </c>
      <c r="F1204" s="116">
        <v>1063.3</v>
      </c>
      <c r="G1204">
        <v>2470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44819</v>
      </c>
      <c r="B1205" s="116">
        <v>1104.8499999999999</v>
      </c>
      <c r="C1205" s="116">
        <v>1051.55</v>
      </c>
      <c r="D1205" s="116">
        <v>1026.95</v>
      </c>
      <c r="E1205" s="116">
        <v>1104.8499999999999</v>
      </c>
      <c r="F1205" s="116">
        <v>1051.55</v>
      </c>
      <c r="G1205">
        <v>3204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44820</v>
      </c>
      <c r="B1206" s="116">
        <v>1079</v>
      </c>
      <c r="C1206" s="116">
        <v>1071.3</v>
      </c>
      <c r="D1206" s="116">
        <v>1040</v>
      </c>
      <c r="E1206" s="116">
        <v>1072.5999999999999</v>
      </c>
      <c r="F1206" s="116">
        <v>1071.3</v>
      </c>
      <c r="G1206">
        <v>1860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44823</v>
      </c>
      <c r="B1207" s="116">
        <v>1100</v>
      </c>
      <c r="C1207" s="116">
        <v>1066</v>
      </c>
      <c r="D1207" s="116">
        <v>1055.25</v>
      </c>
      <c r="E1207" s="116">
        <v>1088</v>
      </c>
      <c r="F1207" s="116">
        <v>1066</v>
      </c>
      <c r="G1207">
        <v>871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44824</v>
      </c>
      <c r="B1208" s="116">
        <v>1105</v>
      </c>
      <c r="C1208" s="116">
        <v>1054.5</v>
      </c>
      <c r="D1208" s="116">
        <v>1035.05</v>
      </c>
      <c r="E1208" s="116">
        <v>1060.05</v>
      </c>
      <c r="F1208" s="116">
        <v>1054.5</v>
      </c>
      <c r="G1208">
        <v>2865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44825</v>
      </c>
      <c r="B1209" s="116">
        <v>1050</v>
      </c>
      <c r="C1209" s="116">
        <v>1016.3</v>
      </c>
      <c r="D1209" s="116">
        <v>1005</v>
      </c>
      <c r="E1209" s="116">
        <v>1035.55</v>
      </c>
      <c r="F1209" s="116">
        <v>1016.3</v>
      </c>
      <c r="G1209">
        <v>4378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44826</v>
      </c>
      <c r="B1210" s="116">
        <v>1067</v>
      </c>
      <c r="C1210" s="116">
        <v>1045.5999999999999</v>
      </c>
      <c r="D1210" s="116">
        <v>1021</v>
      </c>
      <c r="E1210" s="116">
        <v>1025</v>
      </c>
      <c r="F1210" s="116">
        <v>1045.5999999999999</v>
      </c>
      <c r="G1210">
        <v>1511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44827</v>
      </c>
      <c r="B1211" s="116">
        <v>1054.95</v>
      </c>
      <c r="C1211" s="116">
        <v>1039.3499999999999</v>
      </c>
      <c r="D1211" s="116">
        <v>1022</v>
      </c>
      <c r="E1211" s="116">
        <v>1025.6500000000001</v>
      </c>
      <c r="F1211" s="116">
        <v>1039.3499999999999</v>
      </c>
      <c r="G1211">
        <v>1045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44830</v>
      </c>
      <c r="B1212" s="116">
        <v>1080</v>
      </c>
      <c r="C1212" s="116">
        <v>1048.95</v>
      </c>
      <c r="D1212" s="116">
        <v>987.4</v>
      </c>
      <c r="E1212" s="116">
        <v>1039.3499999999999</v>
      </c>
      <c r="F1212" s="116">
        <v>1048.95</v>
      </c>
      <c r="G1212">
        <v>5244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44831</v>
      </c>
      <c r="B1213" s="116">
        <v>1079</v>
      </c>
      <c r="C1213" s="116">
        <v>1064.95</v>
      </c>
      <c r="D1213" s="116">
        <v>1030.5</v>
      </c>
      <c r="E1213" s="116">
        <v>1030.5</v>
      </c>
      <c r="F1213" s="116">
        <v>1064.95</v>
      </c>
      <c r="G1213">
        <v>2619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44832</v>
      </c>
      <c r="B1214" s="116">
        <v>1067.9000000000001</v>
      </c>
      <c r="C1214" s="116">
        <v>1036.8499999999999</v>
      </c>
      <c r="D1214" s="116">
        <v>1023</v>
      </c>
      <c r="E1214" s="116">
        <v>1031.5999999999999</v>
      </c>
      <c r="F1214" s="116">
        <v>1036.8499999999999</v>
      </c>
      <c r="G1214">
        <v>2166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44833</v>
      </c>
      <c r="B1215" s="116">
        <v>1074</v>
      </c>
      <c r="C1215" s="116">
        <v>1050</v>
      </c>
      <c r="D1215" s="116">
        <v>1038</v>
      </c>
      <c r="E1215" s="116">
        <v>1054</v>
      </c>
      <c r="F1215" s="116">
        <v>1050</v>
      </c>
      <c r="G1215">
        <v>2045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44834</v>
      </c>
      <c r="B1216" s="116">
        <v>1063.95</v>
      </c>
      <c r="C1216" s="116">
        <v>1044.55</v>
      </c>
      <c r="D1216" s="116">
        <v>1002.2</v>
      </c>
      <c r="E1216" s="116">
        <v>1063.95</v>
      </c>
      <c r="F1216" s="116">
        <v>1044.55</v>
      </c>
      <c r="G1216">
        <v>3701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44837</v>
      </c>
      <c r="B1217" s="116">
        <v>1050</v>
      </c>
      <c r="C1217" s="116">
        <v>1047.05</v>
      </c>
      <c r="D1217" s="116">
        <v>1031</v>
      </c>
      <c r="E1217" s="116">
        <v>1048</v>
      </c>
      <c r="F1217" s="116">
        <v>1047.05</v>
      </c>
      <c r="G1217">
        <v>1246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44838</v>
      </c>
      <c r="B1218" s="116">
        <v>1085</v>
      </c>
      <c r="C1218" s="116">
        <v>1049.5999999999999</v>
      </c>
      <c r="D1218" s="116">
        <v>1021</v>
      </c>
      <c r="E1218" s="116">
        <v>1060</v>
      </c>
      <c r="F1218" s="116">
        <v>1049.5999999999999</v>
      </c>
      <c r="G1218">
        <v>1363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44840</v>
      </c>
      <c r="B1219" s="116">
        <v>1097</v>
      </c>
      <c r="C1219" s="116">
        <v>1094.6500000000001</v>
      </c>
      <c r="D1219" s="116">
        <v>1050.05</v>
      </c>
      <c r="E1219" s="116">
        <v>1069</v>
      </c>
      <c r="F1219" s="116">
        <v>1094.6500000000001</v>
      </c>
      <c r="G1219">
        <v>5006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44841</v>
      </c>
      <c r="B1220" s="116">
        <v>1145</v>
      </c>
      <c r="C1220" s="116">
        <v>1095.4000000000001</v>
      </c>
      <c r="D1220" s="116">
        <v>1076.0999999999999</v>
      </c>
      <c r="E1220" s="116">
        <v>1113.5</v>
      </c>
      <c r="F1220" s="116">
        <v>1095.4000000000001</v>
      </c>
      <c r="G1220">
        <v>2611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44844</v>
      </c>
      <c r="B1221" s="116">
        <v>1145</v>
      </c>
      <c r="C1221" s="116">
        <v>1139.45</v>
      </c>
      <c r="D1221" s="116">
        <v>1045.55</v>
      </c>
      <c r="E1221" s="116">
        <v>1071</v>
      </c>
      <c r="F1221" s="116">
        <v>1139.45</v>
      </c>
      <c r="G1221">
        <v>2658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44845</v>
      </c>
      <c r="B1222" s="116">
        <v>1153.95</v>
      </c>
      <c r="C1222" s="116">
        <v>1088.0999999999999</v>
      </c>
      <c r="D1222" s="116">
        <v>1083</v>
      </c>
      <c r="E1222" s="116">
        <v>1153.95</v>
      </c>
      <c r="F1222" s="116">
        <v>1088.0999999999999</v>
      </c>
      <c r="G1222">
        <v>1851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44846</v>
      </c>
      <c r="B1223" s="116">
        <v>1107.4000000000001</v>
      </c>
      <c r="C1223" s="116">
        <v>1064.6500000000001</v>
      </c>
      <c r="D1223" s="116">
        <v>1052</v>
      </c>
      <c r="E1223" s="116">
        <v>1107.4000000000001</v>
      </c>
      <c r="F1223" s="116">
        <v>1064.6500000000001</v>
      </c>
      <c r="G1223">
        <v>1514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44847</v>
      </c>
      <c r="B1224" s="116">
        <v>1071</v>
      </c>
      <c r="C1224" s="116">
        <v>1052.1500000000001</v>
      </c>
      <c r="D1224" s="116">
        <v>1016.15</v>
      </c>
      <c r="E1224" s="116">
        <v>1064.6500000000001</v>
      </c>
      <c r="F1224" s="116">
        <v>1052.1500000000001</v>
      </c>
      <c r="G1224">
        <v>2202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44848</v>
      </c>
      <c r="B1225" s="116">
        <v>1099</v>
      </c>
      <c r="C1225" s="116">
        <v>1087.75</v>
      </c>
      <c r="D1225" s="116">
        <v>1032.7</v>
      </c>
      <c r="E1225" s="116">
        <v>1094.9000000000001</v>
      </c>
      <c r="F1225" s="116">
        <v>1087.75</v>
      </c>
      <c r="G1225">
        <v>1417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44851</v>
      </c>
      <c r="B1226" s="116">
        <v>1087.4000000000001</v>
      </c>
      <c r="C1226" s="116">
        <v>1065.3499999999999</v>
      </c>
      <c r="D1226" s="116">
        <v>1054.5999999999999</v>
      </c>
      <c r="E1226" s="116">
        <v>1054.5999999999999</v>
      </c>
      <c r="F1226" s="116">
        <v>1065.3499999999999</v>
      </c>
      <c r="G1226">
        <v>695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44852</v>
      </c>
      <c r="B1227" s="116">
        <v>1080</v>
      </c>
      <c r="C1227" s="116">
        <v>1039.4000000000001</v>
      </c>
      <c r="D1227" s="116">
        <v>1030</v>
      </c>
      <c r="E1227" s="116">
        <v>1066.8</v>
      </c>
      <c r="F1227" s="116">
        <v>1039.4000000000001</v>
      </c>
      <c r="G1227">
        <v>952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44853</v>
      </c>
      <c r="B1228" s="116">
        <v>1091.3499999999999</v>
      </c>
      <c r="C1228" s="116">
        <v>1086.75</v>
      </c>
      <c r="D1228" s="116">
        <v>1040</v>
      </c>
      <c r="E1228" s="116">
        <v>1052</v>
      </c>
      <c r="F1228" s="116">
        <v>1086.75</v>
      </c>
      <c r="G1228">
        <v>1972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44854</v>
      </c>
      <c r="B1229" s="116">
        <v>1100.95</v>
      </c>
      <c r="C1229" s="116">
        <v>1091.5999999999999</v>
      </c>
      <c r="D1229" s="116">
        <v>1060</v>
      </c>
      <c r="E1229" s="116">
        <v>1090</v>
      </c>
      <c r="F1229" s="116">
        <v>1091.5999999999999</v>
      </c>
      <c r="G1229">
        <v>1907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44855</v>
      </c>
      <c r="B1230" s="116">
        <v>1146</v>
      </c>
      <c r="C1230" s="116">
        <v>1143.05</v>
      </c>
      <c r="D1230" s="116">
        <v>1080.05</v>
      </c>
      <c r="E1230" s="116">
        <v>1090</v>
      </c>
      <c r="F1230" s="116">
        <v>1143.05</v>
      </c>
      <c r="G1230">
        <v>4538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44858</v>
      </c>
      <c r="B1231" s="116">
        <v>1200.2</v>
      </c>
      <c r="C1231" s="116">
        <v>1197.25</v>
      </c>
      <c r="D1231" s="116">
        <v>1165</v>
      </c>
      <c r="E1231" s="116">
        <v>1165</v>
      </c>
      <c r="F1231" s="116">
        <v>1197.25</v>
      </c>
      <c r="G1231">
        <v>3035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44859</v>
      </c>
      <c r="B1232" s="116">
        <v>1257</v>
      </c>
      <c r="C1232" s="116">
        <v>1219.2</v>
      </c>
      <c r="D1232" s="116">
        <v>1205</v>
      </c>
      <c r="E1232" s="116">
        <v>1239.95</v>
      </c>
      <c r="F1232" s="116">
        <v>1219.2</v>
      </c>
      <c r="G1232">
        <v>5946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44861</v>
      </c>
      <c r="B1233" s="116">
        <v>1254.8</v>
      </c>
      <c r="C1233" s="116">
        <v>1220.55</v>
      </c>
      <c r="D1233" s="116">
        <v>1209.05</v>
      </c>
      <c r="E1233" s="116">
        <v>1254.8</v>
      </c>
      <c r="F1233" s="116">
        <v>1220.55</v>
      </c>
      <c r="G1233">
        <v>2878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44862</v>
      </c>
      <c r="B1234" s="116">
        <v>1235</v>
      </c>
      <c r="C1234" s="116">
        <v>1208.45</v>
      </c>
      <c r="D1234" s="116">
        <v>1182</v>
      </c>
      <c r="E1234" s="116">
        <v>1230</v>
      </c>
      <c r="F1234" s="116">
        <v>1208.45</v>
      </c>
      <c r="G1234">
        <v>1105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44865</v>
      </c>
      <c r="B1235" s="116">
        <v>1250</v>
      </c>
      <c r="C1235" s="116">
        <v>1203.9000000000001</v>
      </c>
      <c r="D1235" s="116">
        <v>1190</v>
      </c>
      <c r="E1235" s="116">
        <v>1250</v>
      </c>
      <c r="F1235" s="116">
        <v>1203.9000000000001</v>
      </c>
      <c r="G1235">
        <v>1392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44866</v>
      </c>
      <c r="B1236" s="116">
        <v>1248.75</v>
      </c>
      <c r="C1236" s="116">
        <v>1238.5</v>
      </c>
      <c r="D1236" s="116">
        <v>1195.2</v>
      </c>
      <c r="E1236" s="116">
        <v>1220</v>
      </c>
      <c r="F1236" s="116">
        <v>1238.5</v>
      </c>
      <c r="G1236">
        <v>1639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44867</v>
      </c>
      <c r="B1237" s="116">
        <v>1300</v>
      </c>
      <c r="C1237" s="116">
        <v>1297.8499999999999</v>
      </c>
      <c r="D1237" s="116">
        <v>1230.95</v>
      </c>
      <c r="E1237" s="116">
        <v>1248</v>
      </c>
      <c r="F1237" s="116">
        <v>1297.8499999999999</v>
      </c>
      <c r="G1237">
        <v>6511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44868</v>
      </c>
      <c r="B1238" s="116">
        <v>1355</v>
      </c>
      <c r="C1238" s="116">
        <v>1301.45</v>
      </c>
      <c r="D1238" s="116">
        <v>1282</v>
      </c>
      <c r="E1238" s="116">
        <v>1310</v>
      </c>
      <c r="F1238" s="116">
        <v>1301.45</v>
      </c>
      <c r="G1238">
        <v>5453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44869</v>
      </c>
      <c r="B1239" s="116">
        <v>1335</v>
      </c>
      <c r="C1239" s="116">
        <v>1325.3</v>
      </c>
      <c r="D1239" s="116">
        <v>1256.5999999999999</v>
      </c>
      <c r="E1239" s="116">
        <v>1300</v>
      </c>
      <c r="F1239" s="116">
        <v>1325.3</v>
      </c>
      <c r="G1239">
        <v>1849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44872</v>
      </c>
      <c r="B1240" s="116">
        <v>1385.9</v>
      </c>
      <c r="C1240" s="116">
        <v>1351.6</v>
      </c>
      <c r="D1240" s="116">
        <v>1305</v>
      </c>
      <c r="E1240" s="116">
        <v>1334.95</v>
      </c>
      <c r="F1240" s="116">
        <v>1351.6</v>
      </c>
      <c r="G1240">
        <v>2557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44874</v>
      </c>
      <c r="B1241" s="116">
        <v>1370</v>
      </c>
      <c r="C1241" s="116">
        <v>1317</v>
      </c>
      <c r="D1241" s="116">
        <v>1310</v>
      </c>
      <c r="E1241" s="116">
        <v>1365</v>
      </c>
      <c r="F1241" s="116">
        <v>1317</v>
      </c>
      <c r="G1241">
        <v>2726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44875</v>
      </c>
      <c r="B1242" s="116">
        <v>1309.95</v>
      </c>
      <c r="C1242" s="116">
        <v>1299.3499999999999</v>
      </c>
      <c r="D1242" s="116">
        <v>1267.5999999999999</v>
      </c>
      <c r="E1242" s="116">
        <v>1309.95</v>
      </c>
      <c r="F1242" s="116">
        <v>1299.3499999999999</v>
      </c>
      <c r="G1242">
        <v>4766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44876</v>
      </c>
      <c r="B1243" s="116">
        <v>1357</v>
      </c>
      <c r="C1243" s="116">
        <v>1332.55</v>
      </c>
      <c r="D1243" s="116">
        <v>1320</v>
      </c>
      <c r="E1243" s="116">
        <v>1320</v>
      </c>
      <c r="F1243" s="116">
        <v>1332.55</v>
      </c>
      <c r="G1243">
        <v>3566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44879</v>
      </c>
      <c r="B1244" s="116">
        <v>1345</v>
      </c>
      <c r="C1244" s="116">
        <v>1290.75</v>
      </c>
      <c r="D1244" s="116">
        <v>1272.5999999999999</v>
      </c>
      <c r="E1244" s="116">
        <v>1345</v>
      </c>
      <c r="F1244" s="116">
        <v>1290.75</v>
      </c>
      <c r="G1244">
        <v>2331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44880</v>
      </c>
      <c r="B1245" s="116">
        <v>1299.95</v>
      </c>
      <c r="C1245" s="116">
        <v>1257.8499999999999</v>
      </c>
      <c r="D1245" s="116">
        <v>1231</v>
      </c>
      <c r="E1245" s="116">
        <v>1299.95</v>
      </c>
      <c r="F1245" s="116">
        <v>1257.8499999999999</v>
      </c>
      <c r="G1245">
        <v>1932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44881</v>
      </c>
      <c r="B1246" s="116">
        <v>1257.75</v>
      </c>
      <c r="C1246" s="116">
        <v>1219.4000000000001</v>
      </c>
      <c r="D1246" s="116">
        <v>1213.5</v>
      </c>
      <c r="E1246" s="116">
        <v>1250</v>
      </c>
      <c r="F1246" s="116">
        <v>1219.4000000000001</v>
      </c>
      <c r="G1246">
        <v>763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44882</v>
      </c>
      <c r="B1247" s="116">
        <v>1224.05</v>
      </c>
      <c r="C1247" s="116">
        <v>1204.8</v>
      </c>
      <c r="D1247" s="116">
        <v>1160.25</v>
      </c>
      <c r="E1247" s="116">
        <v>1223.45</v>
      </c>
      <c r="F1247" s="116">
        <v>1204.8</v>
      </c>
      <c r="G1247">
        <v>1955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44883</v>
      </c>
      <c r="B1248" s="116">
        <v>1234.9000000000001</v>
      </c>
      <c r="C1248" s="116">
        <v>1232.45</v>
      </c>
      <c r="D1248" s="116">
        <v>1183.05</v>
      </c>
      <c r="E1248" s="116">
        <v>1234.9000000000001</v>
      </c>
      <c r="F1248" s="116">
        <v>1232.45</v>
      </c>
      <c r="G1248">
        <v>585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44886</v>
      </c>
      <c r="B1249" s="116">
        <v>1244.8499999999999</v>
      </c>
      <c r="C1249" s="116">
        <v>1191.0999999999999</v>
      </c>
      <c r="D1249" s="116">
        <v>1190</v>
      </c>
      <c r="E1249" s="116">
        <v>1232.5</v>
      </c>
      <c r="F1249" s="116">
        <v>1191.0999999999999</v>
      </c>
      <c r="G1249">
        <v>591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44887</v>
      </c>
      <c r="B1250" s="116">
        <v>1191.1500000000001</v>
      </c>
      <c r="C1250" s="116">
        <v>1190</v>
      </c>
      <c r="D1250" s="116">
        <v>1165</v>
      </c>
      <c r="E1250" s="116">
        <v>1191.1500000000001</v>
      </c>
      <c r="F1250" s="116">
        <v>1190</v>
      </c>
      <c r="G1250">
        <v>437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44888</v>
      </c>
      <c r="B1251" s="116">
        <v>1208.95</v>
      </c>
      <c r="C1251" s="116">
        <v>1188.8499999999999</v>
      </c>
      <c r="D1251" s="116">
        <v>1155.6500000000001</v>
      </c>
      <c r="E1251" s="116">
        <v>1190</v>
      </c>
      <c r="F1251" s="116">
        <v>1188.8499999999999</v>
      </c>
      <c r="G1251">
        <v>2030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44889</v>
      </c>
      <c r="B1252" s="116">
        <v>1208</v>
      </c>
      <c r="C1252" s="116">
        <v>1206.95</v>
      </c>
      <c r="D1252" s="116">
        <v>1175</v>
      </c>
      <c r="E1252" s="116">
        <v>1207.7</v>
      </c>
      <c r="F1252" s="116">
        <v>1206.95</v>
      </c>
      <c r="G1252">
        <v>609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44890</v>
      </c>
      <c r="B1253" s="116">
        <v>1234</v>
      </c>
      <c r="C1253" s="116">
        <v>1219.0999999999999</v>
      </c>
      <c r="D1253" s="116">
        <v>1155.55</v>
      </c>
      <c r="E1253" s="116">
        <v>1205</v>
      </c>
      <c r="F1253" s="116">
        <v>1219.0999999999999</v>
      </c>
      <c r="G1253">
        <v>1043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44893</v>
      </c>
      <c r="B1254" s="116">
        <v>1280.05</v>
      </c>
      <c r="C1254" s="116">
        <v>1280.05</v>
      </c>
      <c r="D1254" s="116">
        <v>1202.5999999999999</v>
      </c>
      <c r="E1254" s="116">
        <v>1221</v>
      </c>
      <c r="F1254" s="116">
        <v>1280.05</v>
      </c>
      <c r="G1254">
        <v>15071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44894</v>
      </c>
      <c r="B1255" s="116">
        <v>1333.9</v>
      </c>
      <c r="C1255" s="116">
        <v>1310.05</v>
      </c>
      <c r="D1255" s="116">
        <v>1280.05</v>
      </c>
      <c r="E1255" s="116">
        <v>1299.45</v>
      </c>
      <c r="F1255" s="116">
        <v>1310.05</v>
      </c>
      <c r="G1255">
        <v>6361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44895</v>
      </c>
      <c r="B1256" s="116">
        <v>1341.9</v>
      </c>
      <c r="C1256" s="116">
        <v>1324.45</v>
      </c>
      <c r="D1256" s="116">
        <v>1310</v>
      </c>
      <c r="E1256" s="116">
        <v>1310</v>
      </c>
      <c r="F1256" s="116">
        <v>1324.45</v>
      </c>
      <c r="G1256">
        <v>2231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44896</v>
      </c>
      <c r="B1257" s="116">
        <v>1334.95</v>
      </c>
      <c r="C1257" s="116">
        <v>1307.95</v>
      </c>
      <c r="D1257" s="116">
        <v>1290</v>
      </c>
      <c r="E1257" s="116">
        <v>1334.95</v>
      </c>
      <c r="F1257" s="116">
        <v>1307.95</v>
      </c>
      <c r="G1257">
        <v>697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44897</v>
      </c>
      <c r="B1258" s="116">
        <v>1325.85</v>
      </c>
      <c r="C1258" s="116">
        <v>1315.4</v>
      </c>
      <c r="D1258" s="116">
        <v>1285</v>
      </c>
      <c r="E1258" s="116">
        <v>1325.85</v>
      </c>
      <c r="F1258" s="116">
        <v>1315.4</v>
      </c>
      <c r="G1258">
        <v>970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44900</v>
      </c>
      <c r="B1259" s="116">
        <v>1381.15</v>
      </c>
      <c r="C1259" s="116">
        <v>1351.1</v>
      </c>
      <c r="D1259" s="116">
        <v>1255.55</v>
      </c>
      <c r="E1259" s="116">
        <v>1255.55</v>
      </c>
      <c r="F1259" s="116">
        <v>1351.1</v>
      </c>
      <c r="G1259">
        <v>5688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44901</v>
      </c>
      <c r="B1260" s="116">
        <v>1398.95</v>
      </c>
      <c r="C1260" s="116">
        <v>1384.85</v>
      </c>
      <c r="D1260" s="116">
        <v>1330.65</v>
      </c>
      <c r="E1260" s="116">
        <v>1365</v>
      </c>
      <c r="F1260" s="116">
        <v>1384.85</v>
      </c>
      <c r="G1260">
        <v>3670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44902</v>
      </c>
      <c r="B1261" s="116">
        <v>1428</v>
      </c>
      <c r="C1261" s="116">
        <v>1383.85</v>
      </c>
      <c r="D1261" s="116">
        <v>1361.6</v>
      </c>
      <c r="E1261" s="116">
        <v>1418.5</v>
      </c>
      <c r="F1261" s="116">
        <v>1383.85</v>
      </c>
      <c r="G1261">
        <v>1650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44903</v>
      </c>
      <c r="B1262" s="116">
        <v>1382.55</v>
      </c>
      <c r="C1262" s="116">
        <v>1332.25</v>
      </c>
      <c r="D1262" s="116">
        <v>1328</v>
      </c>
      <c r="E1262" s="116">
        <v>1382.55</v>
      </c>
      <c r="F1262" s="116">
        <v>1332.25</v>
      </c>
      <c r="G1262">
        <v>1480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44904</v>
      </c>
      <c r="B1263" s="116">
        <v>1344.95</v>
      </c>
      <c r="C1263" s="116">
        <v>1235.7</v>
      </c>
      <c r="D1263" s="116">
        <v>1199.05</v>
      </c>
      <c r="E1263" s="116">
        <v>1344.95</v>
      </c>
      <c r="F1263" s="116">
        <v>1235.7</v>
      </c>
      <c r="G1263">
        <v>10661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44907</v>
      </c>
      <c r="B1264" s="116">
        <v>1348.5</v>
      </c>
      <c r="C1264" s="116">
        <v>1259.05</v>
      </c>
      <c r="D1264" s="116">
        <v>1233.7</v>
      </c>
      <c r="E1264" s="116">
        <v>1248.95</v>
      </c>
      <c r="F1264" s="116">
        <v>1259.05</v>
      </c>
      <c r="G1264">
        <v>2934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44908</v>
      </c>
      <c r="B1265" s="116">
        <v>1300</v>
      </c>
      <c r="C1265" s="116">
        <v>1285</v>
      </c>
      <c r="D1265" s="116">
        <v>1274.3499999999999</v>
      </c>
      <c r="E1265" s="116">
        <v>1274.4000000000001</v>
      </c>
      <c r="F1265" s="116">
        <v>1285</v>
      </c>
      <c r="G1265">
        <v>639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44909</v>
      </c>
      <c r="B1266" s="116">
        <v>1305</v>
      </c>
      <c r="C1266" s="116">
        <v>1253.1500000000001</v>
      </c>
      <c r="D1266" s="116">
        <v>1240</v>
      </c>
      <c r="E1266" s="116">
        <v>1305</v>
      </c>
      <c r="F1266" s="116">
        <v>1253.1500000000001</v>
      </c>
      <c r="G1266">
        <v>2380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44910</v>
      </c>
      <c r="B1267" s="116">
        <v>1275</v>
      </c>
      <c r="C1267" s="116">
        <v>1201.7</v>
      </c>
      <c r="D1267" s="116">
        <v>1195.75</v>
      </c>
      <c r="E1267" s="116">
        <v>1259.95</v>
      </c>
      <c r="F1267" s="116">
        <v>1201.7</v>
      </c>
      <c r="G1267">
        <v>5050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44911</v>
      </c>
      <c r="B1268" s="116">
        <v>1220</v>
      </c>
      <c r="C1268" s="116">
        <v>1195.5</v>
      </c>
      <c r="D1268" s="116">
        <v>1175</v>
      </c>
      <c r="E1268" s="116">
        <v>1215</v>
      </c>
      <c r="F1268" s="116">
        <v>1195.5</v>
      </c>
      <c r="G1268">
        <v>1050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44914</v>
      </c>
      <c r="B1269" s="116">
        <v>1220</v>
      </c>
      <c r="C1269" s="116">
        <v>1215.3499999999999</v>
      </c>
      <c r="D1269" s="116">
        <v>1175</v>
      </c>
      <c r="E1269" s="116">
        <v>1209.95</v>
      </c>
      <c r="F1269" s="116">
        <v>1215.3499999999999</v>
      </c>
      <c r="G1269">
        <v>367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44915</v>
      </c>
      <c r="B1270" s="116">
        <v>1305</v>
      </c>
      <c r="C1270" s="116">
        <v>1274.2</v>
      </c>
      <c r="D1270" s="116">
        <v>1207</v>
      </c>
      <c r="E1270" s="116">
        <v>1229.8</v>
      </c>
      <c r="F1270" s="116">
        <v>1274.2</v>
      </c>
      <c r="G1270">
        <v>3098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44916</v>
      </c>
      <c r="B1271" s="116">
        <v>1317.9</v>
      </c>
      <c r="C1271" s="116">
        <v>1216.05</v>
      </c>
      <c r="D1271" s="116">
        <v>1200</v>
      </c>
      <c r="E1271" s="116">
        <v>1317.9</v>
      </c>
      <c r="F1271" s="116">
        <v>1216.05</v>
      </c>
      <c r="G1271">
        <v>816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44917</v>
      </c>
      <c r="B1272" s="116">
        <v>1242.95</v>
      </c>
      <c r="C1272" s="116">
        <v>1155.5</v>
      </c>
      <c r="D1272" s="116">
        <v>1130</v>
      </c>
      <c r="E1272" s="116">
        <v>1242.95</v>
      </c>
      <c r="F1272" s="116">
        <v>1155.5</v>
      </c>
      <c r="G1272">
        <v>1948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44918</v>
      </c>
      <c r="B1273" s="116">
        <v>1197.75</v>
      </c>
      <c r="C1273" s="116">
        <v>1106.5999999999999</v>
      </c>
      <c r="D1273" s="116">
        <v>1091</v>
      </c>
      <c r="E1273" s="116">
        <v>1197.75</v>
      </c>
      <c r="F1273" s="116">
        <v>1106.5999999999999</v>
      </c>
      <c r="G1273">
        <v>2813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44921</v>
      </c>
      <c r="B1274" s="116">
        <v>1139.8499999999999</v>
      </c>
      <c r="C1274" s="116">
        <v>1101.5999999999999</v>
      </c>
      <c r="D1274" s="116">
        <v>1088</v>
      </c>
      <c r="E1274" s="116">
        <v>1100</v>
      </c>
      <c r="F1274" s="116">
        <v>1101.5999999999999</v>
      </c>
      <c r="G1274">
        <v>5813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44922</v>
      </c>
      <c r="B1275" s="116">
        <v>1187</v>
      </c>
      <c r="C1275" s="116">
        <v>1133</v>
      </c>
      <c r="D1275" s="116">
        <v>1111.95</v>
      </c>
      <c r="E1275" s="116">
        <v>1187</v>
      </c>
      <c r="F1275" s="116">
        <v>1133</v>
      </c>
      <c r="G1275">
        <v>785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44923</v>
      </c>
      <c r="B1276" s="116">
        <v>1140</v>
      </c>
      <c r="C1276" s="116">
        <v>1113.7</v>
      </c>
      <c r="D1276" s="116">
        <v>1100</v>
      </c>
      <c r="E1276" s="116">
        <v>1100.0999999999999</v>
      </c>
      <c r="F1276" s="116">
        <v>1113.7</v>
      </c>
      <c r="G1276">
        <v>1735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44924</v>
      </c>
      <c r="B1277" s="116">
        <v>1160</v>
      </c>
      <c r="C1277" s="116">
        <v>1123.5999999999999</v>
      </c>
      <c r="D1277" s="116">
        <v>1107.1500000000001</v>
      </c>
      <c r="E1277" s="116">
        <v>1114.8499999999999</v>
      </c>
      <c r="F1277" s="116">
        <v>1123.5999999999999</v>
      </c>
      <c r="G1277">
        <v>2661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44925</v>
      </c>
      <c r="B1278" s="116">
        <v>1155</v>
      </c>
      <c r="C1278" s="116">
        <v>1120.2</v>
      </c>
      <c r="D1278" s="116">
        <v>1086.5999999999999</v>
      </c>
      <c r="E1278" s="116">
        <v>1150</v>
      </c>
      <c r="F1278" s="116">
        <v>1120.2</v>
      </c>
      <c r="G1278">
        <v>2072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44928</v>
      </c>
      <c r="B1279" s="116">
        <v>1160</v>
      </c>
      <c r="C1279" s="116">
        <v>1102.3499999999999</v>
      </c>
      <c r="D1279" s="116">
        <v>1090.3</v>
      </c>
      <c r="E1279" s="116">
        <v>1139.75</v>
      </c>
      <c r="F1279" s="116">
        <v>1102.3499999999999</v>
      </c>
      <c r="G1279">
        <v>3032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44929</v>
      </c>
      <c r="B1280" s="116">
        <v>1115.95</v>
      </c>
      <c r="C1280" s="116">
        <v>1064.9000000000001</v>
      </c>
      <c r="D1280" s="116">
        <v>1055</v>
      </c>
      <c r="E1280" s="116">
        <v>1115.95</v>
      </c>
      <c r="F1280" s="116">
        <v>1064.9000000000001</v>
      </c>
      <c r="G1280">
        <v>5850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44930</v>
      </c>
      <c r="B1281" s="116">
        <v>1150</v>
      </c>
      <c r="C1281" s="116">
        <v>1103.25</v>
      </c>
      <c r="D1281" s="116">
        <v>1042.05</v>
      </c>
      <c r="E1281" s="116">
        <v>1079.95</v>
      </c>
      <c r="F1281" s="116">
        <v>1103.25</v>
      </c>
      <c r="G1281">
        <v>7811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44931</v>
      </c>
      <c r="B1282" s="116">
        <v>1128.4000000000001</v>
      </c>
      <c r="C1282" s="116">
        <v>1088.7</v>
      </c>
      <c r="D1282" s="116">
        <v>1080</v>
      </c>
      <c r="E1282" s="116">
        <v>1128.4000000000001</v>
      </c>
      <c r="F1282" s="116">
        <v>1088.7</v>
      </c>
      <c r="G1282">
        <v>906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44932</v>
      </c>
      <c r="B1283" s="116">
        <v>1106</v>
      </c>
      <c r="C1283" s="116">
        <v>1089.25</v>
      </c>
      <c r="D1283" s="116">
        <v>1075</v>
      </c>
      <c r="E1283" s="116">
        <v>1103.9000000000001</v>
      </c>
      <c r="F1283" s="116">
        <v>1089.25</v>
      </c>
      <c r="G1283">
        <v>549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44935</v>
      </c>
      <c r="B1284" s="116">
        <v>1105</v>
      </c>
      <c r="C1284" s="116">
        <v>1078.9000000000001</v>
      </c>
      <c r="D1284" s="116">
        <v>1070</v>
      </c>
      <c r="E1284" s="116">
        <v>1104</v>
      </c>
      <c r="F1284" s="116">
        <v>1078.9000000000001</v>
      </c>
      <c r="G1284">
        <v>1160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44936</v>
      </c>
      <c r="B1285" s="116">
        <v>1099</v>
      </c>
      <c r="C1285" s="116">
        <v>1073.3499999999999</v>
      </c>
      <c r="D1285" s="116">
        <v>1040.0999999999999</v>
      </c>
      <c r="E1285" s="116">
        <v>1060.05</v>
      </c>
      <c r="F1285" s="116">
        <v>1073.3499999999999</v>
      </c>
      <c r="G1285">
        <v>1159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44937</v>
      </c>
      <c r="B1286" s="116">
        <v>1094</v>
      </c>
      <c r="C1286" s="116">
        <v>1082.3</v>
      </c>
      <c r="D1286" s="116">
        <v>1051.2</v>
      </c>
      <c r="E1286" s="116">
        <v>1093.95</v>
      </c>
      <c r="F1286" s="116">
        <v>1082.3</v>
      </c>
      <c r="G1286">
        <v>986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44938</v>
      </c>
      <c r="B1287" s="116">
        <v>1090</v>
      </c>
      <c r="C1287" s="116">
        <v>1075.2</v>
      </c>
      <c r="D1287" s="116">
        <v>1067</v>
      </c>
      <c r="E1287" s="116">
        <v>1090</v>
      </c>
      <c r="F1287" s="116">
        <v>1075.2</v>
      </c>
      <c r="G1287">
        <v>428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44939</v>
      </c>
      <c r="B1288" s="116">
        <v>1122</v>
      </c>
      <c r="C1288" s="116">
        <v>1100.05</v>
      </c>
      <c r="D1288" s="116">
        <v>1050.05</v>
      </c>
      <c r="E1288" s="116">
        <v>1066.4000000000001</v>
      </c>
      <c r="F1288" s="116">
        <v>1100.05</v>
      </c>
      <c r="G1288">
        <v>748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44942</v>
      </c>
      <c r="B1289" s="116">
        <v>1105</v>
      </c>
      <c r="C1289" s="116">
        <v>1070</v>
      </c>
      <c r="D1289" s="116">
        <v>1063</v>
      </c>
      <c r="E1289" s="116">
        <v>1100</v>
      </c>
      <c r="F1289" s="116">
        <v>1070</v>
      </c>
      <c r="G1289">
        <v>1736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44943</v>
      </c>
      <c r="B1290" s="116">
        <v>1089.4000000000001</v>
      </c>
      <c r="C1290" s="116">
        <v>1038.9000000000001</v>
      </c>
      <c r="D1290" s="116">
        <v>1034</v>
      </c>
      <c r="E1290" s="116">
        <v>1070</v>
      </c>
      <c r="F1290" s="116">
        <v>1038.9000000000001</v>
      </c>
      <c r="G1290">
        <v>3706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44944</v>
      </c>
      <c r="B1291" s="116">
        <v>1054.9000000000001</v>
      </c>
      <c r="C1291" s="116">
        <v>1016.65</v>
      </c>
      <c r="D1291" s="116">
        <v>1010.05</v>
      </c>
      <c r="E1291" s="116">
        <v>1030.05</v>
      </c>
      <c r="F1291" s="116">
        <v>1016.65</v>
      </c>
      <c r="G1291">
        <v>2680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44945</v>
      </c>
      <c r="B1292" s="116">
        <v>1078</v>
      </c>
      <c r="C1292" s="116">
        <v>1060.95</v>
      </c>
      <c r="D1292" s="116">
        <v>995</v>
      </c>
      <c r="E1292" s="116">
        <v>1019.95</v>
      </c>
      <c r="F1292" s="116">
        <v>1060.95</v>
      </c>
      <c r="G1292">
        <v>6050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44946</v>
      </c>
      <c r="B1293" s="116">
        <v>1100</v>
      </c>
      <c r="C1293" s="116">
        <v>1051.1500000000001</v>
      </c>
      <c r="D1293" s="116">
        <v>1043.1500000000001</v>
      </c>
      <c r="E1293" s="116">
        <v>1100</v>
      </c>
      <c r="F1293" s="116">
        <v>1051.1500000000001</v>
      </c>
      <c r="G1293">
        <v>2950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44949</v>
      </c>
      <c r="B1294" s="116">
        <v>1069.95</v>
      </c>
      <c r="C1294" s="116">
        <v>1021.45</v>
      </c>
      <c r="D1294" s="116">
        <v>1015</v>
      </c>
      <c r="E1294" s="116">
        <v>1069.95</v>
      </c>
      <c r="F1294" s="116">
        <v>1021.45</v>
      </c>
      <c r="G1294">
        <v>3264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44950</v>
      </c>
      <c r="B1295" s="116">
        <v>1059.95</v>
      </c>
      <c r="C1295" s="116">
        <v>1020.7</v>
      </c>
      <c r="D1295" s="116">
        <v>1011</v>
      </c>
      <c r="E1295" s="116">
        <v>1039.8</v>
      </c>
      <c r="F1295" s="116">
        <v>1020.7</v>
      </c>
      <c r="G1295">
        <v>2337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44951</v>
      </c>
      <c r="B1296" s="116">
        <v>1039</v>
      </c>
      <c r="C1296" s="116">
        <v>999.3</v>
      </c>
      <c r="D1296" s="116">
        <v>996</v>
      </c>
      <c r="E1296" s="116">
        <v>1028.4000000000001</v>
      </c>
      <c r="F1296" s="116">
        <v>999.3</v>
      </c>
      <c r="G1296">
        <v>3790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44953</v>
      </c>
      <c r="B1297" s="116">
        <v>1010</v>
      </c>
      <c r="C1297" s="116">
        <v>989</v>
      </c>
      <c r="D1297" s="116">
        <v>972</v>
      </c>
      <c r="E1297" s="116">
        <v>998</v>
      </c>
      <c r="F1297" s="116">
        <v>989</v>
      </c>
      <c r="G1297">
        <v>2909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44956</v>
      </c>
      <c r="B1298" s="116">
        <v>1087.9000000000001</v>
      </c>
      <c r="C1298" s="116">
        <v>1084.75</v>
      </c>
      <c r="D1298" s="116">
        <v>1002</v>
      </c>
      <c r="E1298" s="116">
        <v>1050</v>
      </c>
      <c r="F1298" s="116">
        <v>1084.75</v>
      </c>
      <c r="G1298">
        <v>8476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44957</v>
      </c>
      <c r="B1299" s="116">
        <v>1116.5</v>
      </c>
      <c r="C1299" s="116">
        <v>1021.4</v>
      </c>
      <c r="D1299" s="116">
        <v>990</v>
      </c>
      <c r="E1299" s="116">
        <v>1100</v>
      </c>
      <c r="F1299" s="116">
        <v>1021.4</v>
      </c>
      <c r="G1299">
        <v>4831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44958</v>
      </c>
      <c r="B1300" s="116">
        <v>1041.9000000000001</v>
      </c>
      <c r="C1300" s="116">
        <v>1000.5</v>
      </c>
      <c r="D1300" s="116">
        <v>990</v>
      </c>
      <c r="E1300" s="116">
        <v>1021.4</v>
      </c>
      <c r="F1300" s="116">
        <v>1000.5</v>
      </c>
      <c r="G1300">
        <v>4282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44959</v>
      </c>
      <c r="B1301" s="116">
        <v>1010</v>
      </c>
      <c r="C1301" s="116">
        <v>985.6</v>
      </c>
      <c r="D1301" s="116">
        <v>984</v>
      </c>
      <c r="E1301" s="116">
        <v>1000</v>
      </c>
      <c r="F1301" s="116">
        <v>985.6</v>
      </c>
      <c r="G1301">
        <v>3496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44960</v>
      </c>
      <c r="B1302" s="116">
        <v>1064.9000000000001</v>
      </c>
      <c r="C1302" s="116">
        <v>990.05</v>
      </c>
      <c r="D1302" s="116">
        <v>975.05</v>
      </c>
      <c r="E1302" s="116">
        <v>1009.95</v>
      </c>
      <c r="F1302" s="116">
        <v>990.05</v>
      </c>
      <c r="G1302">
        <v>2506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44963</v>
      </c>
      <c r="B1303" s="116">
        <v>1009</v>
      </c>
      <c r="C1303" s="116">
        <v>989.25</v>
      </c>
      <c r="D1303" s="116">
        <v>980</v>
      </c>
      <c r="E1303" s="116">
        <v>990.05</v>
      </c>
      <c r="F1303" s="116">
        <v>989.25</v>
      </c>
      <c r="G1303">
        <v>781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44964</v>
      </c>
      <c r="B1304" s="116">
        <v>1019.8</v>
      </c>
      <c r="C1304" s="116">
        <v>992.1</v>
      </c>
      <c r="D1304" s="116">
        <v>980.65</v>
      </c>
      <c r="E1304" s="116">
        <v>980.65</v>
      </c>
      <c r="F1304" s="116">
        <v>992.1</v>
      </c>
      <c r="G1304">
        <v>1266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44965</v>
      </c>
      <c r="B1305" s="116">
        <v>1017</v>
      </c>
      <c r="C1305" s="116">
        <v>992.05</v>
      </c>
      <c r="D1305" s="116">
        <v>982</v>
      </c>
      <c r="E1305" s="116">
        <v>992.15</v>
      </c>
      <c r="F1305" s="116">
        <v>992.05</v>
      </c>
      <c r="G1305">
        <v>2267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44966</v>
      </c>
      <c r="B1306" s="116">
        <v>1009.8</v>
      </c>
      <c r="C1306" s="116">
        <v>999.2</v>
      </c>
      <c r="D1306" s="116">
        <v>985.1</v>
      </c>
      <c r="E1306" s="116">
        <v>998.85</v>
      </c>
      <c r="F1306" s="116">
        <v>999.2</v>
      </c>
      <c r="G1306">
        <v>985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44967</v>
      </c>
      <c r="B1307" s="116">
        <v>1011</v>
      </c>
      <c r="C1307" s="116">
        <v>986.5</v>
      </c>
      <c r="D1307" s="116">
        <v>985.5</v>
      </c>
      <c r="E1307" s="116">
        <v>1011</v>
      </c>
      <c r="F1307" s="116">
        <v>986.5</v>
      </c>
      <c r="G1307">
        <v>2994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44970</v>
      </c>
      <c r="B1308" s="116">
        <v>1015.05</v>
      </c>
      <c r="C1308" s="116">
        <v>989.6</v>
      </c>
      <c r="D1308" s="116">
        <v>980.05</v>
      </c>
      <c r="E1308" s="116">
        <v>980.05</v>
      </c>
      <c r="F1308" s="116">
        <v>989.6</v>
      </c>
      <c r="G1308">
        <v>5236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44971</v>
      </c>
      <c r="B1309" s="116">
        <v>1008.95</v>
      </c>
      <c r="C1309" s="116">
        <v>998.05</v>
      </c>
      <c r="D1309" s="116">
        <v>985.5</v>
      </c>
      <c r="E1309" s="116">
        <v>995</v>
      </c>
      <c r="F1309" s="116">
        <v>998.05</v>
      </c>
      <c r="G1309">
        <v>1292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44972</v>
      </c>
      <c r="B1310" s="116">
        <v>1025</v>
      </c>
      <c r="C1310" s="116">
        <v>1014.5</v>
      </c>
      <c r="D1310" s="116">
        <v>969</v>
      </c>
      <c r="E1310" s="116">
        <v>999</v>
      </c>
      <c r="F1310" s="116">
        <v>1014.5</v>
      </c>
      <c r="G1310">
        <v>2570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44973</v>
      </c>
      <c r="B1311" s="116">
        <v>1005.85</v>
      </c>
      <c r="C1311" s="116">
        <v>984.9</v>
      </c>
      <c r="D1311" s="116">
        <v>975</v>
      </c>
      <c r="E1311" s="116">
        <v>995</v>
      </c>
      <c r="F1311" s="116">
        <v>984.9</v>
      </c>
      <c r="G1311">
        <v>3760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44974</v>
      </c>
      <c r="B1312" s="116">
        <v>995</v>
      </c>
      <c r="C1312" s="116">
        <v>973.95</v>
      </c>
      <c r="D1312" s="116">
        <v>938.2</v>
      </c>
      <c r="E1312" s="116">
        <v>982</v>
      </c>
      <c r="F1312" s="116">
        <v>973.95</v>
      </c>
      <c r="G1312">
        <v>4347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44977</v>
      </c>
      <c r="B1313" s="116">
        <v>977</v>
      </c>
      <c r="C1313" s="116">
        <v>960</v>
      </c>
      <c r="D1313" s="116">
        <v>951.6</v>
      </c>
      <c r="E1313" s="116">
        <v>951.6</v>
      </c>
      <c r="F1313" s="116">
        <v>960</v>
      </c>
      <c r="G1313">
        <v>1136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44978</v>
      </c>
      <c r="B1314" s="116">
        <v>975.95</v>
      </c>
      <c r="C1314" s="116">
        <v>956.75</v>
      </c>
      <c r="D1314" s="116">
        <v>950</v>
      </c>
      <c r="E1314" s="116">
        <v>970</v>
      </c>
      <c r="F1314" s="116">
        <v>956.75</v>
      </c>
      <c r="G1314">
        <v>759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44979</v>
      </c>
      <c r="B1315" s="116">
        <v>969.3</v>
      </c>
      <c r="C1315" s="116">
        <v>939.2</v>
      </c>
      <c r="D1315" s="116">
        <v>922.5</v>
      </c>
      <c r="E1315" s="116">
        <v>960</v>
      </c>
      <c r="F1315" s="116">
        <v>939.2</v>
      </c>
      <c r="G1315">
        <v>1963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44980</v>
      </c>
      <c r="B1316" s="116">
        <v>954.8</v>
      </c>
      <c r="C1316" s="116">
        <v>901.1</v>
      </c>
      <c r="D1316" s="116">
        <v>870</v>
      </c>
      <c r="E1316" s="116">
        <v>949</v>
      </c>
      <c r="F1316" s="116">
        <v>901.1</v>
      </c>
      <c r="G1316">
        <v>10333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44981</v>
      </c>
      <c r="B1317" s="116">
        <v>910</v>
      </c>
      <c r="C1317" s="116">
        <v>887.3</v>
      </c>
      <c r="D1317" s="116">
        <v>871.65</v>
      </c>
      <c r="E1317" s="116">
        <v>910</v>
      </c>
      <c r="F1317" s="116">
        <v>887.3</v>
      </c>
      <c r="G1317">
        <v>2600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44984</v>
      </c>
      <c r="B1318" s="116">
        <v>905</v>
      </c>
      <c r="C1318" s="116">
        <v>859.9</v>
      </c>
      <c r="D1318" s="116">
        <v>850</v>
      </c>
      <c r="E1318" s="116">
        <v>875.3</v>
      </c>
      <c r="F1318" s="116">
        <v>859.9</v>
      </c>
      <c r="G1318">
        <v>4708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44985</v>
      </c>
      <c r="B1319" s="116">
        <v>880</v>
      </c>
      <c r="C1319" s="116">
        <v>843.85</v>
      </c>
      <c r="D1319" s="116">
        <v>836</v>
      </c>
      <c r="E1319" s="116">
        <v>850.5</v>
      </c>
      <c r="F1319" s="116">
        <v>843.85</v>
      </c>
      <c r="G1319">
        <v>5570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44986</v>
      </c>
      <c r="B1320" s="116">
        <v>877.2</v>
      </c>
      <c r="C1320" s="116">
        <v>868.05</v>
      </c>
      <c r="D1320" s="116">
        <v>808</v>
      </c>
      <c r="E1320" s="116">
        <v>855</v>
      </c>
      <c r="F1320" s="116">
        <v>868.05</v>
      </c>
      <c r="G1320">
        <v>6817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44987</v>
      </c>
      <c r="B1321" s="116">
        <v>955</v>
      </c>
      <c r="C1321" s="116">
        <v>949.25</v>
      </c>
      <c r="D1321" s="116">
        <v>843</v>
      </c>
      <c r="E1321" s="116">
        <v>868.45</v>
      </c>
      <c r="F1321" s="116">
        <v>949.25</v>
      </c>
      <c r="G1321">
        <v>5037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44988</v>
      </c>
      <c r="B1322" s="116">
        <v>981</v>
      </c>
      <c r="C1322" s="116">
        <v>960.35</v>
      </c>
      <c r="D1322" s="116">
        <v>940</v>
      </c>
      <c r="E1322" s="116">
        <v>980</v>
      </c>
      <c r="F1322" s="116">
        <v>960.35</v>
      </c>
      <c r="G1322">
        <v>859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44991</v>
      </c>
      <c r="B1323" s="116">
        <v>959.9</v>
      </c>
      <c r="C1323" s="116">
        <v>930.55</v>
      </c>
      <c r="D1323" s="116">
        <v>916.6</v>
      </c>
      <c r="E1323" s="116">
        <v>959.9</v>
      </c>
      <c r="F1323" s="116">
        <v>930.55</v>
      </c>
      <c r="G1323">
        <v>1943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44993</v>
      </c>
      <c r="B1324" s="116">
        <v>930</v>
      </c>
      <c r="C1324" s="116">
        <v>890.85</v>
      </c>
      <c r="D1324" s="116">
        <v>880</v>
      </c>
      <c r="E1324" s="116">
        <v>916.6</v>
      </c>
      <c r="F1324" s="116">
        <v>890.85</v>
      </c>
      <c r="G1324">
        <v>2196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44994</v>
      </c>
      <c r="B1325" s="116">
        <v>904</v>
      </c>
      <c r="C1325" s="116">
        <v>888.85</v>
      </c>
      <c r="D1325" s="116">
        <v>885</v>
      </c>
      <c r="E1325" s="116">
        <v>903.9</v>
      </c>
      <c r="F1325" s="116">
        <v>888.85</v>
      </c>
      <c r="G1325">
        <v>1068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44995</v>
      </c>
      <c r="B1326" s="116">
        <v>927.3</v>
      </c>
      <c r="C1326" s="116">
        <v>890.75</v>
      </c>
      <c r="D1326" s="116">
        <v>885</v>
      </c>
      <c r="E1326" s="116">
        <v>885</v>
      </c>
      <c r="F1326" s="116">
        <v>890.75</v>
      </c>
      <c r="G1326">
        <v>1392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44998</v>
      </c>
      <c r="B1327" s="116">
        <v>912</v>
      </c>
      <c r="C1327" s="116">
        <v>885</v>
      </c>
      <c r="D1327" s="116">
        <v>885</v>
      </c>
      <c r="E1327" s="116">
        <v>890.75</v>
      </c>
      <c r="F1327" s="116">
        <v>885</v>
      </c>
      <c r="G1327">
        <v>826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44999</v>
      </c>
      <c r="B1328" s="116">
        <v>890</v>
      </c>
      <c r="C1328" s="116">
        <v>827.5</v>
      </c>
      <c r="D1328" s="116">
        <v>811.25</v>
      </c>
      <c r="E1328" s="116">
        <v>890</v>
      </c>
      <c r="F1328" s="116">
        <v>827.5</v>
      </c>
      <c r="G1328">
        <v>2751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45000</v>
      </c>
      <c r="B1329" s="116">
        <v>850</v>
      </c>
      <c r="C1329" s="116">
        <v>826.8</v>
      </c>
      <c r="D1329" s="116">
        <v>810.05</v>
      </c>
      <c r="E1329" s="116">
        <v>844.05</v>
      </c>
      <c r="F1329" s="116">
        <v>826.8</v>
      </c>
      <c r="G1329">
        <v>2595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45001</v>
      </c>
      <c r="B1330" s="116">
        <v>826.8</v>
      </c>
      <c r="C1330" s="116">
        <v>787.05</v>
      </c>
      <c r="D1330" s="116">
        <v>781</v>
      </c>
      <c r="E1330" s="116">
        <v>820</v>
      </c>
      <c r="F1330" s="116">
        <v>787.05</v>
      </c>
      <c r="G1330">
        <v>7963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45002</v>
      </c>
      <c r="B1331" s="116">
        <v>875.95</v>
      </c>
      <c r="C1331" s="116">
        <v>853.3</v>
      </c>
      <c r="D1331" s="116">
        <v>783.05</v>
      </c>
      <c r="E1331" s="116">
        <v>789</v>
      </c>
      <c r="F1331" s="116">
        <v>853.3</v>
      </c>
      <c r="G1331">
        <v>5140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45005</v>
      </c>
      <c r="B1332" s="116">
        <v>898.3</v>
      </c>
      <c r="C1332" s="116">
        <v>851.25</v>
      </c>
      <c r="D1332" s="116">
        <v>830</v>
      </c>
      <c r="E1332" s="116">
        <v>898.3</v>
      </c>
      <c r="F1332" s="116">
        <v>851.25</v>
      </c>
      <c r="G1332">
        <v>2693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45006</v>
      </c>
      <c r="B1333" s="116">
        <v>870</v>
      </c>
      <c r="C1333" s="116">
        <v>856.1</v>
      </c>
      <c r="D1333" s="116">
        <v>851</v>
      </c>
      <c r="E1333" s="116">
        <v>869.85</v>
      </c>
      <c r="F1333" s="116">
        <v>856.1</v>
      </c>
      <c r="G1333">
        <v>1912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45007</v>
      </c>
      <c r="B1334" s="116">
        <v>871.4</v>
      </c>
      <c r="C1334" s="116">
        <v>845.15</v>
      </c>
      <c r="D1334" s="116">
        <v>835.1</v>
      </c>
      <c r="E1334" s="116">
        <v>865</v>
      </c>
      <c r="F1334" s="116">
        <v>845.15</v>
      </c>
      <c r="G1334">
        <v>2001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45008</v>
      </c>
      <c r="B1335" s="116">
        <v>875</v>
      </c>
      <c r="C1335" s="116">
        <v>826.6</v>
      </c>
      <c r="D1335" s="116">
        <v>823</v>
      </c>
      <c r="E1335" s="116">
        <v>860</v>
      </c>
      <c r="F1335" s="116">
        <v>826.6</v>
      </c>
      <c r="G1335">
        <v>3264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45009</v>
      </c>
      <c r="B1336" s="116">
        <v>845</v>
      </c>
      <c r="C1336" s="116">
        <v>844.1</v>
      </c>
      <c r="D1336" s="116">
        <v>820</v>
      </c>
      <c r="E1336" s="116">
        <v>826</v>
      </c>
      <c r="F1336" s="116">
        <v>844.1</v>
      </c>
      <c r="G1336">
        <v>2512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45012</v>
      </c>
      <c r="B1337" s="116">
        <v>880</v>
      </c>
      <c r="C1337" s="116">
        <v>817.4</v>
      </c>
      <c r="D1337" s="116">
        <v>800</v>
      </c>
      <c r="E1337" s="116">
        <v>826.6</v>
      </c>
      <c r="F1337" s="116">
        <v>817.4</v>
      </c>
      <c r="G1337">
        <v>6639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45013</v>
      </c>
      <c r="B1338" s="116">
        <v>850</v>
      </c>
      <c r="C1338" s="116">
        <v>798.9</v>
      </c>
      <c r="D1338" s="116">
        <v>790</v>
      </c>
      <c r="E1338" s="116">
        <v>823.4</v>
      </c>
      <c r="F1338" s="116">
        <v>798.9</v>
      </c>
      <c r="G1338">
        <v>5808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45014</v>
      </c>
      <c r="B1339" s="116">
        <v>835</v>
      </c>
      <c r="C1339" s="116">
        <v>766.95</v>
      </c>
      <c r="D1339" s="116">
        <v>740</v>
      </c>
      <c r="E1339" s="116">
        <v>818.4</v>
      </c>
      <c r="F1339" s="116">
        <v>766.95</v>
      </c>
      <c r="G1339">
        <v>8704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45016</v>
      </c>
      <c r="B1340" s="116">
        <v>800</v>
      </c>
      <c r="C1340" s="116">
        <v>777.25</v>
      </c>
      <c r="D1340" s="116">
        <v>750</v>
      </c>
      <c r="E1340" s="116">
        <v>771</v>
      </c>
      <c r="F1340" s="116">
        <v>777.25</v>
      </c>
      <c r="G1340">
        <v>6540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45019</v>
      </c>
      <c r="B1341" s="116">
        <v>819</v>
      </c>
      <c r="C1341" s="116">
        <v>783</v>
      </c>
      <c r="D1341" s="116">
        <v>750</v>
      </c>
      <c r="E1341" s="116">
        <v>795</v>
      </c>
      <c r="F1341" s="116">
        <v>783</v>
      </c>
      <c r="G1341">
        <v>5973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45021</v>
      </c>
      <c r="B1342" s="116">
        <v>847</v>
      </c>
      <c r="C1342" s="116">
        <v>837.35</v>
      </c>
      <c r="D1342" s="116">
        <v>770</v>
      </c>
      <c r="E1342" s="116">
        <v>799.4</v>
      </c>
      <c r="F1342" s="116">
        <v>837.35</v>
      </c>
      <c r="G1342">
        <v>3857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45022</v>
      </c>
      <c r="B1343" s="116">
        <v>876.95</v>
      </c>
      <c r="C1343" s="116">
        <v>871.95</v>
      </c>
      <c r="D1343" s="116">
        <v>814.2</v>
      </c>
      <c r="E1343" s="116">
        <v>847.85</v>
      </c>
      <c r="F1343" s="116">
        <v>871.95</v>
      </c>
      <c r="G1343">
        <v>3750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45026</v>
      </c>
      <c r="B1344" s="116">
        <v>948</v>
      </c>
      <c r="C1344" s="116">
        <v>936.65</v>
      </c>
      <c r="D1344" s="116">
        <v>860</v>
      </c>
      <c r="E1344" s="116">
        <v>897.6</v>
      </c>
      <c r="F1344" s="116">
        <v>936.65</v>
      </c>
      <c r="G1344">
        <v>4863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45027</v>
      </c>
      <c r="B1345" s="116">
        <v>985</v>
      </c>
      <c r="C1345" s="116">
        <v>970.3</v>
      </c>
      <c r="D1345" s="116">
        <v>946</v>
      </c>
      <c r="E1345" s="116">
        <v>946</v>
      </c>
      <c r="F1345" s="116">
        <v>970.3</v>
      </c>
      <c r="G1345">
        <v>2973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45028</v>
      </c>
      <c r="B1346" s="116">
        <v>984.65</v>
      </c>
      <c r="C1346" s="116">
        <v>933.1</v>
      </c>
      <c r="D1346" s="116">
        <v>930</v>
      </c>
      <c r="E1346" s="116">
        <v>984.65</v>
      </c>
      <c r="F1346" s="116">
        <v>933.1</v>
      </c>
      <c r="G1346">
        <v>2071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45029</v>
      </c>
      <c r="B1347" s="116">
        <v>947.1</v>
      </c>
      <c r="C1347" s="116">
        <v>909</v>
      </c>
      <c r="D1347" s="116">
        <v>900</v>
      </c>
      <c r="E1347" s="116">
        <v>940</v>
      </c>
      <c r="F1347" s="116">
        <v>909</v>
      </c>
      <c r="G1347">
        <v>1482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45033</v>
      </c>
      <c r="B1348" s="116">
        <v>901.9</v>
      </c>
      <c r="C1348" s="116">
        <v>885.7</v>
      </c>
      <c r="D1348" s="116">
        <v>875.05</v>
      </c>
      <c r="E1348" s="116">
        <v>901.9</v>
      </c>
      <c r="F1348" s="116">
        <v>885.7</v>
      </c>
      <c r="G1348">
        <v>3138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45034</v>
      </c>
      <c r="B1349" s="116">
        <v>914</v>
      </c>
      <c r="C1349" s="116">
        <v>868.85</v>
      </c>
      <c r="D1349" s="116">
        <v>852</v>
      </c>
      <c r="E1349" s="116">
        <v>898</v>
      </c>
      <c r="F1349" s="116">
        <v>868.85</v>
      </c>
      <c r="G1349">
        <v>3213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45035</v>
      </c>
      <c r="B1350" s="116">
        <v>905</v>
      </c>
      <c r="C1350" s="116">
        <v>890.9</v>
      </c>
      <c r="D1350" s="116">
        <v>870.05</v>
      </c>
      <c r="E1350" s="116">
        <v>888</v>
      </c>
      <c r="F1350" s="116">
        <v>890.9</v>
      </c>
      <c r="G1350">
        <v>1972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45036</v>
      </c>
      <c r="B1351" s="116">
        <v>920</v>
      </c>
      <c r="C1351" s="116">
        <v>890.15</v>
      </c>
      <c r="D1351" s="116">
        <v>880</v>
      </c>
      <c r="E1351" s="116">
        <v>890.9</v>
      </c>
      <c r="F1351" s="116">
        <v>890.15</v>
      </c>
      <c r="G1351">
        <v>1428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45037</v>
      </c>
      <c r="B1352" s="116">
        <v>912</v>
      </c>
      <c r="C1352" s="116">
        <v>873.7</v>
      </c>
      <c r="D1352" s="116">
        <v>862</v>
      </c>
      <c r="E1352" s="116">
        <v>910</v>
      </c>
      <c r="F1352" s="116">
        <v>873.7</v>
      </c>
      <c r="G1352">
        <v>1252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45040</v>
      </c>
      <c r="B1353" s="116">
        <v>889.95</v>
      </c>
      <c r="C1353" s="116">
        <v>871.1</v>
      </c>
      <c r="D1353" s="116">
        <v>811</v>
      </c>
      <c r="E1353" s="116">
        <v>850</v>
      </c>
      <c r="F1353" s="116">
        <v>871.1</v>
      </c>
      <c r="G1353">
        <v>1723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45041</v>
      </c>
      <c r="B1354" s="116">
        <v>888.4</v>
      </c>
      <c r="C1354" s="116">
        <v>835.05</v>
      </c>
      <c r="D1354" s="116">
        <v>825</v>
      </c>
      <c r="E1354" s="116">
        <v>870</v>
      </c>
      <c r="F1354" s="116">
        <v>835.05</v>
      </c>
      <c r="G1354">
        <v>1862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45042</v>
      </c>
      <c r="B1355" s="116">
        <v>910</v>
      </c>
      <c r="C1355" s="116">
        <v>885.2</v>
      </c>
      <c r="D1355" s="116">
        <v>825.6</v>
      </c>
      <c r="E1355" s="116">
        <v>844.7</v>
      </c>
      <c r="F1355" s="116">
        <v>885.2</v>
      </c>
      <c r="G1355">
        <v>2338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45043</v>
      </c>
      <c r="B1356" s="116">
        <v>940</v>
      </c>
      <c r="C1356" s="116">
        <v>891.15</v>
      </c>
      <c r="D1356" s="116">
        <v>866.1</v>
      </c>
      <c r="E1356" s="116">
        <v>888.1</v>
      </c>
      <c r="F1356" s="116">
        <v>891.15</v>
      </c>
      <c r="G1356">
        <v>6158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45044</v>
      </c>
      <c r="B1357" s="116">
        <v>930</v>
      </c>
      <c r="C1357" s="116">
        <v>908.65</v>
      </c>
      <c r="D1357" s="116">
        <v>870.5</v>
      </c>
      <c r="E1357" s="116">
        <v>901.95</v>
      </c>
      <c r="F1357" s="116">
        <v>908.65</v>
      </c>
      <c r="G1357">
        <v>1958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45048</v>
      </c>
      <c r="B1358" s="116">
        <v>961</v>
      </c>
      <c r="C1358" s="116">
        <v>954.7</v>
      </c>
      <c r="D1358" s="116">
        <v>905</v>
      </c>
      <c r="E1358" s="116">
        <v>924.95</v>
      </c>
      <c r="F1358" s="116">
        <v>954.7</v>
      </c>
      <c r="G1358">
        <v>5179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45049</v>
      </c>
      <c r="B1359" s="116">
        <v>1010</v>
      </c>
      <c r="C1359" s="116">
        <v>1001.25</v>
      </c>
      <c r="D1359" s="116">
        <v>925.5</v>
      </c>
      <c r="E1359" s="116">
        <v>973.8</v>
      </c>
      <c r="F1359" s="116">
        <v>1001.25</v>
      </c>
      <c r="G1359">
        <v>6500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45050</v>
      </c>
      <c r="B1360" s="116">
        <v>1030</v>
      </c>
      <c r="C1360" s="116">
        <v>986</v>
      </c>
      <c r="D1360" s="116">
        <v>962.6</v>
      </c>
      <c r="E1360" s="116">
        <v>980</v>
      </c>
      <c r="F1360" s="116">
        <v>986</v>
      </c>
      <c r="G1360">
        <v>2934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45051</v>
      </c>
      <c r="B1361" s="116">
        <v>1029.9000000000001</v>
      </c>
      <c r="C1361" s="116">
        <v>1000.25</v>
      </c>
      <c r="D1361" s="116">
        <v>986.2</v>
      </c>
      <c r="E1361" s="116">
        <v>994</v>
      </c>
      <c r="F1361" s="116">
        <v>1000.25</v>
      </c>
      <c r="G1361">
        <v>819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45054</v>
      </c>
      <c r="B1362" s="116">
        <v>1043.95</v>
      </c>
      <c r="C1362" s="116">
        <v>978</v>
      </c>
      <c r="D1362" s="116">
        <v>957</v>
      </c>
      <c r="E1362" s="116">
        <v>1043.95</v>
      </c>
      <c r="F1362" s="116">
        <v>978</v>
      </c>
      <c r="G1362">
        <v>1917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45055</v>
      </c>
      <c r="B1363" s="116">
        <v>1015</v>
      </c>
      <c r="C1363" s="116">
        <v>983.75</v>
      </c>
      <c r="D1363" s="116">
        <v>950.95</v>
      </c>
      <c r="E1363" s="116">
        <v>989.95</v>
      </c>
      <c r="F1363" s="116">
        <v>983.75</v>
      </c>
      <c r="G1363">
        <v>3227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45056</v>
      </c>
      <c r="B1364" s="116">
        <v>999</v>
      </c>
      <c r="C1364" s="116">
        <v>954.05</v>
      </c>
      <c r="D1364" s="116">
        <v>946</v>
      </c>
      <c r="E1364" s="116">
        <v>990</v>
      </c>
      <c r="F1364" s="116">
        <v>954.05</v>
      </c>
      <c r="G1364">
        <v>1292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45057</v>
      </c>
      <c r="B1365" s="116">
        <v>962</v>
      </c>
      <c r="C1365" s="116">
        <v>945.45</v>
      </c>
      <c r="D1365" s="116">
        <v>911.2</v>
      </c>
      <c r="E1365" s="116">
        <v>960.95</v>
      </c>
      <c r="F1365" s="116">
        <v>945.45</v>
      </c>
      <c r="G1365">
        <v>986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45058</v>
      </c>
      <c r="B1366" s="116">
        <v>964.9</v>
      </c>
      <c r="C1366" s="116">
        <v>933.6</v>
      </c>
      <c r="D1366" s="116">
        <v>900</v>
      </c>
      <c r="E1366" s="116">
        <v>945.5</v>
      </c>
      <c r="F1366" s="116">
        <v>933.6</v>
      </c>
      <c r="G1366">
        <v>1660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45061</v>
      </c>
      <c r="B1367" s="116">
        <v>975.4</v>
      </c>
      <c r="C1367" s="116">
        <v>936.8</v>
      </c>
      <c r="D1367" s="116">
        <v>914.8</v>
      </c>
      <c r="E1367" s="116">
        <v>933.65</v>
      </c>
      <c r="F1367" s="116">
        <v>936.8</v>
      </c>
      <c r="G1367">
        <v>1725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45062</v>
      </c>
      <c r="B1368" s="116">
        <v>954.95</v>
      </c>
      <c r="C1368" s="116">
        <v>894.45</v>
      </c>
      <c r="D1368" s="116">
        <v>877.05</v>
      </c>
      <c r="E1368" s="116">
        <v>936.8</v>
      </c>
      <c r="F1368" s="116">
        <v>894.45</v>
      </c>
      <c r="G1368">
        <v>9194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45063</v>
      </c>
      <c r="B1369" s="116">
        <v>936</v>
      </c>
      <c r="C1369" s="116">
        <v>911.7</v>
      </c>
      <c r="D1369" s="116">
        <v>876.6</v>
      </c>
      <c r="E1369" s="116">
        <v>885</v>
      </c>
      <c r="F1369" s="116">
        <v>911.7</v>
      </c>
      <c r="G1369">
        <v>1491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45064</v>
      </c>
      <c r="B1370" s="116">
        <v>943.5</v>
      </c>
      <c r="C1370" s="116">
        <v>902.75</v>
      </c>
      <c r="D1370" s="116">
        <v>895.5</v>
      </c>
      <c r="E1370" s="116">
        <v>920.05</v>
      </c>
      <c r="F1370" s="116">
        <v>902.75</v>
      </c>
      <c r="G1370">
        <v>4169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45065</v>
      </c>
      <c r="B1371" s="116">
        <v>928.95</v>
      </c>
      <c r="C1371" s="116">
        <v>900.75</v>
      </c>
      <c r="D1371" s="116">
        <v>880.05</v>
      </c>
      <c r="E1371" s="116">
        <v>902.75</v>
      </c>
      <c r="F1371" s="116">
        <v>900.75</v>
      </c>
      <c r="G1371">
        <v>1340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45068</v>
      </c>
      <c r="B1372" s="116">
        <v>932.9</v>
      </c>
      <c r="C1372" s="116">
        <v>893.45</v>
      </c>
      <c r="D1372" s="116">
        <v>881.05</v>
      </c>
      <c r="E1372" s="116">
        <v>912.9</v>
      </c>
      <c r="F1372" s="116">
        <v>893.45</v>
      </c>
      <c r="G1372">
        <v>1977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45069</v>
      </c>
      <c r="B1373" s="116">
        <v>927.95</v>
      </c>
      <c r="C1373" s="116">
        <v>886.5</v>
      </c>
      <c r="D1373" s="116">
        <v>835</v>
      </c>
      <c r="E1373" s="116">
        <v>870</v>
      </c>
      <c r="F1373" s="116">
        <v>886.5</v>
      </c>
      <c r="G1373">
        <v>4306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45070</v>
      </c>
      <c r="B1374" s="116">
        <v>936</v>
      </c>
      <c r="C1374" s="116">
        <v>918.65</v>
      </c>
      <c r="D1374" s="116">
        <v>870</v>
      </c>
      <c r="E1374" s="116">
        <v>904.95</v>
      </c>
      <c r="F1374" s="116">
        <v>918.65</v>
      </c>
      <c r="G1374">
        <v>1559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45071</v>
      </c>
      <c r="B1375" s="116">
        <v>919</v>
      </c>
      <c r="C1375" s="116">
        <v>869.3</v>
      </c>
      <c r="D1375" s="116">
        <v>849.65</v>
      </c>
      <c r="E1375" s="116">
        <v>901</v>
      </c>
      <c r="F1375" s="116">
        <v>869.3</v>
      </c>
      <c r="G1375">
        <v>9426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45072</v>
      </c>
      <c r="B1376" s="116">
        <v>938</v>
      </c>
      <c r="C1376" s="116">
        <v>869.5</v>
      </c>
      <c r="D1376" s="116">
        <v>831.8</v>
      </c>
      <c r="E1376" s="116">
        <v>880</v>
      </c>
      <c r="F1376" s="116">
        <v>869.5</v>
      </c>
      <c r="G1376">
        <v>16846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45075</v>
      </c>
      <c r="B1377" s="116">
        <v>899</v>
      </c>
      <c r="C1377" s="116">
        <v>875.8</v>
      </c>
      <c r="D1377" s="116">
        <v>860.25</v>
      </c>
      <c r="E1377" s="116">
        <v>874.1</v>
      </c>
      <c r="F1377" s="116">
        <v>875.8</v>
      </c>
      <c r="G1377">
        <v>2816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45076</v>
      </c>
      <c r="B1378" s="116">
        <v>903.9</v>
      </c>
      <c r="C1378" s="116">
        <v>863.1</v>
      </c>
      <c r="D1378" s="116">
        <v>850.05</v>
      </c>
      <c r="E1378" s="116">
        <v>867</v>
      </c>
      <c r="F1378" s="116">
        <v>863.1</v>
      </c>
      <c r="G1378">
        <v>2643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45077</v>
      </c>
      <c r="B1379" s="116">
        <v>870</v>
      </c>
      <c r="C1379" s="116">
        <v>839.25</v>
      </c>
      <c r="D1379" s="116">
        <v>820</v>
      </c>
      <c r="E1379" s="116">
        <v>860</v>
      </c>
      <c r="F1379" s="116">
        <v>839.25</v>
      </c>
      <c r="G1379">
        <v>6760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45078</v>
      </c>
      <c r="B1380" s="116">
        <v>886.75</v>
      </c>
      <c r="C1380" s="116">
        <v>849.15</v>
      </c>
      <c r="D1380" s="116">
        <v>841.2</v>
      </c>
      <c r="E1380" s="116">
        <v>874</v>
      </c>
      <c r="F1380" s="116">
        <v>849.15</v>
      </c>
      <c r="G1380">
        <v>3234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45079</v>
      </c>
      <c r="B1381" s="116">
        <v>868</v>
      </c>
      <c r="C1381" s="116">
        <v>850.1</v>
      </c>
      <c r="D1381" s="116">
        <v>841</v>
      </c>
      <c r="E1381" s="116">
        <v>849.9</v>
      </c>
      <c r="F1381" s="116">
        <v>850.1</v>
      </c>
      <c r="G1381">
        <v>3986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45082</v>
      </c>
      <c r="B1382" s="116">
        <v>860</v>
      </c>
      <c r="C1382" s="116">
        <v>839.35</v>
      </c>
      <c r="D1382" s="116">
        <v>832</v>
      </c>
      <c r="E1382" s="116">
        <v>855</v>
      </c>
      <c r="F1382" s="116">
        <v>839.35</v>
      </c>
      <c r="G1382">
        <v>4007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45083</v>
      </c>
      <c r="B1383" s="116">
        <v>850</v>
      </c>
      <c r="C1383" s="116">
        <v>837.95</v>
      </c>
      <c r="D1383" s="116">
        <v>820</v>
      </c>
      <c r="E1383" s="116">
        <v>830.55</v>
      </c>
      <c r="F1383" s="116">
        <v>837.95</v>
      </c>
      <c r="G1383">
        <v>2772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45084</v>
      </c>
      <c r="B1384" s="116">
        <v>849</v>
      </c>
      <c r="C1384" s="116">
        <v>841.6</v>
      </c>
      <c r="D1384" s="116">
        <v>821</v>
      </c>
      <c r="E1384" s="116">
        <v>827.05</v>
      </c>
      <c r="F1384" s="116">
        <v>841.6</v>
      </c>
      <c r="G1384">
        <v>4176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45085</v>
      </c>
      <c r="B1385" s="116">
        <v>854</v>
      </c>
      <c r="C1385" s="116">
        <v>834.2</v>
      </c>
      <c r="D1385" s="116">
        <v>825</v>
      </c>
      <c r="E1385" s="116">
        <v>825</v>
      </c>
      <c r="F1385" s="116">
        <v>834.2</v>
      </c>
      <c r="G1385">
        <v>4048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45086</v>
      </c>
      <c r="B1386" s="116">
        <v>849.95</v>
      </c>
      <c r="C1386" s="116">
        <v>838.4</v>
      </c>
      <c r="D1386" s="116">
        <v>830.05</v>
      </c>
      <c r="E1386" s="116">
        <v>830.05</v>
      </c>
      <c r="F1386" s="116">
        <v>838.4</v>
      </c>
      <c r="G1386">
        <v>1331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45089</v>
      </c>
      <c r="B1387" s="116">
        <v>854</v>
      </c>
      <c r="C1387" s="116">
        <v>847.75</v>
      </c>
      <c r="D1387" s="116">
        <v>825</v>
      </c>
      <c r="E1387" s="116">
        <v>844.85</v>
      </c>
      <c r="F1387" s="116">
        <v>847.75</v>
      </c>
      <c r="G1387">
        <v>1669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45090</v>
      </c>
      <c r="B1388" s="116">
        <v>860</v>
      </c>
      <c r="C1388" s="116">
        <v>851.05</v>
      </c>
      <c r="D1388" s="116">
        <v>840.7</v>
      </c>
      <c r="E1388" s="116">
        <v>850</v>
      </c>
      <c r="F1388" s="116">
        <v>851.05</v>
      </c>
      <c r="G1388">
        <v>2304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45091</v>
      </c>
      <c r="B1389" s="116">
        <v>887.95</v>
      </c>
      <c r="C1389" s="116">
        <v>865.6</v>
      </c>
      <c r="D1389" s="116">
        <v>846</v>
      </c>
      <c r="E1389" s="116">
        <v>846</v>
      </c>
      <c r="F1389" s="116">
        <v>865.6</v>
      </c>
      <c r="G1389">
        <v>1252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45092</v>
      </c>
      <c r="B1390" s="116">
        <v>904.3</v>
      </c>
      <c r="C1390" s="116">
        <v>869.55</v>
      </c>
      <c r="D1390" s="116">
        <v>865.1</v>
      </c>
      <c r="E1390" s="116">
        <v>885</v>
      </c>
      <c r="F1390" s="116">
        <v>869.55</v>
      </c>
      <c r="G1390">
        <v>6022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45093</v>
      </c>
      <c r="B1391" s="116">
        <v>898.85</v>
      </c>
      <c r="C1391" s="116">
        <v>893.7</v>
      </c>
      <c r="D1391" s="116">
        <v>874.6</v>
      </c>
      <c r="E1391" s="116">
        <v>880.1</v>
      </c>
      <c r="F1391" s="116">
        <v>893.7</v>
      </c>
      <c r="G1391">
        <v>3725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45096</v>
      </c>
      <c r="B1392" s="116">
        <v>911.95</v>
      </c>
      <c r="C1392" s="116">
        <v>869.15</v>
      </c>
      <c r="D1392" s="116">
        <v>861.8</v>
      </c>
      <c r="E1392" s="116">
        <v>901.25</v>
      </c>
      <c r="F1392" s="116">
        <v>869.15</v>
      </c>
      <c r="G1392">
        <v>2097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45097</v>
      </c>
      <c r="B1393" s="116">
        <v>897</v>
      </c>
      <c r="C1393" s="116">
        <v>853.95</v>
      </c>
      <c r="D1393" s="116">
        <v>838.05</v>
      </c>
      <c r="E1393" s="116">
        <v>865.15</v>
      </c>
      <c r="F1393" s="116">
        <v>853.95</v>
      </c>
      <c r="G1393">
        <v>2939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45098</v>
      </c>
      <c r="B1394" s="116">
        <v>861</v>
      </c>
      <c r="C1394" s="116">
        <v>837.75</v>
      </c>
      <c r="D1394" s="116">
        <v>835</v>
      </c>
      <c r="E1394" s="116">
        <v>850</v>
      </c>
      <c r="F1394" s="116">
        <v>837.75</v>
      </c>
      <c r="G1394">
        <v>1582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45099</v>
      </c>
      <c r="B1395" s="116">
        <v>859.4</v>
      </c>
      <c r="C1395" s="116">
        <v>823.3</v>
      </c>
      <c r="D1395" s="116">
        <v>816</v>
      </c>
      <c r="E1395" s="116">
        <v>859</v>
      </c>
      <c r="F1395" s="116">
        <v>823.3</v>
      </c>
      <c r="G1395">
        <v>4414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45100</v>
      </c>
      <c r="B1396" s="116">
        <v>849.95</v>
      </c>
      <c r="C1396" s="116">
        <v>837.95</v>
      </c>
      <c r="D1396" s="116">
        <v>820</v>
      </c>
      <c r="E1396" s="116">
        <v>823</v>
      </c>
      <c r="F1396" s="116">
        <v>837.95</v>
      </c>
      <c r="G1396">
        <v>2135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45103</v>
      </c>
      <c r="B1397" s="116">
        <v>849.8</v>
      </c>
      <c r="C1397" s="116">
        <v>827</v>
      </c>
      <c r="D1397" s="116">
        <v>800.1</v>
      </c>
      <c r="E1397" s="116">
        <v>800.1</v>
      </c>
      <c r="F1397" s="116">
        <v>827</v>
      </c>
      <c r="G1397">
        <v>10152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45104</v>
      </c>
      <c r="B1398" s="116">
        <v>849.9</v>
      </c>
      <c r="C1398" s="116">
        <v>823.6</v>
      </c>
      <c r="D1398" s="116">
        <v>820.05</v>
      </c>
      <c r="E1398" s="116">
        <v>849.9</v>
      </c>
      <c r="F1398" s="116">
        <v>823.6</v>
      </c>
      <c r="G1398">
        <v>3597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45105</v>
      </c>
      <c r="B1399" s="116">
        <v>881.95</v>
      </c>
      <c r="C1399" s="116">
        <v>851.65</v>
      </c>
      <c r="D1399" s="116">
        <v>806.8</v>
      </c>
      <c r="E1399" s="116">
        <v>823.6</v>
      </c>
      <c r="F1399" s="116">
        <v>851.65</v>
      </c>
      <c r="G1399">
        <v>3547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45107</v>
      </c>
      <c r="B1400" s="116">
        <v>884.95</v>
      </c>
      <c r="C1400" s="116">
        <v>829.85</v>
      </c>
      <c r="D1400" s="116">
        <v>825</v>
      </c>
      <c r="E1400" s="116">
        <v>884.95</v>
      </c>
      <c r="F1400" s="116">
        <v>829.85</v>
      </c>
      <c r="G1400">
        <v>3916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45110</v>
      </c>
      <c r="B1401" s="116">
        <v>859.7</v>
      </c>
      <c r="C1401" s="116">
        <v>829.7</v>
      </c>
      <c r="D1401" s="116">
        <v>825</v>
      </c>
      <c r="E1401" s="116">
        <v>848</v>
      </c>
      <c r="F1401" s="116">
        <v>829.7</v>
      </c>
      <c r="G1401">
        <v>6295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45111</v>
      </c>
      <c r="B1402" s="116">
        <v>875</v>
      </c>
      <c r="C1402" s="116">
        <v>838.15</v>
      </c>
      <c r="D1402" s="116">
        <v>822.85</v>
      </c>
      <c r="E1402" s="116">
        <v>853.8</v>
      </c>
      <c r="F1402" s="116">
        <v>838.15</v>
      </c>
      <c r="G1402">
        <v>6225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45112</v>
      </c>
      <c r="B1403" s="116">
        <v>868.8</v>
      </c>
      <c r="C1403" s="116">
        <v>830.05</v>
      </c>
      <c r="D1403" s="116">
        <v>823</v>
      </c>
      <c r="E1403" s="116">
        <v>838</v>
      </c>
      <c r="F1403" s="116">
        <v>830.05</v>
      </c>
      <c r="G1403">
        <v>9254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45113</v>
      </c>
      <c r="B1404" s="116">
        <v>842.95</v>
      </c>
      <c r="C1404" s="116">
        <v>816.15</v>
      </c>
      <c r="D1404" s="116">
        <v>810</v>
      </c>
      <c r="E1404" s="116">
        <v>830.5</v>
      </c>
      <c r="F1404" s="116">
        <v>816.15</v>
      </c>
      <c r="G1404">
        <v>11652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45114</v>
      </c>
      <c r="B1405" s="116">
        <v>842</v>
      </c>
      <c r="C1405" s="116">
        <v>830.5</v>
      </c>
      <c r="D1405" s="116">
        <v>820</v>
      </c>
      <c r="E1405" s="116">
        <v>834.3</v>
      </c>
      <c r="F1405" s="116">
        <v>830.5</v>
      </c>
      <c r="G1405">
        <v>3690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45117</v>
      </c>
      <c r="B1406" s="116">
        <v>837.9</v>
      </c>
      <c r="C1406" s="116">
        <v>812.05</v>
      </c>
      <c r="D1406" s="116">
        <v>801.35</v>
      </c>
      <c r="E1406" s="116">
        <v>837.9</v>
      </c>
      <c r="F1406" s="116">
        <v>812.05</v>
      </c>
      <c r="G1406">
        <v>4827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45118</v>
      </c>
      <c r="B1407" s="116">
        <v>834</v>
      </c>
      <c r="C1407" s="116">
        <v>805.55</v>
      </c>
      <c r="D1407" s="116">
        <v>802.15</v>
      </c>
      <c r="E1407" s="116">
        <v>814</v>
      </c>
      <c r="F1407" s="116">
        <v>805.55</v>
      </c>
      <c r="G1407">
        <v>4584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45119</v>
      </c>
      <c r="B1408" s="116">
        <v>831</v>
      </c>
      <c r="C1408" s="116">
        <v>799.2</v>
      </c>
      <c r="D1408" s="116">
        <v>787</v>
      </c>
      <c r="E1408" s="116">
        <v>831</v>
      </c>
      <c r="F1408" s="116">
        <v>799.2</v>
      </c>
      <c r="G1408">
        <v>7423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45120</v>
      </c>
      <c r="B1409" s="116">
        <v>823.9</v>
      </c>
      <c r="C1409" s="116">
        <v>812.1</v>
      </c>
      <c r="D1409" s="116">
        <v>807</v>
      </c>
      <c r="E1409" s="116">
        <v>823.8</v>
      </c>
      <c r="F1409" s="116">
        <v>812.1</v>
      </c>
      <c r="G1409">
        <v>2446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45121</v>
      </c>
      <c r="B1410" s="116">
        <v>824.9</v>
      </c>
      <c r="C1410" s="116">
        <v>792.5</v>
      </c>
      <c r="D1410" s="116">
        <v>785.15</v>
      </c>
      <c r="E1410" s="116">
        <v>823</v>
      </c>
      <c r="F1410" s="116">
        <v>792.5</v>
      </c>
      <c r="G1410">
        <v>8161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45124</v>
      </c>
      <c r="B1411" s="116">
        <v>819.8</v>
      </c>
      <c r="C1411" s="116">
        <v>798.65</v>
      </c>
      <c r="D1411" s="116">
        <v>780</v>
      </c>
      <c r="E1411" s="116">
        <v>819.8</v>
      </c>
      <c r="F1411" s="116">
        <v>798.65</v>
      </c>
      <c r="G1411">
        <v>8382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45125</v>
      </c>
      <c r="B1412" s="116">
        <v>818</v>
      </c>
      <c r="C1412" s="116">
        <v>799</v>
      </c>
      <c r="D1412" s="116">
        <v>792.2</v>
      </c>
      <c r="E1412" s="116">
        <v>818</v>
      </c>
      <c r="F1412" s="116">
        <v>799</v>
      </c>
      <c r="G1412">
        <v>3135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45126</v>
      </c>
      <c r="B1413" s="116">
        <v>817.85</v>
      </c>
      <c r="C1413" s="116">
        <v>802.55</v>
      </c>
      <c r="D1413" s="116">
        <v>788</v>
      </c>
      <c r="E1413" s="116">
        <v>800</v>
      </c>
      <c r="F1413" s="116">
        <v>802.55</v>
      </c>
      <c r="G1413">
        <v>8278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45127</v>
      </c>
      <c r="B1414" s="116">
        <v>815</v>
      </c>
      <c r="C1414" s="116">
        <v>799.55</v>
      </c>
      <c r="D1414" s="116">
        <v>790</v>
      </c>
      <c r="E1414" s="116">
        <v>815</v>
      </c>
      <c r="F1414" s="116">
        <v>799.55</v>
      </c>
      <c r="G1414">
        <v>5071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45128</v>
      </c>
      <c r="B1415" s="116">
        <v>820</v>
      </c>
      <c r="C1415" s="116">
        <v>780.3</v>
      </c>
      <c r="D1415" s="116">
        <v>771</v>
      </c>
      <c r="E1415" s="116">
        <v>800</v>
      </c>
      <c r="F1415" s="116">
        <v>780.3</v>
      </c>
      <c r="G1415">
        <v>12382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45131</v>
      </c>
      <c r="B1416" s="116">
        <v>864.9</v>
      </c>
      <c r="C1416" s="116">
        <v>848.6</v>
      </c>
      <c r="D1416" s="116">
        <v>781</v>
      </c>
      <c r="E1416" s="116">
        <v>790</v>
      </c>
      <c r="F1416" s="116">
        <v>848.6</v>
      </c>
      <c r="G1416">
        <v>12692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45132</v>
      </c>
      <c r="B1417" s="116">
        <v>870</v>
      </c>
      <c r="C1417" s="116">
        <v>836.7</v>
      </c>
      <c r="D1417" s="116">
        <v>830.1</v>
      </c>
      <c r="E1417" s="116">
        <v>860</v>
      </c>
      <c r="F1417" s="116">
        <v>836.7</v>
      </c>
      <c r="G1417">
        <v>3483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45133</v>
      </c>
      <c r="B1418" s="116">
        <v>1004</v>
      </c>
      <c r="C1418" s="116">
        <v>998.85</v>
      </c>
      <c r="D1418" s="116">
        <v>832</v>
      </c>
      <c r="E1418" s="116">
        <v>832</v>
      </c>
      <c r="F1418" s="116">
        <v>998.85</v>
      </c>
      <c r="G1418">
        <v>84541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45134</v>
      </c>
      <c r="B1419" s="116">
        <v>1074.7</v>
      </c>
      <c r="C1419" s="116">
        <v>1012.5</v>
      </c>
      <c r="D1419" s="116">
        <v>1000</v>
      </c>
      <c r="E1419" s="116">
        <v>1041.95</v>
      </c>
      <c r="F1419" s="116">
        <v>1012.5</v>
      </c>
      <c r="G1419">
        <v>23653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45135</v>
      </c>
      <c r="B1420" s="116">
        <v>1184.5</v>
      </c>
      <c r="C1420" s="116">
        <v>1100.2</v>
      </c>
      <c r="D1420" s="116">
        <v>1000.5</v>
      </c>
      <c r="E1420" s="116">
        <v>1015</v>
      </c>
      <c r="F1420" s="116">
        <v>1100.2</v>
      </c>
      <c r="G1420">
        <v>32619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45138</v>
      </c>
      <c r="B1421" s="116">
        <v>1210.2</v>
      </c>
      <c r="C1421" s="116">
        <v>1165.75</v>
      </c>
      <c r="D1421" s="116">
        <v>1105</v>
      </c>
      <c r="E1421" s="116">
        <v>1105</v>
      </c>
      <c r="F1421" s="116">
        <v>1165.75</v>
      </c>
      <c r="G1421">
        <v>33480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45139</v>
      </c>
      <c r="B1422" s="116">
        <v>1249</v>
      </c>
      <c r="C1422" s="116">
        <v>1181.8</v>
      </c>
      <c r="D1422" s="116">
        <v>1165.8</v>
      </c>
      <c r="E1422" s="116">
        <v>1177</v>
      </c>
      <c r="F1422" s="116">
        <v>1181.8</v>
      </c>
      <c r="G1422">
        <v>13288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45140</v>
      </c>
      <c r="B1423" s="116">
        <v>1219</v>
      </c>
      <c r="C1423" s="116">
        <v>1141.75</v>
      </c>
      <c r="D1423" s="116">
        <v>1120</v>
      </c>
      <c r="E1423" s="116">
        <v>1181.8</v>
      </c>
      <c r="F1423" s="116">
        <v>1141.75</v>
      </c>
      <c r="G1423">
        <v>12310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45141</v>
      </c>
      <c r="B1424" s="116">
        <v>1175</v>
      </c>
      <c r="C1424" s="116">
        <v>1152.55</v>
      </c>
      <c r="D1424" s="116">
        <v>1120</v>
      </c>
      <c r="E1424" s="116">
        <v>1142.0999999999999</v>
      </c>
      <c r="F1424" s="116">
        <v>1152.55</v>
      </c>
      <c r="G1424">
        <v>5429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45142</v>
      </c>
      <c r="B1425" s="116">
        <v>1164.7</v>
      </c>
      <c r="C1425" s="116">
        <v>1100.2</v>
      </c>
      <c r="D1425" s="116">
        <v>1075</v>
      </c>
      <c r="E1425" s="116">
        <v>1163.4000000000001</v>
      </c>
      <c r="F1425" s="116">
        <v>1100.2</v>
      </c>
      <c r="G1425">
        <v>7087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45145</v>
      </c>
      <c r="B1426" s="116">
        <v>1093</v>
      </c>
      <c r="C1426" s="116">
        <v>1049.05</v>
      </c>
      <c r="D1426" s="116">
        <v>1038</v>
      </c>
      <c r="E1426" s="116">
        <v>1093</v>
      </c>
      <c r="F1426" s="116">
        <v>1049.05</v>
      </c>
      <c r="G1426">
        <v>7761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45146</v>
      </c>
      <c r="B1427" s="116">
        <v>1095</v>
      </c>
      <c r="C1427" s="116">
        <v>1083.05</v>
      </c>
      <c r="D1427" s="116">
        <v>1033.5</v>
      </c>
      <c r="E1427" s="116">
        <v>1050</v>
      </c>
      <c r="F1427" s="116">
        <v>1083.05</v>
      </c>
      <c r="G1427">
        <v>3425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45147</v>
      </c>
      <c r="B1428" s="116">
        <v>1110</v>
      </c>
      <c r="C1428" s="116">
        <v>1060.6500000000001</v>
      </c>
      <c r="D1428" s="116">
        <v>1050</v>
      </c>
      <c r="E1428" s="116">
        <v>1110</v>
      </c>
      <c r="F1428" s="116">
        <v>1060.6500000000001</v>
      </c>
      <c r="G1428">
        <v>4846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45148</v>
      </c>
      <c r="B1429" s="116">
        <v>1071</v>
      </c>
      <c r="C1429" s="116">
        <v>1031.2</v>
      </c>
      <c r="D1429" s="116">
        <v>1025.9000000000001</v>
      </c>
      <c r="E1429" s="116">
        <v>1071</v>
      </c>
      <c r="F1429" s="116">
        <v>1031.2</v>
      </c>
      <c r="G1429">
        <v>3154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45149</v>
      </c>
      <c r="B1430" s="116">
        <v>1053</v>
      </c>
      <c r="C1430" s="116">
        <v>1012.45</v>
      </c>
      <c r="D1430" s="116">
        <v>1002</v>
      </c>
      <c r="E1430" s="116">
        <v>1035</v>
      </c>
      <c r="F1430" s="116">
        <v>1012.45</v>
      </c>
      <c r="G1430">
        <v>2056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45152</v>
      </c>
      <c r="B1431" s="116">
        <v>1025</v>
      </c>
      <c r="C1431" s="116">
        <v>1014.2</v>
      </c>
      <c r="D1431" s="116">
        <v>1000.05</v>
      </c>
      <c r="E1431" s="116">
        <v>1000.05</v>
      </c>
      <c r="F1431" s="116">
        <v>1014.2</v>
      </c>
      <c r="G1431">
        <v>3291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45154</v>
      </c>
      <c r="B1432" s="116">
        <v>1040</v>
      </c>
      <c r="C1432" s="116">
        <v>1004.85</v>
      </c>
      <c r="D1432" s="116">
        <v>980</v>
      </c>
      <c r="E1432" s="116">
        <v>1015</v>
      </c>
      <c r="F1432" s="116">
        <v>1004.85</v>
      </c>
      <c r="G1432">
        <v>1893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45155</v>
      </c>
      <c r="B1433" s="116">
        <v>1022.65</v>
      </c>
      <c r="C1433" s="116">
        <v>996.6</v>
      </c>
      <c r="D1433" s="116">
        <v>994.55</v>
      </c>
      <c r="E1433" s="116">
        <v>1022.65</v>
      </c>
      <c r="F1433" s="116">
        <v>996.6</v>
      </c>
      <c r="G1433">
        <v>2056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45156</v>
      </c>
      <c r="B1434" s="116">
        <v>1020.05</v>
      </c>
      <c r="C1434" s="116">
        <v>1003.25</v>
      </c>
      <c r="D1434" s="116">
        <v>990.55</v>
      </c>
      <c r="E1434" s="116">
        <v>1005</v>
      </c>
      <c r="F1434" s="116">
        <v>1003.25</v>
      </c>
      <c r="G1434">
        <v>3944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45159</v>
      </c>
      <c r="B1435" s="116">
        <v>1025.9000000000001</v>
      </c>
      <c r="C1435" s="116">
        <v>991.35</v>
      </c>
      <c r="D1435" s="116">
        <v>980</v>
      </c>
      <c r="E1435" s="116">
        <v>1003.3</v>
      </c>
      <c r="F1435" s="116">
        <v>991.35</v>
      </c>
      <c r="G1435">
        <v>2595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45160</v>
      </c>
      <c r="B1436" s="116">
        <v>1008.95</v>
      </c>
      <c r="C1436" s="116">
        <v>961.05</v>
      </c>
      <c r="D1436" s="116">
        <v>952.55</v>
      </c>
      <c r="E1436" s="116">
        <v>991.05</v>
      </c>
      <c r="F1436" s="116">
        <v>961.05</v>
      </c>
      <c r="G1436">
        <v>6258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45161</v>
      </c>
      <c r="B1437" s="116">
        <v>1005</v>
      </c>
      <c r="C1437" s="116">
        <v>972.25</v>
      </c>
      <c r="D1437" s="116">
        <v>965</v>
      </c>
      <c r="E1437" s="116">
        <v>975</v>
      </c>
      <c r="F1437" s="116">
        <v>972.25</v>
      </c>
      <c r="G1437">
        <v>4906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45162</v>
      </c>
      <c r="B1438" s="116">
        <v>999.75</v>
      </c>
      <c r="C1438" s="116">
        <v>965.05</v>
      </c>
      <c r="D1438" s="116">
        <v>956</v>
      </c>
      <c r="E1438" s="116">
        <v>980</v>
      </c>
      <c r="F1438" s="116">
        <v>965.05</v>
      </c>
      <c r="G1438">
        <v>2788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45163</v>
      </c>
      <c r="B1439" s="116">
        <v>991.9</v>
      </c>
      <c r="C1439" s="116">
        <v>969.85</v>
      </c>
      <c r="D1439" s="116">
        <v>948.5</v>
      </c>
      <c r="E1439" s="116">
        <v>969</v>
      </c>
      <c r="F1439" s="116">
        <v>969.85</v>
      </c>
      <c r="G1439">
        <v>2712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45166</v>
      </c>
      <c r="B1440" s="116">
        <v>988</v>
      </c>
      <c r="C1440" s="116">
        <v>938.7</v>
      </c>
      <c r="D1440" s="116">
        <v>921.4</v>
      </c>
      <c r="E1440" s="116">
        <v>988</v>
      </c>
      <c r="F1440" s="116">
        <v>938.7</v>
      </c>
      <c r="G1440">
        <v>6581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45167</v>
      </c>
      <c r="B1441" s="116">
        <v>964</v>
      </c>
      <c r="C1441" s="116">
        <v>956.4</v>
      </c>
      <c r="D1441" s="116">
        <v>931.05</v>
      </c>
      <c r="E1441" s="116">
        <v>939.95</v>
      </c>
      <c r="F1441" s="116">
        <v>956.4</v>
      </c>
      <c r="G1441">
        <v>3771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45168</v>
      </c>
      <c r="B1442" s="116">
        <v>969</v>
      </c>
      <c r="C1442" s="116">
        <v>953.75</v>
      </c>
      <c r="D1442" s="116">
        <v>927</v>
      </c>
      <c r="E1442" s="116">
        <v>969</v>
      </c>
      <c r="F1442" s="116">
        <v>953.75</v>
      </c>
      <c r="G1442">
        <v>1851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45169</v>
      </c>
      <c r="B1443" s="116">
        <v>970</v>
      </c>
      <c r="C1443" s="116">
        <v>967.45</v>
      </c>
      <c r="D1443" s="116">
        <v>950</v>
      </c>
      <c r="E1443" s="116">
        <v>964.3</v>
      </c>
      <c r="F1443" s="116">
        <v>967.45</v>
      </c>
      <c r="G1443">
        <v>3595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45170</v>
      </c>
      <c r="B1444" s="116">
        <v>999</v>
      </c>
      <c r="C1444" s="116">
        <v>994.2</v>
      </c>
      <c r="D1444" s="116">
        <v>967</v>
      </c>
      <c r="E1444" s="116">
        <v>970</v>
      </c>
      <c r="F1444" s="116">
        <v>994.2</v>
      </c>
      <c r="G1444">
        <v>2528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45173</v>
      </c>
      <c r="B1445" s="116">
        <v>1000.05</v>
      </c>
      <c r="C1445" s="116">
        <v>980</v>
      </c>
      <c r="D1445" s="116">
        <v>946.4</v>
      </c>
      <c r="E1445" s="116">
        <v>1000</v>
      </c>
      <c r="F1445" s="116">
        <v>980</v>
      </c>
      <c r="G1445">
        <v>3673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45174</v>
      </c>
      <c r="B1446" s="116">
        <v>995.5</v>
      </c>
      <c r="C1446" s="116">
        <v>970.3</v>
      </c>
      <c r="D1446" s="116">
        <v>960</v>
      </c>
      <c r="E1446" s="116">
        <v>989.8</v>
      </c>
      <c r="F1446" s="116">
        <v>970.3</v>
      </c>
      <c r="G1446">
        <v>4602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45175</v>
      </c>
      <c r="B1447" s="116">
        <v>976.25</v>
      </c>
      <c r="C1447" s="116">
        <v>946.75</v>
      </c>
      <c r="D1447" s="116">
        <v>935</v>
      </c>
      <c r="E1447" s="116">
        <v>965</v>
      </c>
      <c r="F1447" s="116">
        <v>946.75</v>
      </c>
      <c r="G1447">
        <v>4658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45176</v>
      </c>
      <c r="B1448" s="116">
        <v>966.45</v>
      </c>
      <c r="C1448" s="116">
        <v>912.6</v>
      </c>
      <c r="D1448" s="116">
        <v>910</v>
      </c>
      <c r="E1448" s="116">
        <v>928</v>
      </c>
      <c r="F1448" s="116">
        <v>912.6</v>
      </c>
      <c r="G1448">
        <v>8776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45177</v>
      </c>
      <c r="B1449" s="116">
        <v>934.9</v>
      </c>
      <c r="C1449" s="116">
        <v>903.9</v>
      </c>
      <c r="D1449" s="116">
        <v>870.05</v>
      </c>
      <c r="E1449" s="116">
        <v>934.9</v>
      </c>
      <c r="F1449" s="116">
        <v>903.9</v>
      </c>
      <c r="G1449">
        <v>9817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45180</v>
      </c>
      <c r="B1450" s="116">
        <v>930</v>
      </c>
      <c r="C1450" s="116">
        <v>904.8</v>
      </c>
      <c r="D1450" s="116">
        <v>860</v>
      </c>
      <c r="E1450" s="116">
        <v>903.9</v>
      </c>
      <c r="F1450" s="116">
        <v>904.8</v>
      </c>
      <c r="G1450">
        <v>8110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45181</v>
      </c>
      <c r="B1451" s="116">
        <v>910</v>
      </c>
      <c r="C1451" s="116">
        <v>881.15</v>
      </c>
      <c r="D1451" s="116">
        <v>860</v>
      </c>
      <c r="E1451" s="116">
        <v>899.95</v>
      </c>
      <c r="F1451" s="116">
        <v>881.15</v>
      </c>
      <c r="G1451">
        <v>4320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45182</v>
      </c>
      <c r="B1452" s="116">
        <v>900</v>
      </c>
      <c r="C1452" s="116">
        <v>867.85</v>
      </c>
      <c r="D1452" s="116">
        <v>846</v>
      </c>
      <c r="E1452" s="116">
        <v>900</v>
      </c>
      <c r="F1452" s="116">
        <v>867.85</v>
      </c>
      <c r="G1452">
        <v>6053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45183</v>
      </c>
      <c r="B1453" s="116">
        <v>911.2</v>
      </c>
      <c r="C1453" s="116">
        <v>910.95</v>
      </c>
      <c r="D1453" s="116">
        <v>851.1</v>
      </c>
      <c r="E1453" s="116">
        <v>884</v>
      </c>
      <c r="F1453" s="116">
        <v>910.95</v>
      </c>
      <c r="G1453">
        <v>5889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45184</v>
      </c>
      <c r="B1454" s="116">
        <v>948</v>
      </c>
      <c r="C1454" s="116">
        <v>913.7</v>
      </c>
      <c r="D1454" s="116">
        <v>900</v>
      </c>
      <c r="E1454" s="116">
        <v>948</v>
      </c>
      <c r="F1454" s="116">
        <v>913.7</v>
      </c>
      <c r="G1454">
        <v>3520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45187</v>
      </c>
      <c r="B1455" s="116">
        <v>932</v>
      </c>
      <c r="C1455" s="116">
        <v>910.8</v>
      </c>
      <c r="D1455" s="116">
        <v>890</v>
      </c>
      <c r="E1455" s="116">
        <v>914</v>
      </c>
      <c r="F1455" s="116">
        <v>910.8</v>
      </c>
      <c r="G1455">
        <v>2738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45189</v>
      </c>
      <c r="B1456" s="116">
        <v>910.8</v>
      </c>
      <c r="C1456" s="116">
        <v>880.8</v>
      </c>
      <c r="D1456" s="116">
        <v>866.35</v>
      </c>
      <c r="E1456" s="116">
        <v>910.8</v>
      </c>
      <c r="F1456" s="116">
        <v>880.8</v>
      </c>
      <c r="G1456">
        <v>3352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45190</v>
      </c>
      <c r="B1457" s="116">
        <v>894.9</v>
      </c>
      <c r="C1457" s="116">
        <v>875.65</v>
      </c>
      <c r="D1457" s="116">
        <v>866</v>
      </c>
      <c r="E1457" s="116">
        <v>894.9</v>
      </c>
      <c r="F1457" s="116">
        <v>875.65</v>
      </c>
      <c r="G1457">
        <v>1336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45191</v>
      </c>
      <c r="B1458" s="116">
        <v>887.7</v>
      </c>
      <c r="C1458" s="116">
        <v>875.75</v>
      </c>
      <c r="D1458" s="116">
        <v>855</v>
      </c>
      <c r="E1458" s="116">
        <v>861.15</v>
      </c>
      <c r="F1458" s="116">
        <v>875.75</v>
      </c>
      <c r="G1458">
        <v>3291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45194</v>
      </c>
      <c r="B1459" s="116">
        <v>888.8</v>
      </c>
      <c r="C1459" s="116">
        <v>880.25</v>
      </c>
      <c r="D1459" s="116">
        <v>862</v>
      </c>
      <c r="E1459" s="116">
        <v>875.8</v>
      </c>
      <c r="F1459" s="116">
        <v>880.25</v>
      </c>
      <c r="G1459">
        <v>1159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45195</v>
      </c>
      <c r="B1460" s="116">
        <v>893.5</v>
      </c>
      <c r="C1460" s="116">
        <v>873.2</v>
      </c>
      <c r="D1460" s="116">
        <v>865</v>
      </c>
      <c r="E1460" s="116">
        <v>884.7</v>
      </c>
      <c r="F1460" s="116">
        <v>873.2</v>
      </c>
      <c r="G1460">
        <v>1932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45196</v>
      </c>
      <c r="B1461" s="116">
        <v>890</v>
      </c>
      <c r="C1461" s="116">
        <v>887.65</v>
      </c>
      <c r="D1461" s="116">
        <v>870</v>
      </c>
      <c r="E1461" s="116">
        <v>889</v>
      </c>
      <c r="F1461" s="116">
        <v>887.65</v>
      </c>
      <c r="G1461">
        <v>982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45197</v>
      </c>
      <c r="B1462" s="116">
        <v>908</v>
      </c>
      <c r="C1462" s="116">
        <v>889.55</v>
      </c>
      <c r="D1462" s="116">
        <v>879</v>
      </c>
      <c r="E1462" s="116">
        <v>887.6</v>
      </c>
      <c r="F1462" s="116">
        <v>889.55</v>
      </c>
      <c r="G1462">
        <v>2136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45198</v>
      </c>
      <c r="B1463" s="116">
        <v>934</v>
      </c>
      <c r="C1463" s="116">
        <v>927.85</v>
      </c>
      <c r="D1463" s="116">
        <v>890</v>
      </c>
      <c r="E1463" s="116">
        <v>892</v>
      </c>
      <c r="F1463" s="116">
        <v>927.85</v>
      </c>
      <c r="G1463">
        <v>4230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45202</v>
      </c>
      <c r="B1464" s="116">
        <v>944.9</v>
      </c>
      <c r="C1464" s="116">
        <v>914.6</v>
      </c>
      <c r="D1464" s="116">
        <v>895</v>
      </c>
      <c r="E1464" s="116">
        <v>944.9</v>
      </c>
      <c r="F1464" s="116">
        <v>914.6</v>
      </c>
      <c r="G1464">
        <v>1463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45203</v>
      </c>
      <c r="B1465" s="116">
        <v>931</v>
      </c>
      <c r="C1465" s="116">
        <v>916.9</v>
      </c>
      <c r="D1465" s="116">
        <v>897</v>
      </c>
      <c r="E1465" s="116">
        <v>928.95</v>
      </c>
      <c r="F1465" s="116">
        <v>916.9</v>
      </c>
      <c r="G1465">
        <v>1646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45204</v>
      </c>
      <c r="B1466" s="116">
        <v>928</v>
      </c>
      <c r="C1466" s="116">
        <v>908.15</v>
      </c>
      <c r="D1466" s="116">
        <v>900</v>
      </c>
      <c r="E1466" s="116">
        <v>900</v>
      </c>
      <c r="F1466" s="116">
        <v>908.15</v>
      </c>
      <c r="G1466">
        <v>1255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45205</v>
      </c>
      <c r="B1467" s="116">
        <v>951.95</v>
      </c>
      <c r="C1467" s="116">
        <v>937.55</v>
      </c>
      <c r="D1467" s="116">
        <v>910</v>
      </c>
      <c r="E1467" s="116">
        <v>911</v>
      </c>
      <c r="F1467" s="116">
        <v>937.55</v>
      </c>
      <c r="G1467">
        <v>4864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45208</v>
      </c>
      <c r="B1468" s="116">
        <v>940</v>
      </c>
      <c r="C1468" s="116">
        <v>891.55</v>
      </c>
      <c r="D1468" s="116">
        <v>891</v>
      </c>
      <c r="E1468" s="116">
        <v>940</v>
      </c>
      <c r="F1468" s="116">
        <v>891.55</v>
      </c>
      <c r="G1468">
        <v>2747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45209</v>
      </c>
      <c r="B1469" s="116">
        <v>925</v>
      </c>
      <c r="C1469" s="116">
        <v>901.75</v>
      </c>
      <c r="D1469" s="116">
        <v>888</v>
      </c>
      <c r="E1469" s="116">
        <v>909.9</v>
      </c>
      <c r="F1469" s="116">
        <v>901.75</v>
      </c>
      <c r="G1469">
        <v>2686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45210</v>
      </c>
      <c r="B1470" s="116">
        <v>915</v>
      </c>
      <c r="C1470" s="116">
        <v>894.4</v>
      </c>
      <c r="D1470" s="116">
        <v>886</v>
      </c>
      <c r="E1470" s="116">
        <v>890</v>
      </c>
      <c r="F1470" s="116">
        <v>894.4</v>
      </c>
      <c r="G1470">
        <v>2153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45211</v>
      </c>
      <c r="B1471" s="116">
        <v>919.85</v>
      </c>
      <c r="C1471" s="116">
        <v>883.25</v>
      </c>
      <c r="D1471" s="116">
        <v>879</v>
      </c>
      <c r="E1471" s="116">
        <v>915</v>
      </c>
      <c r="F1471" s="116">
        <v>883.25</v>
      </c>
      <c r="G1471">
        <v>3302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45212</v>
      </c>
      <c r="B1472" s="116">
        <v>921.7</v>
      </c>
      <c r="C1472" s="116">
        <v>879</v>
      </c>
      <c r="D1472" s="116">
        <v>870</v>
      </c>
      <c r="E1472" s="116">
        <v>903.25</v>
      </c>
      <c r="F1472" s="116">
        <v>879</v>
      </c>
      <c r="G1472">
        <v>4491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45215</v>
      </c>
      <c r="B1473" s="116">
        <v>889</v>
      </c>
      <c r="C1473" s="116">
        <v>855.9</v>
      </c>
      <c r="D1473" s="116">
        <v>840</v>
      </c>
      <c r="E1473" s="116">
        <v>870.2</v>
      </c>
      <c r="F1473" s="116">
        <v>855.9</v>
      </c>
      <c r="G1473">
        <v>5938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45216</v>
      </c>
      <c r="B1474" s="116">
        <v>874.35</v>
      </c>
      <c r="C1474" s="116">
        <v>851</v>
      </c>
      <c r="D1474" s="116">
        <v>840</v>
      </c>
      <c r="E1474" s="116">
        <v>865</v>
      </c>
      <c r="F1474" s="116">
        <v>851</v>
      </c>
      <c r="G1474">
        <v>8858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45217</v>
      </c>
      <c r="B1475" s="116">
        <v>865</v>
      </c>
      <c r="C1475" s="116">
        <v>853.5</v>
      </c>
      <c r="D1475" s="116">
        <v>850</v>
      </c>
      <c r="E1475" s="116">
        <v>855</v>
      </c>
      <c r="F1475" s="116">
        <v>853.5</v>
      </c>
      <c r="G1475">
        <v>3361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45218</v>
      </c>
      <c r="B1476" s="116">
        <v>859.95</v>
      </c>
      <c r="C1476" s="116">
        <v>835.65</v>
      </c>
      <c r="D1476" s="116">
        <v>830</v>
      </c>
      <c r="E1476" s="116">
        <v>859.95</v>
      </c>
      <c r="F1476" s="116">
        <v>835.65</v>
      </c>
      <c r="G1476">
        <v>4491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45219</v>
      </c>
      <c r="B1477" s="116">
        <v>844</v>
      </c>
      <c r="C1477" s="116">
        <v>832.1</v>
      </c>
      <c r="D1477" s="116">
        <v>820.5</v>
      </c>
      <c r="E1477" s="116">
        <v>835</v>
      </c>
      <c r="F1477" s="116">
        <v>832.1</v>
      </c>
      <c r="G1477">
        <v>2351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45222</v>
      </c>
      <c r="B1478" s="116">
        <v>852</v>
      </c>
      <c r="C1478" s="116">
        <v>822.75</v>
      </c>
      <c r="D1478" s="116">
        <v>801</v>
      </c>
      <c r="E1478" s="116">
        <v>830</v>
      </c>
      <c r="F1478" s="116">
        <v>822.75</v>
      </c>
      <c r="G1478">
        <v>2369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45224</v>
      </c>
      <c r="B1479" s="116">
        <v>839</v>
      </c>
      <c r="C1479" s="116">
        <v>832.85</v>
      </c>
      <c r="D1479" s="116">
        <v>820</v>
      </c>
      <c r="E1479" s="116">
        <v>825</v>
      </c>
      <c r="F1479" s="116">
        <v>832.85</v>
      </c>
      <c r="G1479">
        <v>1560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45225</v>
      </c>
      <c r="B1480" s="116">
        <v>834.8</v>
      </c>
      <c r="C1480" s="116">
        <v>817.95</v>
      </c>
      <c r="D1480" s="116">
        <v>800</v>
      </c>
      <c r="E1480" s="116">
        <v>830</v>
      </c>
      <c r="F1480" s="116">
        <v>817.95</v>
      </c>
      <c r="G1480">
        <v>3081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45226</v>
      </c>
      <c r="B1481" s="116">
        <v>830</v>
      </c>
      <c r="C1481" s="116">
        <v>822.9</v>
      </c>
      <c r="D1481" s="116">
        <v>811.05</v>
      </c>
      <c r="E1481" s="116">
        <v>827</v>
      </c>
      <c r="F1481" s="116">
        <v>822.9</v>
      </c>
      <c r="G1481">
        <v>1533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45229</v>
      </c>
      <c r="B1482" s="116">
        <v>850</v>
      </c>
      <c r="C1482" s="116">
        <v>848.8</v>
      </c>
      <c r="D1482" s="116">
        <v>815</v>
      </c>
      <c r="E1482" s="116">
        <v>822</v>
      </c>
      <c r="F1482" s="116">
        <v>848.8</v>
      </c>
      <c r="G1482">
        <v>1651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45230</v>
      </c>
      <c r="B1483" s="116">
        <v>859.9</v>
      </c>
      <c r="C1483" s="116">
        <v>838</v>
      </c>
      <c r="D1483" s="116">
        <v>830</v>
      </c>
      <c r="E1483" s="116">
        <v>859.9</v>
      </c>
      <c r="F1483" s="116">
        <v>838</v>
      </c>
      <c r="G1483">
        <v>1119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45231</v>
      </c>
      <c r="B1484" s="116">
        <v>845</v>
      </c>
      <c r="C1484" s="116">
        <v>829.55</v>
      </c>
      <c r="D1484" s="116">
        <v>821.05</v>
      </c>
      <c r="E1484" s="116">
        <v>838.2</v>
      </c>
      <c r="F1484" s="116">
        <v>829.55</v>
      </c>
      <c r="G1484">
        <v>1566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45232</v>
      </c>
      <c r="B1485" s="116">
        <v>840</v>
      </c>
      <c r="C1485" s="116">
        <v>820</v>
      </c>
      <c r="D1485" s="116">
        <v>810</v>
      </c>
      <c r="E1485" s="116">
        <v>829</v>
      </c>
      <c r="F1485" s="116">
        <v>820</v>
      </c>
      <c r="G1485">
        <v>3091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45233</v>
      </c>
      <c r="B1486" s="116">
        <v>847</v>
      </c>
      <c r="C1486" s="116">
        <v>821.7</v>
      </c>
      <c r="D1486" s="116">
        <v>811.5</v>
      </c>
      <c r="E1486" s="116">
        <v>820</v>
      </c>
      <c r="F1486" s="116">
        <v>821.7</v>
      </c>
      <c r="G1486">
        <v>2539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45236</v>
      </c>
      <c r="B1487" s="116">
        <v>862.75</v>
      </c>
      <c r="C1487" s="116">
        <v>862.6</v>
      </c>
      <c r="D1487" s="116">
        <v>811.7</v>
      </c>
      <c r="E1487" s="116">
        <v>830</v>
      </c>
      <c r="F1487" s="116">
        <v>862.6</v>
      </c>
      <c r="G1487">
        <v>3005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45237</v>
      </c>
      <c r="B1488" s="116">
        <v>905.7</v>
      </c>
      <c r="C1488" s="116">
        <v>891.6</v>
      </c>
      <c r="D1488" s="116">
        <v>866</v>
      </c>
      <c r="E1488" s="116">
        <v>866</v>
      </c>
      <c r="F1488" s="116">
        <v>891.6</v>
      </c>
      <c r="G1488">
        <v>4792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45238</v>
      </c>
      <c r="B1489" s="116">
        <v>936.15</v>
      </c>
      <c r="C1489" s="116">
        <v>935.7</v>
      </c>
      <c r="D1489" s="116">
        <v>900</v>
      </c>
      <c r="E1489" s="116">
        <v>900</v>
      </c>
      <c r="F1489" s="116">
        <v>935.7</v>
      </c>
      <c r="G1489">
        <v>6856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45239</v>
      </c>
      <c r="B1490" s="116">
        <v>975.7</v>
      </c>
      <c r="C1490" s="116">
        <v>905.45</v>
      </c>
      <c r="D1490" s="116">
        <v>900</v>
      </c>
      <c r="E1490" s="116">
        <v>964.95</v>
      </c>
      <c r="F1490" s="116">
        <v>905.45</v>
      </c>
      <c r="G1490">
        <v>9659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45240</v>
      </c>
      <c r="B1491" s="116">
        <v>930</v>
      </c>
      <c r="C1491" s="116">
        <v>876.65</v>
      </c>
      <c r="D1491" s="116">
        <v>861.6</v>
      </c>
      <c r="E1491" s="116">
        <v>930</v>
      </c>
      <c r="F1491" s="116">
        <v>876.65</v>
      </c>
      <c r="G1491">
        <v>5160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45242</v>
      </c>
      <c r="B1492" s="116">
        <v>910</v>
      </c>
      <c r="C1492" s="116">
        <v>866.4</v>
      </c>
      <c r="D1492" s="116">
        <v>850</v>
      </c>
      <c r="E1492" s="116">
        <v>899.5</v>
      </c>
      <c r="F1492" s="116">
        <v>866.4</v>
      </c>
      <c r="G1492">
        <v>3030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45243</v>
      </c>
      <c r="B1493" s="116">
        <v>909.7</v>
      </c>
      <c r="C1493" s="116">
        <v>909.7</v>
      </c>
      <c r="D1493" s="116">
        <v>844.45</v>
      </c>
      <c r="E1493" s="116">
        <v>879.9</v>
      </c>
      <c r="F1493" s="116">
        <v>909.7</v>
      </c>
      <c r="G1493">
        <v>7897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45245</v>
      </c>
      <c r="B1494" s="116">
        <v>941</v>
      </c>
      <c r="C1494" s="116">
        <v>908.75</v>
      </c>
      <c r="D1494" s="116">
        <v>893</v>
      </c>
      <c r="E1494" s="116">
        <v>941</v>
      </c>
      <c r="F1494" s="116">
        <v>908.75</v>
      </c>
      <c r="G1494">
        <v>3677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45246</v>
      </c>
      <c r="B1495" s="116">
        <v>908.75</v>
      </c>
      <c r="C1495" s="116">
        <v>882.95</v>
      </c>
      <c r="D1495" s="116">
        <v>870</v>
      </c>
      <c r="E1495" s="116">
        <v>908.75</v>
      </c>
      <c r="F1495" s="116">
        <v>882.95</v>
      </c>
      <c r="G1495">
        <v>4136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45247</v>
      </c>
      <c r="B1496" s="116">
        <v>900</v>
      </c>
      <c r="C1496" s="116">
        <v>865.1</v>
      </c>
      <c r="D1496" s="116">
        <v>850</v>
      </c>
      <c r="E1496" s="116">
        <v>895</v>
      </c>
      <c r="F1496" s="116">
        <v>865.1</v>
      </c>
      <c r="G1496">
        <v>5959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45250</v>
      </c>
      <c r="B1497" s="116">
        <v>876.95</v>
      </c>
      <c r="C1497" s="116">
        <v>866.1</v>
      </c>
      <c r="D1497" s="116">
        <v>862</v>
      </c>
      <c r="E1497" s="116">
        <v>866</v>
      </c>
      <c r="F1497" s="116">
        <v>866.1</v>
      </c>
      <c r="G1497">
        <v>1723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45251</v>
      </c>
      <c r="B1498" s="116">
        <v>883.9</v>
      </c>
      <c r="C1498" s="116">
        <v>860.25</v>
      </c>
      <c r="D1498" s="116">
        <v>850</v>
      </c>
      <c r="E1498" s="116">
        <v>860</v>
      </c>
      <c r="F1498" s="116">
        <v>860.25</v>
      </c>
      <c r="G1498">
        <v>3243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45252</v>
      </c>
      <c r="B1499" s="116">
        <v>884.2</v>
      </c>
      <c r="C1499" s="116">
        <v>856.95</v>
      </c>
      <c r="D1499" s="116">
        <v>855</v>
      </c>
      <c r="E1499" s="116">
        <v>884.2</v>
      </c>
      <c r="F1499" s="116">
        <v>856.95</v>
      </c>
      <c r="G1499">
        <v>1586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45253</v>
      </c>
      <c r="B1500" s="116">
        <v>873.75</v>
      </c>
      <c r="C1500" s="116">
        <v>866.95</v>
      </c>
      <c r="D1500" s="116">
        <v>855.1</v>
      </c>
      <c r="E1500" s="116">
        <v>865</v>
      </c>
      <c r="F1500" s="116">
        <v>866.95</v>
      </c>
      <c r="G1500">
        <v>1328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45254</v>
      </c>
      <c r="B1501" s="116">
        <v>884.9</v>
      </c>
      <c r="C1501" s="116">
        <v>878</v>
      </c>
      <c r="D1501" s="116">
        <v>860.5</v>
      </c>
      <c r="E1501" s="116">
        <v>875</v>
      </c>
      <c r="F1501" s="116">
        <v>878</v>
      </c>
      <c r="G1501">
        <v>2176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45258</v>
      </c>
      <c r="B1502" s="116">
        <v>921.9</v>
      </c>
      <c r="C1502" s="116">
        <v>909.75</v>
      </c>
      <c r="D1502" s="116">
        <v>881.15</v>
      </c>
      <c r="E1502" s="116">
        <v>891.9</v>
      </c>
      <c r="F1502" s="116">
        <v>909.75</v>
      </c>
      <c r="G1502">
        <v>7379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45259</v>
      </c>
      <c r="B1503" s="116">
        <v>945</v>
      </c>
      <c r="C1503" s="116">
        <v>926.65</v>
      </c>
      <c r="D1503" s="116">
        <v>909</v>
      </c>
      <c r="E1503" s="116">
        <v>924</v>
      </c>
      <c r="F1503" s="116">
        <v>926.65</v>
      </c>
      <c r="G1503">
        <v>4665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45260</v>
      </c>
      <c r="B1504" s="116">
        <v>942</v>
      </c>
      <c r="C1504" s="116">
        <v>893.05</v>
      </c>
      <c r="D1504" s="116">
        <v>885</v>
      </c>
      <c r="E1504" s="116">
        <v>942</v>
      </c>
      <c r="F1504" s="116">
        <v>893.05</v>
      </c>
      <c r="G1504">
        <v>6980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45261</v>
      </c>
      <c r="B1505" s="116">
        <v>916</v>
      </c>
      <c r="C1505" s="116">
        <v>895.8</v>
      </c>
      <c r="D1505" s="116">
        <v>890</v>
      </c>
      <c r="E1505" s="116">
        <v>910</v>
      </c>
      <c r="F1505" s="116">
        <v>895.8</v>
      </c>
      <c r="G1505">
        <v>1958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45264</v>
      </c>
      <c r="B1506" s="116">
        <v>910</v>
      </c>
      <c r="C1506" s="116">
        <v>871.4</v>
      </c>
      <c r="D1506" s="116">
        <v>866.6</v>
      </c>
      <c r="E1506" s="116">
        <v>905</v>
      </c>
      <c r="F1506" s="116">
        <v>871.4</v>
      </c>
      <c r="G1506">
        <v>5864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45265</v>
      </c>
      <c r="B1507" s="116">
        <v>892</v>
      </c>
      <c r="C1507" s="116">
        <v>868</v>
      </c>
      <c r="D1507" s="116">
        <v>860</v>
      </c>
      <c r="E1507" s="116">
        <v>887</v>
      </c>
      <c r="F1507" s="116">
        <v>868</v>
      </c>
      <c r="G1507">
        <v>4504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45266</v>
      </c>
      <c r="B1508" s="116">
        <v>879.8</v>
      </c>
      <c r="C1508" s="116">
        <v>862.85</v>
      </c>
      <c r="D1508" s="116">
        <v>855</v>
      </c>
      <c r="E1508" s="116">
        <v>868.05</v>
      </c>
      <c r="F1508" s="116">
        <v>862.85</v>
      </c>
      <c r="G1508">
        <v>8086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45267</v>
      </c>
      <c r="B1509" s="116">
        <v>887</v>
      </c>
      <c r="C1509" s="116">
        <v>859.2</v>
      </c>
      <c r="D1509" s="116">
        <v>855</v>
      </c>
      <c r="E1509" s="116">
        <v>869.95</v>
      </c>
      <c r="F1509" s="116">
        <v>859.2</v>
      </c>
      <c r="G1509">
        <v>4919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45268</v>
      </c>
      <c r="B1510" s="116">
        <v>864.95</v>
      </c>
      <c r="C1510" s="116">
        <v>838.4</v>
      </c>
      <c r="D1510" s="116">
        <v>826</v>
      </c>
      <c r="E1510" s="116">
        <v>864.95</v>
      </c>
      <c r="F1510" s="116">
        <v>838.4</v>
      </c>
      <c r="G1510">
        <v>7893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45271</v>
      </c>
      <c r="B1511" s="116">
        <v>880</v>
      </c>
      <c r="C1511" s="116">
        <v>867.75</v>
      </c>
      <c r="D1511" s="116">
        <v>859</v>
      </c>
      <c r="E1511" s="116">
        <v>874</v>
      </c>
      <c r="F1511" s="116">
        <v>867.75</v>
      </c>
      <c r="G1511">
        <v>7801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45272</v>
      </c>
      <c r="B1512" s="116">
        <v>880</v>
      </c>
      <c r="C1512" s="116">
        <v>858.8</v>
      </c>
      <c r="D1512" s="116">
        <v>855</v>
      </c>
      <c r="E1512" s="116">
        <v>880</v>
      </c>
      <c r="F1512" s="116">
        <v>858.8</v>
      </c>
      <c r="G1512">
        <v>2852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45273</v>
      </c>
      <c r="B1513" s="116">
        <v>865</v>
      </c>
      <c r="C1513" s="116">
        <v>855.55</v>
      </c>
      <c r="D1513" s="116">
        <v>825</v>
      </c>
      <c r="E1513" s="116">
        <v>865</v>
      </c>
      <c r="F1513" s="116">
        <v>855.55</v>
      </c>
      <c r="G1513">
        <v>4834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45274</v>
      </c>
      <c r="B1514" s="116">
        <v>879.9</v>
      </c>
      <c r="C1514" s="116">
        <v>858.25</v>
      </c>
      <c r="D1514" s="116">
        <v>851.05</v>
      </c>
      <c r="E1514" s="116">
        <v>855.6</v>
      </c>
      <c r="F1514" s="116">
        <v>858.25</v>
      </c>
      <c r="G1514">
        <v>2368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45275</v>
      </c>
      <c r="B1515" s="116">
        <v>905</v>
      </c>
      <c r="C1515" s="116">
        <v>900</v>
      </c>
      <c r="D1515" s="116">
        <v>850</v>
      </c>
      <c r="E1515" s="116">
        <v>856.05</v>
      </c>
      <c r="F1515" s="116">
        <v>900</v>
      </c>
      <c r="G1515">
        <v>12106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45278</v>
      </c>
      <c r="B1516" s="116">
        <v>904.8</v>
      </c>
      <c r="C1516" s="116">
        <v>879.05</v>
      </c>
      <c r="D1516" s="116">
        <v>875</v>
      </c>
      <c r="E1516" s="116">
        <v>878</v>
      </c>
      <c r="F1516" s="116">
        <v>879.05</v>
      </c>
      <c r="G1516">
        <v>3847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45279</v>
      </c>
      <c r="B1517" s="116">
        <v>903.45</v>
      </c>
      <c r="C1517" s="116">
        <v>896.85</v>
      </c>
      <c r="D1517" s="116">
        <v>872.05</v>
      </c>
      <c r="E1517" s="116">
        <v>885</v>
      </c>
      <c r="F1517" s="116">
        <v>896.85</v>
      </c>
      <c r="G1517">
        <v>3940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45280</v>
      </c>
      <c r="B1518" s="116">
        <v>904.8</v>
      </c>
      <c r="C1518" s="116">
        <v>867.7</v>
      </c>
      <c r="D1518" s="116">
        <v>855</v>
      </c>
      <c r="E1518" s="116">
        <v>904.8</v>
      </c>
      <c r="F1518" s="116">
        <v>867.7</v>
      </c>
      <c r="G1518">
        <v>3776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45281</v>
      </c>
      <c r="B1519" s="116">
        <v>884</v>
      </c>
      <c r="C1519" s="116">
        <v>872.05</v>
      </c>
      <c r="D1519" s="116">
        <v>851.05</v>
      </c>
      <c r="E1519" s="116">
        <v>860</v>
      </c>
      <c r="F1519" s="116">
        <v>872.05</v>
      </c>
      <c r="G1519">
        <v>4435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45282</v>
      </c>
      <c r="B1520" s="116">
        <v>893.8</v>
      </c>
      <c r="C1520" s="116">
        <v>883</v>
      </c>
      <c r="D1520" s="116">
        <v>859.1</v>
      </c>
      <c r="E1520" s="116">
        <v>893.8</v>
      </c>
      <c r="F1520" s="116">
        <v>883</v>
      </c>
      <c r="G1520">
        <v>3328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45286</v>
      </c>
      <c r="B1521" s="116">
        <v>884</v>
      </c>
      <c r="C1521" s="116">
        <v>872.2</v>
      </c>
      <c r="D1521" s="116">
        <v>855.5</v>
      </c>
      <c r="E1521" s="116">
        <v>884</v>
      </c>
      <c r="F1521" s="116">
        <v>872.2</v>
      </c>
      <c r="G1521">
        <v>4382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45287</v>
      </c>
      <c r="B1522" s="116">
        <v>885</v>
      </c>
      <c r="C1522" s="116">
        <v>874.4</v>
      </c>
      <c r="D1522" s="116">
        <v>870.35</v>
      </c>
      <c r="E1522" s="116">
        <v>885</v>
      </c>
      <c r="F1522" s="116">
        <v>874.4</v>
      </c>
      <c r="G1522">
        <v>2545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45288</v>
      </c>
      <c r="B1523" s="116">
        <v>889</v>
      </c>
      <c r="C1523" s="116">
        <v>875.2</v>
      </c>
      <c r="D1523" s="116">
        <v>870</v>
      </c>
      <c r="E1523" s="116">
        <v>880</v>
      </c>
      <c r="F1523" s="116">
        <v>875.2</v>
      </c>
      <c r="G1523">
        <v>2532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45289</v>
      </c>
      <c r="B1524" s="116">
        <v>888</v>
      </c>
      <c r="C1524" s="116">
        <v>868.75</v>
      </c>
      <c r="D1524" s="116">
        <v>862</v>
      </c>
      <c r="E1524" s="116">
        <v>888</v>
      </c>
      <c r="F1524" s="116">
        <v>868.75</v>
      </c>
      <c r="G1524">
        <v>4234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45292</v>
      </c>
      <c r="B1525" s="116">
        <v>877</v>
      </c>
      <c r="C1525" s="116">
        <v>861.95</v>
      </c>
      <c r="D1525" s="116">
        <v>857.15</v>
      </c>
      <c r="E1525" s="116">
        <v>877</v>
      </c>
      <c r="F1525" s="116">
        <v>861.95</v>
      </c>
      <c r="G1525">
        <v>3283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45293</v>
      </c>
      <c r="B1526" s="116">
        <v>884</v>
      </c>
      <c r="C1526" s="116">
        <v>875.5</v>
      </c>
      <c r="D1526" s="116">
        <v>860</v>
      </c>
      <c r="E1526" s="116">
        <v>874.4</v>
      </c>
      <c r="F1526" s="116">
        <v>875.5</v>
      </c>
      <c r="G1526">
        <v>2876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45294</v>
      </c>
      <c r="B1527" s="116">
        <v>885.95</v>
      </c>
      <c r="C1527" s="116">
        <v>873.95</v>
      </c>
      <c r="D1527" s="116">
        <v>870</v>
      </c>
      <c r="E1527" s="116">
        <v>885.75</v>
      </c>
      <c r="F1527" s="116">
        <v>873.95</v>
      </c>
      <c r="G1527">
        <v>4567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45295</v>
      </c>
      <c r="B1528" s="116">
        <v>885.7</v>
      </c>
      <c r="C1528" s="116">
        <v>862.35</v>
      </c>
      <c r="D1528" s="116">
        <v>855</v>
      </c>
      <c r="E1528" s="116">
        <v>885</v>
      </c>
      <c r="F1528" s="116">
        <v>862.35</v>
      </c>
      <c r="G1528">
        <v>6897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45296</v>
      </c>
      <c r="B1529" s="116">
        <v>879.8</v>
      </c>
      <c r="C1529" s="116">
        <v>864.55</v>
      </c>
      <c r="D1529" s="116">
        <v>860</v>
      </c>
      <c r="E1529" s="116">
        <v>865</v>
      </c>
      <c r="F1529" s="116">
        <v>864.55</v>
      </c>
      <c r="G1529">
        <v>4536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45299</v>
      </c>
      <c r="B1530" s="116">
        <v>880</v>
      </c>
      <c r="C1530" s="116">
        <v>855.75</v>
      </c>
      <c r="D1530" s="116">
        <v>825.9</v>
      </c>
      <c r="E1530" s="116">
        <v>880</v>
      </c>
      <c r="F1530" s="116">
        <v>855.75</v>
      </c>
      <c r="G1530">
        <v>4646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45300</v>
      </c>
      <c r="B1531" s="116">
        <v>869.75</v>
      </c>
      <c r="C1531" s="116">
        <v>858.65</v>
      </c>
      <c r="D1531" s="116">
        <v>855</v>
      </c>
      <c r="E1531" s="116">
        <v>861</v>
      </c>
      <c r="F1531" s="116">
        <v>858.65</v>
      </c>
      <c r="G1531">
        <v>4748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45301</v>
      </c>
      <c r="B1532" s="116">
        <v>860</v>
      </c>
      <c r="C1532" s="116">
        <v>857.3</v>
      </c>
      <c r="D1532" s="116">
        <v>853.05</v>
      </c>
      <c r="E1532" s="116">
        <v>860</v>
      </c>
      <c r="F1532" s="116">
        <v>857.3</v>
      </c>
      <c r="G1532">
        <v>6167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45302</v>
      </c>
      <c r="B1533" s="116">
        <v>865.05</v>
      </c>
      <c r="C1533" s="116">
        <v>847.65</v>
      </c>
      <c r="D1533" s="116">
        <v>841.15</v>
      </c>
      <c r="E1533" s="116">
        <v>865.05</v>
      </c>
      <c r="F1533" s="116">
        <v>847.65</v>
      </c>
      <c r="G1533">
        <v>4098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45303</v>
      </c>
      <c r="B1534" s="116">
        <v>868</v>
      </c>
      <c r="C1534" s="116">
        <v>848.2</v>
      </c>
      <c r="D1534" s="116">
        <v>842.1</v>
      </c>
      <c r="E1534" s="116">
        <v>868</v>
      </c>
      <c r="F1534" s="116">
        <v>848.2</v>
      </c>
      <c r="G1534">
        <v>2430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45306</v>
      </c>
      <c r="B1535" s="116">
        <v>860</v>
      </c>
      <c r="C1535" s="116">
        <v>840.55</v>
      </c>
      <c r="D1535" s="116">
        <v>840</v>
      </c>
      <c r="E1535" s="116">
        <v>850</v>
      </c>
      <c r="F1535" s="116">
        <v>840.55</v>
      </c>
      <c r="G1535">
        <v>9350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45307</v>
      </c>
      <c r="B1536" s="116">
        <v>862.95</v>
      </c>
      <c r="C1536" s="116">
        <v>843.95</v>
      </c>
      <c r="D1536" s="116">
        <v>836.1</v>
      </c>
      <c r="E1536" s="116">
        <v>851</v>
      </c>
      <c r="F1536" s="116">
        <v>843.95</v>
      </c>
      <c r="G1536">
        <v>4511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45308</v>
      </c>
      <c r="B1537" s="116">
        <v>848.2</v>
      </c>
      <c r="C1537" s="116">
        <v>837.7</v>
      </c>
      <c r="D1537" s="116">
        <v>821</v>
      </c>
      <c r="E1537" s="116">
        <v>843.95</v>
      </c>
      <c r="F1537" s="116">
        <v>837.7</v>
      </c>
      <c r="G1537">
        <v>3986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45309</v>
      </c>
      <c r="B1538" s="116">
        <v>842.75</v>
      </c>
      <c r="C1538" s="116">
        <v>840.65</v>
      </c>
      <c r="D1538" s="116">
        <v>823</v>
      </c>
      <c r="E1538" s="116">
        <v>823</v>
      </c>
      <c r="F1538" s="116">
        <v>840.65</v>
      </c>
      <c r="G1538">
        <v>14805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45310</v>
      </c>
      <c r="B1539" s="116">
        <v>864.8</v>
      </c>
      <c r="C1539" s="116">
        <v>838.8</v>
      </c>
      <c r="D1539" s="116">
        <v>835.2</v>
      </c>
      <c r="E1539" s="116">
        <v>840</v>
      </c>
      <c r="F1539" s="116">
        <v>838.8</v>
      </c>
      <c r="G1539">
        <v>4970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45311</v>
      </c>
      <c r="B1540" s="116">
        <v>850</v>
      </c>
      <c r="C1540" s="116">
        <v>848.4</v>
      </c>
      <c r="D1540" s="116">
        <v>833.2</v>
      </c>
      <c r="E1540" s="116">
        <v>850</v>
      </c>
      <c r="F1540" s="116">
        <v>848.4</v>
      </c>
      <c r="G1540">
        <v>3251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45314</v>
      </c>
      <c r="B1541" s="116">
        <v>911.95</v>
      </c>
      <c r="C1541" s="116">
        <v>856.65</v>
      </c>
      <c r="D1541" s="116">
        <v>850.6</v>
      </c>
      <c r="E1541" s="116">
        <v>864</v>
      </c>
      <c r="F1541" s="116">
        <v>856.65</v>
      </c>
      <c r="G1541">
        <v>26343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45315</v>
      </c>
      <c r="B1542" s="116">
        <v>874.9</v>
      </c>
      <c r="C1542" s="116">
        <v>859.9</v>
      </c>
      <c r="D1542" s="116">
        <v>841</v>
      </c>
      <c r="E1542" s="116">
        <v>874.9</v>
      </c>
      <c r="F1542" s="116">
        <v>859.9</v>
      </c>
      <c r="G1542">
        <v>6566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45316</v>
      </c>
      <c r="B1543" s="116">
        <v>869.75</v>
      </c>
      <c r="C1543" s="116">
        <v>854.05</v>
      </c>
      <c r="D1543" s="116">
        <v>850</v>
      </c>
      <c r="E1543" s="116">
        <v>863.8</v>
      </c>
      <c r="F1543" s="116">
        <v>854.05</v>
      </c>
      <c r="G1543">
        <v>2841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45320</v>
      </c>
      <c r="B1544" s="116">
        <v>867.65</v>
      </c>
      <c r="C1544" s="116">
        <v>836.7</v>
      </c>
      <c r="D1544" s="116">
        <v>831</v>
      </c>
      <c r="E1544" s="116">
        <v>865</v>
      </c>
      <c r="F1544" s="116">
        <v>836.7</v>
      </c>
      <c r="G1544">
        <v>4210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45321</v>
      </c>
      <c r="B1545" s="116">
        <v>850</v>
      </c>
      <c r="C1545" s="116">
        <v>830.75</v>
      </c>
      <c r="D1545" s="116">
        <v>827.7</v>
      </c>
      <c r="E1545" s="116">
        <v>840</v>
      </c>
      <c r="F1545" s="116">
        <v>830.75</v>
      </c>
      <c r="G1545">
        <v>4521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45322</v>
      </c>
      <c r="B1546" s="116">
        <v>844.75</v>
      </c>
      <c r="C1546" s="116">
        <v>832.7</v>
      </c>
      <c r="D1546" s="116">
        <v>829</v>
      </c>
      <c r="E1546" s="116">
        <v>844.75</v>
      </c>
      <c r="F1546" s="116">
        <v>832.7</v>
      </c>
      <c r="G1546">
        <v>2761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45323</v>
      </c>
      <c r="B1547" s="116">
        <v>845</v>
      </c>
      <c r="C1547" s="116">
        <v>815.9</v>
      </c>
      <c r="D1547" s="116">
        <v>805</v>
      </c>
      <c r="E1547" s="116">
        <v>835</v>
      </c>
      <c r="F1547" s="116">
        <v>815.9</v>
      </c>
      <c r="G1547">
        <v>3574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45324</v>
      </c>
      <c r="B1548" s="116">
        <v>845</v>
      </c>
      <c r="C1548" s="116">
        <v>817</v>
      </c>
      <c r="D1548" s="116">
        <v>810</v>
      </c>
      <c r="E1548" s="116">
        <v>831.35</v>
      </c>
      <c r="F1548" s="116">
        <v>817</v>
      </c>
      <c r="G1548">
        <v>3519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45327</v>
      </c>
      <c r="B1549" s="116">
        <v>833</v>
      </c>
      <c r="C1549" s="116">
        <v>807.4</v>
      </c>
      <c r="D1549" s="116">
        <v>803.35</v>
      </c>
      <c r="E1549" s="116">
        <v>832.4</v>
      </c>
      <c r="F1549" s="116">
        <v>807.4</v>
      </c>
      <c r="G1549">
        <v>4735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45328</v>
      </c>
      <c r="B1550" s="116">
        <v>823.5</v>
      </c>
      <c r="C1550" s="116">
        <v>804.9</v>
      </c>
      <c r="D1550" s="116">
        <v>800</v>
      </c>
      <c r="E1550" s="116">
        <v>806</v>
      </c>
      <c r="F1550" s="116">
        <v>804.9</v>
      </c>
      <c r="G1550">
        <v>3995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45329</v>
      </c>
      <c r="B1551" s="116">
        <v>820.7</v>
      </c>
      <c r="C1551" s="116">
        <v>801</v>
      </c>
      <c r="D1551" s="116">
        <v>789</v>
      </c>
      <c r="E1551" s="116">
        <v>805.1</v>
      </c>
      <c r="F1551" s="116">
        <v>801</v>
      </c>
      <c r="G1551">
        <v>8515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45330</v>
      </c>
      <c r="B1552" s="116">
        <v>824</v>
      </c>
      <c r="C1552" s="116">
        <v>817.65</v>
      </c>
      <c r="D1552" s="116">
        <v>797</v>
      </c>
      <c r="E1552" s="116">
        <v>803</v>
      </c>
      <c r="F1552" s="116">
        <v>817.65</v>
      </c>
      <c r="G1552">
        <v>8474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45331</v>
      </c>
      <c r="B1553" s="116">
        <v>855</v>
      </c>
      <c r="C1553" s="116">
        <v>834.9</v>
      </c>
      <c r="D1553" s="116">
        <v>780</v>
      </c>
      <c r="E1553" s="116">
        <v>810</v>
      </c>
      <c r="F1553" s="116">
        <v>834.9</v>
      </c>
      <c r="G1553">
        <v>14049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45334</v>
      </c>
      <c r="B1554" s="116">
        <v>834</v>
      </c>
      <c r="C1554" s="116">
        <v>812.85</v>
      </c>
      <c r="D1554" s="116">
        <v>792</v>
      </c>
      <c r="E1554" s="116">
        <v>815</v>
      </c>
      <c r="F1554" s="116">
        <v>812.85</v>
      </c>
      <c r="G1554">
        <v>10056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45335</v>
      </c>
      <c r="B1555" s="116">
        <v>809</v>
      </c>
      <c r="C1555" s="116">
        <v>796.85</v>
      </c>
      <c r="D1555" s="116">
        <v>770.05</v>
      </c>
      <c r="E1555" s="116">
        <v>785</v>
      </c>
      <c r="F1555" s="116">
        <v>796.85</v>
      </c>
      <c r="G1555">
        <v>9937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45336</v>
      </c>
      <c r="B1556" s="116">
        <v>914.8</v>
      </c>
      <c r="C1556" s="116">
        <v>906.1</v>
      </c>
      <c r="D1556" s="116">
        <v>781.2</v>
      </c>
      <c r="E1556" s="116">
        <v>798</v>
      </c>
      <c r="F1556" s="116">
        <v>906.1</v>
      </c>
      <c r="G1556">
        <v>30284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45337</v>
      </c>
      <c r="B1557" s="116">
        <v>1014.95</v>
      </c>
      <c r="C1557" s="116">
        <v>1004.5</v>
      </c>
      <c r="D1557" s="116">
        <v>842</v>
      </c>
      <c r="E1557" s="116">
        <v>906.1</v>
      </c>
      <c r="F1557" s="116">
        <v>1004.5</v>
      </c>
      <c r="G1557">
        <v>98398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45338</v>
      </c>
      <c r="B1558" s="116">
        <v>1054</v>
      </c>
      <c r="C1558" s="116">
        <v>970.65</v>
      </c>
      <c r="D1558" s="116">
        <v>960.1</v>
      </c>
      <c r="E1558" s="116">
        <v>1023.95</v>
      </c>
      <c r="F1558" s="116">
        <v>970.65</v>
      </c>
      <c r="G1558">
        <v>21583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45341</v>
      </c>
      <c r="B1559" s="116">
        <v>990</v>
      </c>
      <c r="C1559" s="116">
        <v>959.85</v>
      </c>
      <c r="D1559" s="116">
        <v>940</v>
      </c>
      <c r="E1559" s="116">
        <v>965</v>
      </c>
      <c r="F1559" s="116">
        <v>959.85</v>
      </c>
      <c r="G1559">
        <v>11990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45342</v>
      </c>
      <c r="B1560" s="116">
        <v>979.9</v>
      </c>
      <c r="C1560" s="116">
        <v>916.8</v>
      </c>
      <c r="D1560" s="116">
        <v>900</v>
      </c>
      <c r="E1560" s="116">
        <v>959.85</v>
      </c>
      <c r="F1560" s="116">
        <v>916.8</v>
      </c>
      <c r="G1560">
        <v>15665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45343</v>
      </c>
      <c r="B1561" s="116">
        <v>944</v>
      </c>
      <c r="C1561" s="116">
        <v>873.95</v>
      </c>
      <c r="D1561" s="116">
        <v>855</v>
      </c>
      <c r="E1561" s="116">
        <v>944</v>
      </c>
      <c r="F1561" s="116">
        <v>873.95</v>
      </c>
      <c r="G1561">
        <v>17495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45344</v>
      </c>
      <c r="B1562" s="116">
        <v>899.8</v>
      </c>
      <c r="C1562" s="116">
        <v>879.3</v>
      </c>
      <c r="D1562" s="116">
        <v>874</v>
      </c>
      <c r="E1562" s="116">
        <v>875</v>
      </c>
      <c r="F1562" s="116">
        <v>879.3</v>
      </c>
      <c r="G1562">
        <v>7599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45345</v>
      </c>
      <c r="B1563" s="116">
        <v>893</v>
      </c>
      <c r="C1563" s="116">
        <v>872.65</v>
      </c>
      <c r="D1563" s="116">
        <v>869.05</v>
      </c>
      <c r="E1563" s="116">
        <v>893</v>
      </c>
      <c r="F1563" s="116">
        <v>872.65</v>
      </c>
      <c r="G1563">
        <v>6732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45348</v>
      </c>
      <c r="B1564" s="116">
        <v>888</v>
      </c>
      <c r="C1564" s="116">
        <v>868.95</v>
      </c>
      <c r="D1564" s="116">
        <v>861.3</v>
      </c>
      <c r="E1564" s="116">
        <v>888</v>
      </c>
      <c r="F1564" s="116">
        <v>868.95</v>
      </c>
      <c r="G1564">
        <v>5278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45349</v>
      </c>
      <c r="B1565" s="116">
        <v>881.9</v>
      </c>
      <c r="C1565" s="116">
        <v>866.4</v>
      </c>
      <c r="D1565" s="116">
        <v>862</v>
      </c>
      <c r="E1565" s="116">
        <v>881.9</v>
      </c>
      <c r="F1565" s="116">
        <v>866.4</v>
      </c>
      <c r="G1565">
        <v>6543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45350</v>
      </c>
      <c r="B1566" s="116">
        <v>878.95</v>
      </c>
      <c r="C1566" s="116">
        <v>846.5</v>
      </c>
      <c r="D1566" s="116">
        <v>831</v>
      </c>
      <c r="E1566" s="116">
        <v>865</v>
      </c>
      <c r="F1566" s="116">
        <v>846.5</v>
      </c>
      <c r="G1566">
        <v>10239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45351</v>
      </c>
      <c r="B1567" s="116">
        <v>866</v>
      </c>
      <c r="C1567" s="116">
        <v>855.15</v>
      </c>
      <c r="D1567" s="116">
        <v>842.55</v>
      </c>
      <c r="E1567" s="116">
        <v>847</v>
      </c>
      <c r="F1567" s="116">
        <v>855.15</v>
      </c>
      <c r="G1567">
        <v>3119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45352</v>
      </c>
      <c r="B1568" s="116">
        <v>879.7</v>
      </c>
      <c r="C1568" s="116">
        <v>862.4</v>
      </c>
      <c r="D1568" s="116">
        <v>851.1</v>
      </c>
      <c r="E1568" s="116">
        <v>868</v>
      </c>
      <c r="F1568" s="116">
        <v>862.4</v>
      </c>
      <c r="G1568">
        <v>4829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45353</v>
      </c>
      <c r="B1569" s="116">
        <v>873.95</v>
      </c>
      <c r="C1569" s="116">
        <v>858.3</v>
      </c>
      <c r="D1569" s="116">
        <v>842.5</v>
      </c>
      <c r="E1569" s="116">
        <v>867</v>
      </c>
      <c r="F1569" s="116">
        <v>858.3</v>
      </c>
      <c r="G1569">
        <v>1818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45355</v>
      </c>
      <c r="B1570" s="116">
        <v>869.5</v>
      </c>
      <c r="C1570" s="116">
        <v>839</v>
      </c>
      <c r="D1570" s="116">
        <v>795</v>
      </c>
      <c r="E1570" s="116">
        <v>868.95</v>
      </c>
      <c r="F1570" s="116">
        <v>839</v>
      </c>
      <c r="G1570">
        <v>6381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45356</v>
      </c>
      <c r="B1571" s="116">
        <v>855</v>
      </c>
      <c r="C1571" s="116">
        <v>853.2</v>
      </c>
      <c r="D1571" s="116">
        <v>838.35</v>
      </c>
      <c r="E1571" s="116">
        <v>839.2</v>
      </c>
      <c r="F1571" s="116">
        <v>853.2</v>
      </c>
      <c r="G1571">
        <v>3436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45357</v>
      </c>
      <c r="B1572" s="116">
        <v>854</v>
      </c>
      <c r="C1572" s="116">
        <v>818.65</v>
      </c>
      <c r="D1572" s="116">
        <v>803.65</v>
      </c>
      <c r="E1572" s="116">
        <v>853</v>
      </c>
      <c r="F1572" s="116">
        <v>818.65</v>
      </c>
      <c r="G1572">
        <v>7944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45358</v>
      </c>
      <c r="B1573" s="116">
        <v>834.8</v>
      </c>
      <c r="C1573" s="116">
        <v>818.75</v>
      </c>
      <c r="D1573" s="116">
        <v>814</v>
      </c>
      <c r="E1573" s="116">
        <v>820.85</v>
      </c>
      <c r="F1573" s="116">
        <v>818.75</v>
      </c>
      <c r="G1573">
        <v>2005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45362</v>
      </c>
      <c r="B1574" s="116">
        <v>830</v>
      </c>
      <c r="C1574" s="116">
        <v>807.65</v>
      </c>
      <c r="D1574" s="116">
        <v>800</v>
      </c>
      <c r="E1574" s="116">
        <v>818.75</v>
      </c>
      <c r="F1574" s="116">
        <v>807.65</v>
      </c>
      <c r="G1574">
        <v>6957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45363</v>
      </c>
      <c r="B1575" s="116">
        <v>814</v>
      </c>
      <c r="C1575" s="116">
        <v>780.85</v>
      </c>
      <c r="D1575" s="116">
        <v>771</v>
      </c>
      <c r="E1575" s="116">
        <v>814</v>
      </c>
      <c r="F1575" s="116">
        <v>780.85</v>
      </c>
      <c r="G1575">
        <v>8587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45364</v>
      </c>
      <c r="B1576" s="116">
        <v>794.95</v>
      </c>
      <c r="C1576" s="116">
        <v>683.2</v>
      </c>
      <c r="D1576" s="116">
        <v>650</v>
      </c>
      <c r="E1576" s="116">
        <v>794.95</v>
      </c>
      <c r="F1576" s="116">
        <v>683.2</v>
      </c>
      <c r="G1576">
        <v>47890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45365</v>
      </c>
      <c r="B1577" s="116">
        <v>780</v>
      </c>
      <c r="C1577" s="116">
        <v>769.7</v>
      </c>
      <c r="D1577" s="116">
        <v>683.3</v>
      </c>
      <c r="E1577" s="116">
        <v>689.05</v>
      </c>
      <c r="F1577" s="116">
        <v>769.7</v>
      </c>
      <c r="G1577">
        <v>16720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45366</v>
      </c>
      <c r="B1578" s="116">
        <v>777.4</v>
      </c>
      <c r="C1578" s="116">
        <v>726.2</v>
      </c>
      <c r="D1578" s="116">
        <v>707</v>
      </c>
      <c r="E1578" s="116">
        <v>769</v>
      </c>
      <c r="F1578" s="116">
        <v>726.2</v>
      </c>
      <c r="G1578">
        <v>5363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45369</v>
      </c>
      <c r="B1579" s="116">
        <v>748.95</v>
      </c>
      <c r="C1579" s="116">
        <v>728.5</v>
      </c>
      <c r="D1579" s="116">
        <v>710</v>
      </c>
      <c r="E1579" s="116">
        <v>748.95</v>
      </c>
      <c r="F1579" s="116">
        <v>728.5</v>
      </c>
      <c r="G1579">
        <v>12841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45370</v>
      </c>
      <c r="B1580" s="116">
        <v>745</v>
      </c>
      <c r="C1580" s="116">
        <v>719.3</v>
      </c>
      <c r="D1580" s="116">
        <v>709</v>
      </c>
      <c r="E1580" s="116">
        <v>738.85</v>
      </c>
      <c r="F1580" s="116">
        <v>719.3</v>
      </c>
      <c r="G1580">
        <v>4684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45371</v>
      </c>
      <c r="B1581" s="116">
        <v>740</v>
      </c>
      <c r="C1581" s="116">
        <v>726.95</v>
      </c>
      <c r="D1581" s="116">
        <v>700.4</v>
      </c>
      <c r="E1581" s="116">
        <v>719.3</v>
      </c>
      <c r="F1581" s="116">
        <v>726.95</v>
      </c>
      <c r="G1581">
        <v>5128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45372</v>
      </c>
      <c r="B1582" s="116">
        <v>754.7</v>
      </c>
      <c r="C1582" s="116">
        <v>720.45</v>
      </c>
      <c r="D1582" s="116">
        <v>715</v>
      </c>
      <c r="E1582" s="116">
        <v>740</v>
      </c>
      <c r="F1582" s="116">
        <v>720.45</v>
      </c>
      <c r="G1582">
        <v>5597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45373</v>
      </c>
      <c r="B1583" s="116">
        <v>750</v>
      </c>
      <c r="C1583" s="116">
        <v>733.85</v>
      </c>
      <c r="D1583" s="116">
        <v>715</v>
      </c>
      <c r="E1583" s="116">
        <v>720.45</v>
      </c>
      <c r="F1583" s="116">
        <v>733.85</v>
      </c>
      <c r="G1583">
        <v>13317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45377</v>
      </c>
      <c r="B1584" s="116">
        <v>759.8</v>
      </c>
      <c r="C1584" s="116">
        <v>736.45</v>
      </c>
      <c r="D1584" s="116">
        <v>736</v>
      </c>
      <c r="E1584" s="116">
        <v>759.8</v>
      </c>
      <c r="F1584" s="116">
        <v>736.45</v>
      </c>
      <c r="G1584">
        <v>3978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45378</v>
      </c>
      <c r="B1585" s="116">
        <v>762</v>
      </c>
      <c r="C1585" s="116">
        <v>722.25</v>
      </c>
      <c r="D1585" s="116">
        <v>716.25</v>
      </c>
      <c r="E1585" s="116">
        <v>736</v>
      </c>
      <c r="F1585" s="116">
        <v>722.25</v>
      </c>
      <c r="G1585">
        <v>12895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45379</v>
      </c>
      <c r="B1586" s="116">
        <v>745</v>
      </c>
      <c r="C1586" s="116">
        <v>717.3</v>
      </c>
      <c r="D1586" s="116">
        <v>695</v>
      </c>
      <c r="E1586" s="116">
        <v>736.7</v>
      </c>
      <c r="F1586" s="116">
        <v>717.3</v>
      </c>
      <c r="G1586">
        <v>17411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45383</v>
      </c>
      <c r="B1587" s="116">
        <v>798</v>
      </c>
      <c r="C1587" s="116">
        <v>762.35</v>
      </c>
      <c r="D1587" s="116">
        <v>717.05</v>
      </c>
      <c r="E1587" s="116">
        <v>738.9</v>
      </c>
      <c r="F1587" s="116">
        <v>762.35</v>
      </c>
      <c r="G1587">
        <v>7404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45384</v>
      </c>
      <c r="B1588" s="116">
        <v>901</v>
      </c>
      <c r="C1588" s="116">
        <v>865.3</v>
      </c>
      <c r="D1588" s="116">
        <v>760</v>
      </c>
      <c r="E1588" s="116">
        <v>762.35</v>
      </c>
      <c r="F1588" s="116">
        <v>865.3</v>
      </c>
      <c r="G1588">
        <v>28124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45385</v>
      </c>
      <c r="B1589" s="116">
        <v>900</v>
      </c>
      <c r="C1589" s="116">
        <v>871.55</v>
      </c>
      <c r="D1589" s="116">
        <v>860</v>
      </c>
      <c r="E1589" s="116">
        <v>871</v>
      </c>
      <c r="F1589" s="116">
        <v>871.55</v>
      </c>
      <c r="G1589">
        <v>7379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45386</v>
      </c>
      <c r="B1590" s="116">
        <v>896.5</v>
      </c>
      <c r="C1590" s="116">
        <v>848.65</v>
      </c>
      <c r="D1590" s="116">
        <v>841</v>
      </c>
      <c r="E1590" s="116">
        <v>871.55</v>
      </c>
      <c r="F1590" s="116">
        <v>848.65</v>
      </c>
      <c r="G1590">
        <v>4981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45387</v>
      </c>
      <c r="B1591" s="116">
        <v>859.7</v>
      </c>
      <c r="C1591" s="116">
        <v>799.25</v>
      </c>
      <c r="D1591" s="116">
        <v>783.2</v>
      </c>
      <c r="E1591" s="116">
        <v>855</v>
      </c>
      <c r="F1591" s="116">
        <v>799.25</v>
      </c>
      <c r="G1591">
        <v>11076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45390</v>
      </c>
      <c r="B1592" s="116">
        <v>839</v>
      </c>
      <c r="C1592" s="116">
        <v>801.2</v>
      </c>
      <c r="D1592" s="116">
        <v>799</v>
      </c>
      <c r="E1592" s="116">
        <v>810</v>
      </c>
      <c r="F1592" s="116">
        <v>801.2</v>
      </c>
      <c r="G1592">
        <v>6254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45391</v>
      </c>
      <c r="B1593" s="116">
        <v>818.05</v>
      </c>
      <c r="C1593" s="116">
        <v>796.6</v>
      </c>
      <c r="D1593" s="116">
        <v>790</v>
      </c>
      <c r="E1593" s="116">
        <v>800</v>
      </c>
      <c r="F1593" s="116">
        <v>796.6</v>
      </c>
      <c r="G1593">
        <v>5725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45392</v>
      </c>
      <c r="B1594" s="116">
        <v>834</v>
      </c>
      <c r="C1594" s="116">
        <v>811.9</v>
      </c>
      <c r="D1594" s="116">
        <v>795</v>
      </c>
      <c r="E1594" s="116">
        <v>800</v>
      </c>
      <c r="F1594" s="116">
        <v>811.9</v>
      </c>
      <c r="G1594">
        <v>5611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45394</v>
      </c>
      <c r="B1595" s="116">
        <v>819.8</v>
      </c>
      <c r="C1595" s="116">
        <v>782.9</v>
      </c>
      <c r="D1595" s="116">
        <v>780</v>
      </c>
      <c r="E1595" s="116">
        <v>811.9</v>
      </c>
      <c r="F1595" s="116">
        <v>782.9</v>
      </c>
      <c r="G1595">
        <v>6524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45397</v>
      </c>
      <c r="B1596" s="116">
        <v>810.95</v>
      </c>
      <c r="C1596" s="116">
        <v>773.85</v>
      </c>
      <c r="D1596" s="116">
        <v>755</v>
      </c>
      <c r="E1596" s="116">
        <v>762.9</v>
      </c>
      <c r="F1596" s="116">
        <v>773.85</v>
      </c>
      <c r="G1596">
        <v>5152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45398</v>
      </c>
      <c r="B1597" s="116">
        <v>797</v>
      </c>
      <c r="C1597" s="116">
        <v>789.3</v>
      </c>
      <c r="D1597" s="116">
        <v>757</v>
      </c>
      <c r="E1597" s="116">
        <v>757</v>
      </c>
      <c r="F1597" s="116">
        <v>789.3</v>
      </c>
      <c r="G1597">
        <v>1449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45400</v>
      </c>
      <c r="B1598" s="116">
        <v>815</v>
      </c>
      <c r="C1598" s="116">
        <v>774.55</v>
      </c>
      <c r="D1598" s="116">
        <v>761.15</v>
      </c>
      <c r="E1598" s="116">
        <v>791</v>
      </c>
      <c r="F1598" s="116">
        <v>774.55</v>
      </c>
      <c r="G1598">
        <v>4540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45401</v>
      </c>
      <c r="B1599" s="116">
        <v>788</v>
      </c>
      <c r="C1599" s="116">
        <v>762.65</v>
      </c>
      <c r="D1599" s="116">
        <v>756.1</v>
      </c>
      <c r="E1599" s="116">
        <v>788</v>
      </c>
      <c r="F1599" s="116">
        <v>762.65</v>
      </c>
      <c r="G1599">
        <v>8975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45404</v>
      </c>
      <c r="B1600" s="116">
        <v>790</v>
      </c>
      <c r="C1600" s="116">
        <v>765.2</v>
      </c>
      <c r="D1600" s="116">
        <v>760</v>
      </c>
      <c r="E1600" s="116">
        <v>770.1</v>
      </c>
      <c r="F1600" s="116">
        <v>765.2</v>
      </c>
      <c r="G1600">
        <v>8021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45405</v>
      </c>
      <c r="B1601" s="116">
        <v>830</v>
      </c>
      <c r="C1601" s="116">
        <v>827.6</v>
      </c>
      <c r="D1601" s="116">
        <v>765.5</v>
      </c>
      <c r="E1601" s="116">
        <v>770</v>
      </c>
      <c r="F1601" s="116">
        <v>827.6</v>
      </c>
      <c r="G1601">
        <v>12613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45406</v>
      </c>
      <c r="B1602" s="116">
        <v>855</v>
      </c>
      <c r="C1602" s="116">
        <v>824.75</v>
      </c>
      <c r="D1602" s="116">
        <v>752</v>
      </c>
      <c r="E1602" s="116">
        <v>850</v>
      </c>
      <c r="F1602" s="116">
        <v>824.75</v>
      </c>
      <c r="G1602">
        <v>13899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45407</v>
      </c>
      <c r="B1603" s="116">
        <v>848.75</v>
      </c>
      <c r="C1603" s="116">
        <v>844.4</v>
      </c>
      <c r="D1603" s="116">
        <v>812.05</v>
      </c>
      <c r="E1603" s="116">
        <v>830</v>
      </c>
      <c r="F1603" s="116">
        <v>844.4</v>
      </c>
      <c r="G1603">
        <v>9839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45408</v>
      </c>
      <c r="B1604" s="116">
        <v>858</v>
      </c>
      <c r="C1604" s="116">
        <v>845.75</v>
      </c>
      <c r="D1604" s="116">
        <v>830</v>
      </c>
      <c r="E1604" s="116">
        <v>845</v>
      </c>
      <c r="F1604" s="116">
        <v>845.75</v>
      </c>
      <c r="G1604">
        <v>6170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45411</v>
      </c>
      <c r="B1605" s="116">
        <v>988.8</v>
      </c>
      <c r="C1605" s="116">
        <v>934.45</v>
      </c>
      <c r="D1605" s="116">
        <v>851.05</v>
      </c>
      <c r="E1605" s="116">
        <v>851.05</v>
      </c>
      <c r="F1605" s="116">
        <v>934.45</v>
      </c>
      <c r="G1605">
        <v>55365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45412</v>
      </c>
      <c r="B1606" s="116">
        <v>964</v>
      </c>
      <c r="C1606" s="116">
        <v>935.65</v>
      </c>
      <c r="D1606" s="116">
        <v>925</v>
      </c>
      <c r="E1606" s="116">
        <v>959.8</v>
      </c>
      <c r="F1606" s="116">
        <v>935.65</v>
      </c>
      <c r="G1606">
        <v>12216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45414</v>
      </c>
      <c r="B1607" s="116">
        <v>950</v>
      </c>
      <c r="C1607" s="116">
        <v>924.85</v>
      </c>
      <c r="D1607" s="116">
        <v>910.2</v>
      </c>
      <c r="E1607" s="116">
        <v>948.95</v>
      </c>
      <c r="F1607" s="116">
        <v>924.85</v>
      </c>
      <c r="G1607">
        <v>5267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45415</v>
      </c>
      <c r="B1608" s="116">
        <v>937.8</v>
      </c>
      <c r="C1608" s="116">
        <v>901.05</v>
      </c>
      <c r="D1608" s="116">
        <v>870</v>
      </c>
      <c r="E1608" s="116">
        <v>937.8</v>
      </c>
      <c r="F1608" s="116">
        <v>901.05</v>
      </c>
      <c r="G1608">
        <v>7814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45418</v>
      </c>
      <c r="B1609" s="116">
        <v>1004</v>
      </c>
      <c r="C1609" s="116">
        <v>981.65</v>
      </c>
      <c r="D1609" s="116">
        <v>930.5</v>
      </c>
      <c r="E1609" s="116">
        <v>953</v>
      </c>
      <c r="F1609" s="116">
        <v>981.65</v>
      </c>
      <c r="G1609">
        <v>50635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45419</v>
      </c>
      <c r="B1610" s="116">
        <v>1024</v>
      </c>
      <c r="C1610" s="116">
        <v>1002.35</v>
      </c>
      <c r="D1610" s="116">
        <v>966</v>
      </c>
      <c r="E1610" s="116">
        <v>1015</v>
      </c>
      <c r="F1610" s="116">
        <v>1002.35</v>
      </c>
      <c r="G1610">
        <v>34085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45420</v>
      </c>
      <c r="B1611" s="116">
        <v>988</v>
      </c>
      <c r="C1611" s="116">
        <v>905.25</v>
      </c>
      <c r="D1611" s="116">
        <v>895.05</v>
      </c>
      <c r="E1611" s="116">
        <v>988</v>
      </c>
      <c r="F1611" s="116">
        <v>905.25</v>
      </c>
      <c r="G1611">
        <v>28257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45421</v>
      </c>
      <c r="B1612" s="116">
        <v>925</v>
      </c>
      <c r="C1612" s="116">
        <v>835.8</v>
      </c>
      <c r="D1612" s="116">
        <v>820</v>
      </c>
      <c r="E1612" s="116">
        <v>923.95</v>
      </c>
      <c r="F1612" s="116">
        <v>835.8</v>
      </c>
      <c r="G1612">
        <v>22926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45422</v>
      </c>
      <c r="B1613" s="116">
        <v>863</v>
      </c>
      <c r="C1613" s="116">
        <v>854.15</v>
      </c>
      <c r="D1613" s="116">
        <v>827.2</v>
      </c>
      <c r="E1613" s="116">
        <v>827.2</v>
      </c>
      <c r="F1613" s="116">
        <v>854.15</v>
      </c>
      <c r="G1613">
        <v>6994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45425</v>
      </c>
      <c r="B1614" s="116">
        <v>864.9</v>
      </c>
      <c r="C1614" s="116">
        <v>812.65</v>
      </c>
      <c r="D1614" s="116">
        <v>802</v>
      </c>
      <c r="E1614" s="116">
        <v>860</v>
      </c>
      <c r="F1614" s="116">
        <v>812.65</v>
      </c>
      <c r="G1614">
        <v>10571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45426</v>
      </c>
      <c r="B1615" s="116">
        <v>874.8</v>
      </c>
      <c r="C1615" s="116">
        <v>852.95</v>
      </c>
      <c r="D1615" s="116">
        <v>810</v>
      </c>
      <c r="E1615" s="116">
        <v>812</v>
      </c>
      <c r="F1615" s="116">
        <v>852.95</v>
      </c>
      <c r="G1615">
        <v>9930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45427</v>
      </c>
      <c r="B1616" s="116">
        <v>914</v>
      </c>
      <c r="C1616" s="116">
        <v>898.3</v>
      </c>
      <c r="D1616" s="116">
        <v>856</v>
      </c>
      <c r="E1616" s="116">
        <v>866</v>
      </c>
      <c r="F1616" s="116">
        <v>898.3</v>
      </c>
      <c r="G1616">
        <v>12282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45428</v>
      </c>
      <c r="B1617" s="116">
        <v>915</v>
      </c>
      <c r="C1617" s="116">
        <v>879.35</v>
      </c>
      <c r="D1617" s="116">
        <v>875</v>
      </c>
      <c r="E1617" s="116">
        <v>899.9</v>
      </c>
      <c r="F1617" s="116">
        <v>879.35</v>
      </c>
      <c r="G1617">
        <v>2778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45429</v>
      </c>
      <c r="B1618" s="116">
        <v>909.9</v>
      </c>
      <c r="C1618" s="116">
        <v>870.35</v>
      </c>
      <c r="D1618" s="116">
        <v>860</v>
      </c>
      <c r="E1618" s="116">
        <v>899.95</v>
      </c>
      <c r="F1618" s="116">
        <v>870.35</v>
      </c>
      <c r="G1618">
        <v>3314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45430</v>
      </c>
      <c r="B1619" s="116">
        <v>894.8</v>
      </c>
      <c r="C1619" s="116">
        <v>880.45</v>
      </c>
      <c r="D1619" s="116">
        <v>865.3</v>
      </c>
      <c r="E1619" s="116">
        <v>894.8</v>
      </c>
      <c r="F1619" s="116">
        <v>880.45</v>
      </c>
      <c r="G1619">
        <v>1304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45433</v>
      </c>
      <c r="B1620" s="116">
        <v>890</v>
      </c>
      <c r="C1620" s="116">
        <v>843</v>
      </c>
      <c r="D1620" s="116">
        <v>840</v>
      </c>
      <c r="E1620" s="116">
        <v>864.6</v>
      </c>
      <c r="F1620" s="116">
        <v>843</v>
      </c>
      <c r="G1620">
        <v>7399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45434</v>
      </c>
      <c r="B1621" s="116">
        <v>849.9</v>
      </c>
      <c r="C1621" s="116">
        <v>846.15</v>
      </c>
      <c r="D1621" s="116">
        <v>836.05</v>
      </c>
      <c r="E1621" s="116">
        <v>842.1</v>
      </c>
      <c r="F1621" s="116">
        <v>846.15</v>
      </c>
      <c r="G1621">
        <v>3299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45435</v>
      </c>
      <c r="B1622" s="116">
        <v>869.9</v>
      </c>
      <c r="C1622" s="116">
        <v>847.15</v>
      </c>
      <c r="D1622" s="116">
        <v>840</v>
      </c>
      <c r="E1622" s="116">
        <v>849</v>
      </c>
      <c r="F1622" s="116">
        <v>847.15</v>
      </c>
      <c r="G1622">
        <v>9958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45436</v>
      </c>
      <c r="B1623" s="116">
        <v>858.25</v>
      </c>
      <c r="C1623" s="116">
        <v>839.65</v>
      </c>
      <c r="D1623" s="116">
        <v>830.4</v>
      </c>
      <c r="E1623" s="116">
        <v>847.15</v>
      </c>
      <c r="F1623" s="116">
        <v>839.65</v>
      </c>
      <c r="G1623">
        <v>1108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45439</v>
      </c>
      <c r="B1624" s="116">
        <v>844.4</v>
      </c>
      <c r="C1624" s="116">
        <v>823.65</v>
      </c>
      <c r="D1624" s="116">
        <v>820</v>
      </c>
      <c r="E1624" s="116">
        <v>840</v>
      </c>
      <c r="F1624" s="116">
        <v>823.65</v>
      </c>
      <c r="G1624">
        <v>5390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45440</v>
      </c>
      <c r="B1625" s="116">
        <v>828.8</v>
      </c>
      <c r="C1625" s="116">
        <v>810.35</v>
      </c>
      <c r="D1625" s="116">
        <v>810</v>
      </c>
      <c r="E1625" s="116">
        <v>823.6</v>
      </c>
      <c r="F1625" s="116">
        <v>810.35</v>
      </c>
      <c r="G1625">
        <v>8910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45441</v>
      </c>
      <c r="B1626" s="116">
        <v>826.75</v>
      </c>
      <c r="C1626" s="116">
        <v>802.9</v>
      </c>
      <c r="D1626" s="116">
        <v>797</v>
      </c>
      <c r="E1626" s="116">
        <v>810</v>
      </c>
      <c r="F1626" s="116">
        <v>802.9</v>
      </c>
      <c r="G1626">
        <v>6616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45442</v>
      </c>
      <c r="B1627" s="116">
        <v>819.75</v>
      </c>
      <c r="C1627" s="116">
        <v>793.9</v>
      </c>
      <c r="D1627" s="116">
        <v>790</v>
      </c>
      <c r="E1627" s="116">
        <v>815</v>
      </c>
      <c r="F1627" s="116">
        <v>793.9</v>
      </c>
      <c r="G1627">
        <v>4477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45443</v>
      </c>
      <c r="B1628" s="116">
        <v>819.95</v>
      </c>
      <c r="C1628" s="116">
        <v>793.7</v>
      </c>
      <c r="D1628" s="116">
        <v>766.5</v>
      </c>
      <c r="E1628" s="116">
        <v>787.2</v>
      </c>
      <c r="F1628" s="116">
        <v>793.7</v>
      </c>
      <c r="G1628">
        <v>6795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45446</v>
      </c>
      <c r="B1629" s="116">
        <v>844</v>
      </c>
      <c r="C1629" s="116">
        <v>791.05</v>
      </c>
      <c r="D1629" s="116">
        <v>772.3</v>
      </c>
      <c r="E1629" s="116">
        <v>815</v>
      </c>
      <c r="F1629" s="116">
        <v>791.05</v>
      </c>
      <c r="G1629">
        <v>5227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45447</v>
      </c>
      <c r="B1630" s="116">
        <v>791.05</v>
      </c>
      <c r="C1630" s="116">
        <v>757.8</v>
      </c>
      <c r="D1630" s="116">
        <v>724.95</v>
      </c>
      <c r="E1630" s="116">
        <v>790</v>
      </c>
      <c r="F1630" s="116">
        <v>757.8</v>
      </c>
      <c r="G1630">
        <v>11573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45448</v>
      </c>
      <c r="B1631" s="116">
        <v>819.8</v>
      </c>
      <c r="C1631" s="116">
        <v>774.55</v>
      </c>
      <c r="D1631" s="116">
        <v>735</v>
      </c>
      <c r="E1631" s="116">
        <v>774.95</v>
      </c>
      <c r="F1631" s="116">
        <v>774.55</v>
      </c>
      <c r="G1631">
        <v>11122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45449</v>
      </c>
      <c r="B1632" s="116">
        <v>808.95</v>
      </c>
      <c r="C1632" s="116">
        <v>800.8</v>
      </c>
      <c r="D1632" s="116">
        <v>789</v>
      </c>
      <c r="E1632" s="116">
        <v>800</v>
      </c>
      <c r="F1632" s="116">
        <v>800.8</v>
      </c>
      <c r="G1632">
        <v>3548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45450</v>
      </c>
      <c r="B1633" s="116">
        <v>823</v>
      </c>
      <c r="C1633" s="116">
        <v>812.85</v>
      </c>
      <c r="D1633" s="116">
        <v>790.1</v>
      </c>
      <c r="E1633" s="116">
        <v>810</v>
      </c>
      <c r="F1633" s="116">
        <v>812.85</v>
      </c>
      <c r="G1633">
        <v>6292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45453</v>
      </c>
      <c r="B1634" s="116">
        <v>825</v>
      </c>
      <c r="C1634" s="116">
        <v>803</v>
      </c>
      <c r="D1634" s="116">
        <v>793.1</v>
      </c>
      <c r="E1634" s="116">
        <v>812.85</v>
      </c>
      <c r="F1634" s="116">
        <v>803</v>
      </c>
      <c r="G1634">
        <v>2412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45454</v>
      </c>
      <c r="B1635" s="116">
        <v>819</v>
      </c>
      <c r="C1635" s="116">
        <v>796.2</v>
      </c>
      <c r="D1635" s="116">
        <v>792.2</v>
      </c>
      <c r="E1635" s="116">
        <v>819</v>
      </c>
      <c r="F1635" s="116">
        <v>796.2</v>
      </c>
      <c r="G1635">
        <v>6063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45455</v>
      </c>
      <c r="B1636" s="116">
        <v>814.7</v>
      </c>
      <c r="C1636" s="116">
        <v>795</v>
      </c>
      <c r="D1636" s="116">
        <v>785</v>
      </c>
      <c r="E1636" s="116">
        <v>796.35</v>
      </c>
      <c r="F1636" s="116">
        <v>795</v>
      </c>
      <c r="G1636">
        <v>3804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45456</v>
      </c>
      <c r="B1637" s="116">
        <v>934</v>
      </c>
      <c r="C1637" s="116">
        <v>918.15</v>
      </c>
      <c r="D1637" s="116">
        <v>796.05</v>
      </c>
      <c r="E1637" s="116">
        <v>805</v>
      </c>
      <c r="F1637" s="116">
        <v>918.15</v>
      </c>
      <c r="G1637">
        <v>51653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45457</v>
      </c>
      <c r="B1638" s="116">
        <v>940</v>
      </c>
      <c r="C1638" s="116">
        <v>933.4</v>
      </c>
      <c r="D1638" s="116">
        <v>873.1</v>
      </c>
      <c r="E1638" s="116">
        <v>927.3</v>
      </c>
      <c r="F1638" s="116">
        <v>933.4</v>
      </c>
      <c r="G1638">
        <v>26355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45461</v>
      </c>
      <c r="B1639" s="116">
        <v>945</v>
      </c>
      <c r="C1639" s="116">
        <v>920.15</v>
      </c>
      <c r="D1639" s="116">
        <v>890</v>
      </c>
      <c r="E1639" s="116">
        <v>942</v>
      </c>
      <c r="F1639" s="116">
        <v>920.15</v>
      </c>
      <c r="G1639">
        <v>14557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45462</v>
      </c>
      <c r="B1640" s="116">
        <v>910</v>
      </c>
      <c r="C1640" s="116">
        <v>875.9</v>
      </c>
      <c r="D1640" s="116">
        <v>860.1</v>
      </c>
      <c r="E1640" s="116">
        <v>910</v>
      </c>
      <c r="F1640" s="116">
        <v>875.9</v>
      </c>
      <c r="G1640">
        <v>5230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45463</v>
      </c>
      <c r="B1641" s="116">
        <v>955.5</v>
      </c>
      <c r="C1641" s="116">
        <v>946.15</v>
      </c>
      <c r="D1641" s="116">
        <v>844.4</v>
      </c>
      <c r="E1641" s="116">
        <v>898.95</v>
      </c>
      <c r="F1641" s="116">
        <v>946.15</v>
      </c>
      <c r="G1641">
        <v>35511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45464</v>
      </c>
      <c r="B1642" s="116">
        <v>945</v>
      </c>
      <c r="C1642" s="116">
        <v>923.6</v>
      </c>
      <c r="D1642" s="116">
        <v>912</v>
      </c>
      <c r="E1642" s="116">
        <v>945</v>
      </c>
      <c r="F1642" s="116">
        <v>923.6</v>
      </c>
      <c r="G1642">
        <v>6833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45467</v>
      </c>
      <c r="B1643" s="116">
        <v>935.95</v>
      </c>
      <c r="C1643" s="116">
        <v>895.95</v>
      </c>
      <c r="D1643" s="116">
        <v>890</v>
      </c>
      <c r="E1643" s="116">
        <v>935.95</v>
      </c>
      <c r="F1643" s="116">
        <v>895.95</v>
      </c>
      <c r="G1643">
        <v>4689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45468</v>
      </c>
      <c r="B1644" s="116">
        <v>924</v>
      </c>
      <c r="C1644" s="116">
        <v>880.75</v>
      </c>
      <c r="D1644" s="116">
        <v>875</v>
      </c>
      <c r="E1644" s="116">
        <v>900</v>
      </c>
      <c r="F1644" s="116">
        <v>880.75</v>
      </c>
      <c r="G1644">
        <v>5342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45469</v>
      </c>
      <c r="B1645" s="116">
        <v>899.95</v>
      </c>
      <c r="C1645" s="116">
        <v>880</v>
      </c>
      <c r="D1645" s="116">
        <v>872</v>
      </c>
      <c r="E1645" s="116">
        <v>881.05</v>
      </c>
      <c r="F1645" s="116">
        <v>880</v>
      </c>
      <c r="G1645">
        <v>4591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45470</v>
      </c>
      <c r="B1646" s="116">
        <v>894.95</v>
      </c>
      <c r="C1646" s="116">
        <v>869.3</v>
      </c>
      <c r="D1646" s="116">
        <v>865.1</v>
      </c>
      <c r="E1646" s="116">
        <v>894.95</v>
      </c>
      <c r="F1646" s="116">
        <v>869.3</v>
      </c>
      <c r="G1646">
        <v>2615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45471</v>
      </c>
      <c r="B1647" s="116">
        <v>888.2</v>
      </c>
      <c r="C1647" s="116">
        <v>871.9</v>
      </c>
      <c r="D1647" s="116">
        <v>852.05</v>
      </c>
      <c r="E1647" s="116">
        <v>852.05</v>
      </c>
      <c r="F1647" s="116">
        <v>871.9</v>
      </c>
      <c r="G1647">
        <v>2539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45474</v>
      </c>
      <c r="B1648" s="116">
        <v>897.1</v>
      </c>
      <c r="C1648" s="116">
        <v>864.65</v>
      </c>
      <c r="D1648" s="116">
        <v>862.05</v>
      </c>
      <c r="E1648" s="116">
        <v>862.05</v>
      </c>
      <c r="F1648" s="116">
        <v>864.65</v>
      </c>
      <c r="G1648">
        <v>2490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45475</v>
      </c>
      <c r="B1649" s="116">
        <v>887.95</v>
      </c>
      <c r="C1649" s="116">
        <v>863.4</v>
      </c>
      <c r="D1649" s="116">
        <v>860</v>
      </c>
      <c r="E1649" s="116">
        <v>870</v>
      </c>
      <c r="F1649" s="116">
        <v>863.4</v>
      </c>
      <c r="G1649">
        <v>2272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45476</v>
      </c>
      <c r="B1650" s="116">
        <v>884</v>
      </c>
      <c r="C1650" s="116">
        <v>877.6</v>
      </c>
      <c r="D1650" s="116">
        <v>858.4</v>
      </c>
      <c r="E1650" s="116">
        <v>864</v>
      </c>
      <c r="F1650" s="116">
        <v>877.6</v>
      </c>
      <c r="G1650">
        <v>6816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45477</v>
      </c>
      <c r="B1651" s="116">
        <v>879.95</v>
      </c>
      <c r="C1651" s="116">
        <v>850.5</v>
      </c>
      <c r="D1651" s="116">
        <v>845</v>
      </c>
      <c r="E1651" s="116">
        <v>872.1</v>
      </c>
      <c r="F1651" s="116">
        <v>850.5</v>
      </c>
      <c r="G1651">
        <v>10290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45478</v>
      </c>
      <c r="B1652" s="116">
        <v>870</v>
      </c>
      <c r="C1652" s="116">
        <v>859.65</v>
      </c>
      <c r="D1652" s="116">
        <v>845</v>
      </c>
      <c r="E1652" s="116">
        <v>851.05</v>
      </c>
      <c r="F1652" s="116">
        <v>859.65</v>
      </c>
      <c r="G1652">
        <v>3795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45481</v>
      </c>
      <c r="B1653" s="116">
        <v>870</v>
      </c>
      <c r="C1653" s="116">
        <v>843.65</v>
      </c>
      <c r="D1653" s="116">
        <v>838</v>
      </c>
      <c r="E1653" s="116">
        <v>838</v>
      </c>
      <c r="F1653" s="116">
        <v>843.65</v>
      </c>
      <c r="G1653">
        <v>2971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45482</v>
      </c>
      <c r="B1654" s="116">
        <v>854.45</v>
      </c>
      <c r="C1654" s="116">
        <v>829.65</v>
      </c>
      <c r="D1654" s="116">
        <v>825.1</v>
      </c>
      <c r="E1654" s="116">
        <v>843.65</v>
      </c>
      <c r="F1654" s="116">
        <v>829.65</v>
      </c>
      <c r="G1654">
        <v>2760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45483</v>
      </c>
      <c r="B1655" s="116">
        <v>848</v>
      </c>
      <c r="C1655" s="116">
        <v>838.5</v>
      </c>
      <c r="D1655" s="116">
        <v>815</v>
      </c>
      <c r="E1655" s="116">
        <v>839.7</v>
      </c>
      <c r="F1655" s="116">
        <v>838.5</v>
      </c>
      <c r="G1655">
        <v>3900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45484</v>
      </c>
      <c r="B1656" s="116">
        <v>864.95</v>
      </c>
      <c r="C1656" s="116">
        <v>822.7</v>
      </c>
      <c r="D1656" s="116">
        <v>818</v>
      </c>
      <c r="E1656" s="116">
        <v>864.95</v>
      </c>
      <c r="F1656" s="116">
        <v>822.7</v>
      </c>
      <c r="G1656">
        <v>6715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45485</v>
      </c>
      <c r="B1657" s="116">
        <v>866</v>
      </c>
      <c r="C1657" s="116">
        <v>863.1</v>
      </c>
      <c r="D1657" s="116">
        <v>823</v>
      </c>
      <c r="E1657" s="116">
        <v>835.1</v>
      </c>
      <c r="F1657" s="116">
        <v>863.1</v>
      </c>
      <c r="G1657">
        <v>8770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45488</v>
      </c>
      <c r="B1658" s="116">
        <v>901</v>
      </c>
      <c r="C1658" s="116">
        <v>898.55</v>
      </c>
      <c r="D1658" s="116">
        <v>864</v>
      </c>
      <c r="E1658" s="116">
        <v>866</v>
      </c>
      <c r="F1658" s="116">
        <v>898.55</v>
      </c>
      <c r="G1658">
        <v>13812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45489</v>
      </c>
      <c r="B1659" s="116">
        <v>898</v>
      </c>
      <c r="C1659" s="116">
        <v>878.65</v>
      </c>
      <c r="D1659" s="116">
        <v>875</v>
      </c>
      <c r="E1659" s="116">
        <v>898</v>
      </c>
      <c r="F1659" s="116">
        <v>878.65</v>
      </c>
      <c r="G1659">
        <v>8689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45491</v>
      </c>
      <c r="B1660" s="116">
        <v>877.95</v>
      </c>
      <c r="C1660" s="116">
        <v>850.05</v>
      </c>
      <c r="D1660" s="116">
        <v>838</v>
      </c>
      <c r="E1660" s="116">
        <v>877.95</v>
      </c>
      <c r="F1660" s="116">
        <v>850.05</v>
      </c>
      <c r="G1660">
        <v>5641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45492</v>
      </c>
      <c r="B1661" s="116">
        <v>867</v>
      </c>
      <c r="C1661" s="116">
        <v>833.25</v>
      </c>
      <c r="D1661" s="116">
        <v>830</v>
      </c>
      <c r="E1661" s="116">
        <v>867</v>
      </c>
      <c r="F1661" s="116">
        <v>833.25</v>
      </c>
      <c r="G1661">
        <v>2516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45495</v>
      </c>
      <c r="B1662" s="116">
        <v>850</v>
      </c>
      <c r="C1662" s="116">
        <v>824.05</v>
      </c>
      <c r="D1662" s="116">
        <v>812</v>
      </c>
      <c r="E1662" s="116">
        <v>837</v>
      </c>
      <c r="F1662" s="116">
        <v>824.05</v>
      </c>
      <c r="G1662">
        <v>3126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45496</v>
      </c>
      <c r="B1663" s="116">
        <v>837.4</v>
      </c>
      <c r="C1663" s="116">
        <v>827.85</v>
      </c>
      <c r="D1663" s="116">
        <v>786.05</v>
      </c>
      <c r="E1663" s="116">
        <v>837.4</v>
      </c>
      <c r="F1663" s="116">
        <v>827.85</v>
      </c>
      <c r="G1663">
        <v>5568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45497</v>
      </c>
      <c r="B1664" s="116">
        <v>853</v>
      </c>
      <c r="C1664" s="116">
        <v>846.85</v>
      </c>
      <c r="D1664" s="116">
        <v>828.05</v>
      </c>
      <c r="E1664" s="116">
        <v>830</v>
      </c>
      <c r="F1664" s="116">
        <v>846.85</v>
      </c>
      <c r="G1664">
        <v>3106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45498</v>
      </c>
      <c r="B1665" s="116">
        <v>846</v>
      </c>
      <c r="C1665" s="116">
        <v>830.7</v>
      </c>
      <c r="D1665" s="116">
        <v>821.15</v>
      </c>
      <c r="E1665" s="116">
        <v>846</v>
      </c>
      <c r="F1665" s="116">
        <v>830.7</v>
      </c>
      <c r="G1665">
        <v>5447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45499</v>
      </c>
      <c r="B1666" s="116">
        <v>868</v>
      </c>
      <c r="C1666" s="116">
        <v>861.05</v>
      </c>
      <c r="D1666" s="116">
        <v>830.05</v>
      </c>
      <c r="E1666" s="116">
        <v>834.95</v>
      </c>
      <c r="F1666" s="116">
        <v>861.05</v>
      </c>
      <c r="G1666">
        <v>7935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45502</v>
      </c>
      <c r="B1667" s="116">
        <v>892</v>
      </c>
      <c r="C1667" s="116">
        <v>874.9</v>
      </c>
      <c r="D1667" s="116">
        <v>850</v>
      </c>
      <c r="E1667" s="116">
        <v>875</v>
      </c>
      <c r="F1667" s="116">
        <v>874.9</v>
      </c>
      <c r="G1667">
        <v>12774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45503</v>
      </c>
      <c r="B1668" s="116">
        <v>904</v>
      </c>
      <c r="C1668" s="116">
        <v>884.1</v>
      </c>
      <c r="D1668" s="116">
        <v>875.1</v>
      </c>
      <c r="E1668" s="116">
        <v>887.6</v>
      </c>
      <c r="F1668" s="116">
        <v>884.1</v>
      </c>
      <c r="G1668">
        <v>15504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45504</v>
      </c>
      <c r="B1669" s="116">
        <v>892</v>
      </c>
      <c r="C1669" s="116">
        <v>862.95</v>
      </c>
      <c r="D1669" s="116">
        <v>860</v>
      </c>
      <c r="E1669" s="116">
        <v>887</v>
      </c>
      <c r="F1669" s="116">
        <v>862.95</v>
      </c>
      <c r="G1669">
        <v>4041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45505</v>
      </c>
      <c r="B1670" s="116">
        <v>882</v>
      </c>
      <c r="C1670" s="116">
        <v>833.3</v>
      </c>
      <c r="D1670" s="116">
        <v>825</v>
      </c>
      <c r="E1670" s="116">
        <v>863.05</v>
      </c>
      <c r="F1670" s="116">
        <v>833.3</v>
      </c>
      <c r="G1670">
        <v>9934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45506</v>
      </c>
      <c r="B1671" s="116">
        <v>849</v>
      </c>
      <c r="C1671" s="116">
        <v>837.7</v>
      </c>
      <c r="D1671" s="116">
        <v>811</v>
      </c>
      <c r="E1671" s="116">
        <v>832</v>
      </c>
      <c r="F1671" s="116">
        <v>837.7</v>
      </c>
      <c r="G1671">
        <v>5197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45509</v>
      </c>
      <c r="B1672" s="116">
        <v>830</v>
      </c>
      <c r="C1672" s="116">
        <v>804.8</v>
      </c>
      <c r="D1672" s="116">
        <v>795.4</v>
      </c>
      <c r="E1672" s="116">
        <v>830</v>
      </c>
      <c r="F1672" s="116">
        <v>804.8</v>
      </c>
      <c r="G1672">
        <v>11716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45510</v>
      </c>
      <c r="B1673" s="116">
        <v>838.9</v>
      </c>
      <c r="C1673" s="116">
        <v>799.1</v>
      </c>
      <c r="D1673" s="116">
        <v>790.05</v>
      </c>
      <c r="E1673" s="116">
        <v>819.9</v>
      </c>
      <c r="F1673" s="116">
        <v>799.1</v>
      </c>
      <c r="G1673">
        <v>9020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45511</v>
      </c>
      <c r="B1674" s="116">
        <v>819.55</v>
      </c>
      <c r="C1674" s="116">
        <v>804.6</v>
      </c>
      <c r="D1674" s="116">
        <v>800.55</v>
      </c>
      <c r="E1674" s="116">
        <v>803</v>
      </c>
      <c r="F1674" s="116">
        <v>804.6</v>
      </c>
      <c r="G1674">
        <v>4641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45512</v>
      </c>
      <c r="B1675" s="116">
        <v>847</v>
      </c>
      <c r="C1675" s="116">
        <v>809.7</v>
      </c>
      <c r="D1675" s="116">
        <v>805</v>
      </c>
      <c r="E1675" s="116">
        <v>812.9</v>
      </c>
      <c r="F1675" s="116">
        <v>809.7</v>
      </c>
      <c r="G1675">
        <v>4555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45513</v>
      </c>
      <c r="B1676" s="116">
        <v>827.9</v>
      </c>
      <c r="C1676" s="116">
        <v>820.4</v>
      </c>
      <c r="D1676" s="116">
        <v>811</v>
      </c>
      <c r="E1676" s="116">
        <v>815</v>
      </c>
      <c r="F1676" s="116">
        <v>820.4</v>
      </c>
      <c r="G1676">
        <v>4247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45516</v>
      </c>
      <c r="B1677" s="116">
        <v>840</v>
      </c>
      <c r="C1677" s="116">
        <v>820.7</v>
      </c>
      <c r="D1677" s="116">
        <v>806.1</v>
      </c>
      <c r="E1677" s="116">
        <v>833.95</v>
      </c>
      <c r="F1677" s="116">
        <v>820.7</v>
      </c>
      <c r="G1677">
        <v>7201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45517</v>
      </c>
      <c r="B1678" s="116">
        <v>831.9</v>
      </c>
      <c r="C1678" s="116">
        <v>800.9</v>
      </c>
      <c r="D1678" s="116">
        <v>800</v>
      </c>
      <c r="E1678" s="116">
        <v>825.05</v>
      </c>
      <c r="F1678" s="116">
        <v>800.9</v>
      </c>
      <c r="G1678">
        <v>7039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45518</v>
      </c>
      <c r="B1679" s="116">
        <v>825.1</v>
      </c>
      <c r="C1679" s="116">
        <v>793.3</v>
      </c>
      <c r="D1679" s="116">
        <v>786.15</v>
      </c>
      <c r="E1679" s="116">
        <v>801.05</v>
      </c>
      <c r="F1679" s="116">
        <v>793.3</v>
      </c>
      <c r="G1679">
        <v>6796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45520</v>
      </c>
      <c r="B1680" s="116">
        <v>810</v>
      </c>
      <c r="C1680" s="116">
        <v>799.85</v>
      </c>
      <c r="D1680" s="116">
        <v>791.2</v>
      </c>
      <c r="E1680" s="116">
        <v>809.95</v>
      </c>
      <c r="F1680" s="116">
        <v>799.85</v>
      </c>
      <c r="G1680">
        <v>4853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45523</v>
      </c>
      <c r="B1681" s="116">
        <v>824</v>
      </c>
      <c r="C1681" s="116">
        <v>789.85</v>
      </c>
      <c r="D1681" s="116">
        <v>787</v>
      </c>
      <c r="E1681" s="116">
        <v>824</v>
      </c>
      <c r="F1681" s="116">
        <v>789.85</v>
      </c>
      <c r="G1681">
        <v>11462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45524</v>
      </c>
      <c r="B1682" s="116">
        <v>800</v>
      </c>
      <c r="C1682" s="116">
        <v>788.2</v>
      </c>
      <c r="D1682" s="116">
        <v>774</v>
      </c>
      <c r="E1682" s="116">
        <v>800</v>
      </c>
      <c r="F1682" s="116">
        <v>788.2</v>
      </c>
      <c r="G1682">
        <v>9051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45525</v>
      </c>
      <c r="B1683" s="116">
        <v>799.8</v>
      </c>
      <c r="C1683" s="116">
        <v>784.7</v>
      </c>
      <c r="D1683" s="116">
        <v>781.6</v>
      </c>
      <c r="E1683" s="116">
        <v>790.05</v>
      </c>
      <c r="F1683" s="116">
        <v>784.7</v>
      </c>
      <c r="G1683">
        <v>6193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45526</v>
      </c>
      <c r="B1684" s="116">
        <v>809</v>
      </c>
      <c r="C1684" s="116">
        <v>795.9</v>
      </c>
      <c r="D1684" s="116">
        <v>780.05</v>
      </c>
      <c r="E1684" s="116">
        <v>809</v>
      </c>
      <c r="F1684" s="116">
        <v>795.9</v>
      </c>
      <c r="G1684">
        <v>10704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45527</v>
      </c>
      <c r="B1685" s="116">
        <v>812</v>
      </c>
      <c r="C1685" s="116">
        <v>796.6</v>
      </c>
      <c r="D1685" s="116">
        <v>790</v>
      </c>
      <c r="E1685" s="116">
        <v>795.95</v>
      </c>
      <c r="F1685" s="116">
        <v>796.6</v>
      </c>
      <c r="G1685">
        <v>8950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45530</v>
      </c>
      <c r="B1686" s="116">
        <v>809.8</v>
      </c>
      <c r="C1686" s="116">
        <v>797.8</v>
      </c>
      <c r="D1686" s="116">
        <v>780</v>
      </c>
      <c r="E1686" s="116">
        <v>796.6</v>
      </c>
      <c r="F1686" s="116">
        <v>797.8</v>
      </c>
      <c r="G1686">
        <v>3839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45531</v>
      </c>
      <c r="B1687" s="116">
        <v>810</v>
      </c>
      <c r="C1687" s="116">
        <v>808.7</v>
      </c>
      <c r="D1687" s="116">
        <v>792</v>
      </c>
      <c r="E1687" s="116">
        <v>802</v>
      </c>
      <c r="F1687" s="116">
        <v>808.7</v>
      </c>
      <c r="G1687">
        <v>5201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45532</v>
      </c>
      <c r="B1688" s="116">
        <v>818</v>
      </c>
      <c r="C1688" s="116">
        <v>797.2</v>
      </c>
      <c r="D1688" s="116">
        <v>790.65</v>
      </c>
      <c r="E1688" s="116">
        <v>810</v>
      </c>
      <c r="F1688" s="116">
        <v>797.2</v>
      </c>
      <c r="G1688">
        <v>3786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45533</v>
      </c>
      <c r="B1689" s="116">
        <v>804.9</v>
      </c>
      <c r="C1689" s="116">
        <v>786.85</v>
      </c>
      <c r="D1689" s="116">
        <v>781</v>
      </c>
      <c r="E1689" s="116">
        <v>800.05</v>
      </c>
      <c r="F1689" s="116">
        <v>786.85</v>
      </c>
      <c r="G1689">
        <v>3912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45534</v>
      </c>
      <c r="B1690" s="116">
        <v>801.95</v>
      </c>
      <c r="C1690" s="116">
        <v>783.55</v>
      </c>
      <c r="D1690" s="116">
        <v>766.3</v>
      </c>
      <c r="E1690" s="116">
        <v>793</v>
      </c>
      <c r="F1690" s="116">
        <v>783.55</v>
      </c>
      <c r="G1690">
        <v>5473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45537</v>
      </c>
      <c r="B1691" s="116">
        <v>832</v>
      </c>
      <c r="C1691" s="116">
        <v>818.15</v>
      </c>
      <c r="D1691" s="116">
        <v>770.05</v>
      </c>
      <c r="E1691" s="116">
        <v>783</v>
      </c>
      <c r="F1691" s="116">
        <v>818.15</v>
      </c>
      <c r="G1691">
        <v>11973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45538</v>
      </c>
      <c r="B1692" s="116">
        <v>834.95</v>
      </c>
      <c r="C1692" s="116">
        <v>780.85</v>
      </c>
      <c r="D1692" s="116">
        <v>774</v>
      </c>
      <c r="E1692" s="116">
        <v>834.95</v>
      </c>
      <c r="F1692" s="116">
        <v>780.85</v>
      </c>
      <c r="G1692">
        <v>19126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45539</v>
      </c>
      <c r="B1693" s="116">
        <v>797</v>
      </c>
      <c r="C1693" s="116">
        <v>789.75</v>
      </c>
      <c r="D1693" s="116">
        <v>775.1</v>
      </c>
      <c r="E1693" s="116">
        <v>776.1</v>
      </c>
      <c r="F1693" s="116">
        <v>789.75</v>
      </c>
      <c r="G1693">
        <v>3887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45540</v>
      </c>
      <c r="B1694" s="116">
        <v>804</v>
      </c>
      <c r="C1694" s="116">
        <v>779.75</v>
      </c>
      <c r="D1694" s="116">
        <v>774</v>
      </c>
      <c r="E1694" s="116">
        <v>804</v>
      </c>
      <c r="F1694" s="116">
        <v>779.75</v>
      </c>
      <c r="G1694">
        <v>14525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45541</v>
      </c>
      <c r="B1695" s="116">
        <v>798</v>
      </c>
      <c r="C1695" s="116">
        <v>790.6</v>
      </c>
      <c r="D1695" s="116">
        <v>779.75</v>
      </c>
      <c r="E1695" s="116">
        <v>794.3</v>
      </c>
      <c r="F1695" s="116">
        <v>790.6</v>
      </c>
      <c r="G1695">
        <v>6333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45544</v>
      </c>
      <c r="B1696" s="116">
        <v>800</v>
      </c>
      <c r="C1696" s="116">
        <v>783.05</v>
      </c>
      <c r="D1696" s="116">
        <v>775</v>
      </c>
      <c r="E1696" s="116">
        <v>800</v>
      </c>
      <c r="F1696" s="116">
        <v>783.05</v>
      </c>
      <c r="G1696">
        <v>4939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45545</v>
      </c>
      <c r="B1697" s="116">
        <v>798.4</v>
      </c>
      <c r="C1697" s="116">
        <v>781.8</v>
      </c>
      <c r="D1697" s="116">
        <v>772.9</v>
      </c>
      <c r="E1697" s="116">
        <v>785</v>
      </c>
      <c r="F1697" s="116">
        <v>781.8</v>
      </c>
      <c r="G1697">
        <v>3083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45546</v>
      </c>
      <c r="B1698" s="116">
        <v>798.8</v>
      </c>
      <c r="C1698" s="116">
        <v>790.05</v>
      </c>
      <c r="D1698" s="116">
        <v>780</v>
      </c>
      <c r="E1698" s="116">
        <v>791</v>
      </c>
      <c r="F1698" s="116">
        <v>790.05</v>
      </c>
      <c r="G1698">
        <v>8241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45547</v>
      </c>
      <c r="B1699" s="116">
        <v>793</v>
      </c>
      <c r="C1699" s="116">
        <v>781.8</v>
      </c>
      <c r="D1699" s="116">
        <v>775.1</v>
      </c>
      <c r="E1699" s="116">
        <v>790.05</v>
      </c>
      <c r="F1699" s="116">
        <v>781.8</v>
      </c>
      <c r="G1699">
        <v>3467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45548</v>
      </c>
      <c r="B1700" s="116">
        <v>806</v>
      </c>
      <c r="C1700" s="116">
        <v>785.95</v>
      </c>
      <c r="D1700" s="116">
        <v>778</v>
      </c>
      <c r="E1700" s="116">
        <v>786.2</v>
      </c>
      <c r="F1700" s="116">
        <v>785.95</v>
      </c>
      <c r="G1700">
        <v>3260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45551</v>
      </c>
      <c r="B1701" s="116">
        <v>797.5</v>
      </c>
      <c r="C1701" s="116">
        <v>793.25</v>
      </c>
      <c r="D1701" s="116">
        <v>785.95</v>
      </c>
      <c r="E1701" s="116">
        <v>785.95</v>
      </c>
      <c r="F1701" s="116">
        <v>793.25</v>
      </c>
      <c r="G1701">
        <v>4658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45552</v>
      </c>
      <c r="B1702" s="116">
        <v>798.45</v>
      </c>
      <c r="C1702" s="116">
        <v>788.2</v>
      </c>
      <c r="D1702" s="116">
        <v>781.05</v>
      </c>
      <c r="E1702" s="116">
        <v>797.95</v>
      </c>
      <c r="F1702" s="116">
        <v>788.2</v>
      </c>
      <c r="G1702">
        <v>2838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45553</v>
      </c>
      <c r="B1703" s="116">
        <v>791.8</v>
      </c>
      <c r="C1703" s="116">
        <v>776.75</v>
      </c>
      <c r="D1703" s="116">
        <v>771</v>
      </c>
      <c r="E1703" s="116">
        <v>789</v>
      </c>
      <c r="F1703" s="116">
        <v>776.75</v>
      </c>
      <c r="G1703">
        <v>4069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45554</v>
      </c>
      <c r="B1704" s="116">
        <v>789.7</v>
      </c>
      <c r="C1704" s="116">
        <v>777.95</v>
      </c>
      <c r="D1704" s="116">
        <v>775.05</v>
      </c>
      <c r="E1704" s="116">
        <v>775.05</v>
      </c>
      <c r="F1704" s="116">
        <v>777.95</v>
      </c>
      <c r="G1704">
        <v>6659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45555</v>
      </c>
      <c r="B1705" s="116">
        <v>789.9</v>
      </c>
      <c r="C1705" s="116">
        <v>767.6</v>
      </c>
      <c r="D1705" s="116">
        <v>764.2</v>
      </c>
      <c r="E1705" s="116">
        <v>785</v>
      </c>
      <c r="F1705" s="116">
        <v>767.6</v>
      </c>
      <c r="G1705">
        <v>7265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45558</v>
      </c>
      <c r="B1706" s="116">
        <v>784.75</v>
      </c>
      <c r="C1706" s="116">
        <v>774.8</v>
      </c>
      <c r="D1706" s="116">
        <v>770</v>
      </c>
      <c r="E1706" s="116">
        <v>770.25</v>
      </c>
      <c r="F1706" s="116">
        <v>774.8</v>
      </c>
      <c r="G1706">
        <v>6571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45559</v>
      </c>
      <c r="B1707" s="116">
        <v>786.5</v>
      </c>
      <c r="C1707" s="116">
        <v>774.6</v>
      </c>
      <c r="D1707" s="116">
        <v>763</v>
      </c>
      <c r="E1707" s="116">
        <v>780</v>
      </c>
      <c r="F1707" s="116">
        <v>774.6</v>
      </c>
      <c r="G1707">
        <v>8513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45560</v>
      </c>
      <c r="B1708" s="116">
        <v>784.5</v>
      </c>
      <c r="C1708" s="116">
        <v>757</v>
      </c>
      <c r="D1708" s="116">
        <v>750</v>
      </c>
      <c r="E1708" s="116">
        <v>784.5</v>
      </c>
      <c r="F1708" s="116">
        <v>757</v>
      </c>
      <c r="G1708">
        <v>6069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45561</v>
      </c>
      <c r="B1709" s="116">
        <v>775</v>
      </c>
      <c r="C1709" s="116">
        <v>746.25</v>
      </c>
      <c r="D1709" s="116">
        <v>740</v>
      </c>
      <c r="E1709" s="116">
        <v>769.5</v>
      </c>
      <c r="F1709" s="116">
        <v>746.25</v>
      </c>
      <c r="G1709">
        <v>5614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45562</v>
      </c>
      <c r="B1710" s="116">
        <v>762.75</v>
      </c>
      <c r="C1710" s="116">
        <v>755.65</v>
      </c>
      <c r="D1710" s="116">
        <v>749</v>
      </c>
      <c r="E1710" s="116">
        <v>749.1</v>
      </c>
      <c r="F1710" s="116">
        <v>755.65</v>
      </c>
      <c r="G1710">
        <v>2917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45565</v>
      </c>
      <c r="B1711" s="116">
        <v>769.9</v>
      </c>
      <c r="C1711" s="116">
        <v>746</v>
      </c>
      <c r="D1711" s="116">
        <v>730</v>
      </c>
      <c r="E1711" s="116">
        <v>760</v>
      </c>
      <c r="F1711" s="116">
        <v>746</v>
      </c>
      <c r="G1711">
        <v>5897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45566</v>
      </c>
      <c r="B1712" s="116">
        <v>776.95</v>
      </c>
      <c r="C1712" s="116">
        <v>762.7</v>
      </c>
      <c r="D1712" s="116">
        <v>750</v>
      </c>
      <c r="E1712" s="116">
        <v>751</v>
      </c>
      <c r="F1712" s="116">
        <v>762.7</v>
      </c>
      <c r="G1712">
        <v>3699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45568</v>
      </c>
      <c r="B1713" s="116">
        <v>770.9</v>
      </c>
      <c r="C1713" s="116">
        <v>761.9</v>
      </c>
      <c r="D1713" s="116">
        <v>745.05</v>
      </c>
      <c r="E1713" s="116">
        <v>745.05</v>
      </c>
      <c r="F1713" s="116">
        <v>761.9</v>
      </c>
      <c r="G1713">
        <v>5798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45569</v>
      </c>
      <c r="B1714" s="116">
        <v>820</v>
      </c>
      <c r="C1714" s="116">
        <v>800.8</v>
      </c>
      <c r="D1714" s="116">
        <v>762.05</v>
      </c>
      <c r="E1714" s="116">
        <v>769.95</v>
      </c>
      <c r="F1714" s="116">
        <v>800.8</v>
      </c>
      <c r="G1714">
        <v>17216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45572</v>
      </c>
      <c r="B1715" s="116">
        <v>828</v>
      </c>
      <c r="C1715" s="116">
        <v>813.25</v>
      </c>
      <c r="D1715" s="116">
        <v>795.1</v>
      </c>
      <c r="E1715" s="116">
        <v>807</v>
      </c>
      <c r="F1715" s="116">
        <v>813.25</v>
      </c>
      <c r="G1715">
        <v>23609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45573</v>
      </c>
      <c r="B1716" s="116">
        <v>823.25</v>
      </c>
      <c r="C1716" s="116">
        <v>793.9</v>
      </c>
      <c r="D1716" s="116">
        <v>785</v>
      </c>
      <c r="E1716" s="116">
        <v>823.25</v>
      </c>
      <c r="F1716" s="116">
        <v>793.9</v>
      </c>
      <c r="G1716">
        <v>3759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45574</v>
      </c>
      <c r="B1717" s="116">
        <v>819.25</v>
      </c>
      <c r="C1717" s="116">
        <v>811.4</v>
      </c>
      <c r="D1717" s="116">
        <v>799</v>
      </c>
      <c r="E1717" s="116">
        <v>808.8</v>
      </c>
      <c r="F1717" s="116">
        <v>811.4</v>
      </c>
      <c r="G1717">
        <v>3792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45575</v>
      </c>
      <c r="B1718" s="116">
        <v>825</v>
      </c>
      <c r="C1718" s="116">
        <v>814.1</v>
      </c>
      <c r="D1718" s="116">
        <v>801</v>
      </c>
      <c r="E1718" s="116">
        <v>801</v>
      </c>
      <c r="F1718" s="116">
        <v>814.1</v>
      </c>
      <c r="G1718">
        <v>2566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45576</v>
      </c>
      <c r="B1719" s="116">
        <v>823</v>
      </c>
      <c r="C1719" s="116">
        <v>799.85</v>
      </c>
      <c r="D1719" s="116">
        <v>795.05</v>
      </c>
      <c r="E1719" s="116">
        <v>823</v>
      </c>
      <c r="F1719" s="116">
        <v>799.85</v>
      </c>
      <c r="G1719">
        <v>6193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45579</v>
      </c>
      <c r="B1720" s="116">
        <v>813.5</v>
      </c>
      <c r="C1720" s="116">
        <v>774.7</v>
      </c>
      <c r="D1720" s="116">
        <v>770</v>
      </c>
      <c r="E1720" s="116">
        <v>800.05</v>
      </c>
      <c r="F1720" s="116">
        <v>774.7</v>
      </c>
      <c r="G1720">
        <v>3419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45580</v>
      </c>
      <c r="B1721" s="116">
        <v>789.5</v>
      </c>
      <c r="C1721" s="116">
        <v>775.6</v>
      </c>
      <c r="D1721" s="116">
        <v>770</v>
      </c>
      <c r="E1721" s="116">
        <v>789.5</v>
      </c>
      <c r="F1721" s="116">
        <v>775.6</v>
      </c>
      <c r="G1721">
        <v>1884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45581</v>
      </c>
      <c r="B1722" s="116">
        <v>790</v>
      </c>
      <c r="C1722" s="116">
        <v>770</v>
      </c>
      <c r="D1722" s="116">
        <v>748</v>
      </c>
      <c r="E1722" s="116">
        <v>776</v>
      </c>
      <c r="F1722" s="116">
        <v>770</v>
      </c>
      <c r="G1722">
        <v>6983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45582</v>
      </c>
      <c r="B1723" s="116">
        <v>781.95</v>
      </c>
      <c r="C1723" s="116">
        <v>765.45</v>
      </c>
      <c r="D1723" s="116">
        <v>763</v>
      </c>
      <c r="E1723" s="116">
        <v>770.05</v>
      </c>
      <c r="F1723" s="116">
        <v>765.45</v>
      </c>
      <c r="G1723">
        <v>1940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45583</v>
      </c>
      <c r="B1724" s="116">
        <v>780</v>
      </c>
      <c r="C1724" s="116">
        <v>754.85</v>
      </c>
      <c r="D1724" s="116">
        <v>748</v>
      </c>
      <c r="E1724" s="116">
        <v>766.15</v>
      </c>
      <c r="F1724" s="116">
        <v>754.85</v>
      </c>
      <c r="G1724">
        <v>8402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45586</v>
      </c>
      <c r="B1725" s="116">
        <v>767.95</v>
      </c>
      <c r="C1725" s="116">
        <v>730.4</v>
      </c>
      <c r="D1725" s="116">
        <v>720</v>
      </c>
      <c r="E1725" s="116">
        <v>767.95</v>
      </c>
      <c r="F1725" s="116">
        <v>730.4</v>
      </c>
      <c r="G1725">
        <v>6746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45587</v>
      </c>
      <c r="B1726" s="116">
        <v>752.35</v>
      </c>
      <c r="C1726" s="116">
        <v>715.8</v>
      </c>
      <c r="D1726" s="116">
        <v>703</v>
      </c>
      <c r="E1726" s="116">
        <v>741.9</v>
      </c>
      <c r="F1726" s="116">
        <v>715.8</v>
      </c>
      <c r="G1726">
        <v>6049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45588</v>
      </c>
      <c r="B1727" s="116">
        <v>755</v>
      </c>
      <c r="C1727" s="116">
        <v>739.9</v>
      </c>
      <c r="D1727" s="116">
        <v>721.55</v>
      </c>
      <c r="E1727" s="116">
        <v>729.9</v>
      </c>
      <c r="F1727" s="116">
        <v>739.9</v>
      </c>
      <c r="G1727">
        <v>5946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45589</v>
      </c>
      <c r="B1728" s="116">
        <v>749</v>
      </c>
      <c r="C1728" s="116">
        <v>729.1</v>
      </c>
      <c r="D1728" s="116">
        <v>728</v>
      </c>
      <c r="E1728" s="116">
        <v>749</v>
      </c>
      <c r="F1728" s="116">
        <v>729.1</v>
      </c>
      <c r="G1728">
        <v>2279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45590</v>
      </c>
      <c r="B1729" s="116">
        <v>744.75</v>
      </c>
      <c r="C1729" s="116">
        <v>726.85</v>
      </c>
      <c r="D1729" s="116">
        <v>715.1</v>
      </c>
      <c r="E1729" s="116">
        <v>744.75</v>
      </c>
      <c r="F1729" s="116">
        <v>726.85</v>
      </c>
      <c r="G1729">
        <v>3721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45593</v>
      </c>
      <c r="B1730" s="116">
        <v>798.8</v>
      </c>
      <c r="C1730" s="116">
        <v>705.45</v>
      </c>
      <c r="D1730" s="116">
        <v>702</v>
      </c>
      <c r="E1730" s="116">
        <v>775</v>
      </c>
      <c r="F1730" s="116">
        <v>705.45</v>
      </c>
      <c r="G1730">
        <v>26643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45594</v>
      </c>
      <c r="B1731" s="116">
        <v>723.5</v>
      </c>
      <c r="C1731" s="116">
        <v>705.4</v>
      </c>
      <c r="D1731" s="116">
        <v>686</v>
      </c>
      <c r="E1731" s="116">
        <v>723.5</v>
      </c>
      <c r="F1731" s="116">
        <v>705.4</v>
      </c>
      <c r="G1731">
        <v>11705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45595</v>
      </c>
      <c r="B1732" s="116">
        <v>716</v>
      </c>
      <c r="C1732" s="116">
        <v>713.3</v>
      </c>
      <c r="D1732" s="116">
        <v>700.05</v>
      </c>
      <c r="E1732" s="116">
        <v>716</v>
      </c>
      <c r="F1732" s="116">
        <v>713.3</v>
      </c>
      <c r="G1732">
        <v>4395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45596</v>
      </c>
      <c r="B1733" s="116">
        <v>719.5</v>
      </c>
      <c r="C1733" s="116">
        <v>706.2</v>
      </c>
      <c r="D1733" s="116">
        <v>695.95</v>
      </c>
      <c r="E1733" s="116">
        <v>719.5</v>
      </c>
      <c r="F1733" s="116">
        <v>706.2</v>
      </c>
      <c r="G1733">
        <v>3982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45597</v>
      </c>
      <c r="B1734" s="116">
        <v>729.9</v>
      </c>
      <c r="C1734" s="116">
        <v>718.75</v>
      </c>
      <c r="D1734" s="116">
        <v>702</v>
      </c>
      <c r="E1734" s="116">
        <v>729.9</v>
      </c>
      <c r="F1734" s="116">
        <v>718.75</v>
      </c>
      <c r="G1734">
        <v>3434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45600</v>
      </c>
      <c r="B1735" s="116">
        <v>750</v>
      </c>
      <c r="C1735" s="116">
        <v>739.55</v>
      </c>
      <c r="D1735" s="116">
        <v>720.1</v>
      </c>
      <c r="E1735" s="116">
        <v>733.05</v>
      </c>
      <c r="F1735" s="116">
        <v>739.55</v>
      </c>
      <c r="G1735">
        <v>10562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45601</v>
      </c>
      <c r="B1736" s="116">
        <v>749.7</v>
      </c>
      <c r="C1736" s="116">
        <v>714.95</v>
      </c>
      <c r="D1736" s="116">
        <v>705</v>
      </c>
      <c r="E1736" s="116">
        <v>749.7</v>
      </c>
      <c r="F1736" s="116">
        <v>714.95</v>
      </c>
      <c r="G1736">
        <v>8834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45602</v>
      </c>
      <c r="B1737" s="116">
        <v>724.85</v>
      </c>
      <c r="C1737" s="116">
        <v>718.7</v>
      </c>
      <c r="D1737" s="116">
        <v>705.55</v>
      </c>
      <c r="E1737" s="116">
        <v>724.85</v>
      </c>
      <c r="F1737" s="116">
        <v>718.7</v>
      </c>
      <c r="G1737">
        <v>6617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45603</v>
      </c>
      <c r="B1738" s="116">
        <v>720</v>
      </c>
      <c r="C1738" s="116">
        <v>712.9</v>
      </c>
      <c r="D1738" s="116">
        <v>711</v>
      </c>
      <c r="E1738" s="116">
        <v>719.95</v>
      </c>
      <c r="F1738" s="116">
        <v>712.9</v>
      </c>
      <c r="G1738">
        <v>4305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45604</v>
      </c>
      <c r="B1739" s="116">
        <v>716</v>
      </c>
      <c r="C1739" s="116">
        <v>707.8</v>
      </c>
      <c r="D1739" s="116">
        <v>701.3</v>
      </c>
      <c r="E1739" s="116">
        <v>716</v>
      </c>
      <c r="F1739" s="116">
        <v>707.8</v>
      </c>
      <c r="G1739">
        <v>4594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45607</v>
      </c>
      <c r="B1740" s="116">
        <v>714</v>
      </c>
      <c r="C1740" s="116">
        <v>704.45</v>
      </c>
      <c r="D1740" s="116">
        <v>701</v>
      </c>
      <c r="E1740" s="116">
        <v>704</v>
      </c>
      <c r="F1740" s="116">
        <v>704.45</v>
      </c>
      <c r="G1740">
        <v>4376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45608</v>
      </c>
      <c r="B1741" s="116">
        <v>715</v>
      </c>
      <c r="C1741" s="116">
        <v>710.05</v>
      </c>
      <c r="D1741" s="116">
        <v>701.1</v>
      </c>
      <c r="E1741" s="116">
        <v>710</v>
      </c>
      <c r="F1741" s="116">
        <v>710.05</v>
      </c>
      <c r="G1741">
        <v>2785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45609</v>
      </c>
      <c r="B1742" s="116">
        <v>710</v>
      </c>
      <c r="C1742" s="116">
        <v>689.85</v>
      </c>
      <c r="D1742" s="116">
        <v>680</v>
      </c>
      <c r="E1742" s="116">
        <v>710</v>
      </c>
      <c r="F1742" s="116">
        <v>689.85</v>
      </c>
      <c r="G1742">
        <v>7249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45610</v>
      </c>
      <c r="B1743" s="116">
        <v>704.9</v>
      </c>
      <c r="C1743" s="116">
        <v>677.95</v>
      </c>
      <c r="D1743" s="116">
        <v>671.2</v>
      </c>
      <c r="E1743" s="116">
        <v>685.1</v>
      </c>
      <c r="F1743" s="116">
        <v>677.95</v>
      </c>
      <c r="G1743">
        <v>6947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45614</v>
      </c>
      <c r="B1744" s="116">
        <v>799.9</v>
      </c>
      <c r="C1744" s="116">
        <v>692.85</v>
      </c>
      <c r="D1744" s="116">
        <v>690</v>
      </c>
      <c r="E1744" s="116">
        <v>799.9</v>
      </c>
      <c r="F1744" s="116">
        <v>692.85</v>
      </c>
      <c r="G1744">
        <v>18006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45615</v>
      </c>
      <c r="B1745" s="116">
        <v>727</v>
      </c>
      <c r="C1745" s="116">
        <v>693.45</v>
      </c>
      <c r="D1745" s="116">
        <v>679</v>
      </c>
      <c r="E1745" s="116">
        <v>709.5</v>
      </c>
      <c r="F1745" s="116">
        <v>693.45</v>
      </c>
      <c r="G1745">
        <v>6677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45617</v>
      </c>
      <c r="B1746" s="116">
        <v>703.9</v>
      </c>
      <c r="C1746" s="116">
        <v>672</v>
      </c>
      <c r="D1746" s="116">
        <v>658.2</v>
      </c>
      <c r="E1746" s="116">
        <v>703.9</v>
      </c>
      <c r="F1746" s="116">
        <v>672</v>
      </c>
      <c r="G1746">
        <v>8304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45618</v>
      </c>
      <c r="B1747" s="116">
        <v>697.9</v>
      </c>
      <c r="C1747" s="116">
        <v>673.7</v>
      </c>
      <c r="D1747" s="116">
        <v>655</v>
      </c>
      <c r="E1747" s="116">
        <v>675</v>
      </c>
      <c r="F1747" s="116">
        <v>673.7</v>
      </c>
      <c r="G1747">
        <v>8573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45621</v>
      </c>
      <c r="B1748" s="116">
        <v>719.5</v>
      </c>
      <c r="C1748" s="116">
        <v>708.25</v>
      </c>
      <c r="D1748" s="116">
        <v>690.05</v>
      </c>
      <c r="E1748" s="116">
        <v>704</v>
      </c>
      <c r="F1748" s="116">
        <v>708.25</v>
      </c>
      <c r="G1748">
        <v>7257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45622</v>
      </c>
      <c r="B1749" s="116">
        <v>718.9</v>
      </c>
      <c r="C1749" s="116">
        <v>706.85</v>
      </c>
      <c r="D1749" s="116">
        <v>698</v>
      </c>
      <c r="E1749" s="116">
        <v>708.25</v>
      </c>
      <c r="F1749" s="116">
        <v>706.85</v>
      </c>
      <c r="G1749">
        <v>7244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45623</v>
      </c>
      <c r="B1750" s="116">
        <v>730.05</v>
      </c>
      <c r="C1750" s="116">
        <v>720.9</v>
      </c>
      <c r="D1750" s="116">
        <v>706.85</v>
      </c>
      <c r="E1750" s="116">
        <v>713</v>
      </c>
      <c r="F1750" s="116">
        <v>720.9</v>
      </c>
      <c r="G1750">
        <v>7679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45624</v>
      </c>
      <c r="B1751" s="116">
        <v>748.6</v>
      </c>
      <c r="C1751" s="116">
        <v>733.9</v>
      </c>
      <c r="D1751" s="116">
        <v>701.55</v>
      </c>
      <c r="E1751" s="116">
        <v>729</v>
      </c>
      <c r="F1751" s="116">
        <v>733.9</v>
      </c>
      <c r="G1751">
        <v>12879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45625</v>
      </c>
      <c r="B1752" s="116">
        <v>746.8</v>
      </c>
      <c r="C1752" s="116">
        <v>737.2</v>
      </c>
      <c r="D1752" s="116">
        <v>712</v>
      </c>
      <c r="E1752" s="116">
        <v>727</v>
      </c>
      <c r="F1752" s="116">
        <v>737.2</v>
      </c>
      <c r="G1752">
        <v>7276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45628</v>
      </c>
      <c r="B1753" s="116">
        <v>797.5</v>
      </c>
      <c r="C1753" s="116">
        <v>787.75</v>
      </c>
      <c r="D1753" s="116">
        <v>735</v>
      </c>
      <c r="E1753" s="116">
        <v>737.2</v>
      </c>
      <c r="F1753" s="116">
        <v>787.75</v>
      </c>
      <c r="G1753">
        <v>14625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45629</v>
      </c>
      <c r="B1754" s="116">
        <v>810</v>
      </c>
      <c r="C1754" s="116">
        <v>788.2</v>
      </c>
      <c r="D1754" s="116">
        <v>780</v>
      </c>
      <c r="E1754" s="116">
        <v>797</v>
      </c>
      <c r="F1754" s="116">
        <v>788.2</v>
      </c>
      <c r="G1754">
        <v>4889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45630</v>
      </c>
      <c r="B1755" s="116">
        <v>800</v>
      </c>
      <c r="C1755" s="116">
        <v>780.1</v>
      </c>
      <c r="D1755" s="116">
        <v>772</v>
      </c>
      <c r="E1755" s="116">
        <v>800</v>
      </c>
      <c r="F1755" s="116">
        <v>780.1</v>
      </c>
      <c r="G1755">
        <v>3475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45631</v>
      </c>
      <c r="B1756" s="116">
        <v>789.95</v>
      </c>
      <c r="C1756" s="116">
        <v>780</v>
      </c>
      <c r="D1756" s="116">
        <v>766</v>
      </c>
      <c r="E1756" s="116">
        <v>766</v>
      </c>
      <c r="F1756" s="116">
        <v>780</v>
      </c>
      <c r="G1756">
        <v>4979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45632</v>
      </c>
      <c r="B1757" s="116">
        <v>787.8</v>
      </c>
      <c r="C1757" s="116">
        <v>769.95</v>
      </c>
      <c r="D1757" s="116">
        <v>768</v>
      </c>
      <c r="E1757" s="116">
        <v>773.85</v>
      </c>
      <c r="F1757" s="116">
        <v>769.95</v>
      </c>
      <c r="G1757">
        <v>2866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45635</v>
      </c>
      <c r="B1758" s="116">
        <v>794.95</v>
      </c>
      <c r="C1758" s="116">
        <v>777.25</v>
      </c>
      <c r="D1758" s="116">
        <v>758.2</v>
      </c>
      <c r="E1758" s="116">
        <v>789.9</v>
      </c>
      <c r="F1758" s="116">
        <v>777.25</v>
      </c>
      <c r="G1758">
        <v>4920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45636</v>
      </c>
      <c r="B1759" s="116">
        <v>777.3</v>
      </c>
      <c r="C1759" s="116">
        <v>738.1</v>
      </c>
      <c r="D1759" s="116">
        <v>730</v>
      </c>
      <c r="E1759" s="116">
        <v>777.3</v>
      </c>
      <c r="F1759" s="116">
        <v>738.1</v>
      </c>
      <c r="G1759">
        <v>15202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45637</v>
      </c>
      <c r="B1760" s="116">
        <v>757.8</v>
      </c>
      <c r="C1760" s="116">
        <v>727.55</v>
      </c>
      <c r="D1760" s="116">
        <v>721.05</v>
      </c>
      <c r="E1760" s="116">
        <v>748</v>
      </c>
      <c r="F1760" s="116">
        <v>727.55</v>
      </c>
      <c r="G1760">
        <v>12568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45638</v>
      </c>
      <c r="B1761" s="116">
        <v>750</v>
      </c>
      <c r="C1761" s="116">
        <v>738.6</v>
      </c>
      <c r="D1761" s="116">
        <v>708.45</v>
      </c>
      <c r="E1761" s="116">
        <v>740.65</v>
      </c>
      <c r="F1761" s="116">
        <v>738.6</v>
      </c>
      <c r="G1761">
        <v>8352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45639</v>
      </c>
      <c r="B1762" s="116">
        <v>747.9</v>
      </c>
      <c r="C1762" s="116">
        <v>729.65</v>
      </c>
      <c r="D1762" s="116">
        <v>701</v>
      </c>
      <c r="E1762" s="116">
        <v>722.1</v>
      </c>
      <c r="F1762" s="116">
        <v>729.65</v>
      </c>
      <c r="G1762">
        <v>7410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45642</v>
      </c>
      <c r="B1763" s="116">
        <v>754.8</v>
      </c>
      <c r="C1763" s="116">
        <v>745.4</v>
      </c>
      <c r="D1763" s="116">
        <v>725</v>
      </c>
      <c r="E1763" s="116">
        <v>730</v>
      </c>
      <c r="F1763" s="116">
        <v>745.4</v>
      </c>
      <c r="G1763">
        <v>10170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45643</v>
      </c>
      <c r="B1764" s="116">
        <v>759</v>
      </c>
      <c r="C1764" s="116">
        <v>754.85</v>
      </c>
      <c r="D1764" s="116">
        <v>726</v>
      </c>
      <c r="E1764" s="116">
        <v>726</v>
      </c>
      <c r="F1764" s="116">
        <v>754.85</v>
      </c>
      <c r="G1764">
        <v>3104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45644</v>
      </c>
      <c r="B1765" s="116">
        <v>770</v>
      </c>
      <c r="C1765" s="116">
        <v>757</v>
      </c>
      <c r="D1765" s="116">
        <v>755</v>
      </c>
      <c r="E1765" s="116">
        <v>759</v>
      </c>
      <c r="F1765" s="116">
        <v>757</v>
      </c>
      <c r="G1765">
        <v>7556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45645</v>
      </c>
      <c r="B1766" s="116">
        <v>785</v>
      </c>
      <c r="C1766" s="116">
        <v>753.3</v>
      </c>
      <c r="D1766" s="116">
        <v>731.25</v>
      </c>
      <c r="E1766" s="116">
        <v>750</v>
      </c>
      <c r="F1766" s="116">
        <v>753.3</v>
      </c>
      <c r="G1766">
        <v>10448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45646</v>
      </c>
      <c r="B1767" s="116">
        <v>774.95</v>
      </c>
      <c r="C1767" s="116">
        <v>749.6</v>
      </c>
      <c r="D1767" s="116">
        <v>735</v>
      </c>
      <c r="E1767" s="116">
        <v>774.95</v>
      </c>
      <c r="F1767" s="116">
        <v>749.6</v>
      </c>
      <c r="G1767">
        <v>3982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45649</v>
      </c>
      <c r="B1768" s="116">
        <v>772</v>
      </c>
      <c r="C1768" s="116">
        <v>736.95</v>
      </c>
      <c r="D1768" s="116">
        <v>730</v>
      </c>
      <c r="E1768" s="116">
        <v>750.2</v>
      </c>
      <c r="F1768" s="116">
        <v>736.95</v>
      </c>
      <c r="G1768">
        <v>7086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45650</v>
      </c>
      <c r="B1769" s="116">
        <v>759.95</v>
      </c>
      <c r="C1769" s="116">
        <v>737.35</v>
      </c>
      <c r="D1769" s="116">
        <v>725</v>
      </c>
      <c r="E1769" s="116">
        <v>743.45</v>
      </c>
      <c r="F1769" s="116">
        <v>737.35</v>
      </c>
      <c r="G1769">
        <v>4535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45652</v>
      </c>
      <c r="B1770" s="116">
        <v>758.8</v>
      </c>
      <c r="C1770" s="116">
        <v>737.9</v>
      </c>
      <c r="D1770" s="116">
        <v>732.3</v>
      </c>
      <c r="E1770" s="116">
        <v>741.55</v>
      </c>
      <c r="F1770" s="116">
        <v>737.9</v>
      </c>
      <c r="G1770">
        <v>1406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45653</v>
      </c>
      <c r="B1771" s="116">
        <v>749.9</v>
      </c>
      <c r="C1771" s="116">
        <v>742.4</v>
      </c>
      <c r="D1771" s="116">
        <v>722.2</v>
      </c>
      <c r="E1771" s="116">
        <v>722.2</v>
      </c>
      <c r="F1771" s="116">
        <v>742.4</v>
      </c>
      <c r="G1771">
        <v>4288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45656</v>
      </c>
      <c r="B1772" s="116">
        <v>758.4</v>
      </c>
      <c r="C1772" s="116">
        <v>712.25</v>
      </c>
      <c r="D1772" s="116">
        <v>701.25</v>
      </c>
      <c r="E1772" s="116">
        <v>727.3</v>
      </c>
      <c r="F1772" s="116">
        <v>712.25</v>
      </c>
      <c r="G1772">
        <v>4326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45657</v>
      </c>
      <c r="B1773" s="116">
        <v>744.7</v>
      </c>
      <c r="C1773" s="116">
        <v>737.25</v>
      </c>
      <c r="D1773" s="116">
        <v>703</v>
      </c>
      <c r="E1773" s="116">
        <v>719.95</v>
      </c>
      <c r="F1773" s="116">
        <v>737.25</v>
      </c>
      <c r="G1773">
        <v>3132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45658</v>
      </c>
      <c r="B1774" s="116">
        <v>741.25</v>
      </c>
      <c r="C1774" s="116">
        <v>734.05</v>
      </c>
      <c r="D1774" s="116">
        <v>715.25</v>
      </c>
      <c r="E1774" s="116">
        <v>737.25</v>
      </c>
      <c r="F1774" s="116">
        <v>734.05</v>
      </c>
      <c r="G1774">
        <v>1707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45659</v>
      </c>
      <c r="B1775" s="116">
        <v>760</v>
      </c>
      <c r="C1775" s="116">
        <v>747.95</v>
      </c>
      <c r="D1775" s="116">
        <v>734</v>
      </c>
      <c r="E1775" s="116">
        <v>734</v>
      </c>
      <c r="F1775" s="116">
        <v>747.95</v>
      </c>
      <c r="G1775">
        <v>3791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45660</v>
      </c>
      <c r="B1776" s="116">
        <v>764.75</v>
      </c>
      <c r="C1776" s="116">
        <v>730.55</v>
      </c>
      <c r="D1776" s="116">
        <v>723.1</v>
      </c>
      <c r="E1776" s="116">
        <v>759</v>
      </c>
      <c r="F1776" s="116">
        <v>730.55</v>
      </c>
      <c r="G1776">
        <v>2425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45663</v>
      </c>
      <c r="B1777" s="116">
        <v>749.55</v>
      </c>
      <c r="C1777" s="116">
        <v>700.05</v>
      </c>
      <c r="D1777" s="116">
        <v>681.3</v>
      </c>
      <c r="E1777" s="116">
        <v>734.2</v>
      </c>
      <c r="F1777" s="116">
        <v>700.05</v>
      </c>
      <c r="G1777">
        <v>10981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45664</v>
      </c>
      <c r="B1778" s="116">
        <v>720.95</v>
      </c>
      <c r="C1778" s="116">
        <v>705.15</v>
      </c>
      <c r="D1778" s="116">
        <v>697.1</v>
      </c>
      <c r="E1778" s="116">
        <v>697.1</v>
      </c>
      <c r="F1778" s="116">
        <v>705.15</v>
      </c>
      <c r="G1778">
        <v>3650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45665</v>
      </c>
      <c r="B1779" s="116">
        <v>715</v>
      </c>
      <c r="C1779" s="116">
        <v>704.7</v>
      </c>
      <c r="D1779" s="116">
        <v>690.25</v>
      </c>
      <c r="E1779" s="116">
        <v>701.6</v>
      </c>
      <c r="F1779" s="116">
        <v>704.7</v>
      </c>
      <c r="G1779">
        <v>2893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45666</v>
      </c>
      <c r="B1780" s="116">
        <v>714.8</v>
      </c>
      <c r="C1780" s="116">
        <v>704</v>
      </c>
      <c r="D1780" s="116">
        <v>690</v>
      </c>
      <c r="E1780" s="116">
        <v>714.8</v>
      </c>
      <c r="F1780" s="116">
        <v>704</v>
      </c>
      <c r="G1780">
        <v>4179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45667</v>
      </c>
      <c r="B1781" s="116">
        <v>704</v>
      </c>
      <c r="C1781" s="116">
        <v>701.55</v>
      </c>
      <c r="D1781" s="116">
        <v>682</v>
      </c>
      <c r="E1781" s="116">
        <v>704</v>
      </c>
      <c r="F1781" s="116">
        <v>701.55</v>
      </c>
      <c r="G1781">
        <v>2389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45670</v>
      </c>
      <c r="B1782" s="116">
        <v>698.6</v>
      </c>
      <c r="C1782" s="116">
        <v>660.75</v>
      </c>
      <c r="D1782" s="116">
        <v>651</v>
      </c>
      <c r="E1782" s="116">
        <v>698.25</v>
      </c>
      <c r="F1782" s="116">
        <v>660.75</v>
      </c>
      <c r="G1782">
        <v>4646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45671</v>
      </c>
      <c r="B1783" s="116">
        <v>689</v>
      </c>
      <c r="C1783" s="116">
        <v>667.45</v>
      </c>
      <c r="D1783" s="116">
        <v>660</v>
      </c>
      <c r="E1783" s="116">
        <v>675</v>
      </c>
      <c r="F1783" s="116">
        <v>667.45</v>
      </c>
      <c r="G1783">
        <v>4339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45672</v>
      </c>
      <c r="B1784" s="116">
        <v>679.6</v>
      </c>
      <c r="C1784" s="116">
        <v>668.25</v>
      </c>
      <c r="D1784" s="116">
        <v>665</v>
      </c>
      <c r="E1784" s="116">
        <v>669.15</v>
      </c>
      <c r="F1784" s="116">
        <v>668.25</v>
      </c>
      <c r="G1784">
        <v>1916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45673</v>
      </c>
      <c r="B1785" s="116">
        <v>668.3</v>
      </c>
      <c r="C1785" s="116">
        <v>658.45</v>
      </c>
      <c r="D1785" s="116">
        <v>635</v>
      </c>
      <c r="E1785" s="116">
        <v>668.3</v>
      </c>
      <c r="F1785" s="116">
        <v>658.45</v>
      </c>
      <c r="G1785">
        <v>11404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45674</v>
      </c>
      <c r="B1786" s="116">
        <v>695</v>
      </c>
      <c r="C1786" s="116">
        <v>689.5</v>
      </c>
      <c r="D1786" s="116">
        <v>640.1</v>
      </c>
      <c r="E1786" s="116">
        <v>659</v>
      </c>
      <c r="F1786" s="116">
        <v>689.5</v>
      </c>
      <c r="G1786">
        <v>5671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45677</v>
      </c>
      <c r="B1787" s="116">
        <v>719</v>
      </c>
      <c r="C1787" s="116">
        <v>717.65</v>
      </c>
      <c r="D1787" s="116">
        <v>680</v>
      </c>
      <c r="E1787" s="116">
        <v>680</v>
      </c>
      <c r="F1787" s="116">
        <v>717.65</v>
      </c>
      <c r="G1787">
        <v>3785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45678</v>
      </c>
      <c r="B1788" s="116">
        <v>719.95</v>
      </c>
      <c r="C1788" s="116">
        <v>700.7</v>
      </c>
      <c r="D1788" s="116">
        <v>690</v>
      </c>
      <c r="E1788" s="116">
        <v>717.65</v>
      </c>
      <c r="F1788" s="116">
        <v>700.7</v>
      </c>
      <c r="G1788">
        <v>3257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45679</v>
      </c>
      <c r="B1789" s="116">
        <v>720</v>
      </c>
      <c r="C1789" s="116">
        <v>688.9</v>
      </c>
      <c r="D1789" s="116">
        <v>680.1</v>
      </c>
      <c r="E1789" s="116">
        <v>720</v>
      </c>
      <c r="F1789" s="116">
        <v>688.9</v>
      </c>
      <c r="G1789">
        <v>1843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45680</v>
      </c>
      <c r="B1790" s="116">
        <v>710</v>
      </c>
      <c r="C1790" s="116">
        <v>707.55</v>
      </c>
      <c r="D1790" s="116">
        <v>688</v>
      </c>
      <c r="E1790" s="116">
        <v>688</v>
      </c>
      <c r="F1790" s="116">
        <v>707.55</v>
      </c>
      <c r="G1790">
        <v>2094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45681</v>
      </c>
      <c r="B1791" s="116">
        <v>720</v>
      </c>
      <c r="C1791" s="116">
        <v>700.2</v>
      </c>
      <c r="D1791" s="116">
        <v>700.1</v>
      </c>
      <c r="E1791" s="116">
        <v>703</v>
      </c>
      <c r="F1791" s="116">
        <v>700.2</v>
      </c>
      <c r="G1791">
        <v>2208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45684</v>
      </c>
      <c r="B1792" s="116">
        <v>700</v>
      </c>
      <c r="C1792" s="116">
        <v>664.05</v>
      </c>
      <c r="D1792" s="116">
        <v>655</v>
      </c>
      <c r="E1792" s="116">
        <v>675.05</v>
      </c>
      <c r="F1792" s="116">
        <v>664.05</v>
      </c>
      <c r="G1792">
        <v>6281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45685</v>
      </c>
      <c r="B1793" s="116">
        <v>687</v>
      </c>
      <c r="C1793" s="116">
        <v>670.25</v>
      </c>
      <c r="D1793" s="116">
        <v>660</v>
      </c>
      <c r="E1793" s="116">
        <v>660</v>
      </c>
      <c r="F1793" s="116">
        <v>670.25</v>
      </c>
      <c r="G1793">
        <v>5586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45686</v>
      </c>
      <c r="B1794" s="116">
        <v>689.5</v>
      </c>
      <c r="C1794" s="116">
        <v>688.35</v>
      </c>
      <c r="D1794" s="116">
        <v>670</v>
      </c>
      <c r="E1794" s="116">
        <v>670</v>
      </c>
      <c r="F1794" s="116">
        <v>688.35</v>
      </c>
      <c r="G1794">
        <v>11702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45687</v>
      </c>
      <c r="B1795" s="116">
        <v>690</v>
      </c>
      <c r="C1795" s="116">
        <v>656.8</v>
      </c>
      <c r="D1795" s="116">
        <v>650</v>
      </c>
      <c r="E1795" s="116">
        <v>690</v>
      </c>
      <c r="F1795" s="116">
        <v>656.8</v>
      </c>
      <c r="G1795">
        <v>8442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45688</v>
      </c>
      <c r="B1796" s="116">
        <v>678.95</v>
      </c>
      <c r="C1796" s="116">
        <v>661.7</v>
      </c>
      <c r="D1796" s="116">
        <v>655.04999999999995</v>
      </c>
      <c r="E1796" s="116">
        <v>678.9</v>
      </c>
      <c r="F1796" s="116">
        <v>661.7</v>
      </c>
      <c r="G1796">
        <v>1553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45689</v>
      </c>
      <c r="B1797" s="116">
        <v>681.9</v>
      </c>
      <c r="C1797" s="116">
        <v>659.75</v>
      </c>
      <c r="D1797" s="116">
        <v>640.04999999999995</v>
      </c>
      <c r="E1797" s="116">
        <v>665.1</v>
      </c>
      <c r="F1797" s="116">
        <v>659.75</v>
      </c>
      <c r="G1797">
        <v>4263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45691</v>
      </c>
      <c r="B1798" s="116">
        <v>730</v>
      </c>
      <c r="C1798" s="116">
        <v>721.85</v>
      </c>
      <c r="D1798" s="116">
        <v>659.75</v>
      </c>
      <c r="E1798" s="116">
        <v>659.75</v>
      </c>
      <c r="F1798" s="116">
        <v>721.85</v>
      </c>
      <c r="G1798">
        <v>14253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45692</v>
      </c>
      <c r="B1799" s="116">
        <v>762</v>
      </c>
      <c r="C1799" s="116">
        <v>732.95</v>
      </c>
      <c r="D1799" s="116">
        <v>726</v>
      </c>
      <c r="E1799" s="116">
        <v>738.9</v>
      </c>
      <c r="F1799" s="116">
        <v>732.95</v>
      </c>
      <c r="G1799">
        <v>11042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45693</v>
      </c>
      <c r="B1800" s="116">
        <v>788.95</v>
      </c>
      <c r="C1800" s="116">
        <v>746.35</v>
      </c>
      <c r="D1800" s="116">
        <v>738.05</v>
      </c>
      <c r="E1800" s="116">
        <v>745.05</v>
      </c>
      <c r="F1800" s="116">
        <v>746.35</v>
      </c>
      <c r="G1800">
        <v>23717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45694</v>
      </c>
      <c r="B1801" s="116">
        <v>763.8</v>
      </c>
      <c r="C1801" s="116">
        <v>735.7</v>
      </c>
      <c r="D1801" s="116">
        <v>735.1</v>
      </c>
      <c r="E1801" s="116">
        <v>750</v>
      </c>
      <c r="F1801" s="116">
        <v>735.7</v>
      </c>
      <c r="G1801">
        <v>2045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45695</v>
      </c>
      <c r="B1802" s="116">
        <v>737.8</v>
      </c>
      <c r="C1802" s="116">
        <v>725.4</v>
      </c>
      <c r="D1802" s="116">
        <v>722</v>
      </c>
      <c r="E1802" s="116">
        <v>736.05</v>
      </c>
      <c r="F1802" s="116">
        <v>725.4</v>
      </c>
      <c r="G1802">
        <v>3680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45698</v>
      </c>
      <c r="B1803" s="116">
        <v>748.55</v>
      </c>
      <c r="C1803" s="116">
        <v>733.6</v>
      </c>
      <c r="D1803" s="116">
        <v>721</v>
      </c>
      <c r="E1803" s="116">
        <v>748.55</v>
      </c>
      <c r="F1803" s="116">
        <v>733.6</v>
      </c>
      <c r="G1803">
        <v>1090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45699</v>
      </c>
      <c r="B1804" s="116">
        <v>757.9</v>
      </c>
      <c r="C1804" s="116">
        <v>726.4</v>
      </c>
      <c r="D1804" s="116">
        <v>715.2</v>
      </c>
      <c r="E1804" s="116">
        <v>733</v>
      </c>
      <c r="F1804" s="116">
        <v>726.4</v>
      </c>
      <c r="G1804">
        <v>6558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45700</v>
      </c>
      <c r="B1805" s="116">
        <v>746.7</v>
      </c>
      <c r="C1805" s="116">
        <v>724.75</v>
      </c>
      <c r="D1805" s="116">
        <v>702</v>
      </c>
      <c r="E1805" s="116">
        <v>746.7</v>
      </c>
      <c r="F1805" s="116">
        <v>724.75</v>
      </c>
      <c r="G1805">
        <v>4657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45701</v>
      </c>
      <c r="B1806" s="116">
        <v>753</v>
      </c>
      <c r="C1806" s="116">
        <v>731.3</v>
      </c>
      <c r="D1806" s="116">
        <v>720</v>
      </c>
      <c r="E1806" s="116">
        <v>725.05</v>
      </c>
      <c r="F1806" s="116">
        <v>731.3</v>
      </c>
      <c r="G1806">
        <v>4574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45702</v>
      </c>
      <c r="B1807" s="116">
        <v>738</v>
      </c>
      <c r="C1807" s="116">
        <v>694.2</v>
      </c>
      <c r="D1807" s="116">
        <v>679.95</v>
      </c>
      <c r="E1807" s="116">
        <v>738</v>
      </c>
      <c r="F1807" s="116">
        <v>694.2</v>
      </c>
      <c r="G1807">
        <v>9043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45705</v>
      </c>
      <c r="B1808" s="116">
        <v>714</v>
      </c>
      <c r="C1808" s="116">
        <v>691.4</v>
      </c>
      <c r="D1808" s="116">
        <v>686</v>
      </c>
      <c r="E1808" s="116">
        <v>714</v>
      </c>
      <c r="F1808" s="116">
        <v>691.4</v>
      </c>
      <c r="G1808">
        <v>1929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45706</v>
      </c>
      <c r="B1809" s="116">
        <v>704.8</v>
      </c>
      <c r="C1809" s="116">
        <v>654.9</v>
      </c>
      <c r="D1809" s="116">
        <v>650</v>
      </c>
      <c r="E1809" s="116">
        <v>682.25</v>
      </c>
      <c r="F1809" s="116">
        <v>654.9</v>
      </c>
      <c r="G1809">
        <v>5249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45707</v>
      </c>
      <c r="B1810" s="116">
        <v>694</v>
      </c>
      <c r="C1810" s="116">
        <v>686.55</v>
      </c>
      <c r="D1810" s="116">
        <v>658.95</v>
      </c>
      <c r="E1810" s="116">
        <v>660</v>
      </c>
      <c r="F1810" s="116">
        <v>686.55</v>
      </c>
      <c r="G1810">
        <v>2641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45708</v>
      </c>
      <c r="B1811" s="116">
        <v>693</v>
      </c>
      <c r="C1811" s="116">
        <v>689.9</v>
      </c>
      <c r="D1811" s="116">
        <v>682</v>
      </c>
      <c r="E1811" s="116">
        <v>686.55</v>
      </c>
      <c r="F1811" s="116">
        <v>689.9</v>
      </c>
      <c r="G1811">
        <v>992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45709</v>
      </c>
      <c r="B1812" s="116">
        <v>698</v>
      </c>
      <c r="C1812" s="116">
        <v>681.85</v>
      </c>
      <c r="D1812" s="116">
        <v>680</v>
      </c>
      <c r="E1812" s="116">
        <v>693</v>
      </c>
      <c r="F1812" s="116">
        <v>681.85</v>
      </c>
      <c r="G1812">
        <v>4435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45712</v>
      </c>
      <c r="B1813" s="116">
        <v>694.9</v>
      </c>
      <c r="C1813" s="116">
        <v>686.1</v>
      </c>
      <c r="D1813" s="116">
        <v>680</v>
      </c>
      <c r="E1813" s="116">
        <v>684.7</v>
      </c>
      <c r="F1813" s="116">
        <v>686.1</v>
      </c>
      <c r="G1813">
        <v>4036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45713</v>
      </c>
      <c r="B1814" s="116">
        <v>707</v>
      </c>
      <c r="C1814" s="116">
        <v>691.55</v>
      </c>
      <c r="D1814" s="116">
        <v>684</v>
      </c>
      <c r="E1814" s="116">
        <v>698.95</v>
      </c>
      <c r="F1814" s="116">
        <v>691.55</v>
      </c>
      <c r="G1814">
        <v>4537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45715</v>
      </c>
      <c r="B1815" s="116">
        <v>708</v>
      </c>
      <c r="C1815" s="116">
        <v>680.15</v>
      </c>
      <c r="D1815" s="116">
        <v>680</v>
      </c>
      <c r="E1815" s="116">
        <v>708</v>
      </c>
      <c r="F1815" s="116">
        <v>680.15</v>
      </c>
      <c r="G1815">
        <v>3231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45716</v>
      </c>
      <c r="B1816" s="116">
        <v>684</v>
      </c>
      <c r="C1816" s="116">
        <v>680.5</v>
      </c>
      <c r="D1816" s="116">
        <v>680</v>
      </c>
      <c r="E1816" s="116">
        <v>680.05</v>
      </c>
      <c r="F1816" s="116">
        <v>680.5</v>
      </c>
      <c r="G1816">
        <v>8065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45719</v>
      </c>
      <c r="B1817" s="116">
        <v>684</v>
      </c>
      <c r="C1817" s="116">
        <v>680.05</v>
      </c>
      <c r="D1817" s="116">
        <v>680</v>
      </c>
      <c r="E1817" s="116">
        <v>684</v>
      </c>
      <c r="F1817" s="116">
        <v>680.05</v>
      </c>
      <c r="G1817">
        <v>8820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45720</v>
      </c>
      <c r="B1818" s="116">
        <v>683.9</v>
      </c>
      <c r="C1818" s="116">
        <v>666.8</v>
      </c>
      <c r="D1818" s="116">
        <v>650.20000000000005</v>
      </c>
      <c r="E1818" s="116">
        <v>683.9</v>
      </c>
      <c r="F1818" s="116">
        <v>666.8</v>
      </c>
      <c r="G1818">
        <v>20060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45721</v>
      </c>
      <c r="B1819" s="116">
        <v>675</v>
      </c>
      <c r="C1819" s="116">
        <v>666</v>
      </c>
      <c r="D1819" s="116">
        <v>661</v>
      </c>
      <c r="E1819" s="116">
        <v>675</v>
      </c>
      <c r="F1819" s="116">
        <v>666</v>
      </c>
      <c r="G1819">
        <v>4933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45722</v>
      </c>
      <c r="B1820" s="116">
        <v>686.05</v>
      </c>
      <c r="C1820" s="116">
        <v>672.55</v>
      </c>
      <c r="D1820" s="116">
        <v>655</v>
      </c>
      <c r="E1820" s="116">
        <v>669</v>
      </c>
      <c r="F1820" s="116">
        <v>672.55</v>
      </c>
      <c r="G1820">
        <v>18859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45723</v>
      </c>
      <c r="B1821" s="116">
        <v>690</v>
      </c>
      <c r="C1821" s="116">
        <v>673.65</v>
      </c>
      <c r="D1821" s="116">
        <v>672</v>
      </c>
      <c r="E1821" s="116">
        <v>679.9</v>
      </c>
      <c r="F1821" s="116">
        <v>673.65</v>
      </c>
      <c r="G1821">
        <v>2805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45726</v>
      </c>
      <c r="B1822" s="116">
        <v>687.9</v>
      </c>
      <c r="C1822" s="116">
        <v>679.5</v>
      </c>
      <c r="D1822" s="116">
        <v>670</v>
      </c>
      <c r="E1822" s="116">
        <v>680</v>
      </c>
      <c r="F1822" s="116">
        <v>679.5</v>
      </c>
      <c r="G1822">
        <v>6014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45727</v>
      </c>
      <c r="B1823" s="116">
        <v>679.45</v>
      </c>
      <c r="C1823" s="116">
        <v>673.8</v>
      </c>
      <c r="D1823" s="116">
        <v>660.15</v>
      </c>
      <c r="E1823" s="116">
        <v>660.15</v>
      </c>
      <c r="F1823" s="116">
        <v>673.8</v>
      </c>
      <c r="G1823">
        <v>3007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45728</v>
      </c>
      <c r="B1824" s="116">
        <v>710</v>
      </c>
      <c r="C1824" s="116">
        <v>674.9</v>
      </c>
      <c r="D1824" s="116">
        <v>670.05</v>
      </c>
      <c r="E1824" s="116">
        <v>675</v>
      </c>
      <c r="F1824" s="116">
        <v>674.9</v>
      </c>
      <c r="G1824">
        <v>4755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45729</v>
      </c>
      <c r="B1825" s="116">
        <v>685</v>
      </c>
      <c r="C1825" s="116">
        <v>678.05</v>
      </c>
      <c r="D1825" s="116">
        <v>673.25</v>
      </c>
      <c r="E1825" s="116">
        <v>685</v>
      </c>
      <c r="F1825" s="116">
        <v>678.05</v>
      </c>
      <c r="G1825">
        <v>5711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45733</v>
      </c>
      <c r="B1826" s="116">
        <v>703</v>
      </c>
      <c r="C1826" s="116">
        <v>696.7</v>
      </c>
      <c r="D1826" s="116">
        <v>678.05</v>
      </c>
      <c r="E1826" s="116">
        <v>678.05</v>
      </c>
      <c r="F1826" s="116">
        <v>696.7</v>
      </c>
      <c r="G1826">
        <v>3605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45734</v>
      </c>
      <c r="B1827" s="116">
        <v>704</v>
      </c>
      <c r="C1827" s="116">
        <v>691.15</v>
      </c>
      <c r="D1827" s="116">
        <v>685.05</v>
      </c>
      <c r="E1827" s="116">
        <v>700.15</v>
      </c>
      <c r="F1827" s="116">
        <v>691.15</v>
      </c>
      <c r="G1827">
        <v>13163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45735</v>
      </c>
      <c r="B1828" s="116">
        <v>700</v>
      </c>
      <c r="C1828" s="116">
        <v>691.75</v>
      </c>
      <c r="D1828" s="116">
        <v>691.15</v>
      </c>
      <c r="E1828" s="116">
        <v>700</v>
      </c>
      <c r="F1828" s="116">
        <v>691.75</v>
      </c>
      <c r="G1828">
        <v>9685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45736</v>
      </c>
      <c r="B1829" s="116">
        <v>719.95</v>
      </c>
      <c r="C1829" s="116">
        <v>706.65</v>
      </c>
      <c r="D1829" s="116">
        <v>693.65</v>
      </c>
      <c r="E1829" s="116">
        <v>719.95</v>
      </c>
      <c r="F1829" s="116">
        <v>706.65</v>
      </c>
      <c r="G1829">
        <v>3189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45737</v>
      </c>
      <c r="B1830" s="116">
        <v>706.65</v>
      </c>
      <c r="C1830" s="116">
        <v>699.35</v>
      </c>
      <c r="D1830" s="116">
        <v>695.9</v>
      </c>
      <c r="E1830" s="116">
        <v>702</v>
      </c>
      <c r="F1830" s="116">
        <v>699.35</v>
      </c>
      <c r="G1830">
        <v>6519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45740</v>
      </c>
      <c r="B1831" s="116">
        <v>714.95</v>
      </c>
      <c r="C1831" s="116">
        <v>704.1</v>
      </c>
      <c r="D1831" s="116">
        <v>701</v>
      </c>
      <c r="E1831" s="116">
        <v>714.95</v>
      </c>
      <c r="F1831" s="116">
        <v>704.1</v>
      </c>
      <c r="G1831">
        <v>8189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45741</v>
      </c>
      <c r="B1832" s="116">
        <v>716.35</v>
      </c>
      <c r="C1832" s="116">
        <v>706.1</v>
      </c>
      <c r="D1832" s="116">
        <v>700.75</v>
      </c>
      <c r="E1832" s="116">
        <v>716.35</v>
      </c>
      <c r="F1832" s="116">
        <v>706.1</v>
      </c>
      <c r="G1832">
        <v>12076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45742</v>
      </c>
      <c r="B1833" s="116">
        <v>715.8</v>
      </c>
      <c r="C1833" s="116">
        <v>692.75</v>
      </c>
      <c r="D1833" s="116">
        <v>681.6</v>
      </c>
      <c r="E1833" s="116">
        <v>706.75</v>
      </c>
      <c r="F1833" s="116">
        <v>692.75</v>
      </c>
      <c r="G1833">
        <v>14727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45743</v>
      </c>
      <c r="B1834" s="116">
        <v>708</v>
      </c>
      <c r="C1834" s="116">
        <v>682.35</v>
      </c>
      <c r="D1834" s="116">
        <v>680.2</v>
      </c>
      <c r="E1834" s="116">
        <v>708</v>
      </c>
      <c r="F1834" s="116">
        <v>682.35</v>
      </c>
      <c r="G1834">
        <v>19140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45744</v>
      </c>
      <c r="B1835" s="116">
        <v>699.8</v>
      </c>
      <c r="C1835" s="116">
        <v>668.55</v>
      </c>
      <c r="D1835" s="116">
        <v>660</v>
      </c>
      <c r="E1835" s="116">
        <v>685</v>
      </c>
      <c r="F1835" s="116">
        <v>668.55</v>
      </c>
      <c r="G1835">
        <v>4971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45748</v>
      </c>
      <c r="B1836" s="116">
        <v>701</v>
      </c>
      <c r="C1836" s="116">
        <v>698.75</v>
      </c>
      <c r="D1836" s="116">
        <v>676.05</v>
      </c>
      <c r="E1836" s="116">
        <v>691</v>
      </c>
      <c r="F1836" s="116">
        <v>698.75</v>
      </c>
      <c r="G1836">
        <v>4175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45749</v>
      </c>
      <c r="B1837" s="116">
        <v>707</v>
      </c>
      <c r="C1837" s="116">
        <v>701.5</v>
      </c>
      <c r="D1837" s="116">
        <v>691</v>
      </c>
      <c r="E1837" s="116">
        <v>695</v>
      </c>
      <c r="F1837" s="116">
        <v>701.5</v>
      </c>
      <c r="G1837">
        <v>3166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45750</v>
      </c>
      <c r="B1838" s="116">
        <v>714.9</v>
      </c>
      <c r="C1838" s="116">
        <v>708.65</v>
      </c>
      <c r="D1838" s="116">
        <v>697.6</v>
      </c>
      <c r="E1838" s="116">
        <v>701.5</v>
      </c>
      <c r="F1838" s="116">
        <v>708.65</v>
      </c>
      <c r="G1838">
        <v>1814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45751</v>
      </c>
      <c r="B1839" s="116">
        <v>709</v>
      </c>
      <c r="C1839" s="116">
        <v>706.2</v>
      </c>
      <c r="D1839" s="116">
        <v>695</v>
      </c>
      <c r="E1839" s="116">
        <v>704</v>
      </c>
      <c r="F1839" s="116">
        <v>706.2</v>
      </c>
      <c r="G1839">
        <v>4528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45754</v>
      </c>
      <c r="B1840" s="116">
        <v>685</v>
      </c>
      <c r="C1840" s="116">
        <v>668.95</v>
      </c>
      <c r="D1840" s="116">
        <v>645</v>
      </c>
      <c r="E1840" s="116">
        <v>645</v>
      </c>
      <c r="F1840" s="116">
        <v>668.95</v>
      </c>
      <c r="G1840">
        <v>5447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45755</v>
      </c>
      <c r="B1841" s="116">
        <v>699</v>
      </c>
      <c r="C1841" s="116">
        <v>665.15</v>
      </c>
      <c r="D1841" s="116">
        <v>660</v>
      </c>
      <c r="E1841" s="116">
        <v>699</v>
      </c>
      <c r="F1841" s="116">
        <v>665.15</v>
      </c>
      <c r="G1841">
        <v>5022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45756</v>
      </c>
      <c r="B1842" s="116">
        <v>684</v>
      </c>
      <c r="C1842" s="116">
        <v>645.1</v>
      </c>
      <c r="D1842" s="116">
        <v>635.04999999999995</v>
      </c>
      <c r="E1842" s="116">
        <v>684</v>
      </c>
      <c r="F1842" s="116">
        <v>645.1</v>
      </c>
      <c r="G1842">
        <v>7379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45758</v>
      </c>
      <c r="B1843" s="116">
        <v>669</v>
      </c>
      <c r="C1843" s="116">
        <v>653.79999999999995</v>
      </c>
      <c r="D1843" s="116">
        <v>646.29999999999995</v>
      </c>
      <c r="E1843" s="116">
        <v>669</v>
      </c>
      <c r="F1843" s="116">
        <v>653.79999999999995</v>
      </c>
      <c r="G1843">
        <v>5389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45762</v>
      </c>
      <c r="B1844" s="116">
        <v>684.95</v>
      </c>
      <c r="C1844" s="116">
        <v>677.25</v>
      </c>
      <c r="D1844" s="116">
        <v>664.95</v>
      </c>
      <c r="E1844" s="116">
        <v>669.7</v>
      </c>
      <c r="F1844" s="116">
        <v>677.25</v>
      </c>
      <c r="G1844">
        <v>5186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45763</v>
      </c>
      <c r="B1845" s="116">
        <v>680.1</v>
      </c>
      <c r="C1845" s="116">
        <v>670.8</v>
      </c>
      <c r="D1845" s="116">
        <v>670</v>
      </c>
      <c r="E1845" s="116">
        <v>675</v>
      </c>
      <c r="F1845" s="116">
        <v>670.8</v>
      </c>
      <c r="G1845">
        <v>2207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45764</v>
      </c>
      <c r="B1846" s="116">
        <v>680</v>
      </c>
      <c r="C1846" s="116">
        <v>667.95</v>
      </c>
      <c r="D1846" s="116">
        <v>665</v>
      </c>
      <c r="E1846" s="116">
        <v>674.7</v>
      </c>
      <c r="F1846" s="116">
        <v>667.95</v>
      </c>
      <c r="G1846">
        <v>4150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45768</v>
      </c>
      <c r="B1847" s="116">
        <v>680</v>
      </c>
      <c r="C1847" s="116">
        <v>675.35</v>
      </c>
      <c r="D1847" s="116">
        <v>668.05</v>
      </c>
      <c r="E1847" s="116">
        <v>668.05</v>
      </c>
      <c r="F1847" s="116">
        <v>675.35</v>
      </c>
      <c r="G1847">
        <v>3157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45769</v>
      </c>
      <c r="B1848" s="116">
        <v>684.5</v>
      </c>
      <c r="C1848" s="116">
        <v>681.75</v>
      </c>
      <c r="D1848" s="116">
        <v>670.2</v>
      </c>
      <c r="E1848" s="116">
        <v>677.05</v>
      </c>
      <c r="F1848" s="116">
        <v>681.75</v>
      </c>
      <c r="G1848">
        <v>2017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45770</v>
      </c>
      <c r="B1849" s="116">
        <v>699.95</v>
      </c>
      <c r="C1849" s="116">
        <v>694.65</v>
      </c>
      <c r="D1849" s="116">
        <v>660</v>
      </c>
      <c r="E1849" s="116">
        <v>689</v>
      </c>
      <c r="F1849" s="116">
        <v>694.65</v>
      </c>
      <c r="G1849">
        <v>3259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45771</v>
      </c>
      <c r="B1850" s="116">
        <v>705</v>
      </c>
      <c r="C1850" s="116">
        <v>689.65</v>
      </c>
      <c r="D1850" s="116">
        <v>680</v>
      </c>
      <c r="E1850" s="116">
        <v>700</v>
      </c>
      <c r="F1850" s="116">
        <v>689.65</v>
      </c>
      <c r="G1850">
        <v>3393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45772</v>
      </c>
      <c r="B1851" s="116">
        <v>696.5</v>
      </c>
      <c r="C1851" s="116">
        <v>667.4</v>
      </c>
      <c r="D1851" s="116">
        <v>662</v>
      </c>
      <c r="E1851" s="116">
        <v>696.5</v>
      </c>
      <c r="F1851" s="116">
        <v>667.4</v>
      </c>
      <c r="G1851">
        <v>5014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45775</v>
      </c>
      <c r="B1852" s="116">
        <v>790</v>
      </c>
      <c r="C1852" s="116">
        <v>702.25</v>
      </c>
      <c r="D1852" s="116">
        <v>655.20000000000005</v>
      </c>
      <c r="E1852" s="116">
        <v>660.25</v>
      </c>
      <c r="F1852" s="116">
        <v>702.25</v>
      </c>
      <c r="G1852">
        <v>14916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45776</v>
      </c>
      <c r="B1853" s="116">
        <v>714.15</v>
      </c>
      <c r="C1853" s="116">
        <v>703.35</v>
      </c>
      <c r="D1853" s="116">
        <v>700</v>
      </c>
      <c r="E1853" s="116">
        <v>714.15</v>
      </c>
      <c r="F1853" s="116">
        <v>703.35</v>
      </c>
      <c r="G1853">
        <v>3743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45777</v>
      </c>
      <c r="B1854" s="116">
        <v>705</v>
      </c>
      <c r="C1854" s="116">
        <v>695.4</v>
      </c>
      <c r="D1854" s="116">
        <v>694.05</v>
      </c>
      <c r="E1854" s="116">
        <v>695</v>
      </c>
      <c r="F1854" s="116">
        <v>695.4</v>
      </c>
      <c r="G1854">
        <v>1810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45779</v>
      </c>
      <c r="B1855" s="116">
        <v>708.4</v>
      </c>
      <c r="C1855" s="116">
        <v>701.5</v>
      </c>
      <c r="D1855" s="116">
        <v>690</v>
      </c>
      <c r="E1855" s="116">
        <v>695.4</v>
      </c>
      <c r="F1855" s="116">
        <v>701.5</v>
      </c>
      <c r="G1855">
        <v>1716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45782</v>
      </c>
      <c r="B1856" s="116">
        <v>721</v>
      </c>
      <c r="C1856" s="116">
        <v>710.05</v>
      </c>
      <c r="D1856" s="116">
        <v>706</v>
      </c>
      <c r="E1856" s="116">
        <v>721</v>
      </c>
      <c r="F1856" s="116">
        <v>710.05</v>
      </c>
      <c r="G1856">
        <v>1994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45783</v>
      </c>
      <c r="B1857" s="116">
        <v>719.35</v>
      </c>
      <c r="C1857" s="116">
        <v>703.6</v>
      </c>
      <c r="D1857" s="116">
        <v>702</v>
      </c>
      <c r="E1857" s="116">
        <v>710.05</v>
      </c>
      <c r="F1857" s="116">
        <v>703.6</v>
      </c>
      <c r="G1857">
        <v>4215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45784</v>
      </c>
      <c r="B1858" s="116">
        <v>703.6</v>
      </c>
      <c r="C1858" s="116">
        <v>693.4</v>
      </c>
      <c r="D1858" s="116">
        <v>687.2</v>
      </c>
      <c r="E1858" s="116">
        <v>699.85</v>
      </c>
      <c r="F1858" s="116">
        <v>693.4</v>
      </c>
      <c r="G1858">
        <v>1272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45785</v>
      </c>
      <c r="B1859" s="116">
        <v>705</v>
      </c>
      <c r="C1859" s="116">
        <v>697.3</v>
      </c>
      <c r="D1859" s="116">
        <v>695</v>
      </c>
      <c r="E1859" s="116">
        <v>696.05</v>
      </c>
      <c r="F1859" s="116">
        <v>697.3</v>
      </c>
      <c r="G1859">
        <v>742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45786</v>
      </c>
      <c r="B1860" s="116">
        <v>695.15</v>
      </c>
      <c r="C1860" s="116">
        <v>692.85</v>
      </c>
      <c r="D1860" s="116">
        <v>680</v>
      </c>
      <c r="E1860" s="116">
        <v>695.1</v>
      </c>
      <c r="F1860" s="116">
        <v>692.85</v>
      </c>
      <c r="G1860">
        <v>503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45789</v>
      </c>
      <c r="B1861" s="116">
        <v>709</v>
      </c>
      <c r="C1861" s="116">
        <v>699.65</v>
      </c>
      <c r="D1861" s="116">
        <v>695</v>
      </c>
      <c r="E1861" s="116">
        <v>709</v>
      </c>
      <c r="F1861" s="116">
        <v>699.65</v>
      </c>
      <c r="G1861">
        <v>2263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45790</v>
      </c>
      <c r="B1862" s="116">
        <v>713.9</v>
      </c>
      <c r="C1862" s="116">
        <v>674.05</v>
      </c>
      <c r="D1862" s="116">
        <v>666</v>
      </c>
      <c r="E1862" s="116">
        <v>694</v>
      </c>
      <c r="F1862" s="116">
        <v>674.05</v>
      </c>
      <c r="G1862">
        <v>8836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45791</v>
      </c>
      <c r="B1863" s="116">
        <v>685.95</v>
      </c>
      <c r="C1863" s="116">
        <v>684.95</v>
      </c>
      <c r="D1863" s="116">
        <v>676</v>
      </c>
      <c r="E1863" s="116">
        <v>676</v>
      </c>
      <c r="F1863" s="116">
        <v>684.95</v>
      </c>
      <c r="G1863">
        <v>1126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45792</v>
      </c>
      <c r="B1864" s="116">
        <v>700.35</v>
      </c>
      <c r="C1864" s="116">
        <v>697.45</v>
      </c>
      <c r="D1864" s="116">
        <v>685.15</v>
      </c>
      <c r="E1864" s="116">
        <v>700.35</v>
      </c>
      <c r="F1864" s="116">
        <v>697.45</v>
      </c>
      <c r="G1864">
        <v>1797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45793</v>
      </c>
      <c r="B1865" s="116">
        <v>705.6</v>
      </c>
      <c r="C1865" s="116">
        <v>691.95</v>
      </c>
      <c r="D1865" s="116">
        <v>682.25</v>
      </c>
      <c r="E1865" s="116">
        <v>690.05</v>
      </c>
      <c r="F1865" s="116">
        <v>691.95</v>
      </c>
      <c r="G1865">
        <v>2453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45796</v>
      </c>
      <c r="B1866" s="116">
        <v>715.9</v>
      </c>
      <c r="C1866" s="116">
        <v>708.2</v>
      </c>
      <c r="D1866" s="116">
        <v>695.05</v>
      </c>
      <c r="E1866" s="116">
        <v>715.9</v>
      </c>
      <c r="F1866" s="116">
        <v>708.2</v>
      </c>
      <c r="G1866">
        <v>2750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45797</v>
      </c>
      <c r="B1867" s="116">
        <v>721.9</v>
      </c>
      <c r="C1867" s="116">
        <v>713.6</v>
      </c>
      <c r="D1867" s="116">
        <v>692</v>
      </c>
      <c r="E1867" s="116">
        <v>700.05</v>
      </c>
      <c r="F1867" s="116">
        <v>713.6</v>
      </c>
      <c r="G1867">
        <v>15704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45798</v>
      </c>
      <c r="B1868" s="116">
        <v>727.9</v>
      </c>
      <c r="C1868" s="116">
        <v>724.55</v>
      </c>
      <c r="D1868" s="116">
        <v>712</v>
      </c>
      <c r="E1868" s="116">
        <v>715.2</v>
      </c>
      <c r="F1868" s="116">
        <v>724.55</v>
      </c>
      <c r="G1868">
        <v>15200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45799</v>
      </c>
      <c r="B1869" s="116">
        <v>730</v>
      </c>
      <c r="C1869" s="116">
        <v>724.55</v>
      </c>
      <c r="D1869" s="116">
        <v>720</v>
      </c>
      <c r="E1869" s="116">
        <v>726</v>
      </c>
      <c r="F1869" s="116">
        <v>724.55</v>
      </c>
      <c r="G1869">
        <v>15194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45800</v>
      </c>
      <c r="B1870" s="116">
        <v>740</v>
      </c>
      <c r="C1870" s="116">
        <v>736.3</v>
      </c>
      <c r="D1870" s="116">
        <v>729</v>
      </c>
      <c r="E1870" s="116">
        <v>729.95</v>
      </c>
      <c r="F1870" s="116">
        <v>736.3</v>
      </c>
      <c r="G1870">
        <v>15780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45803</v>
      </c>
      <c r="B1871" s="116">
        <v>740</v>
      </c>
      <c r="C1871" s="116">
        <v>738.7</v>
      </c>
      <c r="D1871" s="116">
        <v>735</v>
      </c>
      <c r="E1871" s="116">
        <v>738</v>
      </c>
      <c r="F1871" s="116">
        <v>738.7</v>
      </c>
      <c r="G1871">
        <v>15439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45804</v>
      </c>
      <c r="B1872" s="116">
        <v>782</v>
      </c>
      <c r="C1872" s="116">
        <v>772.25</v>
      </c>
      <c r="D1872" s="116">
        <v>740.1</v>
      </c>
      <c r="E1872" s="116">
        <v>744.8</v>
      </c>
      <c r="F1872" s="116">
        <v>772.25</v>
      </c>
      <c r="G1872">
        <v>16262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45805</v>
      </c>
      <c r="B1873" s="116">
        <v>779</v>
      </c>
      <c r="C1873" s="116">
        <v>776.5</v>
      </c>
      <c r="D1873" s="116">
        <v>761.4</v>
      </c>
      <c r="E1873" s="116">
        <v>779</v>
      </c>
      <c r="F1873" s="116">
        <v>776.5</v>
      </c>
      <c r="G1873">
        <v>15122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45806</v>
      </c>
      <c r="B1874" s="116">
        <v>786.5</v>
      </c>
      <c r="C1874" s="116">
        <v>771</v>
      </c>
      <c r="D1874" s="116">
        <v>761.8</v>
      </c>
      <c r="E1874" s="116">
        <v>776.5</v>
      </c>
      <c r="F1874" s="116">
        <v>771</v>
      </c>
      <c r="G1874">
        <v>14235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45807</v>
      </c>
      <c r="B1875" s="116">
        <v>780</v>
      </c>
      <c r="C1875" s="116">
        <v>771.65</v>
      </c>
      <c r="D1875" s="116">
        <v>769</v>
      </c>
      <c r="E1875" s="116">
        <v>778.45</v>
      </c>
      <c r="F1875" s="116">
        <v>771.65</v>
      </c>
      <c r="G1875">
        <v>16150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45810</v>
      </c>
      <c r="B1876" s="116">
        <v>790</v>
      </c>
      <c r="C1876" s="116">
        <v>712.15</v>
      </c>
      <c r="D1876" s="116">
        <v>690</v>
      </c>
      <c r="E1876" s="116">
        <v>789.85</v>
      </c>
      <c r="F1876" s="116">
        <v>712.15</v>
      </c>
      <c r="G1876">
        <v>39604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45811</v>
      </c>
      <c r="B1877" s="116">
        <v>734</v>
      </c>
      <c r="C1877" s="116">
        <v>719.7</v>
      </c>
      <c r="D1877" s="116">
        <v>705</v>
      </c>
      <c r="E1877" s="116">
        <v>720</v>
      </c>
      <c r="F1877" s="116">
        <v>719.7</v>
      </c>
      <c r="G1877">
        <v>14767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45812</v>
      </c>
      <c r="B1878" s="116">
        <v>735</v>
      </c>
      <c r="C1878" s="116">
        <v>729.35</v>
      </c>
      <c r="D1878" s="116">
        <v>717</v>
      </c>
      <c r="E1878" s="116">
        <v>725</v>
      </c>
      <c r="F1878" s="116">
        <v>729.35</v>
      </c>
      <c r="G1878">
        <v>17638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45813</v>
      </c>
      <c r="B1879" s="116">
        <v>737.9</v>
      </c>
      <c r="C1879" s="116">
        <v>730.6</v>
      </c>
      <c r="D1879" s="116">
        <v>714</v>
      </c>
      <c r="E1879" s="116">
        <v>736</v>
      </c>
      <c r="F1879" s="116">
        <v>730.6</v>
      </c>
      <c r="G1879">
        <v>15784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45814</v>
      </c>
      <c r="B1880" s="116">
        <v>739.8</v>
      </c>
      <c r="C1880" s="116">
        <v>728.95</v>
      </c>
      <c r="D1880" s="116">
        <v>721</v>
      </c>
      <c r="E1880" s="116">
        <v>736</v>
      </c>
      <c r="F1880" s="116">
        <v>728.95</v>
      </c>
      <c r="G1880">
        <v>15965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45817</v>
      </c>
      <c r="B1881" s="116">
        <v>744.95</v>
      </c>
      <c r="C1881" s="116">
        <v>728.9</v>
      </c>
      <c r="D1881" s="116">
        <v>722</v>
      </c>
      <c r="E1881" s="116">
        <v>730</v>
      </c>
      <c r="F1881" s="116">
        <v>728.9</v>
      </c>
      <c r="G1881">
        <v>15567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45818</v>
      </c>
      <c r="B1882" s="116">
        <v>737</v>
      </c>
      <c r="C1882" s="116">
        <v>723.25</v>
      </c>
      <c r="D1882" s="116">
        <v>707.9</v>
      </c>
      <c r="E1882" s="116">
        <v>733</v>
      </c>
      <c r="F1882" s="116">
        <v>723.25</v>
      </c>
      <c r="G1882">
        <v>16046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45819</v>
      </c>
      <c r="B1883" s="116">
        <v>749.95</v>
      </c>
      <c r="C1883" s="116">
        <v>740.35</v>
      </c>
      <c r="D1883" s="116">
        <v>720.25</v>
      </c>
      <c r="E1883" s="116">
        <v>730</v>
      </c>
      <c r="F1883" s="116">
        <v>740.35</v>
      </c>
      <c r="G1883">
        <v>15948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45820</v>
      </c>
      <c r="B1884" s="116">
        <v>820</v>
      </c>
      <c r="C1884" s="116">
        <v>799.4</v>
      </c>
      <c r="D1884" s="116">
        <v>745.05</v>
      </c>
      <c r="E1884" s="116">
        <v>749.65</v>
      </c>
      <c r="F1884" s="116">
        <v>799.4</v>
      </c>
      <c r="G1884">
        <v>47946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45821</v>
      </c>
      <c r="B1885" s="116">
        <v>840</v>
      </c>
      <c r="C1885" s="116">
        <v>814.05</v>
      </c>
      <c r="D1885" s="116">
        <v>786</v>
      </c>
      <c r="E1885" s="116">
        <v>791</v>
      </c>
      <c r="F1885" s="116">
        <v>814.05</v>
      </c>
      <c r="G1885">
        <v>27475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45824</v>
      </c>
      <c r="B1886" s="116">
        <v>849</v>
      </c>
      <c r="C1886" s="116">
        <v>837.35</v>
      </c>
      <c r="D1886" s="116">
        <v>815</v>
      </c>
      <c r="E1886" s="116">
        <v>815</v>
      </c>
      <c r="F1886" s="116">
        <v>837.35</v>
      </c>
      <c r="G1886">
        <v>10123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45825</v>
      </c>
      <c r="B1887" s="116">
        <v>849.7</v>
      </c>
      <c r="C1887" s="116">
        <v>834.7</v>
      </c>
      <c r="D1887" s="116">
        <v>820.1</v>
      </c>
      <c r="E1887" s="116">
        <v>830.1</v>
      </c>
      <c r="F1887" s="116">
        <v>834.7</v>
      </c>
      <c r="G1887">
        <v>14725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45826</v>
      </c>
      <c r="B1888" s="116">
        <v>848</v>
      </c>
      <c r="C1888" s="116">
        <v>814.35</v>
      </c>
      <c r="D1888" s="116">
        <v>805.1</v>
      </c>
      <c r="E1888" s="116">
        <v>848</v>
      </c>
      <c r="F1888" s="116">
        <v>814.35</v>
      </c>
      <c r="G1888">
        <v>11054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45827</v>
      </c>
      <c r="B1889" s="116">
        <v>837.7</v>
      </c>
      <c r="C1889" s="116">
        <v>795.55</v>
      </c>
      <c r="D1889" s="116">
        <v>791</v>
      </c>
      <c r="E1889" s="116">
        <v>818</v>
      </c>
      <c r="F1889" s="116">
        <v>795.55</v>
      </c>
      <c r="G1889">
        <v>11333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45828</v>
      </c>
      <c r="B1890" s="116">
        <v>825</v>
      </c>
      <c r="C1890" s="116">
        <v>815.95</v>
      </c>
      <c r="D1890" s="116">
        <v>800</v>
      </c>
      <c r="E1890" s="116">
        <v>806.5</v>
      </c>
      <c r="F1890" s="116">
        <v>815.95</v>
      </c>
      <c r="G1890">
        <v>15560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45831</v>
      </c>
      <c r="B1891" s="116">
        <v>829</v>
      </c>
      <c r="C1891" s="116">
        <v>819.35</v>
      </c>
      <c r="D1891" s="116">
        <v>810</v>
      </c>
      <c r="E1891" s="116">
        <v>815.95</v>
      </c>
      <c r="F1891" s="116">
        <v>819.35</v>
      </c>
      <c r="G1891">
        <v>11964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45832</v>
      </c>
      <c r="B1892" s="116">
        <v>844.8</v>
      </c>
      <c r="C1892" s="116">
        <v>826.6</v>
      </c>
      <c r="D1892" s="116">
        <v>810</v>
      </c>
      <c r="E1892" s="116">
        <v>835</v>
      </c>
      <c r="F1892" s="116">
        <v>826.6</v>
      </c>
      <c r="G1892">
        <v>11949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45833</v>
      </c>
      <c r="B1893" s="116">
        <v>840</v>
      </c>
      <c r="C1893" s="116">
        <v>819.45</v>
      </c>
      <c r="D1893" s="116">
        <v>801.2</v>
      </c>
      <c r="E1893" s="116">
        <v>831</v>
      </c>
      <c r="F1893" s="116">
        <v>819.45</v>
      </c>
      <c r="G1893">
        <v>12502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45834</v>
      </c>
      <c r="B1894" s="116">
        <v>836</v>
      </c>
      <c r="C1894" s="116">
        <v>822</v>
      </c>
      <c r="D1894" s="116">
        <v>805.2</v>
      </c>
      <c r="E1894" s="116">
        <v>832</v>
      </c>
      <c r="F1894" s="116">
        <v>822</v>
      </c>
      <c r="G1894">
        <v>12771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45835</v>
      </c>
      <c r="B1895" s="116">
        <v>835.9</v>
      </c>
      <c r="C1895" s="116">
        <v>811.1</v>
      </c>
      <c r="D1895" s="116">
        <v>805.5</v>
      </c>
      <c r="E1895" s="116">
        <v>821</v>
      </c>
      <c r="F1895" s="116">
        <v>811.1</v>
      </c>
      <c r="G1895">
        <v>10085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45838</v>
      </c>
      <c r="B1896" s="116">
        <v>839.9</v>
      </c>
      <c r="C1896" s="116">
        <v>830.45</v>
      </c>
      <c r="D1896" s="116">
        <v>796</v>
      </c>
      <c r="E1896" s="116">
        <v>796.9</v>
      </c>
      <c r="F1896" s="116">
        <v>830.45</v>
      </c>
      <c r="G1896">
        <v>19258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45839</v>
      </c>
      <c r="B1897" s="116">
        <v>844.9</v>
      </c>
      <c r="C1897" s="116">
        <v>815.35</v>
      </c>
      <c r="D1897" s="116">
        <v>801.25</v>
      </c>
      <c r="E1897" s="116">
        <v>844.9</v>
      </c>
      <c r="F1897" s="116">
        <v>815.35</v>
      </c>
      <c r="G1897">
        <v>13842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45840</v>
      </c>
      <c r="B1898" s="116">
        <v>834.7</v>
      </c>
      <c r="C1898" s="116">
        <v>807.45</v>
      </c>
      <c r="D1898" s="116">
        <v>802.3</v>
      </c>
      <c r="E1898" s="116">
        <v>828.75</v>
      </c>
      <c r="F1898" s="116">
        <v>807.45</v>
      </c>
      <c r="G1898">
        <v>13563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45841</v>
      </c>
      <c r="B1899" s="116">
        <v>827.9</v>
      </c>
      <c r="C1899" s="116">
        <v>813.95</v>
      </c>
      <c r="D1899" s="116">
        <v>806</v>
      </c>
      <c r="E1899" s="116">
        <v>817.95</v>
      </c>
      <c r="F1899" s="116">
        <v>813.95</v>
      </c>
      <c r="G1899">
        <v>12953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45842</v>
      </c>
      <c r="B1900" s="116">
        <v>819</v>
      </c>
      <c r="C1900" s="116">
        <v>807.3</v>
      </c>
      <c r="D1900" s="116">
        <v>800</v>
      </c>
      <c r="E1900" s="116">
        <v>819</v>
      </c>
      <c r="F1900" s="116">
        <v>807.3</v>
      </c>
      <c r="G1900">
        <v>15018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45845</v>
      </c>
      <c r="B1901" s="116">
        <v>827.8</v>
      </c>
      <c r="C1901" s="116">
        <v>814.1</v>
      </c>
      <c r="D1901" s="116">
        <v>794</v>
      </c>
      <c r="E1901" s="116">
        <v>825</v>
      </c>
      <c r="F1901" s="116">
        <v>814.1</v>
      </c>
      <c r="G1901">
        <v>14417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45846</v>
      </c>
      <c r="B1902" s="116">
        <v>825</v>
      </c>
      <c r="C1902" s="116">
        <v>823.4</v>
      </c>
      <c r="D1902" s="116">
        <v>806</v>
      </c>
      <c r="E1902" s="116">
        <v>806</v>
      </c>
      <c r="F1902" s="116">
        <v>823.4</v>
      </c>
      <c r="G1902">
        <v>13914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45847</v>
      </c>
      <c r="B1903" s="116">
        <v>840</v>
      </c>
      <c r="C1903" s="116">
        <v>832.3</v>
      </c>
      <c r="D1903" s="116">
        <v>820</v>
      </c>
      <c r="E1903" s="116">
        <v>825</v>
      </c>
      <c r="F1903" s="116">
        <v>832.3</v>
      </c>
      <c r="G1903">
        <v>18835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45848</v>
      </c>
      <c r="B1904" s="116">
        <v>852.5</v>
      </c>
      <c r="C1904" s="116">
        <v>844.25</v>
      </c>
      <c r="D1904" s="116">
        <v>828.05</v>
      </c>
      <c r="E1904" s="116">
        <v>844</v>
      </c>
      <c r="F1904" s="116">
        <v>844.25</v>
      </c>
      <c r="G1904">
        <v>22475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45849</v>
      </c>
      <c r="B1905" s="116">
        <v>864.25</v>
      </c>
      <c r="C1905" s="116">
        <v>860.2</v>
      </c>
      <c r="D1905" s="116">
        <v>848</v>
      </c>
      <c r="E1905" s="116">
        <v>848</v>
      </c>
      <c r="F1905" s="116">
        <v>860.2</v>
      </c>
      <c r="G1905">
        <v>17434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45852</v>
      </c>
      <c r="B1906" s="116">
        <v>900</v>
      </c>
      <c r="C1906" s="116">
        <v>895.6</v>
      </c>
      <c r="D1906" s="116">
        <v>866.05</v>
      </c>
      <c r="E1906" s="116">
        <v>873</v>
      </c>
      <c r="F1906" s="116">
        <v>895.6</v>
      </c>
      <c r="G1906">
        <v>24620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45853</v>
      </c>
      <c r="B1907" s="116">
        <v>972</v>
      </c>
      <c r="C1907" s="116">
        <v>965.1</v>
      </c>
      <c r="D1907" s="116">
        <v>900.5</v>
      </c>
      <c r="E1907" s="116">
        <v>904.8</v>
      </c>
      <c r="F1907" s="116">
        <v>965.1</v>
      </c>
      <c r="G1907">
        <v>49485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45854</v>
      </c>
      <c r="B1908" s="116">
        <v>984</v>
      </c>
      <c r="C1908" s="116">
        <v>950.6</v>
      </c>
      <c r="D1908" s="116">
        <v>930</v>
      </c>
      <c r="E1908" s="116">
        <v>972.95</v>
      </c>
      <c r="F1908" s="116">
        <v>950.6</v>
      </c>
      <c r="G1908">
        <v>24352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45855</v>
      </c>
      <c r="B1909" s="116">
        <v>974.7</v>
      </c>
      <c r="C1909" s="116">
        <v>944.6</v>
      </c>
      <c r="D1909" s="116">
        <v>920</v>
      </c>
      <c r="E1909" s="116">
        <v>962</v>
      </c>
      <c r="F1909" s="116">
        <v>944.6</v>
      </c>
      <c r="G1909">
        <v>12080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45856</v>
      </c>
      <c r="B1910" s="116">
        <v>950</v>
      </c>
      <c r="C1910" s="116">
        <v>919</v>
      </c>
      <c r="D1910" s="116">
        <v>900</v>
      </c>
      <c r="E1910" s="116">
        <v>940.05</v>
      </c>
      <c r="F1910" s="116">
        <v>919</v>
      </c>
      <c r="G1910">
        <v>13255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45859</v>
      </c>
      <c r="B1911" s="116">
        <v>966</v>
      </c>
      <c r="C1911" s="116">
        <v>950.25</v>
      </c>
      <c r="D1911" s="116">
        <v>920.05</v>
      </c>
      <c r="E1911" s="116">
        <v>920.05</v>
      </c>
      <c r="F1911" s="116">
        <v>950.25</v>
      </c>
      <c r="G1911">
        <v>31727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45860</v>
      </c>
      <c r="B1912" s="116">
        <v>962</v>
      </c>
      <c r="C1912" s="116">
        <v>949.4</v>
      </c>
      <c r="D1912" s="116">
        <v>930.4</v>
      </c>
      <c r="E1912" s="116">
        <v>952</v>
      </c>
      <c r="F1912" s="116">
        <v>949.4</v>
      </c>
      <c r="G1912">
        <v>11309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45861</v>
      </c>
      <c r="B1913" s="116">
        <v>943.9</v>
      </c>
      <c r="C1913" s="116">
        <v>912.9</v>
      </c>
      <c r="D1913" s="116">
        <v>898.9</v>
      </c>
      <c r="E1913" s="116">
        <v>940</v>
      </c>
      <c r="F1913" s="116">
        <v>912.9</v>
      </c>
      <c r="G1913">
        <v>21214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45862</v>
      </c>
      <c r="B1914" s="116">
        <v>929.95</v>
      </c>
      <c r="C1914" s="116">
        <v>916.45</v>
      </c>
      <c r="D1914" s="116">
        <v>901</v>
      </c>
      <c r="E1914" s="116">
        <v>921</v>
      </c>
      <c r="F1914" s="116">
        <v>916.45</v>
      </c>
      <c r="G1914">
        <v>10635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45863</v>
      </c>
      <c r="B1915" s="116">
        <v>934</v>
      </c>
      <c r="C1915" s="116">
        <v>926.35</v>
      </c>
      <c r="D1915" s="116">
        <v>910</v>
      </c>
      <c r="E1915" s="116">
        <v>925</v>
      </c>
      <c r="F1915" s="116">
        <v>926.35</v>
      </c>
      <c r="G1915">
        <v>15893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45866</v>
      </c>
      <c r="B1916" s="116">
        <v>936</v>
      </c>
      <c r="C1916" s="116">
        <v>921.8</v>
      </c>
      <c r="D1916" s="116">
        <v>905</v>
      </c>
      <c r="E1916" s="116">
        <v>922</v>
      </c>
      <c r="F1916" s="116">
        <v>921.8</v>
      </c>
      <c r="G1916">
        <v>13356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45867</v>
      </c>
      <c r="B1917" s="116">
        <v>972.4</v>
      </c>
      <c r="C1917" s="116">
        <v>958.6</v>
      </c>
      <c r="D1917" s="116">
        <v>913</v>
      </c>
      <c r="E1917" s="116">
        <v>935</v>
      </c>
      <c r="F1917" s="116">
        <v>958.6</v>
      </c>
      <c r="G1917">
        <v>31687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45868</v>
      </c>
      <c r="B1918" s="116">
        <v>1001</v>
      </c>
      <c r="C1918" s="116">
        <v>973.95</v>
      </c>
      <c r="D1918" s="116">
        <v>960</v>
      </c>
      <c r="E1918" s="116">
        <v>974</v>
      </c>
      <c r="F1918" s="116">
        <v>973.95</v>
      </c>
      <c r="G1918">
        <v>32375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45869</v>
      </c>
      <c r="B1919" s="116">
        <v>1020</v>
      </c>
      <c r="C1919" s="116">
        <v>1007.05</v>
      </c>
      <c r="D1919" s="116">
        <v>975.3</v>
      </c>
      <c r="E1919" s="116">
        <v>1017</v>
      </c>
      <c r="F1919" s="116">
        <v>1007.05</v>
      </c>
      <c r="G1919">
        <v>50410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45870</v>
      </c>
      <c r="B1920" s="116">
        <v>1020</v>
      </c>
      <c r="C1920" s="116">
        <v>1006.85</v>
      </c>
      <c r="D1920" s="116">
        <v>980</v>
      </c>
      <c r="E1920" s="116">
        <v>1019.8</v>
      </c>
      <c r="F1920" s="116">
        <v>1006.85</v>
      </c>
      <c r="G1920">
        <v>21935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45873</v>
      </c>
      <c r="B1921" s="116">
        <v>1020</v>
      </c>
      <c r="C1921" s="116">
        <v>1015.35</v>
      </c>
      <c r="D1921" s="116">
        <v>972</v>
      </c>
      <c r="E1921" s="116">
        <v>1010</v>
      </c>
      <c r="F1921" s="116">
        <v>1015.35</v>
      </c>
      <c r="G1921">
        <v>21219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45874</v>
      </c>
      <c r="B1922" s="116">
        <v>1092</v>
      </c>
      <c r="C1922" s="116">
        <v>1079.1500000000001</v>
      </c>
      <c r="D1922" s="116">
        <v>984</v>
      </c>
      <c r="E1922" s="116">
        <v>1006</v>
      </c>
      <c r="F1922" s="116">
        <v>1079.1500000000001</v>
      </c>
      <c r="G1922">
        <v>45952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45875</v>
      </c>
      <c r="B1923" s="116">
        <v>1143</v>
      </c>
      <c r="C1923" s="116">
        <v>1118.95</v>
      </c>
      <c r="D1923" s="116">
        <v>1060</v>
      </c>
      <c r="E1923" s="116">
        <v>1088.8499999999999</v>
      </c>
      <c r="F1923" s="116">
        <v>1118.95</v>
      </c>
      <c r="G1923">
        <v>26320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45876</v>
      </c>
      <c r="B1924" s="116">
        <v>1133</v>
      </c>
      <c r="C1924" s="116">
        <v>1078</v>
      </c>
      <c r="D1924" s="116">
        <v>1065.9000000000001</v>
      </c>
      <c r="E1924" s="116">
        <v>1133</v>
      </c>
      <c r="F1924" s="116">
        <v>1078</v>
      </c>
      <c r="G1924">
        <v>14697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45877</v>
      </c>
      <c r="B1925" s="116">
        <v>1087</v>
      </c>
      <c r="C1925" s="116">
        <v>1059.3499999999999</v>
      </c>
      <c r="D1925" s="116">
        <v>1050</v>
      </c>
      <c r="E1925" s="116">
        <v>1087</v>
      </c>
      <c r="F1925" s="116">
        <v>1059.3499999999999</v>
      </c>
      <c r="G1925">
        <v>8182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45880</v>
      </c>
      <c r="B1926" s="116">
        <v>1120</v>
      </c>
      <c r="C1926" s="116">
        <v>1049.95</v>
      </c>
      <c r="D1926" s="116">
        <v>1026</v>
      </c>
      <c r="E1926" s="116">
        <v>1060</v>
      </c>
      <c r="F1926" s="116">
        <v>1049.95</v>
      </c>
      <c r="G1926">
        <v>39640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45881</v>
      </c>
      <c r="B1927" s="116">
        <v>1075.95</v>
      </c>
      <c r="C1927" s="116">
        <v>1028.45</v>
      </c>
      <c r="D1927" s="116">
        <v>1026</v>
      </c>
      <c r="E1927" s="116">
        <v>1051</v>
      </c>
      <c r="F1927" s="116">
        <v>1028.45</v>
      </c>
      <c r="G1927">
        <v>19777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45882</v>
      </c>
      <c r="B1928" s="116">
        <v>1058</v>
      </c>
      <c r="C1928" s="116">
        <v>1043.5</v>
      </c>
      <c r="D1928" s="116">
        <v>1023</v>
      </c>
      <c r="E1928" s="116">
        <v>1048</v>
      </c>
      <c r="F1928" s="116">
        <v>1043.5</v>
      </c>
      <c r="G1928">
        <v>13799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45883</v>
      </c>
      <c r="B1929" s="116">
        <v>1065.95</v>
      </c>
      <c r="C1929" s="116">
        <v>1047.1500000000001</v>
      </c>
      <c r="D1929" s="116">
        <v>1016.2</v>
      </c>
      <c r="E1929" s="116">
        <v>1040</v>
      </c>
      <c r="F1929" s="116">
        <v>1047.1500000000001</v>
      </c>
      <c r="G1929">
        <v>19454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45887</v>
      </c>
      <c r="B1930" s="116">
        <v>1077</v>
      </c>
      <c r="C1930" s="116">
        <v>1055.75</v>
      </c>
      <c r="D1930" s="116">
        <v>1030</v>
      </c>
      <c r="E1930" s="116">
        <v>1075</v>
      </c>
      <c r="F1930" s="116">
        <v>1055.75</v>
      </c>
      <c r="G1930">
        <v>15812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45888</v>
      </c>
      <c r="B1931" s="116">
        <v>1080.05</v>
      </c>
      <c r="C1931" s="116">
        <v>1059.4000000000001</v>
      </c>
      <c r="D1931" s="116">
        <v>1032.05</v>
      </c>
      <c r="E1931" s="116">
        <v>1056</v>
      </c>
      <c r="F1931" s="116">
        <v>1059.4000000000001</v>
      </c>
      <c r="G1931">
        <v>12472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45889</v>
      </c>
      <c r="B1932" s="116">
        <v>1074</v>
      </c>
      <c r="C1932" s="116">
        <v>1057.05</v>
      </c>
      <c r="D1932" s="116">
        <v>1050</v>
      </c>
      <c r="E1932" s="116">
        <v>1074</v>
      </c>
      <c r="F1932" s="116">
        <v>1057.05</v>
      </c>
      <c r="G1932">
        <v>18531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45890</v>
      </c>
      <c r="B1933" s="116">
        <v>1134</v>
      </c>
      <c r="C1933" s="116">
        <v>1106.8</v>
      </c>
      <c r="D1933" s="116">
        <v>1052</v>
      </c>
      <c r="E1933" s="116">
        <v>1064.95</v>
      </c>
      <c r="F1933" s="116">
        <v>1106.8</v>
      </c>
      <c r="G1933">
        <v>39496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45891</v>
      </c>
      <c r="B1934" s="116">
        <v>1275</v>
      </c>
      <c r="C1934" s="116">
        <v>1254.05</v>
      </c>
      <c r="D1934" s="116">
        <v>1086</v>
      </c>
      <c r="E1934" s="116">
        <v>1119.95</v>
      </c>
      <c r="F1934" s="116">
        <v>1254.05</v>
      </c>
      <c r="G1934">
        <v>51104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45894</v>
      </c>
      <c r="B1935" s="116">
        <v>1329</v>
      </c>
      <c r="C1935" s="116">
        <v>1266.8</v>
      </c>
      <c r="D1935" s="116">
        <v>1250</v>
      </c>
      <c r="E1935" s="116">
        <v>1285</v>
      </c>
      <c r="F1935" s="116">
        <v>1266.8</v>
      </c>
      <c r="G1935">
        <v>29741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45895</v>
      </c>
      <c r="B1936" s="116">
        <v>1319</v>
      </c>
      <c r="C1936" s="116">
        <v>1168.45</v>
      </c>
      <c r="D1936" s="116">
        <v>1154.9000000000001</v>
      </c>
      <c r="E1936" s="116">
        <v>1280.95</v>
      </c>
      <c r="F1936" s="116">
        <v>1168.45</v>
      </c>
      <c r="G1936">
        <v>30654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45897</v>
      </c>
      <c r="B1937" s="116">
        <v>1180</v>
      </c>
      <c r="C1937" s="116">
        <v>1142.1500000000001</v>
      </c>
      <c r="D1937" s="116">
        <v>1136</v>
      </c>
      <c r="E1937" s="116">
        <v>1150.45</v>
      </c>
      <c r="F1937" s="116">
        <v>1142.1500000000001</v>
      </c>
      <c r="G1937">
        <v>17951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45898</v>
      </c>
      <c r="B1938" s="116">
        <v>1169</v>
      </c>
      <c r="C1938" s="116">
        <v>1150.25</v>
      </c>
      <c r="D1938" s="116">
        <v>1130</v>
      </c>
      <c r="E1938" s="116">
        <v>1155.2</v>
      </c>
      <c r="F1938" s="116">
        <v>1150.25</v>
      </c>
      <c r="G1938">
        <v>22796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45901</v>
      </c>
      <c r="B1939" s="116">
        <v>1207.75</v>
      </c>
      <c r="C1939" s="116">
        <v>1176.5999999999999</v>
      </c>
      <c r="D1939" s="116">
        <v>1152</v>
      </c>
      <c r="E1939" s="116">
        <v>1173</v>
      </c>
      <c r="F1939" s="116">
        <v>1176.5999999999999</v>
      </c>
      <c r="G1939">
        <v>10095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45902</v>
      </c>
      <c r="B1940" s="116">
        <v>1225</v>
      </c>
      <c r="C1940" s="116">
        <v>1190.5999999999999</v>
      </c>
      <c r="D1940" s="116">
        <v>1151</v>
      </c>
      <c r="E1940" s="116">
        <v>1179</v>
      </c>
      <c r="F1940" s="116">
        <v>1190.5999999999999</v>
      </c>
      <c r="G1940">
        <v>9492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45903</v>
      </c>
      <c r="B1941" s="116">
        <v>1250.0999999999999</v>
      </c>
      <c r="C1941" s="116">
        <v>1250.0999999999999</v>
      </c>
      <c r="D1941" s="116">
        <v>1190</v>
      </c>
      <c r="E1941" s="116">
        <v>1219</v>
      </c>
      <c r="F1941" s="116">
        <v>1250.0999999999999</v>
      </c>
      <c r="G1941">
        <v>16721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45904</v>
      </c>
      <c r="B1942" s="116">
        <v>1312.2</v>
      </c>
      <c r="C1942" s="116">
        <v>1278.8499999999999</v>
      </c>
      <c r="D1942" s="116">
        <v>1220</v>
      </c>
      <c r="E1942" s="116">
        <v>1250</v>
      </c>
      <c r="F1942" s="116">
        <v>1278.8499999999999</v>
      </c>
      <c r="G1942">
        <v>24464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45905</v>
      </c>
      <c r="B1943" s="116">
        <v>1325</v>
      </c>
      <c r="C1943" s="116">
        <v>1294.9000000000001</v>
      </c>
      <c r="D1943" s="116">
        <v>1260.0999999999999</v>
      </c>
      <c r="E1943" s="116">
        <v>1304.45</v>
      </c>
      <c r="F1943" s="116">
        <v>1294.9000000000001</v>
      </c>
      <c r="G1943">
        <v>8798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45908</v>
      </c>
      <c r="B1944" s="116">
        <v>1340</v>
      </c>
      <c r="C1944" s="116">
        <v>1325.3</v>
      </c>
      <c r="D1944" s="116">
        <v>1230.2</v>
      </c>
      <c r="E1944" s="116">
        <v>1300</v>
      </c>
      <c r="F1944" s="116">
        <v>1325.3</v>
      </c>
      <c r="G1944">
        <v>35520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45909</v>
      </c>
      <c r="B1945" s="116">
        <v>1324</v>
      </c>
      <c r="C1945" s="116">
        <v>1278.7</v>
      </c>
      <c r="D1945" s="116">
        <v>1261</v>
      </c>
      <c r="E1945" s="116">
        <v>1324</v>
      </c>
      <c r="F1945" s="116">
        <v>1278.7</v>
      </c>
      <c r="G1945">
        <v>6703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45910</v>
      </c>
      <c r="B1946" s="116">
        <v>1275</v>
      </c>
      <c r="C1946" s="116">
        <v>1251.7</v>
      </c>
      <c r="D1946" s="116">
        <v>1214.8</v>
      </c>
      <c r="E1946" s="116">
        <v>1227</v>
      </c>
      <c r="F1946" s="116">
        <v>1251.7</v>
      </c>
      <c r="G1946">
        <v>15502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45911</v>
      </c>
      <c r="B1947" s="116">
        <v>1300</v>
      </c>
      <c r="C1947" s="116">
        <v>1233.25</v>
      </c>
      <c r="D1947" s="116">
        <v>1225</v>
      </c>
      <c r="E1947" s="116">
        <v>1269.9000000000001</v>
      </c>
      <c r="F1947" s="116">
        <v>1233.25</v>
      </c>
      <c r="G1947">
        <v>6682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45912</v>
      </c>
      <c r="B1948" s="116">
        <v>1268</v>
      </c>
      <c r="C1948" s="116">
        <v>1211.9000000000001</v>
      </c>
      <c r="D1948" s="116">
        <v>1200</v>
      </c>
      <c r="E1948" s="116">
        <v>1268</v>
      </c>
      <c r="F1948" s="116">
        <v>1211.9000000000001</v>
      </c>
      <c r="G1948">
        <v>6650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45915</v>
      </c>
      <c r="B1949" s="116">
        <v>1250</v>
      </c>
      <c r="C1949" s="116">
        <v>1204.55</v>
      </c>
      <c r="D1949" s="116">
        <v>1195</v>
      </c>
      <c r="E1949" s="116">
        <v>1220.95</v>
      </c>
      <c r="F1949" s="116">
        <v>1204.55</v>
      </c>
      <c r="G1949">
        <v>5794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45916</v>
      </c>
      <c r="B1950" s="116">
        <v>1250</v>
      </c>
      <c r="C1950" s="116">
        <v>1248.3</v>
      </c>
      <c r="D1950" s="116">
        <v>1200.0999999999999</v>
      </c>
      <c r="E1950" s="116">
        <v>1202.4000000000001</v>
      </c>
      <c r="F1950" s="116">
        <v>1248.3</v>
      </c>
      <c r="G1950">
        <v>11070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45917</v>
      </c>
      <c r="B1951" s="116">
        <v>1290</v>
      </c>
      <c r="C1951" s="116">
        <v>1249.0999999999999</v>
      </c>
      <c r="D1951" s="116">
        <v>1220</v>
      </c>
      <c r="E1951" s="116">
        <v>1248.3</v>
      </c>
      <c r="F1951" s="116">
        <v>1249.0999999999999</v>
      </c>
      <c r="G1951">
        <v>5457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45918</v>
      </c>
      <c r="B1952" s="116">
        <v>1275</v>
      </c>
      <c r="C1952" s="116">
        <v>1244.3</v>
      </c>
      <c r="D1952" s="116">
        <v>1216.0999999999999</v>
      </c>
      <c r="E1952" s="116">
        <v>1275</v>
      </c>
      <c r="F1952" s="116">
        <v>1244.3</v>
      </c>
      <c r="G1952">
        <v>4408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45919</v>
      </c>
      <c r="B1953" s="116">
        <v>1264.2</v>
      </c>
      <c r="C1953" s="116">
        <v>1228.8</v>
      </c>
      <c r="D1953" s="116">
        <v>1201.5999999999999</v>
      </c>
      <c r="E1953" s="116">
        <v>1264.0999999999999</v>
      </c>
      <c r="F1953" s="116">
        <v>1228.8</v>
      </c>
      <c r="G1953">
        <v>4049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45922</v>
      </c>
      <c r="B1954" s="116">
        <v>1250</v>
      </c>
      <c r="C1954" s="116">
        <v>1216.75</v>
      </c>
      <c r="D1954" s="116">
        <v>1171.7</v>
      </c>
      <c r="E1954" s="116">
        <v>1171.7</v>
      </c>
      <c r="F1954" s="116">
        <v>1216.75</v>
      </c>
      <c r="G1954">
        <v>4841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45923</v>
      </c>
      <c r="B1955" s="116">
        <v>1244.95</v>
      </c>
      <c r="C1955" s="116">
        <v>1228.5999999999999</v>
      </c>
      <c r="D1955" s="116">
        <v>1190.05</v>
      </c>
      <c r="E1955" s="116">
        <v>1216.75</v>
      </c>
      <c r="F1955" s="116">
        <v>1228.5999999999999</v>
      </c>
      <c r="G1955">
        <v>6965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45924</v>
      </c>
      <c r="B1956" s="116">
        <v>1277.95</v>
      </c>
      <c r="C1956" s="116">
        <v>1263.4000000000001</v>
      </c>
      <c r="D1956" s="116">
        <v>1211.1500000000001</v>
      </c>
      <c r="E1956" s="116">
        <v>1239.7</v>
      </c>
      <c r="F1956" s="116">
        <v>1263.4000000000001</v>
      </c>
      <c r="G1956">
        <v>40556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45925</v>
      </c>
      <c r="B1957" s="116">
        <v>1321.55</v>
      </c>
      <c r="C1957" s="116">
        <v>1291.75</v>
      </c>
      <c r="D1957" s="116">
        <v>1263.4000000000001</v>
      </c>
      <c r="E1957" s="116">
        <v>1263.4000000000001</v>
      </c>
      <c r="F1957" s="116">
        <v>1291.75</v>
      </c>
      <c r="G1957">
        <v>24576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45926</v>
      </c>
      <c r="B1958" s="116">
        <v>1355</v>
      </c>
      <c r="C1958" s="116">
        <v>1306.5</v>
      </c>
      <c r="D1958" s="116">
        <v>1260.5</v>
      </c>
      <c r="E1958" s="116">
        <v>1355</v>
      </c>
      <c r="F1958" s="116">
        <v>1306.5</v>
      </c>
      <c r="G1958">
        <v>17068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45929</v>
      </c>
      <c r="B1959" s="116">
        <v>1335</v>
      </c>
      <c r="C1959" s="116">
        <v>1309.5</v>
      </c>
      <c r="D1959" s="116">
        <v>1288</v>
      </c>
      <c r="E1959" s="116">
        <v>1288</v>
      </c>
      <c r="F1959" s="116">
        <v>1309.5</v>
      </c>
      <c r="G1959">
        <v>7859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45930</v>
      </c>
      <c r="B1960" s="116">
        <v>1344</v>
      </c>
      <c r="C1960" s="116">
        <v>1314.65</v>
      </c>
      <c r="D1960" s="116">
        <v>1301.2</v>
      </c>
      <c r="E1960" s="116">
        <v>1344</v>
      </c>
      <c r="F1960" s="116">
        <v>1314.65</v>
      </c>
      <c r="G1960">
        <v>3006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45931</v>
      </c>
      <c r="B1961" s="116">
        <v>1346</v>
      </c>
      <c r="C1961" s="116">
        <v>1329.2</v>
      </c>
      <c r="D1961" s="116">
        <v>1306</v>
      </c>
      <c r="E1961" s="116">
        <v>1346</v>
      </c>
      <c r="F1961" s="116">
        <v>1329.2</v>
      </c>
      <c r="G1961">
        <v>6380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45933</v>
      </c>
      <c r="B1962" s="116">
        <v>1395.65</v>
      </c>
      <c r="C1962" s="116">
        <v>1394.1</v>
      </c>
      <c r="D1962" s="116">
        <v>1281</v>
      </c>
      <c r="E1962" s="116">
        <v>1326</v>
      </c>
      <c r="F1962" s="116">
        <v>1394.1</v>
      </c>
      <c r="G1962">
        <v>19267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45936</v>
      </c>
      <c r="B1963" s="116">
        <v>1455</v>
      </c>
      <c r="C1963" s="116">
        <v>1407.6</v>
      </c>
      <c r="D1963" s="116">
        <v>1390</v>
      </c>
      <c r="E1963" s="116">
        <v>1399</v>
      </c>
      <c r="F1963" s="116">
        <v>1407.6</v>
      </c>
      <c r="G1963">
        <v>15772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45937</v>
      </c>
      <c r="B1964" s="116">
        <v>1448</v>
      </c>
      <c r="C1964" s="116">
        <v>1437.05</v>
      </c>
      <c r="D1964" s="116">
        <v>1408</v>
      </c>
      <c r="E1964" s="116">
        <v>1448</v>
      </c>
      <c r="F1964" s="116">
        <v>1437.05</v>
      </c>
      <c r="G1964">
        <v>5505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45938</v>
      </c>
      <c r="B1965" s="116">
        <v>1447.8</v>
      </c>
      <c r="C1965" s="116">
        <v>1423.4</v>
      </c>
      <c r="D1965" s="116">
        <v>1400</v>
      </c>
      <c r="E1965" s="116">
        <v>1419.1</v>
      </c>
      <c r="F1965" s="116">
        <v>1423.4</v>
      </c>
      <c r="G1965">
        <v>5850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45939</v>
      </c>
      <c r="B1966" s="116">
        <v>1448</v>
      </c>
      <c r="C1966" s="116">
        <v>1418.7</v>
      </c>
      <c r="D1966" s="116">
        <v>1390.1</v>
      </c>
      <c r="E1966" s="116">
        <v>1423</v>
      </c>
      <c r="F1966" s="116">
        <v>1418.7</v>
      </c>
      <c r="G1966">
        <v>11462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45940</v>
      </c>
      <c r="B1967" s="116">
        <v>1450.85</v>
      </c>
      <c r="C1967" s="116">
        <v>1430.1</v>
      </c>
      <c r="D1967" s="116">
        <v>1411</v>
      </c>
      <c r="E1967" s="116">
        <v>1421</v>
      </c>
      <c r="F1967" s="116">
        <v>1430.1</v>
      </c>
      <c r="G1967">
        <v>7133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45943</v>
      </c>
      <c r="B1968" s="116">
        <v>1501.6</v>
      </c>
      <c r="C1968" s="116">
        <v>1501.6</v>
      </c>
      <c r="D1968" s="116">
        <v>1421</v>
      </c>
      <c r="E1968" s="116">
        <v>1421</v>
      </c>
      <c r="F1968" s="116">
        <v>1501.6</v>
      </c>
      <c r="G1968">
        <v>38574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45944</v>
      </c>
      <c r="B1969" s="116">
        <v>1525.9</v>
      </c>
      <c r="C1969" s="116">
        <v>1481.65</v>
      </c>
      <c r="D1969" s="116">
        <v>1450</v>
      </c>
      <c r="E1969" s="116">
        <v>1519</v>
      </c>
      <c r="F1969" s="116">
        <v>1481.65</v>
      </c>
      <c r="G1969">
        <v>17059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45945</v>
      </c>
      <c r="B1970" s="116">
        <v>1514</v>
      </c>
      <c r="C1970" s="116">
        <v>1460.5</v>
      </c>
      <c r="D1970" s="116">
        <v>1440</v>
      </c>
      <c r="E1970" s="116">
        <v>1440</v>
      </c>
      <c r="F1970" s="116">
        <v>1460.5</v>
      </c>
      <c r="G1970">
        <v>6707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45946</v>
      </c>
      <c r="B1971" s="116">
        <v>1524</v>
      </c>
      <c r="C1971" s="116">
        <v>1500.15</v>
      </c>
      <c r="D1971" s="116">
        <v>1458.05</v>
      </c>
      <c r="E1971" s="116">
        <v>1468.95</v>
      </c>
      <c r="F1971" s="116">
        <v>1500.15</v>
      </c>
      <c r="G1971">
        <v>9647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45947</v>
      </c>
      <c r="B1972" s="116">
        <v>1575.15</v>
      </c>
      <c r="C1972" s="116">
        <v>1575.15</v>
      </c>
      <c r="D1972" s="116">
        <v>1499</v>
      </c>
      <c r="E1972" s="116">
        <v>1526</v>
      </c>
      <c r="F1972" s="116">
        <v>1575.15</v>
      </c>
      <c r="G1972">
        <v>15263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45950</v>
      </c>
      <c r="B1973" s="116">
        <v>1650</v>
      </c>
      <c r="C1973" s="116">
        <v>1639.2</v>
      </c>
      <c r="D1973" s="116">
        <v>1505</v>
      </c>
      <c r="E1973" s="116">
        <v>1648.8</v>
      </c>
      <c r="F1973" s="116">
        <v>1639.2</v>
      </c>
      <c r="G1973">
        <v>13613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45951</v>
      </c>
      <c r="B1974" s="116">
        <v>1682</v>
      </c>
      <c r="C1974" s="116">
        <v>1660.8</v>
      </c>
      <c r="D1974" s="116">
        <v>1575</v>
      </c>
      <c r="E1974" s="116">
        <v>1673</v>
      </c>
      <c r="F1974" s="116">
        <v>1660.8</v>
      </c>
      <c r="G1974">
        <v>7573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45953</v>
      </c>
      <c r="B1975" s="116">
        <v>1696</v>
      </c>
      <c r="C1975" s="116">
        <v>1602.6</v>
      </c>
      <c r="D1975" s="116">
        <v>1580.25</v>
      </c>
      <c r="E1975" s="116">
        <v>1679</v>
      </c>
      <c r="F1975" s="116">
        <v>1602.6</v>
      </c>
      <c r="G1975">
        <v>7318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45954</v>
      </c>
      <c r="B1976" s="116">
        <v>1682.7</v>
      </c>
      <c r="C1976" s="116">
        <v>1677.85</v>
      </c>
      <c r="D1976" s="116">
        <v>1555</v>
      </c>
      <c r="E1976" s="116">
        <v>1634</v>
      </c>
      <c r="F1976" s="116">
        <v>1677.85</v>
      </c>
      <c r="G1976">
        <v>12129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45957</v>
      </c>
      <c r="B1977" s="116">
        <v>1761</v>
      </c>
      <c r="C1977" s="116">
        <v>1723.3</v>
      </c>
      <c r="D1977" s="116">
        <v>1665</v>
      </c>
      <c r="E1977" s="116">
        <v>1686.2</v>
      </c>
      <c r="F1977" s="116">
        <v>1723.3</v>
      </c>
      <c r="G1977">
        <v>19038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45958</v>
      </c>
      <c r="B1978" s="116">
        <v>1785</v>
      </c>
      <c r="C1978" s="116">
        <v>1707.2</v>
      </c>
      <c r="D1978" s="116">
        <v>1701.3</v>
      </c>
      <c r="E1978" s="116">
        <v>1760.4</v>
      </c>
      <c r="F1978" s="116">
        <v>1707.2</v>
      </c>
      <c r="G1978">
        <v>11153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45959</v>
      </c>
      <c r="B1979" s="116">
        <v>1746.95</v>
      </c>
      <c r="C1979" s="116">
        <v>1686.1</v>
      </c>
      <c r="D1979" s="116">
        <v>1660</v>
      </c>
      <c r="E1979" s="116">
        <v>1728.7</v>
      </c>
      <c r="F1979" s="116">
        <v>1686.1</v>
      </c>
      <c r="G1979">
        <v>9803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45960</v>
      </c>
      <c r="B1980" s="116">
        <v>1678</v>
      </c>
      <c r="C1980" s="116">
        <v>1618.6</v>
      </c>
      <c r="D1980" s="116">
        <v>1605</v>
      </c>
      <c r="E1980" s="116">
        <v>1650</v>
      </c>
      <c r="F1980" s="116">
        <v>1618.6</v>
      </c>
      <c r="G1980">
        <v>11313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45961</v>
      </c>
      <c r="B1981" s="116">
        <v>1620</v>
      </c>
      <c r="C1981" s="116">
        <v>1539.15</v>
      </c>
      <c r="D1981" s="116">
        <v>1537.7</v>
      </c>
      <c r="E1981" s="116">
        <v>1620</v>
      </c>
      <c r="F1981" s="116">
        <v>1539.15</v>
      </c>
      <c r="G1981">
        <v>17398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45964</v>
      </c>
      <c r="B1982" s="116">
        <v>1616.1</v>
      </c>
      <c r="C1982" s="116">
        <v>1553.95</v>
      </c>
      <c r="D1982" s="116">
        <v>1471.1</v>
      </c>
      <c r="E1982" s="116">
        <v>1476</v>
      </c>
      <c r="F1982" s="116">
        <v>1553.95</v>
      </c>
      <c r="G1982">
        <v>14271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45965</v>
      </c>
      <c r="B1983" s="116">
        <v>1579.8</v>
      </c>
      <c r="C1983" s="116">
        <v>1546.35</v>
      </c>
      <c r="D1983" s="116">
        <v>1501.05</v>
      </c>
      <c r="E1983" s="116">
        <v>1554</v>
      </c>
      <c r="F1983" s="116">
        <v>1546.35</v>
      </c>
      <c r="G1983">
        <v>7630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45967</v>
      </c>
      <c r="B1984" s="116">
        <v>1592</v>
      </c>
      <c r="C1984" s="116">
        <v>1548.3</v>
      </c>
      <c r="D1984" s="116">
        <v>1510</v>
      </c>
      <c r="E1984" s="116">
        <v>1544.9</v>
      </c>
      <c r="F1984" s="116">
        <v>1548.3</v>
      </c>
      <c r="G1984">
        <v>17536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45968</v>
      </c>
      <c r="B1985" s="116">
        <v>1564.95</v>
      </c>
      <c r="C1985" s="116">
        <v>1551.3</v>
      </c>
      <c r="D1985" s="116">
        <v>1511.2</v>
      </c>
      <c r="E1985" s="116">
        <v>1547.8</v>
      </c>
      <c r="F1985" s="116">
        <v>1551.3</v>
      </c>
      <c r="G1985">
        <v>5536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45971</v>
      </c>
      <c r="B1986" s="116">
        <v>1628.85</v>
      </c>
      <c r="C1986" s="116">
        <v>1628.85</v>
      </c>
      <c r="D1986" s="116">
        <v>1628.85</v>
      </c>
      <c r="E1986" s="116">
        <v>1628.85</v>
      </c>
      <c r="F1986" s="116">
        <v>1628.85</v>
      </c>
      <c r="G1986">
        <v>12450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45972</v>
      </c>
      <c r="B1987" s="116">
        <v>1710.25</v>
      </c>
      <c r="C1987" s="116">
        <v>1710.25</v>
      </c>
      <c r="D1987" s="116">
        <v>1628.85</v>
      </c>
      <c r="E1987" s="116">
        <v>1628.85</v>
      </c>
      <c r="F1987" s="116">
        <v>1710.25</v>
      </c>
      <c r="G1987">
        <v>18337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45973</v>
      </c>
      <c r="B1988" s="116">
        <v>1777</v>
      </c>
      <c r="C1988" s="116">
        <v>1718.3</v>
      </c>
      <c r="D1988" s="116">
        <v>1660</v>
      </c>
      <c r="E1988" s="116">
        <v>1777</v>
      </c>
      <c r="F1988" s="116">
        <v>1718.3</v>
      </c>
      <c r="G1988">
        <v>18905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45974</v>
      </c>
      <c r="B1989" s="116">
        <v>1750</v>
      </c>
      <c r="C1989" s="116">
        <v>1702.9</v>
      </c>
      <c r="D1989" s="116">
        <v>1690</v>
      </c>
      <c r="E1989" s="116">
        <v>1748.9</v>
      </c>
      <c r="F1989" s="116">
        <v>1702.9</v>
      </c>
      <c r="G1989">
        <v>12262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45975</v>
      </c>
      <c r="B1990" s="116">
        <v>1788</v>
      </c>
      <c r="C1990" s="116">
        <v>1788</v>
      </c>
      <c r="D1990" s="116">
        <v>1715</v>
      </c>
      <c r="E1990" s="116">
        <v>1715</v>
      </c>
      <c r="F1990" s="116">
        <v>1788</v>
      </c>
      <c r="G1990">
        <v>15311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45978</v>
      </c>
      <c r="B1991" s="116">
        <v>1877.4</v>
      </c>
      <c r="C1991" s="116">
        <v>1877.4</v>
      </c>
      <c r="D1991" s="116">
        <v>1807</v>
      </c>
      <c r="E1991" s="116">
        <v>1850</v>
      </c>
      <c r="F1991" s="116">
        <v>1877.4</v>
      </c>
      <c r="G1991">
        <v>15829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45979</v>
      </c>
      <c r="B1992" s="116">
        <v>1971.25</v>
      </c>
      <c r="C1992" s="116">
        <v>1935.05</v>
      </c>
      <c r="D1992" s="116">
        <v>1887.5</v>
      </c>
      <c r="E1992" s="116">
        <v>1970</v>
      </c>
      <c r="F1992" s="116">
        <v>1935.05</v>
      </c>
      <c r="G1992">
        <v>29385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45980</v>
      </c>
      <c r="B1993" s="116">
        <v>1950</v>
      </c>
      <c r="C1993" s="116">
        <v>1905.75</v>
      </c>
      <c r="D1993" s="116">
        <v>1840</v>
      </c>
      <c r="E1993" s="116">
        <v>1929.7</v>
      </c>
      <c r="F1993" s="116">
        <v>1905.75</v>
      </c>
      <c r="G1993">
        <v>10453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45981</v>
      </c>
      <c r="B1994" s="116">
        <v>1970</v>
      </c>
      <c r="C1994" s="116">
        <v>1945.2</v>
      </c>
      <c r="D1994" s="116">
        <v>1840</v>
      </c>
      <c r="E1994" s="116">
        <v>1905</v>
      </c>
      <c r="F1994" s="116">
        <v>1945.2</v>
      </c>
      <c r="G1994">
        <v>16640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45982</v>
      </c>
      <c r="B1995" s="116">
        <v>1947.5</v>
      </c>
      <c r="C1995" s="116">
        <v>1863.25</v>
      </c>
      <c r="D1995" s="116">
        <v>1850</v>
      </c>
      <c r="E1995" s="116">
        <v>1947.5</v>
      </c>
      <c r="F1995" s="116">
        <v>1863.25</v>
      </c>
      <c r="G1995">
        <v>5373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45985</v>
      </c>
      <c r="B1996" s="116">
        <v>1900</v>
      </c>
      <c r="C1996" s="116">
        <v>1834</v>
      </c>
      <c r="D1996" s="116">
        <v>1781</v>
      </c>
      <c r="E1996" s="116">
        <v>1865</v>
      </c>
      <c r="F1996" s="116">
        <v>1834</v>
      </c>
      <c r="G1996">
        <v>5459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45986</v>
      </c>
      <c r="B1997" s="116">
        <v>1850</v>
      </c>
      <c r="C1997" s="116">
        <v>1787</v>
      </c>
      <c r="D1997" s="116">
        <v>1751</v>
      </c>
      <c r="E1997" s="116">
        <v>1834</v>
      </c>
      <c r="F1997" s="116">
        <v>1787</v>
      </c>
      <c r="G1997">
        <v>5734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45987</v>
      </c>
      <c r="B1998" s="116">
        <v>1876</v>
      </c>
      <c r="C1998" s="116">
        <v>1867.95</v>
      </c>
      <c r="D1998" s="116">
        <v>1791</v>
      </c>
      <c r="E1998" s="116">
        <v>1800</v>
      </c>
      <c r="F1998" s="116">
        <v>1867.95</v>
      </c>
      <c r="G1998">
        <v>5495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45988</v>
      </c>
      <c r="B1999" s="116">
        <v>1936</v>
      </c>
      <c r="C1999" s="116">
        <v>1890.6</v>
      </c>
      <c r="D1999" s="116">
        <v>1870</v>
      </c>
      <c r="E1999" s="116">
        <v>1880</v>
      </c>
      <c r="F1999" s="116">
        <v>1890.6</v>
      </c>
      <c r="G1999">
        <v>7068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45989</v>
      </c>
      <c r="B2000" s="116">
        <v>1949.9</v>
      </c>
      <c r="C2000" s="116">
        <v>1923.45</v>
      </c>
      <c r="D2000" s="116">
        <v>1840.75</v>
      </c>
      <c r="E2000" s="116">
        <v>1881.15</v>
      </c>
      <c r="F2000" s="116">
        <v>1923.45</v>
      </c>
      <c r="G2000">
        <v>3514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45992</v>
      </c>
      <c r="B2001" s="116">
        <v>1980</v>
      </c>
      <c r="C2001" s="116">
        <v>1938.9</v>
      </c>
      <c r="D2001" s="116">
        <v>1876.1</v>
      </c>
      <c r="E2001" s="116">
        <v>1979.95</v>
      </c>
      <c r="F2001" s="116">
        <v>1938.9</v>
      </c>
      <c r="G2001">
        <v>6378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45993</v>
      </c>
      <c r="B2002" s="116">
        <v>1999</v>
      </c>
      <c r="C2002" s="116">
        <v>1937</v>
      </c>
      <c r="D2002" s="116">
        <v>1906.1</v>
      </c>
      <c r="E2002" s="116">
        <v>1940</v>
      </c>
      <c r="F2002" s="116">
        <v>1937</v>
      </c>
      <c r="G2002">
        <v>3236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45994</v>
      </c>
      <c r="B2003" s="116">
        <v>1979.85</v>
      </c>
      <c r="C2003" s="116">
        <v>1884.95</v>
      </c>
      <c r="D2003" s="116">
        <v>1852.15</v>
      </c>
      <c r="E2003" s="116">
        <v>1862</v>
      </c>
      <c r="F2003" s="116">
        <v>1884.95</v>
      </c>
      <c r="G2003">
        <v>6821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45995</v>
      </c>
      <c r="B2004" s="116">
        <v>1924.8</v>
      </c>
      <c r="C2004" s="116">
        <v>1907.05</v>
      </c>
      <c r="D2004" s="116">
        <v>1862</v>
      </c>
      <c r="E2004" s="116">
        <v>1862</v>
      </c>
      <c r="F2004" s="116">
        <v>1907.05</v>
      </c>
      <c r="G2004">
        <v>2516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45996</v>
      </c>
      <c r="B2005" s="116">
        <v>1948.8</v>
      </c>
      <c r="C2005" s="116">
        <v>1874.1</v>
      </c>
      <c r="D2005" s="116">
        <v>1855</v>
      </c>
      <c r="E2005" s="116">
        <v>1907</v>
      </c>
      <c r="F2005" s="116">
        <v>1874.1</v>
      </c>
      <c r="G2005">
        <v>3148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45999</v>
      </c>
      <c r="B2006" s="116">
        <v>1872.35</v>
      </c>
      <c r="C2006" s="116">
        <v>1780.7</v>
      </c>
      <c r="D2006" s="116">
        <v>1780.4</v>
      </c>
      <c r="E2006" s="116">
        <v>1866</v>
      </c>
      <c r="F2006" s="116">
        <v>1780.7</v>
      </c>
      <c r="G2006">
        <v>8074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46000</v>
      </c>
      <c r="B2007" s="116">
        <v>1774.9</v>
      </c>
      <c r="C2007" s="116">
        <v>1738.45</v>
      </c>
      <c r="D2007" s="116">
        <v>1695</v>
      </c>
      <c r="E2007" s="116">
        <v>1754</v>
      </c>
      <c r="F2007" s="116">
        <v>1738.45</v>
      </c>
      <c r="G2007">
        <v>11186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46001</v>
      </c>
      <c r="B2008" s="116">
        <v>1759.9</v>
      </c>
      <c r="C2008" s="116">
        <v>1709.05</v>
      </c>
      <c r="D2008" s="116">
        <v>1701</v>
      </c>
      <c r="E2008" s="116">
        <v>1710</v>
      </c>
      <c r="F2008" s="116">
        <v>1709.05</v>
      </c>
      <c r="G2008">
        <v>2783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46002</v>
      </c>
      <c r="B2009" s="116">
        <v>1709.05</v>
      </c>
      <c r="C2009" s="116">
        <v>1646.35</v>
      </c>
      <c r="D2009" s="116">
        <v>1625</v>
      </c>
      <c r="E2009" s="116">
        <v>1670</v>
      </c>
      <c r="F2009" s="116">
        <v>1646.35</v>
      </c>
      <c r="G2009">
        <v>8113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46003</v>
      </c>
      <c r="B2010" s="116">
        <v>1636.7</v>
      </c>
      <c r="C2010" s="116">
        <v>1581.35</v>
      </c>
      <c r="D2010" s="116">
        <v>1564.05</v>
      </c>
      <c r="E2010" s="116">
        <v>1636.7</v>
      </c>
      <c r="F2010" s="116">
        <v>1581.35</v>
      </c>
      <c r="G2010">
        <v>16748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46006</v>
      </c>
      <c r="B2011" s="116">
        <v>1660.4</v>
      </c>
      <c r="C2011" s="116">
        <v>1660.4</v>
      </c>
      <c r="D2011" s="116">
        <v>1502.3</v>
      </c>
      <c r="E2011" s="116">
        <v>1530</v>
      </c>
      <c r="F2011" s="116">
        <v>1660.4</v>
      </c>
      <c r="G2011">
        <v>12833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46007</v>
      </c>
      <c r="B2012" s="116">
        <v>1743.4</v>
      </c>
      <c r="C2012" s="116">
        <v>1743.4</v>
      </c>
      <c r="D2012" s="116">
        <v>1651</v>
      </c>
      <c r="E2012" s="116">
        <v>1714.9</v>
      </c>
      <c r="F2012" s="116">
        <v>1743.4</v>
      </c>
      <c r="G2012">
        <v>8453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46008</v>
      </c>
      <c r="B2013" s="116">
        <v>1825</v>
      </c>
      <c r="C2013" s="116">
        <v>1668.45</v>
      </c>
      <c r="D2013" s="116">
        <v>1656.25</v>
      </c>
      <c r="E2013" s="116">
        <v>1797</v>
      </c>
      <c r="F2013" s="116">
        <v>1668.45</v>
      </c>
      <c r="G2013">
        <v>12059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46009</v>
      </c>
      <c r="B2014" s="116">
        <v>1737.9</v>
      </c>
      <c r="C2014" s="116">
        <v>1625.4</v>
      </c>
      <c r="D2014" s="116">
        <v>1603</v>
      </c>
      <c r="E2014" s="116">
        <v>1623</v>
      </c>
      <c r="F2014" s="116">
        <v>1625.4</v>
      </c>
      <c r="G2014">
        <v>6333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46010</v>
      </c>
      <c r="B2015" s="116">
        <v>1674.95</v>
      </c>
      <c r="C2015" s="116">
        <v>1630.75</v>
      </c>
      <c r="D2015" s="116">
        <v>1580</v>
      </c>
      <c r="E2015" s="116">
        <v>1657.95</v>
      </c>
      <c r="F2015" s="116">
        <v>1630.75</v>
      </c>
      <c r="G2015">
        <v>5264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46013</v>
      </c>
      <c r="B2016" s="116">
        <v>1844</v>
      </c>
      <c r="C2016" s="116">
        <v>1752.6</v>
      </c>
      <c r="D2016" s="116">
        <v>1657.7</v>
      </c>
      <c r="E2016" s="116">
        <v>1682</v>
      </c>
      <c r="F2016" s="116">
        <v>1752.6</v>
      </c>
      <c r="G2016">
        <v>13807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46014</v>
      </c>
      <c r="B2017" s="116">
        <v>1823.95</v>
      </c>
      <c r="C2017" s="116">
        <v>1716.2</v>
      </c>
      <c r="D2017" s="116">
        <v>1700</v>
      </c>
      <c r="E2017" s="116">
        <v>1775</v>
      </c>
      <c r="F2017" s="116">
        <v>1716.2</v>
      </c>
      <c r="G2017">
        <v>13319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46015</v>
      </c>
      <c r="B2018" s="116">
        <v>1728.4</v>
      </c>
      <c r="C2018" s="116">
        <v>1685.45</v>
      </c>
      <c r="D2018" s="116">
        <v>1658.7</v>
      </c>
      <c r="E2018" s="116">
        <v>1716</v>
      </c>
      <c r="F2018" s="116">
        <v>1685.45</v>
      </c>
      <c r="G2018">
        <v>11029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46017</v>
      </c>
      <c r="B2019" s="116">
        <v>1745.7</v>
      </c>
      <c r="C2019" s="116">
        <v>1704.65</v>
      </c>
      <c r="D2019" s="116">
        <v>1675</v>
      </c>
      <c r="E2019" s="116">
        <v>1709</v>
      </c>
      <c r="F2019" s="116">
        <v>1704.65</v>
      </c>
      <c r="G2019">
        <v>13562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46020</v>
      </c>
      <c r="B2020" s="116">
        <v>1717.9</v>
      </c>
      <c r="C2020" s="116">
        <v>1665</v>
      </c>
      <c r="D2020" s="116">
        <v>1638.7</v>
      </c>
      <c r="E2020" s="116">
        <v>1673.4</v>
      </c>
      <c r="F2020" s="116">
        <v>1665</v>
      </c>
      <c r="G2020">
        <v>13546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46021</v>
      </c>
      <c r="B2021" s="116">
        <v>1683</v>
      </c>
      <c r="C2021" s="116">
        <v>1605.35</v>
      </c>
      <c r="D2021" s="116">
        <v>1556.85</v>
      </c>
      <c r="E2021" s="116">
        <v>1680</v>
      </c>
      <c r="F2021" s="116">
        <v>1605.35</v>
      </c>
      <c r="G2021">
        <v>13937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46022</v>
      </c>
      <c r="B2022" s="116">
        <v>1638.15</v>
      </c>
      <c r="C2022" s="116">
        <v>1578.3</v>
      </c>
      <c r="D2022" s="116">
        <v>1567.1</v>
      </c>
      <c r="E2022" s="116">
        <v>1637</v>
      </c>
      <c r="F2022" s="116">
        <v>1578.3</v>
      </c>
      <c r="G2022">
        <v>12890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46023</v>
      </c>
      <c r="B2023" s="116">
        <v>1608.8</v>
      </c>
      <c r="C2023" s="116">
        <v>1536.25</v>
      </c>
      <c r="D2023" s="116">
        <v>1521.5</v>
      </c>
      <c r="E2023" s="116">
        <v>1570</v>
      </c>
      <c r="F2023" s="116">
        <v>1536.25</v>
      </c>
      <c r="G2023">
        <v>22014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46024</v>
      </c>
      <c r="B2024" s="116">
        <v>1627</v>
      </c>
      <c r="C2024" s="116">
        <v>1584.9</v>
      </c>
      <c r="D2024" s="116">
        <v>1510</v>
      </c>
      <c r="E2024" s="116">
        <v>1550</v>
      </c>
      <c r="F2024" s="116">
        <v>1584.9</v>
      </c>
      <c r="G2024">
        <v>13315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46027</v>
      </c>
      <c r="B2025" s="116">
        <v>1619.9</v>
      </c>
      <c r="C2025" s="116">
        <v>1567.9</v>
      </c>
      <c r="D2025" s="116">
        <v>1540.05</v>
      </c>
      <c r="E2025" s="116">
        <v>1619.9</v>
      </c>
      <c r="F2025" s="116">
        <v>1567.9</v>
      </c>
      <c r="G2025">
        <v>13211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46028</v>
      </c>
      <c r="B2026" s="116">
        <v>1597.8</v>
      </c>
      <c r="C2026" s="116">
        <v>1536.3</v>
      </c>
      <c r="D2026" s="116">
        <v>1521</v>
      </c>
      <c r="E2026" s="116">
        <v>1587.7</v>
      </c>
      <c r="F2026" s="116">
        <v>1536.3</v>
      </c>
      <c r="G2026">
        <v>12405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46029</v>
      </c>
      <c r="B2027" s="116">
        <v>1571</v>
      </c>
      <c r="C2027" s="116">
        <v>1510.75</v>
      </c>
      <c r="D2027" s="116">
        <v>1465</v>
      </c>
      <c r="E2027" s="116">
        <v>1554.4</v>
      </c>
      <c r="F2027" s="116">
        <v>1510.75</v>
      </c>
      <c r="G2027">
        <v>18288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46030</v>
      </c>
      <c r="B2028" s="116">
        <v>1545</v>
      </c>
      <c r="C2028" s="116">
        <v>1479.05</v>
      </c>
      <c r="D2028" s="116">
        <v>1435.5</v>
      </c>
      <c r="E2028" s="116">
        <v>1510</v>
      </c>
      <c r="F2028" s="116">
        <v>1479.05</v>
      </c>
      <c r="G2028">
        <v>23232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46031</v>
      </c>
      <c r="B2029" s="116">
        <v>1499.7</v>
      </c>
      <c r="C2029" s="116">
        <v>1437.05</v>
      </c>
      <c r="D2029" s="116">
        <v>1430</v>
      </c>
      <c r="E2029" s="116">
        <v>1499.7</v>
      </c>
      <c r="F2029" s="116">
        <v>1437.05</v>
      </c>
      <c r="G2029">
        <v>13389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46034</v>
      </c>
      <c r="B2030" s="116">
        <v>1450</v>
      </c>
      <c r="C2030" s="116">
        <v>1398.3</v>
      </c>
      <c r="D2030" s="116">
        <v>1362.15</v>
      </c>
      <c r="E2030" s="116">
        <v>1450</v>
      </c>
      <c r="F2030" s="116">
        <v>1398.3</v>
      </c>
      <c r="G2030">
        <v>18389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46035</v>
      </c>
      <c r="B2031" s="116">
        <v>1509.9</v>
      </c>
      <c r="C2031" s="116">
        <v>1496.3</v>
      </c>
      <c r="D2031" s="116">
        <v>1390</v>
      </c>
      <c r="E2031" s="116">
        <v>1390</v>
      </c>
      <c r="F2031" s="116">
        <v>1496.3</v>
      </c>
      <c r="G2031">
        <v>20353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46036</v>
      </c>
      <c r="B2032" s="116">
        <v>1577</v>
      </c>
      <c r="C2032" s="116">
        <v>1544.5</v>
      </c>
      <c r="D2032" s="116">
        <v>1500</v>
      </c>
      <c r="E2032" s="116">
        <v>1528</v>
      </c>
      <c r="F2032" s="116">
        <v>1544.5</v>
      </c>
      <c r="G2032">
        <v>14363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46038</v>
      </c>
      <c r="B2033" s="116">
        <v>1589</v>
      </c>
      <c r="C2033" s="116">
        <v>1495.45</v>
      </c>
      <c r="D2033" s="116">
        <v>1460</v>
      </c>
      <c r="E2033" s="116">
        <v>1589</v>
      </c>
      <c r="F2033" s="116">
        <v>1495.45</v>
      </c>
      <c r="G2033">
        <v>10816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46041</v>
      </c>
      <c r="B2034" s="116">
        <v>1538</v>
      </c>
      <c r="C2034" s="116">
        <v>1515.15</v>
      </c>
      <c r="D2034" s="116">
        <v>1412.3</v>
      </c>
      <c r="E2034" s="116">
        <v>1488</v>
      </c>
      <c r="F2034" s="116">
        <v>1515.15</v>
      </c>
      <c r="G2034">
        <v>15968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46042</v>
      </c>
      <c r="B2035" s="116">
        <v>1549</v>
      </c>
      <c r="C2035" s="116">
        <v>1504.85</v>
      </c>
      <c r="D2035" s="116">
        <v>1450</v>
      </c>
      <c r="E2035" s="116">
        <v>1530</v>
      </c>
      <c r="F2035" s="116">
        <v>1504.85</v>
      </c>
      <c r="G2035">
        <v>18348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46043</v>
      </c>
      <c r="B2036" s="116">
        <v>1523.9</v>
      </c>
      <c r="C2036" s="116">
        <v>1472.9</v>
      </c>
      <c r="D2036" s="116">
        <v>1432</v>
      </c>
      <c r="E2036" s="116">
        <v>1504</v>
      </c>
      <c r="F2036" s="116">
        <v>1472.9</v>
      </c>
      <c r="G2036">
        <v>13964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46044</v>
      </c>
      <c r="B2037" s="116">
        <v>1529.95</v>
      </c>
      <c r="C2037" s="116">
        <v>1504.1</v>
      </c>
      <c r="D2037" s="116">
        <v>1460</v>
      </c>
      <c r="E2037" s="116">
        <v>1509</v>
      </c>
      <c r="F2037" s="116">
        <v>1504.1</v>
      </c>
      <c r="G2037">
        <v>13573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46045</v>
      </c>
      <c r="B2038" s="116">
        <v>1525</v>
      </c>
      <c r="C2038" s="116">
        <v>1476.8</v>
      </c>
      <c r="D2038" s="116">
        <v>1450</v>
      </c>
      <c r="E2038" s="116">
        <v>1505</v>
      </c>
      <c r="F2038" s="116">
        <v>1476.8</v>
      </c>
      <c r="G2038">
        <v>13268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46049</v>
      </c>
      <c r="B2039" s="116">
        <v>1513.5</v>
      </c>
      <c r="C2039" s="116">
        <v>1487.9</v>
      </c>
      <c r="D2039" s="116">
        <v>1451</v>
      </c>
      <c r="E2039" s="116">
        <v>1455</v>
      </c>
      <c r="F2039" s="116">
        <v>1487.9</v>
      </c>
      <c r="G2039">
        <v>14732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46050</v>
      </c>
      <c r="B2040" s="116">
        <v>1548</v>
      </c>
      <c r="C2040" s="116">
        <v>1502.35</v>
      </c>
      <c r="D2040" s="116">
        <v>1470</v>
      </c>
      <c r="E2040" s="116">
        <v>1515</v>
      </c>
      <c r="F2040" s="116">
        <v>1502.35</v>
      </c>
      <c r="G2040">
        <v>12321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46051</v>
      </c>
      <c r="B2041" s="116">
        <v>1530</v>
      </c>
      <c r="C2041" s="116">
        <v>1489.5</v>
      </c>
      <c r="D2041" s="116">
        <v>1450</v>
      </c>
      <c r="E2041" s="116">
        <v>1530</v>
      </c>
      <c r="F2041" s="116">
        <v>1489.5</v>
      </c>
      <c r="G2041">
        <v>11544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46052</v>
      </c>
      <c r="B2042" s="116">
        <v>1558.95</v>
      </c>
      <c r="C2042" s="116">
        <v>1538.3</v>
      </c>
      <c r="D2042" s="116">
        <v>1465</v>
      </c>
      <c r="E2042" s="116">
        <v>1506</v>
      </c>
      <c r="F2042" s="116">
        <v>1538.3</v>
      </c>
      <c r="G2042">
        <v>17091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46054</v>
      </c>
      <c r="B2043" s="116">
        <v>1609</v>
      </c>
      <c r="C2043" s="116">
        <v>1551.7</v>
      </c>
      <c r="D2043" s="116">
        <v>1521</v>
      </c>
      <c r="E2043" s="116">
        <v>1569.8</v>
      </c>
      <c r="F2043" s="116">
        <v>1551.7</v>
      </c>
      <c r="G2043">
        <v>13200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46055</v>
      </c>
      <c r="B2044" s="116">
        <v>1619</v>
      </c>
      <c r="C2044" s="116">
        <v>1595.2</v>
      </c>
      <c r="D2044" s="116">
        <v>1508</v>
      </c>
      <c r="E2044" s="116">
        <v>1560</v>
      </c>
      <c r="F2044" s="116">
        <v>1595.2</v>
      </c>
      <c r="G2044">
        <v>13127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46056</v>
      </c>
      <c r="B2045" s="116">
        <v>1659.9</v>
      </c>
      <c r="C2045" s="116">
        <v>1633.4</v>
      </c>
      <c r="D2045" s="116">
        <v>1526</v>
      </c>
      <c r="E2045" s="116">
        <v>1526</v>
      </c>
      <c r="F2045" s="116">
        <v>1633.4</v>
      </c>
      <c r="G2045">
        <v>15226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46057</v>
      </c>
      <c r="B2046" s="116">
        <v>1650</v>
      </c>
      <c r="C2046" s="116">
        <v>1643.25</v>
      </c>
      <c r="D2046" s="116">
        <v>1581</v>
      </c>
      <c r="E2046" s="116">
        <v>1619.2</v>
      </c>
      <c r="F2046" s="116">
        <v>1643.25</v>
      </c>
      <c r="G2046">
        <v>12616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46058</v>
      </c>
      <c r="B2047" s="116">
        <v>1689.9</v>
      </c>
      <c r="C2047" s="116">
        <v>1664.75</v>
      </c>
      <c r="D2047" s="116">
        <v>1635.2</v>
      </c>
      <c r="E2047" s="116">
        <v>1648.2</v>
      </c>
      <c r="F2047" s="116">
        <v>1664.75</v>
      </c>
      <c r="G2047">
        <v>13636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46059</v>
      </c>
      <c r="B2048" s="116">
        <v>1665</v>
      </c>
      <c r="C2048" s="116">
        <v>1648</v>
      </c>
      <c r="D2048" s="116">
        <v>1587.6</v>
      </c>
      <c r="E2048" s="116">
        <v>1664.75</v>
      </c>
      <c r="F2048" s="116">
        <v>1648</v>
      </c>
      <c r="G2048">
        <v>14228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46062</v>
      </c>
      <c r="B2049" s="116">
        <v>1842</v>
      </c>
      <c r="C2049" s="116">
        <v>1796.6</v>
      </c>
      <c r="D2049" s="116">
        <v>1672</v>
      </c>
      <c r="E2049" s="116">
        <v>1672</v>
      </c>
      <c r="F2049" s="116">
        <v>1796.6</v>
      </c>
      <c r="G2049">
        <v>29901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46063</v>
      </c>
      <c r="B2050" s="116">
        <v>1849.5</v>
      </c>
      <c r="C2050" s="116">
        <v>1782.85</v>
      </c>
      <c r="D2050" s="116">
        <v>1725.5</v>
      </c>
      <c r="E2050" s="116">
        <v>1838</v>
      </c>
      <c r="F2050" s="116">
        <v>1782.85</v>
      </c>
      <c r="G2050">
        <v>16310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46064</v>
      </c>
      <c r="B2051" s="116">
        <v>1944</v>
      </c>
      <c r="C2051" s="116">
        <v>1882.5</v>
      </c>
      <c r="D2051" s="116">
        <v>1731</v>
      </c>
      <c r="E2051" s="116">
        <v>1750</v>
      </c>
      <c r="F2051" s="116">
        <v>1882.5</v>
      </c>
      <c r="G2051">
        <v>19442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46065</v>
      </c>
      <c r="B2052" s="116">
        <v>1931</v>
      </c>
      <c r="C2052" s="116">
        <v>1826.05</v>
      </c>
      <c r="D2052" s="116">
        <v>1818</v>
      </c>
      <c r="E2052" s="116">
        <v>1900</v>
      </c>
      <c r="F2052" s="116">
        <v>1826.05</v>
      </c>
      <c r="G2052">
        <v>10494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46066</v>
      </c>
      <c r="B2053" s="116">
        <v>1865</v>
      </c>
      <c r="C2053" s="116">
        <v>1818.05</v>
      </c>
      <c r="D2053" s="116">
        <v>1781.5</v>
      </c>
      <c r="E2053" s="116">
        <v>1825</v>
      </c>
      <c r="F2053" s="116">
        <v>1818.05</v>
      </c>
      <c r="G2053">
        <v>11280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46069</v>
      </c>
      <c r="B2054" s="116">
        <v>1806</v>
      </c>
      <c r="C2054" s="116">
        <v>1744.9</v>
      </c>
      <c r="D2054" s="116">
        <v>1699.95</v>
      </c>
      <c r="E2054" s="116">
        <v>1806</v>
      </c>
      <c r="F2054" s="116">
        <v>1744.9</v>
      </c>
      <c r="G2054">
        <v>10376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46070</v>
      </c>
      <c r="B2055" s="116">
        <v>1785</v>
      </c>
      <c r="C2055" s="116">
        <v>1767.35</v>
      </c>
      <c r="D2055" s="116">
        <v>1735.2</v>
      </c>
      <c r="E2055" s="116">
        <v>1778</v>
      </c>
      <c r="F2055" s="116">
        <v>1767.35</v>
      </c>
      <c r="G2055">
        <v>8275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46071</v>
      </c>
      <c r="B2056" s="116">
        <v>1810.05</v>
      </c>
      <c r="C2056" s="116">
        <v>1739.05</v>
      </c>
      <c r="D2056" s="116">
        <v>1712.1</v>
      </c>
      <c r="E2056" s="116">
        <v>1810</v>
      </c>
      <c r="F2056" s="116">
        <v>1739.05</v>
      </c>
      <c r="G2056">
        <v>9084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46072</v>
      </c>
      <c r="B2057" s="116">
        <v>1777</v>
      </c>
      <c r="C2057" s="116">
        <v>1712.25</v>
      </c>
      <c r="D2057" s="116">
        <v>1698.05</v>
      </c>
      <c r="E2057" s="116">
        <v>1770</v>
      </c>
      <c r="F2057" s="116">
        <v>1712.25</v>
      </c>
      <c r="G2057">
        <v>7568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46073</v>
      </c>
      <c r="B2058" s="116">
        <v>1750</v>
      </c>
      <c r="C2058" s="116">
        <v>1664.2</v>
      </c>
      <c r="D2058" s="116">
        <v>1601</v>
      </c>
      <c r="E2058" s="116">
        <v>1714</v>
      </c>
      <c r="F2058" s="116">
        <v>1664.2</v>
      </c>
      <c r="G2058">
        <v>8457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46076</v>
      </c>
      <c r="B2059" s="116">
        <v>1718</v>
      </c>
      <c r="C2059" s="116">
        <v>1667.15</v>
      </c>
      <c r="D2059" s="116">
        <v>1626</v>
      </c>
      <c r="E2059" s="116">
        <v>1718</v>
      </c>
      <c r="F2059" s="116">
        <v>1667.15</v>
      </c>
      <c r="G2059">
        <v>5777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46077</v>
      </c>
      <c r="B2060" s="116">
        <v>1703</v>
      </c>
      <c r="C2060" s="116">
        <v>1646.6</v>
      </c>
      <c r="D2060" s="116">
        <v>1600</v>
      </c>
      <c r="E2060" s="116">
        <v>1703</v>
      </c>
      <c r="F2060" s="116">
        <v>1646.6</v>
      </c>
      <c r="G2060">
        <v>7855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46078</v>
      </c>
      <c r="B2061" s="116">
        <v>1670</v>
      </c>
      <c r="C2061" s="116">
        <v>1646.8</v>
      </c>
      <c r="D2061" s="116">
        <v>1605.3</v>
      </c>
      <c r="E2061" s="116">
        <v>1660</v>
      </c>
      <c r="F2061" s="116">
        <v>1646.8</v>
      </c>
      <c r="G2061">
        <v>6125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46079</v>
      </c>
      <c r="B2062" s="116">
        <v>1668.8</v>
      </c>
      <c r="C2062" s="116">
        <v>1640.15</v>
      </c>
      <c r="D2062" s="116">
        <v>1602</v>
      </c>
      <c r="E2062" s="116">
        <v>1606</v>
      </c>
      <c r="F2062" s="116">
        <v>1640.15</v>
      </c>
      <c r="G2062">
        <v>7478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46080</v>
      </c>
      <c r="B2063" s="116">
        <v>1658</v>
      </c>
      <c r="C2063" s="116">
        <v>1624.45</v>
      </c>
      <c r="D2063" s="116">
        <v>1605</v>
      </c>
      <c r="E2063" s="116">
        <v>1640</v>
      </c>
      <c r="F2063" s="116">
        <v>1624.45</v>
      </c>
      <c r="G2063">
        <v>7705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46083</v>
      </c>
      <c r="B2064" s="116">
        <v>1609.9</v>
      </c>
      <c r="C2064" s="116">
        <v>1559.5</v>
      </c>
      <c r="D2064" s="116">
        <v>1515.15</v>
      </c>
      <c r="E2064" s="116">
        <v>1515.15</v>
      </c>
      <c r="F2064" s="116">
        <v>1559.5</v>
      </c>
      <c r="G2064">
        <v>11236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46085</v>
      </c>
      <c r="B2065" s="116">
        <v>1593</v>
      </c>
      <c r="C2065" s="116">
        <v>1534.1</v>
      </c>
      <c r="D2065" s="116">
        <v>1505</v>
      </c>
      <c r="E2065" s="116">
        <v>1520</v>
      </c>
      <c r="F2065" s="116">
        <v>1534.1</v>
      </c>
      <c r="G2065">
        <v>7991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46086</v>
      </c>
      <c r="B2066" s="116">
        <v>1588.95</v>
      </c>
      <c r="C2066" s="116">
        <v>1553.4</v>
      </c>
      <c r="D2066" s="116">
        <v>1515</v>
      </c>
      <c r="E2066" s="116">
        <v>1583.95</v>
      </c>
      <c r="F2066" s="116">
        <v>1553.4</v>
      </c>
      <c r="G2066">
        <v>8204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46087</v>
      </c>
      <c r="B2067" s="116">
        <v>1558.8</v>
      </c>
      <c r="C2067" s="116">
        <v>1534.15</v>
      </c>
      <c r="D2067" s="116">
        <v>1526</v>
      </c>
      <c r="E2067" s="116">
        <v>1526</v>
      </c>
      <c r="F2067" s="116">
        <v>1534.15</v>
      </c>
      <c r="G2067">
        <v>8963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46090</v>
      </c>
      <c r="B2068" s="116">
        <v>1639</v>
      </c>
      <c r="C2068" s="116">
        <v>1577.6</v>
      </c>
      <c r="D2068" s="116">
        <v>1452.5</v>
      </c>
      <c r="E2068" s="116">
        <v>1519.95</v>
      </c>
      <c r="F2068" s="116">
        <v>1577.6</v>
      </c>
      <c r="G2068">
        <v>9021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46091</v>
      </c>
      <c r="B2069" s="116">
        <v>1840</v>
      </c>
      <c r="C2069" s="116">
        <v>1690.95</v>
      </c>
      <c r="D2069" s="116">
        <v>1600</v>
      </c>
      <c r="E2069" s="116">
        <v>1643</v>
      </c>
      <c r="F2069" s="116">
        <v>1690.95</v>
      </c>
      <c r="G2069">
        <v>13708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46092</v>
      </c>
      <c r="B2070" s="116">
        <v>1718</v>
      </c>
      <c r="C2070" s="116">
        <v>1678.55</v>
      </c>
      <c r="D2070" s="116">
        <v>1610</v>
      </c>
      <c r="E2070" s="116">
        <v>1698</v>
      </c>
      <c r="F2070" s="116">
        <v>1678.55</v>
      </c>
      <c r="G2070">
        <v>7833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46093</v>
      </c>
      <c r="B2071" s="116">
        <v>1727.9</v>
      </c>
      <c r="C2071" s="116">
        <v>1678.1</v>
      </c>
      <c r="D2071" s="116">
        <v>1635</v>
      </c>
      <c r="E2071" s="116">
        <v>1727.9</v>
      </c>
      <c r="F2071" s="116">
        <v>1678.1</v>
      </c>
      <c r="G2071">
        <v>7008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46094</v>
      </c>
      <c r="B2072" s="116">
        <v>1690</v>
      </c>
      <c r="C2072" s="116">
        <v>1632.75</v>
      </c>
      <c r="D2072" s="116">
        <v>1602</v>
      </c>
      <c r="E2072" s="116">
        <v>1690</v>
      </c>
      <c r="F2072" s="116">
        <v>1632.75</v>
      </c>
      <c r="G2072">
        <v>8205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46097</v>
      </c>
      <c r="B2073" s="116">
        <v>1675</v>
      </c>
      <c r="C2073" s="116">
        <v>1613.8</v>
      </c>
      <c r="D2073" s="116">
        <v>1576</v>
      </c>
      <c r="E2073" s="116">
        <v>1625</v>
      </c>
      <c r="F2073" s="116">
        <v>1613.8</v>
      </c>
      <c r="G2073">
        <v>6687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46098</v>
      </c>
      <c r="B2074" s="116">
        <v>1665</v>
      </c>
      <c r="C2074" s="116">
        <v>1637.3</v>
      </c>
      <c r="D2074" s="116">
        <v>1592</v>
      </c>
      <c r="E2074" s="116">
        <v>1592</v>
      </c>
      <c r="F2074" s="116">
        <v>1637.3</v>
      </c>
      <c r="G2074">
        <v>8331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46099</v>
      </c>
      <c r="B2075" s="116">
        <v>1666</v>
      </c>
      <c r="C2075" s="116">
        <v>1614.95</v>
      </c>
      <c r="D2075" s="116">
        <v>1590.05</v>
      </c>
      <c r="E2075" s="116">
        <v>1620</v>
      </c>
      <c r="F2075" s="116">
        <v>1614.95</v>
      </c>
      <c r="G2075">
        <v>7291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46100</v>
      </c>
      <c r="B2076" s="116">
        <v>1650</v>
      </c>
      <c r="C2076" s="116">
        <v>1619.7</v>
      </c>
      <c r="D2076" s="116">
        <v>1551.5</v>
      </c>
      <c r="E2076" s="116">
        <v>1605.05</v>
      </c>
      <c r="F2076" s="116">
        <v>1619.7</v>
      </c>
      <c r="G2076">
        <v>8329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46101</v>
      </c>
      <c r="B2077" s="116">
        <v>1678.95</v>
      </c>
      <c r="C2077" s="116">
        <v>1650.85</v>
      </c>
      <c r="D2077" s="116">
        <v>1609.95</v>
      </c>
      <c r="E2077" s="116">
        <v>1629.9</v>
      </c>
      <c r="F2077" s="116">
        <v>1650.85</v>
      </c>
      <c r="G2077">
        <v>7467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46104</v>
      </c>
      <c r="B2078" s="116">
        <v>1692.5</v>
      </c>
      <c r="C2078" s="116">
        <v>1686.3</v>
      </c>
      <c r="D2078" s="116">
        <v>1590</v>
      </c>
      <c r="E2078" s="116">
        <v>1650</v>
      </c>
      <c r="F2078" s="116">
        <v>1686.3</v>
      </c>
      <c r="G2078">
        <v>10979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46105</v>
      </c>
      <c r="B2079" s="116">
        <v>1833</v>
      </c>
      <c r="C2079" s="116">
        <v>1685.75</v>
      </c>
      <c r="D2079" s="116">
        <v>1650</v>
      </c>
      <c r="E2079" s="116">
        <v>1660</v>
      </c>
      <c r="F2079" s="116">
        <v>1685.75</v>
      </c>
      <c r="G2079">
        <v>10223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46106</v>
      </c>
      <c r="B2080" s="116">
        <v>1780</v>
      </c>
      <c r="C2080" s="116">
        <v>1715.55</v>
      </c>
      <c r="D2080" s="116">
        <v>1701</v>
      </c>
      <c r="E2080" s="116">
        <v>1701</v>
      </c>
      <c r="F2080" s="116">
        <v>1715.55</v>
      </c>
      <c r="G2080">
        <v>8059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46108</v>
      </c>
      <c r="B2081" s="116">
        <v>1715.55</v>
      </c>
      <c r="C2081" s="116">
        <v>1693.75</v>
      </c>
      <c r="D2081" s="116">
        <v>1651</v>
      </c>
      <c r="E2081" s="116">
        <v>1715.55</v>
      </c>
      <c r="F2081" s="116">
        <v>1693.75</v>
      </c>
      <c r="G2081">
        <v>8464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46111</v>
      </c>
      <c r="B2082" s="116">
        <v>1699</v>
      </c>
      <c r="C2082" s="116">
        <v>1671.8</v>
      </c>
      <c r="D2082" s="116">
        <v>1670</v>
      </c>
      <c r="E2082" s="116">
        <v>1699</v>
      </c>
      <c r="F2082" s="116">
        <v>1671.8</v>
      </c>
      <c r="G2082">
        <v>6972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/>
      <c r="B2083" s="116"/>
      <c r="C2083" s="116"/>
      <c r="D2083" s="116"/>
      <c r="E2083" s="116"/>
      <c r="F2083" s="116"/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/>
      <c r="B2084" s="116"/>
      <c r="C2084" s="116"/>
      <c r="D2084" s="116"/>
      <c r="E2084" s="116"/>
      <c r="F2084" s="116"/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/>
      <c r="B2085" s="116"/>
      <c r="C2085" s="116"/>
      <c r="D2085" s="116"/>
      <c r="E2085" s="116"/>
      <c r="F2085" s="116"/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/>
      <c r="B2086" s="116"/>
      <c r="C2086" s="116"/>
      <c r="D2086" s="116"/>
      <c r="E2086" s="116"/>
      <c r="F2086" s="116"/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/>
      <c r="B2087" s="116"/>
      <c r="C2087" s="116"/>
      <c r="D2087" s="116"/>
      <c r="E2087" s="116"/>
      <c r="F2087" s="116"/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/>
      <c r="B2088" s="116"/>
      <c r="C2088" s="116"/>
      <c r="D2088" s="116"/>
      <c r="E2088" s="116"/>
      <c r="F2088" s="116"/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/>
      <c r="B2089" s="116"/>
      <c r="C2089" s="116"/>
      <c r="D2089" s="116"/>
      <c r="E2089" s="116"/>
      <c r="F2089" s="116"/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/>
      <c r="B2090" s="116"/>
      <c r="C2090" s="116"/>
      <c r="D2090" s="116"/>
      <c r="E2090" s="116"/>
      <c r="F2090" s="116"/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/>
      <c r="B2091" s="116"/>
      <c r="C2091" s="116"/>
      <c r="D2091" s="116"/>
      <c r="E2091" s="116"/>
      <c r="F2091" s="116"/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/>
      <c r="B2092" s="116"/>
      <c r="C2092" s="116"/>
      <c r="D2092" s="116"/>
      <c r="E2092" s="116"/>
      <c r="F2092" s="116"/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/>
      <c r="B2093" s="116"/>
      <c r="C2093" s="116"/>
      <c r="D2093" s="116"/>
      <c r="E2093" s="116"/>
      <c r="F2093" s="116"/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/>
      <c r="B2094" s="116"/>
      <c r="C2094" s="116"/>
      <c r="D2094" s="116"/>
      <c r="E2094" s="116"/>
      <c r="F2094" s="116"/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/>
      <c r="B2095" s="116"/>
      <c r="C2095" s="116"/>
      <c r="D2095" s="116"/>
      <c r="E2095" s="116"/>
      <c r="F2095" s="116"/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/>
      <c r="B2096" s="116"/>
      <c r="C2096" s="116"/>
      <c r="D2096" s="116"/>
      <c r="E2096" s="116"/>
      <c r="F2096" s="116"/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/>
      <c r="B2097" s="116"/>
      <c r="C2097" s="116"/>
      <c r="D2097" s="116"/>
      <c r="E2097" s="116"/>
      <c r="F2097" s="116"/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/>
      <c r="B2098" s="116"/>
      <c r="C2098" s="116"/>
      <c r="D2098" s="116"/>
      <c r="E2098" s="116"/>
      <c r="F2098" s="116"/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/>
      <c r="B2099" s="116"/>
      <c r="C2099" s="116"/>
      <c r="D2099" s="116"/>
      <c r="E2099" s="116"/>
      <c r="F2099" s="116"/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/>
      <c r="B2100" s="116"/>
      <c r="C2100" s="116"/>
      <c r="D2100" s="116"/>
      <c r="E2100" s="116"/>
      <c r="F2100" s="116"/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/>
      <c r="B2101" s="116"/>
      <c r="C2101" s="116"/>
      <c r="D2101" s="116"/>
      <c r="E2101" s="116"/>
      <c r="F2101" s="116"/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/>
      <c r="B2102" s="116"/>
      <c r="C2102" s="116"/>
      <c r="D2102" s="116"/>
      <c r="E2102" s="116"/>
      <c r="F2102" s="116"/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/>
      <c r="B2103" s="116"/>
      <c r="C2103" s="116"/>
      <c r="D2103" s="116"/>
      <c r="E2103" s="116"/>
      <c r="F2103" s="116"/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/>
      <c r="B2104" s="116"/>
      <c r="C2104" s="116"/>
      <c r="D2104" s="116"/>
      <c r="E2104" s="116"/>
      <c r="F2104" s="116"/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/>
      <c r="B2105" s="116"/>
      <c r="C2105" s="116"/>
      <c r="D2105" s="116"/>
      <c r="E2105" s="116"/>
      <c r="F2105" s="116"/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/>
      <c r="B2106" s="116"/>
      <c r="C2106" s="116"/>
      <c r="D2106" s="116"/>
      <c r="E2106" s="116"/>
      <c r="F2106" s="116"/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/>
      <c r="B2107" s="116"/>
      <c r="C2107" s="116"/>
      <c r="D2107" s="116"/>
      <c r="E2107" s="116"/>
      <c r="F2107" s="116"/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/>
      <c r="B2108" s="116"/>
      <c r="C2108" s="116"/>
      <c r="D2108" s="116"/>
      <c r="E2108" s="116"/>
      <c r="F2108" s="116"/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/>
      <c r="B2109" s="116"/>
      <c r="C2109" s="116"/>
      <c r="D2109" s="116"/>
      <c r="E2109" s="116"/>
      <c r="F2109" s="116"/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/>
      <c r="B2110" s="116"/>
      <c r="C2110" s="116"/>
      <c r="D2110" s="116"/>
      <c r="E2110" s="116"/>
      <c r="F2110" s="116"/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/>
      <c r="B2111" s="116"/>
      <c r="C2111" s="116"/>
      <c r="D2111" s="116"/>
      <c r="E2111" s="116"/>
      <c r="F2111" s="116"/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/>
      <c r="B2112" s="116"/>
      <c r="C2112" s="116"/>
      <c r="D2112" s="116"/>
      <c r="E2112" s="116"/>
      <c r="F2112" s="116"/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/>
      <c r="B2113" s="116"/>
      <c r="C2113" s="116"/>
      <c r="D2113" s="116"/>
      <c r="E2113" s="116"/>
      <c r="F2113" s="116"/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/>
      <c r="B2114" s="116"/>
      <c r="C2114" s="116"/>
      <c r="D2114" s="116"/>
      <c r="E2114" s="116"/>
      <c r="F2114" s="116"/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/>
      <c r="B2115" s="116"/>
      <c r="C2115" s="116"/>
      <c r="D2115" s="116"/>
      <c r="E2115" s="116"/>
      <c r="F2115" s="116"/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/>
      <c r="B2116" s="116"/>
      <c r="C2116" s="116"/>
      <c r="D2116" s="116"/>
      <c r="E2116" s="116"/>
      <c r="F2116" s="116"/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/>
      <c r="B2117" s="116"/>
      <c r="C2117" s="116"/>
      <c r="D2117" s="116"/>
      <c r="E2117" s="116"/>
      <c r="F2117" s="116"/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/>
      <c r="B2118" s="116"/>
      <c r="C2118" s="116"/>
      <c r="D2118" s="116"/>
      <c r="E2118" s="116"/>
      <c r="F2118" s="116"/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/>
      <c r="B2119" s="116"/>
      <c r="C2119" s="116"/>
      <c r="D2119" s="116"/>
      <c r="E2119" s="116"/>
      <c r="F2119" s="116"/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/>
      <c r="B2120" s="116"/>
      <c r="C2120" s="116"/>
      <c r="D2120" s="116"/>
      <c r="E2120" s="116"/>
      <c r="F2120" s="116"/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/>
      <c r="B2121" s="116"/>
      <c r="C2121" s="116"/>
      <c r="D2121" s="116"/>
      <c r="E2121" s="116"/>
      <c r="F2121" s="116"/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/>
      <c r="B2122" s="116"/>
      <c r="C2122" s="116"/>
      <c r="D2122" s="116"/>
      <c r="E2122" s="116"/>
      <c r="F2122" s="116"/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/>
      <c r="B2123" s="116"/>
      <c r="C2123" s="116"/>
      <c r="D2123" s="116"/>
      <c r="E2123" s="116"/>
      <c r="F2123" s="116"/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/>
      <c r="B2124" s="116"/>
      <c r="C2124" s="116"/>
      <c r="D2124" s="116"/>
      <c r="E2124" s="116"/>
      <c r="F2124" s="116"/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/>
      <c r="B2125" s="116"/>
      <c r="C2125" s="116"/>
      <c r="D2125" s="116"/>
      <c r="E2125" s="116"/>
      <c r="F2125" s="116"/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/>
      <c r="B2126" s="116"/>
      <c r="C2126" s="116"/>
      <c r="D2126" s="116"/>
      <c r="E2126" s="116"/>
      <c r="F2126" s="116"/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/>
      <c r="B2127" s="116"/>
      <c r="C2127" s="116"/>
      <c r="D2127" s="116"/>
      <c r="E2127" s="116"/>
      <c r="F2127" s="116"/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/>
      <c r="B2128" s="116"/>
      <c r="C2128" s="116"/>
      <c r="D2128" s="116"/>
      <c r="E2128" s="116"/>
      <c r="F2128" s="116"/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/>
      <c r="B2129" s="116"/>
      <c r="C2129" s="116"/>
      <c r="D2129" s="116"/>
      <c r="E2129" s="116"/>
      <c r="F2129" s="116"/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/>
      <c r="B2130" s="116"/>
      <c r="C2130" s="116"/>
      <c r="D2130" s="116"/>
      <c r="E2130" s="116"/>
      <c r="F2130" s="116"/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/>
      <c r="B2131" s="116"/>
      <c r="C2131" s="116"/>
      <c r="D2131" s="116"/>
      <c r="E2131" s="116"/>
      <c r="F2131" s="116"/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/>
      <c r="B2132" s="116"/>
      <c r="C2132" s="116"/>
      <c r="D2132" s="116"/>
      <c r="E2132" s="116"/>
      <c r="F2132" s="116"/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/>
      <c r="B2133" s="116"/>
      <c r="C2133" s="116"/>
      <c r="D2133" s="116"/>
      <c r="E2133" s="116"/>
      <c r="F2133" s="116"/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/>
      <c r="B2134" s="116"/>
      <c r="C2134" s="116"/>
      <c r="D2134" s="116"/>
      <c r="E2134" s="116"/>
      <c r="F2134" s="116"/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/>
      <c r="B2135" s="116"/>
      <c r="C2135" s="116"/>
      <c r="D2135" s="116"/>
      <c r="E2135" s="116"/>
      <c r="F2135" s="116"/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/>
      <c r="B2136" s="116"/>
      <c r="C2136" s="116"/>
      <c r="D2136" s="116"/>
      <c r="E2136" s="116"/>
      <c r="F2136" s="116"/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/>
      <c r="B2137" s="116"/>
      <c r="C2137" s="116"/>
      <c r="D2137" s="116"/>
      <c r="E2137" s="116"/>
      <c r="F2137" s="116"/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/>
      <c r="B2138" s="116"/>
      <c r="C2138" s="116"/>
      <c r="D2138" s="116"/>
      <c r="E2138" s="116"/>
      <c r="F2138" s="116"/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/>
      <c r="B2139" s="116"/>
      <c r="C2139" s="116"/>
      <c r="D2139" s="116"/>
      <c r="E2139" s="116"/>
      <c r="F2139" s="116"/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/>
      <c r="B2140" s="116"/>
      <c r="C2140" s="116"/>
      <c r="D2140" s="116"/>
      <c r="E2140" s="116"/>
      <c r="F2140" s="116"/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/>
      <c r="B2141" s="116"/>
      <c r="C2141" s="116"/>
      <c r="D2141" s="116"/>
      <c r="E2141" s="116"/>
      <c r="F2141" s="116"/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/>
      <c r="B2142" s="116"/>
      <c r="C2142" s="116"/>
      <c r="D2142" s="116"/>
      <c r="E2142" s="116"/>
      <c r="F2142" s="116"/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/>
      <c r="B2143" s="116"/>
      <c r="C2143" s="116"/>
      <c r="D2143" s="116"/>
      <c r="E2143" s="116"/>
      <c r="F2143" s="116"/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/>
      <c r="B2144" s="116"/>
      <c r="C2144" s="116"/>
      <c r="D2144" s="116"/>
      <c r="E2144" s="116"/>
      <c r="F2144" s="116"/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/>
      <c r="B2145" s="116"/>
      <c r="C2145" s="116"/>
      <c r="D2145" s="116"/>
      <c r="E2145" s="116"/>
      <c r="F2145" s="116"/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/>
      <c r="B2146" s="116"/>
      <c r="C2146" s="116"/>
      <c r="D2146" s="116"/>
      <c r="E2146" s="116"/>
      <c r="F2146" s="116"/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/>
      <c r="B2147" s="116"/>
      <c r="C2147" s="116"/>
      <c r="D2147" s="116"/>
      <c r="E2147" s="116"/>
      <c r="F2147" s="116"/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/>
      <c r="B2148" s="116"/>
      <c r="C2148" s="116"/>
      <c r="D2148" s="116"/>
      <c r="E2148" s="116"/>
      <c r="F2148" s="116"/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/>
      <c r="B2149" s="116"/>
      <c r="C2149" s="116"/>
      <c r="D2149" s="116"/>
      <c r="E2149" s="116"/>
      <c r="F2149" s="116"/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/>
      <c r="B2150" s="116"/>
      <c r="C2150" s="116"/>
      <c r="D2150" s="116"/>
      <c r="E2150" s="116"/>
      <c r="F2150" s="116"/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/>
      <c r="B2151" s="116"/>
      <c r="C2151" s="116"/>
      <c r="D2151" s="116"/>
      <c r="E2151" s="116"/>
      <c r="F2151" s="116"/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/>
      <c r="B2152" s="116"/>
      <c r="C2152" s="116"/>
      <c r="D2152" s="116"/>
      <c r="E2152" s="116"/>
      <c r="F2152" s="116"/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/>
      <c r="B2153" s="116"/>
      <c r="C2153" s="116"/>
      <c r="D2153" s="116"/>
      <c r="E2153" s="116"/>
      <c r="F2153" s="116"/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/>
      <c r="B2154" s="116"/>
      <c r="C2154" s="116"/>
      <c r="D2154" s="116"/>
      <c r="E2154" s="116"/>
      <c r="F2154" s="116"/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/>
      <c r="B2155" s="116"/>
      <c r="C2155" s="116"/>
      <c r="D2155" s="116"/>
      <c r="E2155" s="116"/>
      <c r="F2155" s="116"/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/>
      <c r="B2156" s="116"/>
      <c r="C2156" s="116"/>
      <c r="D2156" s="116"/>
      <c r="E2156" s="116"/>
      <c r="F2156" s="116"/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/>
      <c r="B2157" s="116"/>
      <c r="C2157" s="116"/>
      <c r="D2157" s="116"/>
      <c r="E2157" s="116"/>
      <c r="F2157" s="116"/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/>
      <c r="B2158" s="116"/>
      <c r="C2158" s="116"/>
      <c r="D2158" s="116"/>
      <c r="E2158" s="116"/>
      <c r="F2158" s="116"/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/>
      <c r="B2159" s="116"/>
      <c r="C2159" s="116"/>
      <c r="D2159" s="116"/>
      <c r="E2159" s="116"/>
      <c r="F2159" s="116"/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/>
      <c r="B2160" s="116"/>
      <c r="C2160" s="116"/>
      <c r="D2160" s="116"/>
      <c r="E2160" s="116"/>
      <c r="F2160" s="116"/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/>
      <c r="B2161" s="116"/>
      <c r="C2161" s="116"/>
      <c r="D2161" s="116"/>
      <c r="E2161" s="116"/>
      <c r="F2161" s="116"/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/>
      <c r="B2162" s="116"/>
      <c r="C2162" s="116"/>
      <c r="D2162" s="116"/>
      <c r="E2162" s="116"/>
      <c r="F2162" s="116"/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/>
      <c r="B2163" s="116"/>
      <c r="C2163" s="116"/>
      <c r="D2163" s="116"/>
      <c r="E2163" s="116"/>
      <c r="F2163" s="116"/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/>
      <c r="B2164" s="116"/>
      <c r="C2164" s="116"/>
      <c r="D2164" s="116"/>
      <c r="E2164" s="116"/>
      <c r="F2164" s="116"/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/>
      <c r="B2165" s="116"/>
      <c r="C2165" s="116"/>
      <c r="D2165" s="116"/>
      <c r="E2165" s="116"/>
      <c r="F2165" s="116"/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/>
      <c r="B2166" s="116"/>
      <c r="C2166" s="116"/>
      <c r="D2166" s="116"/>
      <c r="E2166" s="116"/>
      <c r="F2166" s="116"/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/>
      <c r="B2167" s="116"/>
      <c r="C2167" s="116"/>
      <c r="D2167" s="116"/>
      <c r="E2167" s="116"/>
      <c r="F2167" s="116"/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/>
      <c r="B2168" s="116"/>
      <c r="C2168" s="116"/>
      <c r="D2168" s="116"/>
      <c r="E2168" s="116"/>
      <c r="F2168" s="116"/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/>
      <c r="B2169" s="116"/>
      <c r="C2169" s="116"/>
      <c r="D2169" s="116"/>
      <c r="E2169" s="116"/>
      <c r="F2169" s="116"/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/>
      <c r="B2170" s="116"/>
      <c r="C2170" s="116"/>
      <c r="D2170" s="116"/>
      <c r="E2170" s="116"/>
      <c r="F2170" s="116"/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/>
      <c r="B2171" s="116"/>
      <c r="C2171" s="116"/>
      <c r="D2171" s="116"/>
      <c r="E2171" s="116"/>
      <c r="F2171" s="116"/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/>
      <c r="B2172" s="116"/>
      <c r="C2172" s="116"/>
      <c r="D2172" s="116"/>
      <c r="E2172" s="116"/>
      <c r="F2172" s="116"/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/>
      <c r="B2173" s="116"/>
      <c r="C2173" s="116"/>
      <c r="D2173" s="116"/>
      <c r="E2173" s="116"/>
      <c r="F2173" s="116"/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/>
      <c r="B2174" s="116"/>
      <c r="C2174" s="116"/>
      <c r="D2174" s="116"/>
      <c r="E2174" s="116"/>
      <c r="F2174" s="116"/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/>
      <c r="B2175" s="116"/>
      <c r="C2175" s="116"/>
      <c r="D2175" s="116"/>
      <c r="E2175" s="116"/>
      <c r="F2175" s="116"/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/>
      <c r="B2176" s="116"/>
      <c r="C2176" s="116"/>
      <c r="D2176" s="116"/>
      <c r="E2176" s="116"/>
      <c r="F2176" s="116"/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/>
      <c r="B2177" s="116"/>
      <c r="C2177" s="116"/>
      <c r="D2177" s="116"/>
      <c r="E2177" s="116"/>
      <c r="F2177" s="116"/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/>
      <c r="B2178" s="116"/>
      <c r="C2178" s="116"/>
      <c r="D2178" s="116"/>
      <c r="E2178" s="116"/>
      <c r="F2178" s="116"/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/>
      <c r="B2179" s="116"/>
      <c r="C2179" s="116"/>
      <c r="D2179" s="116"/>
      <c r="E2179" s="116"/>
      <c r="F2179" s="116"/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/>
      <c r="B2180" s="116"/>
      <c r="C2180" s="116"/>
      <c r="D2180" s="116"/>
      <c r="E2180" s="116"/>
      <c r="F2180" s="116"/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/>
      <c r="B2181" s="116"/>
      <c r="C2181" s="116"/>
      <c r="D2181" s="116"/>
      <c r="E2181" s="116"/>
      <c r="F2181" s="116"/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/>
      <c r="B2182" s="116"/>
      <c r="C2182" s="116"/>
      <c r="D2182" s="116"/>
      <c r="E2182" s="116"/>
      <c r="F2182" s="116"/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/>
      <c r="B2183" s="116"/>
      <c r="C2183" s="116"/>
      <c r="D2183" s="116"/>
      <c r="E2183" s="116"/>
      <c r="F2183" s="116"/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/>
      <c r="B2184" s="116"/>
      <c r="C2184" s="116"/>
      <c r="D2184" s="116"/>
      <c r="E2184" s="116"/>
      <c r="F2184" s="116"/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/>
      <c r="B2185" s="116"/>
      <c r="C2185" s="116"/>
      <c r="D2185" s="116"/>
      <c r="E2185" s="116"/>
      <c r="F2185" s="116"/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/>
      <c r="B2186" s="116"/>
      <c r="C2186" s="116"/>
      <c r="D2186" s="116"/>
      <c r="E2186" s="116"/>
      <c r="F2186" s="116"/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/>
      <c r="B2187" s="116"/>
      <c r="C2187" s="116"/>
      <c r="D2187" s="116"/>
      <c r="E2187" s="116"/>
      <c r="F2187" s="116"/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/>
      <c r="B2188" s="116"/>
      <c r="C2188" s="116"/>
      <c r="D2188" s="116"/>
      <c r="E2188" s="116"/>
      <c r="F2188" s="116"/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/>
      <c r="B2189" s="116"/>
      <c r="C2189" s="116"/>
      <c r="D2189" s="116"/>
      <c r="E2189" s="116"/>
      <c r="F2189" s="116"/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/>
      <c r="B2190" s="116"/>
      <c r="C2190" s="116"/>
      <c r="D2190" s="116"/>
      <c r="E2190" s="116"/>
      <c r="F2190" s="116"/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/>
      <c r="B2191" s="116"/>
      <c r="C2191" s="116"/>
      <c r="D2191" s="116"/>
      <c r="E2191" s="116"/>
      <c r="F2191" s="116"/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2026-06-15T21:01:07Z</dcterms:modified>
  <cp:category/>
  <cp:contentStatus/>
</cp:coreProperties>
</file>