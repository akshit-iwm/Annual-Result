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210F8D1C-1D80-4B7F-8A0C-8AA27585B8A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3" i="1" l="1"/>
  <c r="CL253" i="1"/>
  <c r="CL18" i="1"/>
  <c r="CI19" i="1"/>
  <c r="CH19" i="1"/>
  <c r="CI18" i="1"/>
  <c r="CH18" i="1"/>
  <c r="CI17" i="1"/>
  <c r="CH17" i="1"/>
  <c r="CK19" i="1"/>
  <c r="CJ19" i="1"/>
  <c r="CK18" i="1"/>
  <c r="CJ18" i="1"/>
  <c r="CK17" i="1"/>
  <c r="CJ17" i="1"/>
  <c r="CL19" i="1"/>
  <c r="CL17" i="1"/>
  <c r="CK6" i="1"/>
  <c r="CL6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0" i="1"/>
  <c r="AB23" i="1"/>
  <c r="AC23" i="1"/>
  <c r="AD23" i="1"/>
  <c r="AE23" i="1"/>
  <c r="AB36" i="1"/>
  <c r="AC36" i="1"/>
  <c r="AD36" i="1"/>
  <c r="AE36" i="1"/>
  <c r="AE35" i="1"/>
  <c r="AD35" i="1"/>
  <c r="AC35" i="1"/>
  <c r="AB35" i="1"/>
  <c r="AJ223" i="1"/>
  <c r="AE70" i="2"/>
  <c r="AC69" i="2"/>
  <c r="AF88" i="2"/>
  <c r="AF91" i="2"/>
  <c r="AE97" i="2"/>
  <c r="AE95" i="2"/>
  <c r="AC110" i="2"/>
  <c r="AC81" i="2"/>
  <c r="AF49" i="2"/>
  <c r="AD20" i="2"/>
  <c r="AF99" i="2"/>
  <c r="AB7" i="2"/>
  <c r="AE58" i="2"/>
  <c r="AE64" i="2"/>
  <c r="AC44" i="2"/>
  <c r="AC36" i="2"/>
  <c r="AB72" i="2"/>
  <c r="AD73" i="2"/>
  <c r="AD56" i="2"/>
  <c r="AB63" i="2"/>
  <c r="AF41" i="2"/>
  <c r="AC21" i="2"/>
  <c r="AD40" i="2"/>
  <c r="AC53" i="2"/>
  <c r="AC35" i="2"/>
  <c r="AC9" i="2"/>
  <c r="AF31" i="2"/>
  <c r="AE34" i="2"/>
  <c r="AC70" i="2"/>
  <c r="AE65" i="2"/>
  <c r="AD19" i="2"/>
  <c r="AF40" i="2"/>
  <c r="AB109" i="2"/>
  <c r="AB12" i="2"/>
  <c r="AD110" i="2"/>
  <c r="AD11" i="2"/>
  <c r="AD46" i="2"/>
  <c r="AB21" i="2"/>
  <c r="AB22" i="2"/>
  <c r="AE22" i="2"/>
  <c r="AF67" i="2"/>
  <c r="AB9" i="2"/>
  <c r="AB90" i="2"/>
  <c r="AB62" i="2"/>
  <c r="AB14" i="2"/>
  <c r="AD51" i="2"/>
  <c r="AD109" i="2"/>
  <c r="AB79" i="2"/>
  <c r="AB36" i="2"/>
  <c r="AE93" i="2"/>
  <c r="AD67" i="2"/>
  <c r="AB30" i="2"/>
  <c r="AC5" i="2"/>
  <c r="AC49" i="2"/>
  <c r="AD108" i="2"/>
  <c r="AD30" i="2"/>
  <c r="AC106" i="2"/>
  <c r="AE12" i="2"/>
  <c r="AF15" i="2"/>
  <c r="AB94" i="2"/>
  <c r="AB31" i="2"/>
  <c r="AB80" i="2"/>
  <c r="AB83" i="2"/>
  <c r="AE10" i="2"/>
  <c r="AD15" i="2"/>
  <c r="AF27" i="2"/>
  <c r="AB50" i="2"/>
  <c r="AF9" i="2"/>
  <c r="AC59" i="2"/>
  <c r="AF77" i="2"/>
  <c r="AE43" i="2"/>
  <c r="AE5" i="2"/>
  <c r="AB85" i="2"/>
  <c r="AE32" i="2"/>
  <c r="AB33" i="2"/>
  <c r="AB75" i="2"/>
  <c r="AE52" i="2"/>
  <c r="AB76" i="2"/>
  <c r="AB88" i="2"/>
  <c r="AF13" i="2"/>
  <c r="AB110" i="2"/>
  <c r="AE42" i="2"/>
  <c r="AB91" i="2"/>
  <c r="AD106" i="2"/>
  <c r="AB104" i="2"/>
  <c r="AC18" i="2"/>
  <c r="AE66" i="2"/>
  <c r="AC40" i="2"/>
  <c r="AD17" i="2"/>
  <c r="AF54" i="2"/>
  <c r="AC15" i="2"/>
  <c r="AE87" i="2"/>
  <c r="AC45" i="2"/>
  <c r="AE90" i="2"/>
  <c r="AD54" i="2"/>
  <c r="AF25" i="2"/>
  <c r="AB43" i="2"/>
  <c r="AE16" i="2"/>
  <c r="AD104" i="2"/>
  <c r="AF51" i="2"/>
  <c r="AF98" i="2"/>
  <c r="AD70" i="2"/>
  <c r="AD9" i="2"/>
  <c r="AF48" i="2"/>
  <c r="AC61" i="2"/>
  <c r="AD99" i="2"/>
  <c r="AC50" i="2"/>
  <c r="AF96" i="2"/>
  <c r="AB99" i="2"/>
  <c r="AC29" i="2"/>
  <c r="AD105" i="2"/>
  <c r="AD58" i="2"/>
  <c r="AD26" i="2"/>
  <c r="AF53" i="2"/>
  <c r="AC67" i="2"/>
  <c r="AB35" i="2"/>
  <c r="AF70" i="2"/>
  <c r="AE48" i="2"/>
  <c r="AE109" i="2"/>
  <c r="AB16" i="2"/>
  <c r="AD29" i="2"/>
  <c r="AC97" i="2"/>
  <c r="AC113" i="2"/>
  <c r="AE61" i="2"/>
  <c r="AE26" i="2"/>
  <c r="AF45" i="2"/>
  <c r="AE110" i="2"/>
  <c r="AE54" i="2"/>
  <c r="AC24" i="2"/>
  <c r="AD69" i="2"/>
  <c r="AF76" i="2"/>
  <c r="AD31" i="2"/>
  <c r="AF30" i="2"/>
  <c r="AC68" i="2"/>
  <c r="AC43" i="2"/>
  <c r="AC10" i="2"/>
  <c r="AB96" i="2"/>
  <c r="AC6" i="2"/>
  <c r="AB17" i="2"/>
  <c r="AD42" i="2"/>
  <c r="AC96" i="2"/>
  <c r="AF36" i="2"/>
  <c r="AF8" i="2"/>
  <c r="AC92" i="2"/>
  <c r="AE33" i="2"/>
  <c r="AC88" i="2"/>
  <c r="AE60" i="2"/>
  <c r="AD74" i="2"/>
  <c r="AD14" i="2"/>
  <c r="AD80" i="2"/>
  <c r="AF66" i="2"/>
  <c r="AC20" i="2"/>
  <c r="AB46" i="2"/>
  <c r="AF86" i="2"/>
  <c r="AD23" i="2"/>
  <c r="AC8" i="2"/>
  <c r="AB42" i="2"/>
  <c r="AE53" i="2"/>
  <c r="AE24" i="2"/>
  <c r="AB55" i="2"/>
  <c r="AF57" i="2"/>
  <c r="AD36" i="2"/>
  <c r="AC42" i="2"/>
  <c r="AB53" i="2"/>
  <c r="AC90" i="2"/>
  <c r="AF95" i="2"/>
  <c r="AF17" i="2"/>
  <c r="AC84" i="2"/>
  <c r="AD25" i="2"/>
  <c r="AD18" i="2"/>
  <c r="AB18" i="2"/>
  <c r="AE7" i="2"/>
  <c r="AE84" i="2"/>
  <c r="AF58" i="2"/>
  <c r="AE35" i="2"/>
  <c r="AC109" i="2"/>
  <c r="AB34" i="2"/>
  <c r="AD78" i="2"/>
  <c r="AB26" i="2"/>
  <c r="AC95" i="2"/>
  <c r="AF105" i="2"/>
  <c r="AE27" i="2"/>
  <c r="AB84" i="2"/>
  <c r="AE13" i="2"/>
  <c r="AD82" i="2"/>
  <c r="AE78" i="2"/>
  <c r="AF14" i="2"/>
  <c r="AC74" i="2"/>
  <c r="AB58" i="2"/>
  <c r="AE96" i="2"/>
  <c r="AD57" i="2"/>
  <c r="AB95" i="2"/>
  <c r="AF75" i="2"/>
  <c r="AF26" i="2"/>
  <c r="AB92" i="2"/>
  <c r="AB40" i="2"/>
  <c r="AE30" i="2"/>
  <c r="AF78" i="2"/>
  <c r="AB10" i="2"/>
  <c r="AF108" i="2"/>
  <c r="AE80" i="2"/>
  <c r="AC27" i="2"/>
  <c r="AD88" i="2"/>
  <c r="AC56" i="2"/>
  <c r="AB32" i="2"/>
  <c r="AC11" i="2"/>
  <c r="AC7" i="2"/>
  <c r="AD49" i="2"/>
  <c r="AE89" i="2"/>
  <c r="AC71" i="2"/>
  <c r="AD68" i="2"/>
  <c r="AE81" i="2"/>
  <c r="AD63" i="2"/>
  <c r="AB69" i="2"/>
  <c r="AC75" i="2"/>
  <c r="AD22" i="2"/>
  <c r="AD87" i="2"/>
  <c r="AF21" i="2"/>
  <c r="AE19" i="2"/>
  <c r="AF47" i="2"/>
  <c r="AD64" i="2"/>
  <c r="AE51" i="2"/>
  <c r="AF44" i="2"/>
  <c r="AD75" i="2"/>
  <c r="AC62" i="2"/>
  <c r="AD41" i="2"/>
  <c r="AE44" i="2"/>
  <c r="AC76" i="2"/>
  <c r="AC91" i="2"/>
  <c r="AC87" i="2"/>
  <c r="AC99" i="2"/>
  <c r="AC16" i="2"/>
  <c r="AE79" i="2"/>
  <c r="AE56" i="2"/>
  <c r="AF28" i="2"/>
  <c r="AF87" i="2"/>
  <c r="AE9" i="2"/>
  <c r="AC72" i="2"/>
  <c r="AC26" i="2"/>
  <c r="AF10" i="2"/>
  <c r="AC55" i="2"/>
  <c r="AE69" i="2"/>
  <c r="AB49" i="2"/>
  <c r="AF42" i="2"/>
  <c r="AB23" i="2"/>
  <c r="AB13" i="2"/>
  <c r="AF79" i="2"/>
  <c r="AE106" i="2"/>
  <c r="AE29" i="2"/>
  <c r="AE41" i="2"/>
  <c r="AB51" i="2"/>
  <c r="AC105" i="2"/>
  <c r="AF89" i="2"/>
  <c r="AE47" i="2"/>
  <c r="AE94" i="2"/>
  <c r="AF46" i="2"/>
  <c r="AF94" i="2"/>
  <c r="AC64" i="2"/>
  <c r="AB25" i="2"/>
  <c r="AD93" i="2"/>
  <c r="AF33" i="2"/>
  <c r="AB61" i="2"/>
  <c r="AE6" i="2"/>
  <c r="AD35" i="2"/>
  <c r="AC12" i="2"/>
  <c r="AF107" i="2"/>
  <c r="AE28" i="2"/>
  <c r="AF59" i="2"/>
  <c r="AF11" i="2"/>
  <c r="AF73" i="2"/>
  <c r="AB89" i="2"/>
  <c r="AC94" i="2"/>
  <c r="AB8" i="2"/>
  <c r="AD97" i="2"/>
  <c r="AE86" i="2"/>
  <c r="AE59" i="2"/>
  <c r="AF82" i="2"/>
  <c r="AD50" i="2"/>
  <c r="AD90" i="2"/>
  <c r="AB65" i="2"/>
  <c r="AE49" i="2"/>
  <c r="AB86" i="2"/>
  <c r="AD12" i="2"/>
  <c r="AB27" i="2"/>
  <c r="AF22" i="2"/>
  <c r="AF104" i="2"/>
  <c r="AB6" i="2"/>
  <c r="AE31" i="2"/>
  <c r="AF55" i="2"/>
  <c r="AF20" i="2"/>
  <c r="AB77" i="2"/>
  <c r="AB28" i="2"/>
  <c r="AE98" i="2"/>
  <c r="AC22" i="2"/>
  <c r="AD44" i="2"/>
  <c r="AD7" i="2"/>
  <c r="AB5" i="2"/>
  <c r="AB112" i="2" s="1"/>
  <c r="AD6" i="2"/>
  <c r="AD72" i="2"/>
  <c r="AB87" i="2"/>
  <c r="AE72" i="2"/>
  <c r="AD61" i="2"/>
  <c r="AC51" i="2"/>
  <c r="AF110" i="2"/>
  <c r="AC54" i="2"/>
  <c r="AF72" i="2"/>
  <c r="AF84" i="2"/>
  <c r="AE62" i="2"/>
  <c r="AE104" i="2"/>
  <c r="AE50" i="2"/>
  <c r="AF71" i="2"/>
  <c r="AD55" i="2"/>
  <c r="AE45" i="2"/>
  <c r="AE40" i="2"/>
  <c r="AE17" i="2"/>
  <c r="AD53" i="2"/>
  <c r="AD89" i="2"/>
  <c r="AB24" i="2"/>
  <c r="AB47" i="2"/>
  <c r="AB66" i="2"/>
  <c r="AB20" i="2"/>
  <c r="AF6" i="2"/>
  <c r="AB108" i="2"/>
  <c r="AD76" i="2"/>
  <c r="AE23" i="2"/>
  <c r="AB73" i="2"/>
  <c r="AD24" i="2"/>
  <c r="AB48" i="2"/>
  <c r="AC104" i="2"/>
  <c r="AE67" i="2"/>
  <c r="AF24" i="2"/>
  <c r="AC83" i="2"/>
  <c r="AD62" i="2"/>
  <c r="AC86" i="2"/>
  <c r="AB71" i="2"/>
  <c r="AE74" i="2"/>
  <c r="AE88" i="2"/>
  <c r="AC66" i="2"/>
  <c r="AE46" i="2"/>
  <c r="AC63" i="2"/>
  <c r="AC14" i="2"/>
  <c r="AD95" i="2"/>
  <c r="AF69" i="2"/>
  <c r="AD84" i="2"/>
  <c r="AC82" i="2"/>
  <c r="AB70" i="2"/>
  <c r="AF62" i="2"/>
  <c r="AB74" i="2"/>
  <c r="AF43" i="2"/>
  <c r="AD77" i="2"/>
  <c r="AC89" i="2"/>
  <c r="AE91" i="2"/>
  <c r="AB29" i="2"/>
  <c r="AF80" i="2"/>
  <c r="AE55" i="2"/>
  <c r="AD86" i="2"/>
  <c r="AC30" i="2"/>
  <c r="AE99" i="2"/>
  <c r="AB19" i="2"/>
  <c r="AF68" i="2"/>
  <c r="AC46" i="2"/>
  <c r="AC28" i="2"/>
  <c r="AE57" i="2"/>
  <c r="AC77" i="2"/>
  <c r="AB106" i="2"/>
  <c r="AC79" i="2"/>
  <c r="AB67" i="2"/>
  <c r="AE11" i="2"/>
  <c r="AB107" i="2"/>
  <c r="AE14" i="2"/>
  <c r="AB60" i="2"/>
  <c r="AB82" i="2"/>
  <c r="AE107" i="2"/>
  <c r="AC98" i="2"/>
  <c r="AC93" i="2"/>
  <c r="AF65" i="2"/>
  <c r="AD43" i="2"/>
  <c r="AE18" i="2"/>
  <c r="AD13" i="2"/>
  <c r="AC108" i="2"/>
  <c r="AE21" i="2"/>
  <c r="AF64" i="2"/>
  <c r="AB15" i="2"/>
  <c r="AD83" i="2"/>
  <c r="AC58" i="2"/>
  <c r="AF60" i="2"/>
  <c r="AB11" i="2"/>
  <c r="AE73" i="2"/>
  <c r="AF7" i="2"/>
  <c r="AD96" i="2"/>
  <c r="AC107" i="2"/>
  <c r="AB97" i="2"/>
  <c r="AC47" i="2"/>
  <c r="AD98" i="2"/>
  <c r="AD27" i="2"/>
  <c r="AD65" i="2"/>
  <c r="AE25" i="2"/>
  <c r="AE85" i="2"/>
  <c r="AB57" i="2"/>
  <c r="AE83" i="2"/>
  <c r="AF56" i="2"/>
  <c r="AD71" i="2"/>
  <c r="AF106" i="2"/>
  <c r="AC34" i="2"/>
  <c r="AB52" i="2"/>
  <c r="AB56" i="2"/>
  <c r="AE92" i="2"/>
  <c r="AB98" i="2"/>
  <c r="AF81" i="2"/>
  <c r="AE15" i="2"/>
  <c r="AC23" i="2"/>
  <c r="AC65" i="2"/>
  <c r="AD107" i="2"/>
  <c r="AC78" i="2"/>
  <c r="AC41" i="2"/>
  <c r="AB54" i="2"/>
  <c r="AF23" i="2"/>
  <c r="AD52" i="2"/>
  <c r="AD33" i="2"/>
  <c r="AC85" i="2"/>
  <c r="AE20" i="2"/>
  <c r="AD85" i="2"/>
  <c r="AF85" i="2"/>
  <c r="AE71" i="2"/>
  <c r="AF52" i="2"/>
  <c r="AC19" i="2"/>
  <c r="AC48" i="2"/>
  <c r="AD60" i="2"/>
  <c r="AD45" i="2"/>
  <c r="AD28" i="2"/>
  <c r="AC60" i="2"/>
  <c r="AF50" i="2"/>
  <c r="AD16" i="2"/>
  <c r="AB93" i="2"/>
  <c r="AF16" i="2"/>
  <c r="AD92" i="2"/>
  <c r="AD21" i="2"/>
  <c r="AF34" i="2"/>
  <c r="AB78" i="2"/>
  <c r="AF97" i="2"/>
  <c r="AD91" i="2"/>
  <c r="AF61" i="2"/>
  <c r="AF63" i="2"/>
  <c r="AB44" i="2"/>
  <c r="AE76" i="2"/>
  <c r="AC80" i="2"/>
  <c r="AD34" i="2"/>
  <c r="AF5" i="2"/>
  <c r="AC32" i="2"/>
  <c r="AF109" i="2"/>
  <c r="AE68" i="2"/>
  <c r="AE108" i="2"/>
  <c r="AD66" i="2"/>
  <c r="AD81" i="2"/>
  <c r="AD79" i="2"/>
  <c r="AC13" i="2"/>
  <c r="AE77" i="2"/>
  <c r="AB68" i="2"/>
  <c r="AF18" i="2"/>
  <c r="AF29" i="2"/>
  <c r="AF19" i="2"/>
  <c r="AB41" i="2"/>
  <c r="AD47" i="2"/>
  <c r="AD5" i="2"/>
  <c r="AD10" i="2"/>
  <c r="AF35" i="2"/>
  <c r="AB81" i="2"/>
  <c r="AD8" i="2"/>
  <c r="AE105" i="2"/>
  <c r="AB59" i="2"/>
  <c r="AC73" i="2"/>
  <c r="AF74" i="2"/>
  <c r="AE36" i="2"/>
  <c r="AB64" i="2"/>
  <c r="AD94" i="2"/>
  <c r="AF90" i="2"/>
  <c r="AF32" i="2"/>
  <c r="AC57" i="2"/>
  <c r="AC17" i="2"/>
  <c r="AD48" i="2"/>
  <c r="AC31" i="2"/>
  <c r="AD32" i="2"/>
  <c r="AB45" i="2"/>
  <c r="AC25" i="2"/>
  <c r="AD59" i="2"/>
  <c r="AE82" i="2"/>
  <c r="AE8" i="2"/>
  <c r="AF93" i="2"/>
  <c r="AC52" i="2"/>
  <c r="AF92" i="2"/>
  <c r="AE63" i="2"/>
  <c r="AC33" i="2"/>
  <c r="AB105" i="2"/>
  <c r="AF83" i="2"/>
  <c r="AE75" i="2"/>
  <c r="AF12" i="2"/>
  <c r="AF112" i="2"/>
  <c r="AF113" i="2"/>
  <c r="AA186" i="1" l="1"/>
  <c r="AA185" i="1"/>
  <c r="AA184" i="1"/>
  <c r="AA178" i="1"/>
  <c r="AA177" i="1"/>
  <c r="AA174" i="1"/>
  <c r="AA173" i="1"/>
  <c r="AA169" i="1"/>
  <c r="AA167" i="1"/>
  <c r="AA165" i="1"/>
  <c r="AA164" i="1"/>
  <c r="AA163" i="1"/>
  <c r="AA161" i="1"/>
  <c r="AA160" i="1"/>
  <c r="AA159" i="1"/>
  <c r="AA158" i="1"/>
  <c r="AA157" i="1"/>
  <c r="AA156" i="1"/>
  <c r="AA162" i="1" s="1"/>
  <c r="AA154" i="1"/>
  <c r="AA151" i="1"/>
  <c r="AA150" i="1"/>
  <c r="AA149" i="1"/>
  <c r="AA147" i="1"/>
  <c r="AA146" i="1"/>
  <c r="AA145" i="1"/>
  <c r="AA141" i="1"/>
  <c r="AA140" i="1"/>
  <c r="AA139" i="1"/>
  <c r="AA138" i="1"/>
  <c r="AA142" i="1" s="1"/>
  <c r="AA136" i="1"/>
  <c r="AA133" i="1"/>
  <c r="AA132" i="1"/>
  <c r="AA131" i="1"/>
  <c r="AA93" i="1"/>
  <c r="AA92" i="1"/>
  <c r="AA91" i="1"/>
  <c r="AA87" i="1"/>
  <c r="AA81" i="1"/>
  <c r="AA65" i="1"/>
  <c r="AA61" i="1"/>
  <c r="AA60" i="1"/>
  <c r="AA59" i="1"/>
  <c r="AA53" i="1"/>
  <c r="AA50" i="1"/>
  <c r="AA49" i="1"/>
  <c r="AA46" i="1"/>
  <c r="AA39" i="1"/>
  <c r="AA38" i="1"/>
  <c r="AA37" i="1"/>
  <c r="AA36" i="1"/>
  <c r="AA35" i="1"/>
  <c r="AA34" i="1"/>
  <c r="AA40" i="1" s="1"/>
  <c r="AA29" i="1"/>
  <c r="AA27" i="1"/>
  <c r="AA23" i="1"/>
  <c r="AA22" i="1"/>
  <c r="AA267" i="1"/>
  <c r="AA208" i="1"/>
  <c r="AA245" i="1"/>
  <c r="AA266" i="1"/>
  <c r="AA24" i="1"/>
  <c r="B1" i="9"/>
  <c r="AB111" i="2"/>
  <c r="AD111" i="2"/>
  <c r="AF111" i="2"/>
  <c r="A1" i="9"/>
  <c r="AB113" i="2"/>
  <c r="AA88" i="1" s="1"/>
  <c r="L1" i="9"/>
  <c r="AE112" i="2"/>
  <c r="AC111" i="2"/>
  <c r="AE111" i="2"/>
  <c r="AD113" i="2"/>
  <c r="AC112" i="2"/>
  <c r="AD112" i="2"/>
  <c r="AE113" i="2"/>
  <c r="AA197" i="1" l="1"/>
  <c r="AA196" i="1"/>
  <c r="AA194" i="1"/>
  <c r="AA193" i="1"/>
  <c r="AA187" i="1"/>
  <c r="AA168" i="1"/>
  <c r="AA170" i="1" s="1"/>
  <c r="AA148" i="1"/>
  <c r="AA51" i="1"/>
  <c r="AA41" i="1"/>
  <c r="AA175" i="1"/>
  <c r="AA134" i="1"/>
  <c r="AA112" i="1"/>
  <c r="AA30" i="1"/>
  <c r="DB253" i="1"/>
  <c r="DA253" i="1"/>
  <c r="CZ253" i="1"/>
  <c r="CY253" i="1"/>
  <c r="CX253" i="1"/>
  <c r="CW253" i="1"/>
  <c r="CV253" i="1"/>
  <c r="CU253" i="1"/>
  <c r="CT253" i="1"/>
  <c r="CS253" i="1"/>
  <c r="CR253" i="1"/>
  <c r="CQ253" i="1"/>
  <c r="CP253" i="1"/>
  <c r="CO253" i="1"/>
  <c r="CN253" i="1"/>
  <c r="CM253" i="1"/>
  <c r="CK253" i="1"/>
  <c r="CK150" i="1"/>
  <c r="CM150" i="1" s="1"/>
  <c r="CN150" i="1" s="1"/>
  <c r="CO150" i="1" s="1"/>
  <c r="CP150" i="1" s="1"/>
  <c r="CQ150" i="1" s="1"/>
  <c r="CR150" i="1" s="1"/>
  <c r="CS150" i="1" s="1"/>
  <c r="CT150" i="1" s="1"/>
  <c r="CU150" i="1" s="1"/>
  <c r="CV150" i="1" s="1"/>
  <c r="CW150" i="1" s="1"/>
  <c r="CX150" i="1" s="1"/>
  <c r="CY150" i="1" s="1"/>
  <c r="CZ150" i="1" s="1"/>
  <c r="DA150" i="1" s="1"/>
  <c r="DB150" i="1" s="1"/>
  <c r="CH166" i="1"/>
  <c r="CJ253" i="1"/>
  <c r="Z253" i="1"/>
  <c r="AA262" i="1" l="1"/>
  <c r="AA189" i="1"/>
  <c r="AA182" i="1"/>
  <c r="AA123" i="1" s="1"/>
  <c r="AA47" i="1"/>
  <c r="AA152" i="1"/>
  <c r="AA143" i="1"/>
  <c r="AA195" i="1"/>
  <c r="AA199" i="1"/>
  <c r="AA198" i="1" s="1"/>
  <c r="AA171" i="1"/>
  <c r="AA179" i="1" s="1"/>
  <c r="AA180" i="1" s="1"/>
  <c r="AA31" i="1"/>
  <c r="AA42" i="1"/>
  <c r="AA200" i="1"/>
  <c r="CI253" i="1"/>
  <c r="CG150" i="1"/>
  <c r="CG253" i="1"/>
  <c r="CH253" i="1"/>
  <c r="AB27" i="1"/>
  <c r="AC27" i="1"/>
  <c r="AD27" i="1"/>
  <c r="AE27" i="1"/>
  <c r="AB28" i="1"/>
  <c r="AC28" i="1"/>
  <c r="AD28" i="1"/>
  <c r="AE28" i="1"/>
  <c r="AB38" i="1"/>
  <c r="AC38" i="1"/>
  <c r="AD38" i="1"/>
  <c r="AE38" i="1"/>
  <c r="AB39" i="1"/>
  <c r="AC39" i="1"/>
  <c r="AD39" i="1"/>
  <c r="AE39" i="1"/>
  <c r="AB61" i="1"/>
  <c r="AC61" i="1"/>
  <c r="AD61" i="1"/>
  <c r="AE61" i="1"/>
  <c r="AB173" i="1"/>
  <c r="AC173" i="1"/>
  <c r="AD173" i="1"/>
  <c r="AE173" i="1"/>
  <c r="AB187" i="1"/>
  <c r="AC187" i="1"/>
  <c r="AD187" i="1"/>
  <c r="AE187" i="1"/>
  <c r="CE150" i="1"/>
  <c r="CE253" i="1"/>
  <c r="CF253" i="1"/>
  <c r="AI211" i="1"/>
  <c r="AI216" i="1"/>
  <c r="AI220" i="1"/>
  <c r="AI223" i="1"/>
  <c r="AI253" i="1"/>
  <c r="Y253" i="1"/>
  <c r="AM150" i="1"/>
  <c r="AO150" i="1"/>
  <c r="AQ150" i="1"/>
  <c r="AS150" i="1"/>
  <c r="AU150" i="1"/>
  <c r="AW150" i="1"/>
  <c r="AY150" i="1"/>
  <c r="BA150" i="1"/>
  <c r="BC150" i="1"/>
  <c r="BE150" i="1"/>
  <c r="BG150" i="1"/>
  <c r="BI150" i="1"/>
  <c r="BK150" i="1"/>
  <c r="BM150" i="1"/>
  <c r="BO150" i="1"/>
  <c r="BQ150" i="1"/>
  <c r="BS150" i="1"/>
  <c r="BU150" i="1"/>
  <c r="BW150" i="1"/>
  <c r="BY150" i="1"/>
  <c r="CA150" i="1"/>
  <c r="CC150" i="1"/>
  <c r="CD253" i="1"/>
  <c r="CC253" i="1"/>
  <c r="AJ253" i="1"/>
  <c r="AK253" i="1"/>
  <c r="AL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58" i="1" l="1"/>
  <c r="AA260" i="1"/>
  <c r="AA43" i="1"/>
  <c r="AA48" i="1"/>
  <c r="AA246" i="1"/>
  <c r="AA247" i="1" s="1"/>
  <c r="AA126" i="1"/>
  <c r="Y1" i="1"/>
  <c r="Z1" i="1" s="1"/>
  <c r="AA52" i="1" l="1"/>
  <c r="AA69" i="1"/>
  <c r="AA1" i="1"/>
  <c r="AB1" i="1" s="1"/>
  <c r="AC1" i="1" s="1"/>
  <c r="AD1" i="1" s="1"/>
  <c r="AE1" i="1" s="1"/>
  <c r="AA54" i="1" l="1"/>
  <c r="AA55" i="1"/>
  <c r="A1" i="3"/>
  <c r="AA56" i="1" l="1"/>
  <c r="AA259" i="1" s="1"/>
  <c r="AA62" i="1"/>
  <c r="AA248" i="1"/>
  <c r="A1" i="6"/>
  <c r="A1" i="4"/>
  <c r="AA66" i="1" l="1"/>
  <c r="AA68" i="1"/>
  <c r="AA207" i="1"/>
  <c r="AA209" i="1" s="1"/>
  <c r="CH208" i="1"/>
  <c r="BQ6" i="3"/>
  <c r="BP27" i="3"/>
  <c r="BN40" i="3"/>
  <c r="BG8" i="3"/>
  <c r="BP7" i="3"/>
  <c r="BU10" i="3"/>
  <c r="BC23" i="3"/>
  <c r="BM19" i="3"/>
  <c r="BM33" i="3"/>
  <c r="AA70" i="2"/>
  <c r="BQ13" i="3"/>
  <c r="BR26" i="3"/>
  <c r="BG17" i="3"/>
  <c r="BL33" i="3"/>
  <c r="AA91" i="2"/>
  <c r="BG45" i="3"/>
  <c r="BF24" i="3"/>
  <c r="Z47" i="2"/>
  <c r="Z31" i="2"/>
  <c r="AA20" i="2"/>
  <c r="BK23" i="3"/>
  <c r="BE38" i="3"/>
  <c r="BL41" i="3"/>
  <c r="AA11" i="2"/>
  <c r="BT42" i="3"/>
  <c r="BT9" i="3"/>
  <c r="Y58" i="2"/>
  <c r="BB27" i="3"/>
  <c r="BH12" i="3"/>
  <c r="BT38" i="3"/>
  <c r="Y26" i="2"/>
  <c r="BD7" i="3"/>
  <c r="Y32" i="2"/>
  <c r="Y23" i="2"/>
  <c r="BC5" i="3"/>
  <c r="Y64" i="2"/>
  <c r="BC15" i="3"/>
  <c r="AA85" i="2"/>
  <c r="BR18" i="3"/>
  <c r="BO41" i="3"/>
  <c r="FE12" i="4" a="1"/>
  <c r="BV19" i="3"/>
  <c r="BJ5" i="3"/>
  <c r="BB30" i="3"/>
  <c r="BF36" i="3"/>
  <c r="EZ16" i="4" a="1"/>
  <c r="Z108" i="2"/>
  <c r="BH40" i="3"/>
  <c r="BK10" i="3"/>
  <c r="BI41" i="3"/>
  <c r="AA23" i="2"/>
  <c r="BG22" i="3"/>
  <c r="BO5" i="3"/>
  <c r="BD16" i="3"/>
  <c r="BE46" i="3"/>
  <c r="FD16" i="4" a="1"/>
  <c r="Y11" i="2"/>
  <c r="EY5" i="4" a="1"/>
  <c r="BH9" i="3"/>
  <c r="BI18" i="3"/>
  <c r="FD7" i="4" a="1"/>
  <c r="BB23" i="3"/>
  <c r="BS9" i="3"/>
  <c r="BS5" i="3"/>
  <c r="BD38" i="3"/>
  <c r="BD29" i="3"/>
  <c r="Z46" i="2"/>
  <c r="Y13" i="2"/>
  <c r="BI19" i="3"/>
  <c r="BG40" i="3"/>
  <c r="BI22" i="3"/>
  <c r="BT27" i="3"/>
  <c r="Y17" i="2"/>
  <c r="Z107" i="2"/>
  <c r="Z86" i="2"/>
  <c r="BE19" i="3"/>
  <c r="BV13" i="3"/>
  <c r="BE25" i="3"/>
  <c r="C5" i="2"/>
  <c r="BQ40" i="3"/>
  <c r="BK26" i="3"/>
  <c r="BM14" i="3"/>
  <c r="Z34" i="2"/>
  <c r="BC41" i="3"/>
  <c r="BB21" i="3"/>
  <c r="FB15" i="4" a="1"/>
  <c r="BP24" i="3"/>
  <c r="Y70" i="2"/>
  <c r="BC29" i="3"/>
  <c r="Z8" i="2"/>
  <c r="BF18" i="3"/>
  <c r="BP38" i="3"/>
  <c r="BG24" i="3"/>
  <c r="AY29" i="3"/>
  <c r="FD13" i="4" a="1"/>
  <c r="BJ36" i="3"/>
  <c r="BV36" i="3"/>
  <c r="BT13" i="3"/>
  <c r="AA78" i="2"/>
  <c r="BQ34" i="3"/>
  <c r="BH16" i="3"/>
  <c r="BN26" i="3"/>
  <c r="Z40" i="2"/>
  <c r="BH19" i="3"/>
  <c r="BN34" i="3"/>
  <c r="Z50" i="2"/>
  <c r="BR23" i="3"/>
  <c r="BA36" i="3"/>
  <c r="BO14" i="3"/>
  <c r="Z51" i="2"/>
  <c r="BH38" i="3"/>
  <c r="BT26" i="3"/>
  <c r="BS32" i="3"/>
  <c r="AA110" i="2"/>
  <c r="AA60" i="2"/>
  <c r="Y10" i="2"/>
  <c r="AA17" i="2"/>
  <c r="Z88" i="2"/>
  <c r="BI6" i="3"/>
  <c r="FD6" i="4" a="1"/>
  <c r="BK32" i="3"/>
  <c r="BO42" i="3"/>
  <c r="Z89" i="2"/>
  <c r="BD28" i="3"/>
  <c r="Y72" i="2"/>
  <c r="Y46" i="2"/>
  <c r="BA21" i="3"/>
  <c r="Z66" i="2"/>
  <c r="BS19" i="3"/>
  <c r="BE21" i="3"/>
  <c r="Y50" i="2"/>
  <c r="EZ12" i="4" a="1"/>
  <c r="BV9" i="3"/>
  <c r="Y71" i="2"/>
  <c r="BU40" i="3"/>
  <c r="AA89" i="2"/>
  <c r="BJ42" i="3"/>
  <c r="AA49" i="2"/>
  <c r="Z30" i="2"/>
  <c r="BM15" i="3"/>
  <c r="BU36" i="3"/>
  <c r="BM37" i="3"/>
  <c r="BQ46" i="3"/>
  <c r="BQ39" i="3"/>
  <c r="BG37" i="3"/>
  <c r="AA14" i="2"/>
  <c r="Y30" i="2"/>
  <c r="BL18" i="3"/>
  <c r="BJ22" i="3"/>
  <c r="Z62" i="2"/>
  <c r="FD12" i="4" a="1"/>
  <c r="BD32" i="3"/>
  <c r="BF26" i="3"/>
  <c r="BJ7" i="3"/>
  <c r="Z35" i="2"/>
  <c r="Z79" i="2"/>
  <c r="EY14" i="4" a="1"/>
  <c r="BL12" i="3"/>
  <c r="BA27" i="3"/>
  <c r="BD22" i="3"/>
  <c r="AA8" i="2"/>
  <c r="AA43" i="2"/>
  <c r="BL20" i="3"/>
  <c r="BM38" i="3"/>
  <c r="FF12" i="4" a="1"/>
  <c r="FF16" i="4" a="1"/>
  <c r="AA34" i="2"/>
  <c r="BJ40" i="3"/>
  <c r="BA31" i="3"/>
  <c r="BR12" i="3"/>
  <c r="BS20" i="3"/>
  <c r="BJ34" i="3"/>
  <c r="AA64" i="2"/>
  <c r="AA19" i="2"/>
  <c r="AB39" i="3"/>
  <c r="AA33" i="2"/>
  <c r="BK21" i="3"/>
  <c r="AA75" i="2"/>
  <c r="BT40" i="3"/>
  <c r="BU12" i="3"/>
  <c r="BS27" i="3"/>
  <c r="BS7" i="3"/>
  <c r="BI11" i="3"/>
  <c r="Z53" i="2"/>
  <c r="BD34" i="3"/>
  <c r="BU38" i="3"/>
  <c r="AA86" i="2"/>
  <c r="FC6" i="4" a="1"/>
  <c r="Z92" i="2"/>
  <c r="BT28" i="3"/>
  <c r="BS13" i="3"/>
  <c r="BG16" i="3"/>
  <c r="AA6" i="2"/>
  <c r="BC24" i="3"/>
  <c r="BU46" i="3"/>
  <c r="AA63" i="2"/>
  <c r="EY6" i="4" a="1"/>
  <c r="AA84" i="2"/>
  <c r="BP39" i="3"/>
  <c r="BT45" i="3"/>
  <c r="BC21" i="3"/>
  <c r="BL46" i="3"/>
  <c r="BR33" i="3"/>
  <c r="BA33" i="3"/>
  <c r="BM9" i="3"/>
  <c r="FB7" i="4" a="1"/>
  <c r="BD45" i="3"/>
  <c r="FE11" i="4" a="1"/>
  <c r="BR31" i="3"/>
  <c r="BN28" i="3"/>
  <c r="BR19" i="3"/>
  <c r="BK30" i="3"/>
  <c r="BV26" i="3"/>
  <c r="BV21" i="3"/>
  <c r="BF13" i="3"/>
  <c r="AA32" i="2"/>
  <c r="BC26" i="3"/>
  <c r="BC20" i="3"/>
  <c r="BU29" i="3"/>
  <c r="BA39" i="3"/>
  <c r="BT30" i="3"/>
  <c r="BM41" i="3"/>
  <c r="BM36" i="3"/>
  <c r="BO18" i="3"/>
  <c r="FE5" i="4" a="1"/>
  <c r="AA109" i="2"/>
  <c r="BM35" i="3"/>
  <c r="BV12" i="3"/>
  <c r="EZ5" i="4" a="1"/>
  <c r="BU15" i="3"/>
  <c r="BB28" i="3"/>
  <c r="BL36" i="3"/>
  <c r="Y16" i="2"/>
  <c r="BC27" i="3"/>
  <c r="Y91" i="2"/>
  <c r="Y52" i="2"/>
  <c r="BK17" i="3"/>
  <c r="BV28" i="3"/>
  <c r="BD25" i="3"/>
  <c r="BF35" i="3"/>
  <c r="BS16" i="3"/>
  <c r="BD13" i="3"/>
  <c r="Z23" i="2"/>
  <c r="BG26" i="3"/>
  <c r="Z11" i="2"/>
  <c r="BB8" i="3"/>
  <c r="BE13" i="3"/>
  <c r="BF17" i="3"/>
  <c r="BM42" i="3"/>
  <c r="Z17" i="2"/>
  <c r="Y86" i="2"/>
  <c r="AA87" i="2"/>
  <c r="BM28" i="3"/>
  <c r="BP36" i="3"/>
  <c r="AA35" i="2"/>
  <c r="AA52" i="2"/>
  <c r="EX6" i="4" a="1"/>
  <c r="BV35" i="3"/>
  <c r="BP19" i="3"/>
  <c r="Z110" i="2"/>
  <c r="Y40" i="2"/>
  <c r="BU26" i="3"/>
  <c r="AA9" i="2"/>
  <c r="FE6" i="4" a="1"/>
  <c r="BA28" i="3"/>
  <c r="BS12" i="3"/>
  <c r="BJ29" i="3"/>
  <c r="BF37" i="3"/>
  <c r="BI7" i="3"/>
  <c r="BF12" i="3"/>
  <c r="BH27" i="3"/>
  <c r="Z99" i="2"/>
  <c r="BP22" i="3"/>
  <c r="BR21" i="3"/>
  <c r="Z105" i="2"/>
  <c r="BS30" i="3"/>
  <c r="FC12" i="4" a="1"/>
  <c r="Z68" i="2"/>
  <c r="BT36" i="3"/>
  <c r="BH35" i="3"/>
  <c r="BA12" i="3"/>
  <c r="BI39" i="3"/>
  <c r="BR27" i="3"/>
  <c r="BA8" i="3"/>
  <c r="BI12" i="3"/>
  <c r="EX16" i="4" a="1"/>
  <c r="BH41" i="3"/>
  <c r="Y21" i="2"/>
  <c r="FC9" i="4" a="1"/>
  <c r="Y68" i="2"/>
  <c r="BM6" i="3"/>
  <c r="BA41" i="3"/>
  <c r="EZ9" i="4" a="1"/>
  <c r="Y41" i="2"/>
  <c r="BP26" i="3"/>
  <c r="BJ19" i="3"/>
  <c r="Y75" i="2"/>
  <c r="BG36" i="3"/>
  <c r="BE29" i="3"/>
  <c r="BF23" i="3"/>
  <c r="BH6" i="3"/>
  <c r="Z18" i="2"/>
  <c r="FD8" i="4" a="1"/>
  <c r="AA42" i="2"/>
  <c r="BD30" i="3"/>
  <c r="BF20" i="3"/>
  <c r="Z32" i="2"/>
  <c r="BQ45" i="3"/>
  <c r="BO22" i="3"/>
  <c r="BE18" i="3"/>
  <c r="BP37" i="3"/>
  <c r="FE7" i="4" a="1"/>
  <c r="AA96" i="2"/>
  <c r="BP28" i="3"/>
  <c r="BE6" i="3"/>
  <c r="BF21" i="3"/>
  <c r="BO30" i="3"/>
  <c r="Z72" i="2"/>
  <c r="BO46" i="3"/>
  <c r="FE13" i="4" a="1"/>
  <c r="BU21" i="3"/>
  <c r="Z63" i="2"/>
  <c r="Z25" i="2"/>
  <c r="Y88" i="2"/>
  <c r="Y84" i="2"/>
  <c r="BI28" i="3"/>
  <c r="BC30" i="3"/>
  <c r="BJ12" i="3"/>
  <c r="BN16" i="3"/>
  <c r="Z70" i="2"/>
  <c r="BP20" i="3"/>
  <c r="AA92" i="2"/>
  <c r="BA34" i="3"/>
  <c r="BR15" i="3"/>
  <c r="BV42" i="3"/>
  <c r="BQ8" i="3"/>
  <c r="BQ28" i="3"/>
  <c r="BD36" i="3"/>
  <c r="BO24" i="3"/>
  <c r="AA67" i="2"/>
  <c r="BP8" i="3"/>
  <c r="Y34" i="2"/>
  <c r="BS18" i="3"/>
  <c r="BG31" i="3"/>
  <c r="BH29" i="3"/>
  <c r="Z58" i="2"/>
  <c r="BI31" i="3"/>
  <c r="BS14" i="3"/>
  <c r="BS37" i="3"/>
  <c r="AA40" i="2"/>
  <c r="BB25" i="3"/>
  <c r="BB9" i="3"/>
  <c r="BP41" i="3"/>
  <c r="Y81" i="2"/>
  <c r="AA31" i="2"/>
  <c r="BG14" i="3"/>
  <c r="BU13" i="3"/>
  <c r="BE8" i="3"/>
  <c r="BK38" i="3"/>
  <c r="BT12" i="3"/>
  <c r="BK42" i="3"/>
  <c r="BE16" i="3"/>
  <c r="BH25" i="3"/>
  <c r="AA71" i="2"/>
  <c r="BR46" i="3"/>
  <c r="BL19" i="3"/>
  <c r="AA46" i="2"/>
  <c r="BI10" i="3"/>
  <c r="Y54" i="2"/>
  <c r="Z49" i="2"/>
  <c r="BI42" i="3"/>
  <c r="BO27" i="3"/>
  <c r="BJ6" i="3"/>
  <c r="BN14" i="3"/>
  <c r="AA18" i="2"/>
  <c r="BD20" i="3"/>
  <c r="BK15" i="3"/>
  <c r="BE45" i="3"/>
  <c r="BV10" i="3"/>
  <c r="AA58" i="2"/>
  <c r="FB12" i="4" a="1"/>
  <c r="BA25" i="3"/>
  <c r="BF22" i="3"/>
  <c r="V6" i="2"/>
  <c r="BB34" i="3"/>
  <c r="AA55" i="2"/>
  <c r="BF27" i="3"/>
  <c r="BS40" i="3"/>
  <c r="BA6" i="3"/>
  <c r="FB11" i="4" a="1"/>
  <c r="BU17" i="3"/>
  <c r="Y106" i="2"/>
  <c r="BF30" i="3"/>
  <c r="BT23" i="3"/>
  <c r="BN35" i="3"/>
  <c r="BO6" i="3"/>
  <c r="Z43" i="2"/>
  <c r="BF16" i="3"/>
  <c r="BP15" i="3"/>
  <c r="Y97" i="2"/>
  <c r="BA37" i="3"/>
  <c r="BQ36" i="3"/>
  <c r="BK28" i="3"/>
  <c r="AA44" i="2"/>
  <c r="BF15" i="3"/>
  <c r="BM39" i="3"/>
  <c r="BL34" i="3"/>
  <c r="FC16" i="4" a="1"/>
  <c r="BA35" i="3"/>
  <c r="BB42" i="3"/>
  <c r="BT22" i="3"/>
  <c r="FC5" i="4" a="1"/>
  <c r="BV25" i="3"/>
  <c r="BK31" i="3"/>
  <c r="BC12" i="3"/>
  <c r="BH17" i="3"/>
  <c r="FB16" i="4" a="1"/>
  <c r="FD15" i="4" a="1"/>
  <c r="AA45" i="2"/>
  <c r="BP12" i="3"/>
  <c r="AA24" i="2"/>
  <c r="BJ38" i="3"/>
  <c r="EX5" i="4" a="1"/>
  <c r="BM26" i="3"/>
  <c r="BN39" i="3"/>
  <c r="BO37" i="3"/>
  <c r="BA29" i="3"/>
  <c r="BO31" i="3"/>
  <c r="Y67" i="2"/>
  <c r="Y45" i="2"/>
  <c r="BJ23" i="3"/>
  <c r="BR37" i="3"/>
  <c r="BU14" i="3"/>
  <c r="EZ8" i="4" a="1"/>
  <c r="EY15" i="4" a="1"/>
  <c r="Y108" i="2"/>
  <c r="BT14" i="3"/>
  <c r="Y19" i="2"/>
  <c r="AA29" i="2"/>
  <c r="BG11" i="3"/>
  <c r="BS22" i="3"/>
  <c r="Y92" i="2"/>
  <c r="BR41" i="3"/>
  <c r="BL28" i="3"/>
  <c r="BA22" i="3"/>
  <c r="BQ15" i="3"/>
  <c r="BG10" i="3"/>
  <c r="BU34" i="3"/>
  <c r="Z87" i="2"/>
  <c r="BK35" i="3"/>
  <c r="Y69" i="2"/>
  <c r="AA73" i="2"/>
  <c r="BJ8" i="3"/>
  <c r="BK25" i="3"/>
  <c r="AA77" i="2"/>
  <c r="BU9" i="3"/>
  <c r="BA46" i="3"/>
  <c r="BL35" i="3"/>
  <c r="EX11" i="4" a="1"/>
  <c r="Z22" i="2"/>
  <c r="BB12" i="3"/>
  <c r="BP33" i="3"/>
  <c r="BE10" i="3"/>
  <c r="BL38" i="3"/>
  <c r="BG33" i="3"/>
  <c r="BK8" i="3"/>
  <c r="BE26" i="3"/>
  <c r="BB45" i="3"/>
  <c r="AA7" i="2"/>
  <c r="Y43" i="2"/>
  <c r="BM22" i="3"/>
  <c r="BS29" i="3"/>
  <c r="Z82" i="2"/>
  <c r="Y78" i="2"/>
  <c r="BC35" i="3"/>
  <c r="EX14" i="4" a="1"/>
  <c r="BE40" i="3"/>
  <c r="BH46" i="3"/>
  <c r="BF28" i="3"/>
  <c r="Z60" i="2"/>
  <c r="BG30" i="3"/>
  <c r="BT17" i="3"/>
  <c r="BU39" i="3"/>
  <c r="AA48" i="2"/>
  <c r="FC7" i="4" a="1"/>
  <c r="BD12" i="3"/>
  <c r="BQ12" i="3"/>
  <c r="BE7" i="3"/>
  <c r="Y14" i="2"/>
  <c r="BU5" i="3"/>
  <c r="BU66" i="3" s="1"/>
  <c r="Y65" i="2"/>
  <c r="BI46" i="3"/>
  <c r="BV8" i="3"/>
  <c r="BG38" i="3"/>
  <c r="BR34" i="3"/>
  <c r="Y95" i="2"/>
  <c r="BE15" i="3"/>
  <c r="BV22" i="3"/>
  <c r="BU11" i="3"/>
  <c r="Z81" i="2"/>
  <c r="BE35" i="3"/>
  <c r="BS36" i="3"/>
  <c r="BL16" i="3"/>
  <c r="BR40" i="3"/>
  <c r="BD27" i="3"/>
  <c r="BG23" i="3"/>
  <c r="BG15" i="3"/>
  <c r="BB26" i="3"/>
  <c r="BQ31" i="3"/>
  <c r="BO10" i="3"/>
  <c r="BF25" i="3"/>
  <c r="BH37" i="3"/>
  <c r="EY9" i="4" a="1"/>
  <c r="Z57" i="2"/>
  <c r="AA97" i="2"/>
  <c r="BI45" i="3"/>
  <c r="BQ11" i="3"/>
  <c r="BV18" i="3"/>
  <c r="BI27" i="3"/>
  <c r="Z15" i="2"/>
  <c r="BF7" i="3"/>
  <c r="BI33" i="3"/>
  <c r="Z19" i="2"/>
  <c r="BQ22" i="3"/>
  <c r="Y63" i="2"/>
  <c r="BV7" i="3"/>
  <c r="BK20" i="3"/>
  <c r="BU42" i="3"/>
  <c r="BN19" i="3"/>
  <c r="BR9" i="3"/>
  <c r="BH45" i="3"/>
  <c r="AA47" i="2"/>
  <c r="FF13" i="4" a="1"/>
  <c r="BB31" i="3"/>
  <c r="BL27" i="3"/>
  <c r="BV46" i="3"/>
  <c r="Y99" i="2"/>
  <c r="BD37" i="3"/>
  <c r="BI35" i="3"/>
  <c r="Z109" i="2"/>
  <c r="BN36" i="3"/>
  <c r="BP31" i="3"/>
  <c r="FE15" i="4" a="1"/>
  <c r="Z77" i="2"/>
  <c r="BK14" i="3"/>
  <c r="EZ11" i="4" a="1"/>
  <c r="BH36" i="3"/>
  <c r="BO29" i="3"/>
  <c r="BC16" i="3"/>
  <c r="BD8" i="3"/>
  <c r="Y51" i="2"/>
  <c r="BM31" i="3"/>
  <c r="BC32" i="3"/>
  <c r="Z56" i="2"/>
  <c r="BB10" i="3"/>
  <c r="BL31" i="3"/>
  <c r="BV16" i="3"/>
  <c r="Y7" i="2"/>
  <c r="BI26" i="3"/>
  <c r="BO21" i="3"/>
  <c r="BJ28" i="3"/>
  <c r="BS28" i="3"/>
  <c r="BS23" i="3"/>
  <c r="AA50" i="2"/>
  <c r="BC40" i="3"/>
  <c r="BB32" i="3"/>
  <c r="BG25" i="3"/>
  <c r="AA10" i="2"/>
  <c r="BE24" i="3"/>
  <c r="BU45" i="3"/>
  <c r="BQ18" i="3"/>
  <c r="BM11" i="3"/>
  <c r="Z55" i="2"/>
  <c r="BM17" i="3"/>
  <c r="BM13" i="3"/>
  <c r="BH30" i="3"/>
  <c r="Y18" i="2"/>
  <c r="BT25" i="3"/>
  <c r="BK46" i="3"/>
  <c r="BQ24" i="3"/>
  <c r="BK16" i="3"/>
  <c r="AA53" i="2"/>
  <c r="BK22" i="3"/>
  <c r="BK18" i="3"/>
  <c r="BR29" i="3"/>
  <c r="Z7" i="2"/>
  <c r="BQ5" i="3"/>
  <c r="BQ56" i="3" s="1"/>
  <c r="BN24" i="3"/>
  <c r="BT8" i="3"/>
  <c r="Z91" i="2"/>
  <c r="BE31" i="3"/>
  <c r="BP14" i="3"/>
  <c r="AA81" i="2"/>
  <c r="Z52" i="2"/>
  <c r="AA13" i="2"/>
  <c r="BC31" i="3"/>
  <c r="BT31" i="3"/>
  <c r="BI36" i="3"/>
  <c r="Y56" i="2"/>
  <c r="BQ37" i="3"/>
  <c r="BO16" i="3"/>
  <c r="BH42" i="3"/>
  <c r="BT24" i="3"/>
  <c r="FB8" i="4" a="1"/>
  <c r="Y85" i="2"/>
  <c r="BV30" i="3"/>
  <c r="BS31" i="3"/>
  <c r="BH8" i="3"/>
  <c r="BD11" i="3"/>
  <c r="FA12" i="4" a="1"/>
  <c r="BT35" i="3"/>
  <c r="BC7" i="3"/>
  <c r="Z83" i="2"/>
  <c r="BB7" i="3"/>
  <c r="BI38" i="3"/>
  <c r="BN27" i="3"/>
  <c r="BV45" i="3"/>
  <c r="BV39" i="3"/>
  <c r="Z16" i="2"/>
  <c r="BA17" i="3"/>
  <c r="BN22" i="3"/>
  <c r="AA30" i="2"/>
  <c r="BE12" i="3"/>
  <c r="Y87" i="2"/>
  <c r="BM40" i="3"/>
  <c r="BC11" i="3"/>
  <c r="BL9" i="3"/>
  <c r="BR24" i="3"/>
  <c r="BG13" i="3"/>
  <c r="BU27" i="3"/>
  <c r="AA57" i="2"/>
  <c r="BL15" i="3"/>
  <c r="W6" i="2"/>
  <c r="BJ45" i="3"/>
  <c r="BD5" i="3"/>
  <c r="BQ35" i="3"/>
  <c r="BI14" i="3"/>
  <c r="BE37" i="3"/>
  <c r="BP45" i="3"/>
  <c r="BV38" i="3"/>
  <c r="BE28" i="3"/>
  <c r="BS34" i="3"/>
  <c r="Y15" i="2"/>
  <c r="Z44" i="2"/>
  <c r="AA12" i="2"/>
  <c r="BH31" i="3"/>
  <c r="BM7" i="3"/>
  <c r="BB40" i="3"/>
  <c r="BR6" i="3"/>
  <c r="BJ16" i="3"/>
  <c r="BH26" i="3"/>
  <c r="BM34" i="3"/>
  <c r="BM18" i="3"/>
  <c r="BT29" i="3"/>
  <c r="BQ10" i="3"/>
  <c r="BT6" i="3"/>
  <c r="Z97" i="2"/>
  <c r="BD24" i="3"/>
  <c r="BL10" i="3"/>
  <c r="BN37" i="3"/>
  <c r="BT15" i="3"/>
  <c r="BR5" i="3"/>
  <c r="BT46" i="3"/>
  <c r="BU41" i="3"/>
  <c r="BC18" i="3"/>
  <c r="BI13" i="3"/>
  <c r="BC39" i="3"/>
  <c r="BL24" i="3"/>
  <c r="BA26" i="3"/>
  <c r="X6" i="2"/>
  <c r="BF46" i="3"/>
  <c r="BL5" i="3"/>
  <c r="Y104" i="2"/>
  <c r="BS38" i="3"/>
  <c r="FC11" i="4" a="1"/>
  <c r="FC8" i="4" a="1"/>
  <c r="BU33" i="3"/>
  <c r="BQ16" i="3"/>
  <c r="BI17" i="3"/>
  <c r="BR30" i="3"/>
  <c r="BK33" i="3"/>
  <c r="FB13" i="4" a="1"/>
  <c r="BH28" i="3"/>
  <c r="BO11" i="3"/>
  <c r="BO9" i="3"/>
  <c r="BG9" i="3"/>
  <c r="BF19" i="3"/>
  <c r="BJ25" i="3"/>
  <c r="Y98" i="2"/>
  <c r="BL45" i="3"/>
  <c r="BL14" i="3"/>
  <c r="BS33" i="3"/>
  <c r="BO36" i="3"/>
  <c r="BD35" i="3"/>
  <c r="BN42" i="3"/>
  <c r="BR38" i="3"/>
  <c r="BK5" i="3"/>
  <c r="FC13" i="4" a="1"/>
  <c r="BP16" i="3"/>
  <c r="BP42" i="3"/>
  <c r="Y79" i="2"/>
  <c r="BD15" i="3"/>
  <c r="Y25" i="2"/>
  <c r="BO38" i="3"/>
  <c r="Z73" i="2"/>
  <c r="BJ41" i="3"/>
  <c r="BH10" i="3"/>
  <c r="BB17" i="3"/>
  <c r="EX9" i="4" a="1"/>
  <c r="BP40" i="3"/>
  <c r="BL39" i="3"/>
  <c r="BI37" i="3"/>
  <c r="FE9" i="4" a="1"/>
  <c r="BM32" i="3"/>
  <c r="BQ29" i="3"/>
  <c r="FB6" i="4" a="1"/>
  <c r="AA25" i="2"/>
  <c r="BT34" i="3"/>
  <c r="BS21" i="3"/>
  <c r="BR22" i="3"/>
  <c r="BA18" i="3"/>
  <c r="AA54" i="2"/>
  <c r="BO20" i="3"/>
  <c r="BG12" i="3"/>
  <c r="BK9" i="3"/>
  <c r="Y29" i="2"/>
  <c r="Y73" i="2"/>
  <c r="BL32" i="3"/>
  <c r="BN21" i="3"/>
  <c r="BO32" i="3"/>
  <c r="BM21" i="3"/>
  <c r="BI23" i="3"/>
  <c r="FA14" i="4" a="1"/>
  <c r="Z95" i="2"/>
  <c r="AA90" i="2"/>
  <c r="BR39" i="3"/>
  <c r="AA59" i="2"/>
  <c r="BN29" i="3"/>
  <c r="BG42" i="3"/>
  <c r="BV27" i="3"/>
  <c r="EY12" i="4" a="1"/>
  <c r="BR7" i="3"/>
  <c r="Z69" i="2"/>
  <c r="BL7" i="3"/>
  <c r="Y20" i="2"/>
  <c r="BT39" i="3"/>
  <c r="BG20" i="3"/>
  <c r="BR35" i="3"/>
  <c r="BC14" i="3"/>
  <c r="BN6" i="3"/>
  <c r="BL17" i="3"/>
  <c r="BB14" i="3"/>
  <c r="BF32" i="3"/>
  <c r="EX15" i="4" a="1"/>
  <c r="BD14" i="3"/>
  <c r="Z71" i="2"/>
  <c r="BO15" i="3"/>
  <c r="BI8" i="3"/>
  <c r="Z41" i="2"/>
  <c r="BJ21" i="3"/>
  <c r="EZ13" i="4" a="1"/>
  <c r="BP17" i="3"/>
  <c r="BJ32" i="3"/>
  <c r="BT7" i="3"/>
  <c r="Y83" i="2"/>
  <c r="BD46" i="3"/>
  <c r="BC9" i="3"/>
  <c r="C4" i="2"/>
  <c r="BO28" i="3"/>
  <c r="BE17" i="3"/>
  <c r="BI21" i="3"/>
  <c r="FF15" i="4" a="1"/>
  <c r="BR25" i="3"/>
  <c r="BI15" i="3"/>
  <c r="AA15" i="2"/>
  <c r="BN45" i="3"/>
  <c r="BR13" i="3"/>
  <c r="BV6" i="3"/>
  <c r="BN23" i="3"/>
  <c r="BB13" i="3"/>
  <c r="Y107" i="2"/>
  <c r="BE32" i="3"/>
  <c r="EY7" i="4" a="1"/>
  <c r="BU25" i="3"/>
  <c r="BE9" i="3"/>
  <c r="BO8" i="3"/>
  <c r="BP35" i="3"/>
  <c r="BN7" i="3"/>
  <c r="AA88" i="2"/>
  <c r="BJ46" i="3"/>
  <c r="BP11" i="3"/>
  <c r="BF40" i="3"/>
  <c r="BJ39" i="3"/>
  <c r="BE42" i="3"/>
  <c r="BD41" i="3"/>
  <c r="BQ32" i="3"/>
  <c r="BA40" i="3"/>
  <c r="BE11" i="3"/>
  <c r="BT18" i="3"/>
  <c r="BI40" i="3"/>
  <c r="BE22" i="3"/>
  <c r="BE34" i="3"/>
  <c r="AA41" i="2"/>
  <c r="BK27" i="3"/>
  <c r="Y35" i="2"/>
  <c r="BB20" i="3"/>
  <c r="Z9" i="2"/>
  <c r="BF29" i="3"/>
  <c r="BS41" i="3"/>
  <c r="AA74" i="2"/>
  <c r="Y36" i="2"/>
  <c r="Z10" i="2"/>
  <c r="Y33" i="2"/>
  <c r="BV29" i="3"/>
  <c r="BA13" i="3"/>
  <c r="BD17" i="3"/>
  <c r="FA8" i="4" a="1"/>
  <c r="BN25" i="3"/>
  <c r="Z61" i="2"/>
  <c r="BQ41" i="3"/>
  <c r="AA79" i="2"/>
  <c r="BJ20" i="3"/>
  <c r="Z26" i="2"/>
  <c r="Y22" i="2"/>
  <c r="BH13" i="3"/>
  <c r="BL26" i="3"/>
  <c r="BJ10" i="3"/>
  <c r="BM16" i="3"/>
  <c r="BV40" i="3"/>
  <c r="BP29" i="3"/>
  <c r="Y31" i="2"/>
  <c r="Z24" i="2"/>
  <c r="BT41" i="3"/>
  <c r="FB14" i="4" a="1"/>
  <c r="BT5" i="3"/>
  <c r="BN30" i="3"/>
  <c r="BE30" i="3"/>
  <c r="FB9" i="4" a="1"/>
  <c r="BD10" i="3"/>
  <c r="BB29" i="3"/>
  <c r="BM30" i="3"/>
  <c r="BQ33" i="3"/>
  <c r="BM25" i="3"/>
  <c r="BD9" i="3"/>
  <c r="BT16" i="3"/>
  <c r="AA28" i="2"/>
  <c r="BI24" i="3"/>
  <c r="BI32" i="3"/>
  <c r="Z96" i="2"/>
  <c r="BB15" i="3"/>
  <c r="FD9" i="4" a="1"/>
  <c r="BS6" i="3"/>
  <c r="BO35" i="3"/>
  <c r="BC25" i="3"/>
  <c r="BR10" i="3"/>
  <c r="BJ30" i="3"/>
  <c r="BB22" i="3"/>
  <c r="BJ18" i="3"/>
  <c r="BU37" i="3"/>
  <c r="BK40" i="3"/>
  <c r="BN46" i="3"/>
  <c r="Y60" i="2"/>
  <c r="BL23" i="3"/>
  <c r="BR32" i="3"/>
  <c r="BJ27" i="3"/>
  <c r="BB5" i="3"/>
  <c r="BB11" i="3"/>
  <c r="BV14" i="3"/>
  <c r="Z28" i="2"/>
  <c r="BN20" i="3"/>
  <c r="AA68" i="2"/>
  <c r="BG21" i="3"/>
  <c r="Z42" i="2"/>
  <c r="BN31" i="3"/>
  <c r="AA27" i="2"/>
  <c r="BI16" i="3"/>
  <c r="FE14" i="4" a="1"/>
  <c r="BQ17" i="3"/>
  <c r="BN11" i="3"/>
  <c r="BH18" i="3"/>
  <c r="BA16" i="3"/>
  <c r="BP18" i="3"/>
  <c r="FF11" i="4" a="1"/>
  <c r="BS10" i="3"/>
  <c r="EY13" i="4" a="1"/>
  <c r="BE39" i="3"/>
  <c r="AA72" i="2"/>
  <c r="EX7" i="4" a="1"/>
  <c r="FC15" i="4" a="1"/>
  <c r="BV37" i="3"/>
  <c r="BS17" i="3"/>
  <c r="BF5" i="3"/>
  <c r="BQ62" i="3"/>
  <c r="Y77" i="2"/>
  <c r="Z67" i="2"/>
  <c r="Y57" i="2"/>
  <c r="AA83" i="2"/>
  <c r="BP23" i="3"/>
  <c r="BP34" i="3"/>
  <c r="BG46" i="3"/>
  <c r="BA10" i="3"/>
  <c r="BK29" i="3"/>
  <c r="BT32" i="3"/>
  <c r="BV17" i="3"/>
  <c r="BU19" i="3"/>
  <c r="Z85" i="2"/>
  <c r="BP5" i="3"/>
  <c r="BQ21" i="3"/>
  <c r="FA15" i="4" a="1"/>
  <c r="BH21" i="3"/>
  <c r="BR20" i="3"/>
  <c r="BK34" i="3"/>
  <c r="FD5" i="4" a="1"/>
  <c r="Y49" i="2"/>
  <c r="BH23" i="3"/>
  <c r="BJ13" i="3"/>
  <c r="BE5" i="3"/>
  <c r="Z90" i="2"/>
  <c r="BU24" i="3"/>
  <c r="BP32" i="3"/>
  <c r="Y105" i="2"/>
  <c r="Y76" i="2"/>
  <c r="BN8" i="3"/>
  <c r="BF38" i="3"/>
  <c r="Y94" i="2"/>
  <c r="BS25" i="3"/>
  <c r="EZ14" i="4" a="1"/>
  <c r="AA105" i="2"/>
  <c r="Y80" i="2"/>
  <c r="BK13" i="3"/>
  <c r="BM45" i="3"/>
  <c r="BN9" i="3"/>
  <c r="Z36" i="2"/>
  <c r="BF34" i="3"/>
  <c r="BV11" i="3"/>
  <c r="BH15" i="3"/>
  <c r="AA26" i="2"/>
  <c r="BC6" i="3"/>
  <c r="BS15" i="3"/>
  <c r="Z12" i="2"/>
  <c r="BC34" i="3"/>
  <c r="EY8" i="4" a="1"/>
  <c r="BA24" i="3"/>
  <c r="BR36" i="3"/>
  <c r="BF31" i="3"/>
  <c r="BA42" i="3"/>
  <c r="BK37" i="3"/>
  <c r="AA16" i="2"/>
  <c r="BR8" i="3"/>
  <c r="BG7" i="3"/>
  <c r="BH14" i="3"/>
  <c r="BO39" i="3"/>
  <c r="BU22" i="3"/>
  <c r="AA104" i="2"/>
  <c r="BH32" i="3"/>
  <c r="BB24" i="3"/>
  <c r="BK19" i="3"/>
  <c r="BP13" i="3"/>
  <c r="BF42" i="3"/>
  <c r="BU8" i="3"/>
  <c r="BJ37" i="3"/>
  <c r="FF7" i="4" a="1"/>
  <c r="BC45" i="3"/>
  <c r="BO7" i="3"/>
  <c r="BJ11" i="3"/>
  <c r="FA16" i="4" a="1"/>
  <c r="BK45" i="3"/>
  <c r="BH5" i="3"/>
  <c r="AA94" i="2"/>
  <c r="BG29" i="3"/>
  <c r="Y6" i="2"/>
  <c r="Y96" i="2"/>
  <c r="BU31" i="3"/>
  <c r="BE36" i="3"/>
  <c r="BQ25" i="3"/>
  <c r="FC14" i="4" a="1"/>
  <c r="BA30" i="3"/>
  <c r="BG28" i="3"/>
  <c r="Z84" i="2"/>
  <c r="AV10" i="3"/>
  <c r="BG35" i="3"/>
  <c r="BH33" i="3"/>
  <c r="BL25" i="3"/>
  <c r="EX8" i="4" a="1"/>
  <c r="BI30" i="3"/>
  <c r="BO34" i="3"/>
  <c r="BV34" i="3"/>
  <c r="BM27" i="3"/>
  <c r="BT10" i="3"/>
  <c r="Z45" i="2"/>
  <c r="BL42" i="3"/>
  <c r="BG34" i="3"/>
  <c r="Z59" i="2"/>
  <c r="BD23" i="3"/>
  <c r="BD21" i="3"/>
  <c r="Y62" i="2"/>
  <c r="EZ6" i="4" a="1"/>
  <c r="EZ15" i="4" a="1"/>
  <c r="BB6" i="3"/>
  <c r="AA108" i="2"/>
  <c r="AA80" i="2"/>
  <c r="BD31" i="3"/>
  <c r="BM8" i="3"/>
  <c r="BR17" i="3"/>
  <c r="BK41" i="3"/>
  <c r="Y8" i="2"/>
  <c r="Y61" i="2"/>
  <c r="BU16" i="3"/>
  <c r="BE14" i="3"/>
  <c r="Z13" i="2"/>
  <c r="Z33" i="2"/>
  <c r="BN15" i="3"/>
  <c r="BG5" i="3"/>
  <c r="BO40" i="3"/>
  <c r="BO17" i="3"/>
  <c r="BA7" i="3"/>
  <c r="BA32" i="3"/>
  <c r="FF5" i="4" a="1"/>
  <c r="BA9" i="3"/>
  <c r="FA11" i="4" a="1"/>
  <c r="BB37" i="3"/>
  <c r="AA106" i="2"/>
  <c r="BK12" i="3"/>
  <c r="BS24" i="3"/>
  <c r="BO45" i="3"/>
  <c r="Z98" i="2"/>
  <c r="Y82" i="2"/>
  <c r="BQ26" i="3"/>
  <c r="BB16" i="3"/>
  <c r="BI29" i="3"/>
  <c r="BK39" i="3"/>
  <c r="BL8" i="3"/>
  <c r="BF8" i="3"/>
  <c r="BQ30" i="3"/>
  <c r="BQ38" i="3"/>
  <c r="Z6" i="2"/>
  <c r="BK24" i="3"/>
  <c r="BM5" i="3"/>
  <c r="BM46" i="3"/>
  <c r="BC28" i="3"/>
  <c r="BK7" i="3"/>
  <c r="BT37" i="3"/>
  <c r="Y24" i="2"/>
  <c r="Z64" i="2"/>
  <c r="BU28" i="3"/>
  <c r="AA5" i="2"/>
  <c r="Y9" i="2"/>
  <c r="FA13" i="4" a="1"/>
  <c r="AA51" i="2"/>
  <c r="BD26" i="3"/>
  <c r="BN33" i="3"/>
  <c r="BP9" i="3"/>
  <c r="BR28" i="3"/>
  <c r="BA14" i="3"/>
  <c r="BB36" i="3"/>
  <c r="BG39" i="3"/>
  <c r="BN5" i="3"/>
  <c r="FE16" i="4" a="1"/>
  <c r="Y27" i="2"/>
  <c r="BE41" i="3"/>
  <c r="BU23" i="3"/>
  <c r="Z48" i="2"/>
  <c r="BF33" i="3"/>
  <c r="BJ15" i="3"/>
  <c r="BN38" i="3"/>
  <c r="BC36" i="3"/>
  <c r="BB46" i="3"/>
  <c r="FB5" i="4" a="1"/>
  <c r="BR11" i="3"/>
  <c r="BU6" i="3"/>
  <c r="AA22" i="2"/>
  <c r="BG32" i="3"/>
  <c r="BJ24" i="3"/>
  <c r="BK36" i="3"/>
  <c r="BV32" i="3"/>
  <c r="BI5" i="3"/>
  <c r="Y59" i="2"/>
  <c r="BC33" i="3"/>
  <c r="BV31" i="3"/>
  <c r="BP6" i="3"/>
  <c r="BJ35" i="3"/>
  <c r="EX12" i="4" a="1"/>
  <c r="BQ19" i="3"/>
  <c r="BA11" i="3"/>
  <c r="BU35" i="3"/>
  <c r="BH34" i="3"/>
  <c r="BF6" i="3"/>
  <c r="FD14" i="4" a="1"/>
  <c r="BD19" i="3"/>
  <c r="BJ9" i="3"/>
  <c r="BR42" i="3"/>
  <c r="BF9" i="3"/>
  <c r="BV23" i="3"/>
  <c r="BU7" i="3"/>
  <c r="BA15" i="3"/>
  <c r="BF41" i="3"/>
  <c r="Z106" i="2"/>
  <c r="FE8" i="4" a="1"/>
  <c r="BJ26" i="3"/>
  <c r="BP25" i="3"/>
  <c r="BM23" i="3"/>
  <c r="BM29" i="3"/>
  <c r="BB39" i="3"/>
  <c r="AA61" i="2"/>
  <c r="Z74" i="2"/>
  <c r="BQ14" i="3"/>
  <c r="BC22" i="3"/>
  <c r="BV41" i="3"/>
  <c r="AA107" i="2"/>
  <c r="Y110" i="2"/>
  <c r="BF10" i="3"/>
  <c r="Y66" i="2"/>
  <c r="AA76" i="2"/>
  <c r="BS45" i="3"/>
  <c r="BA45" i="3"/>
  <c r="Y47" i="2"/>
  <c r="FA6" i="4" a="1"/>
  <c r="BV20" i="3"/>
  <c r="BO25" i="3"/>
  <c r="BB19" i="3"/>
  <c r="BJ14" i="3"/>
  <c r="Y93" i="2"/>
  <c r="Z65" i="2"/>
  <c r="Y53" i="2"/>
  <c r="Z104" i="2"/>
  <c r="BC19" i="3"/>
  <c r="BL13" i="3"/>
  <c r="BC37" i="3"/>
  <c r="BH22" i="3"/>
  <c r="BF11" i="3"/>
  <c r="BO23" i="3"/>
  <c r="Z5" i="2"/>
  <c r="BB18" i="3"/>
  <c r="Z75" i="2"/>
  <c r="BO19" i="3"/>
  <c r="BC10" i="3"/>
  <c r="BR45" i="3"/>
  <c r="BB38" i="3"/>
  <c r="BS8" i="3"/>
  <c r="FF8" i="4" a="1"/>
  <c r="BD39" i="3"/>
  <c r="BK11" i="3"/>
  <c r="Z93" i="2"/>
  <c r="BN12" i="3"/>
  <c r="BH20" i="3"/>
  <c r="FD11" i="4" a="1"/>
  <c r="BF45" i="3"/>
  <c r="Y48" i="2"/>
  <c r="Y74" i="2"/>
  <c r="Z78" i="2"/>
  <c r="BC8" i="3"/>
  <c r="BS42" i="3"/>
  <c r="BB35" i="3"/>
  <c r="BL21" i="3"/>
  <c r="Y89" i="2"/>
  <c r="BN41" i="3"/>
  <c r="Z14" i="2"/>
  <c r="BU18" i="3"/>
  <c r="BT11" i="3"/>
  <c r="BC46" i="3"/>
  <c r="BQ27" i="3"/>
  <c r="BU30" i="3"/>
  <c r="FA7" i="4" a="1"/>
  <c r="FA5" i="4" a="1"/>
  <c r="BQ42" i="3"/>
  <c r="Y5" i="2"/>
  <c r="Y42" i="2"/>
  <c r="AA99" i="2"/>
  <c r="Y44" i="2"/>
  <c r="BM12" i="3"/>
  <c r="BC13" i="3"/>
  <c r="Y28" i="2"/>
  <c r="BI20" i="3"/>
  <c r="FF9" i="4" a="1"/>
  <c r="BA19" i="3"/>
  <c r="BV33" i="3"/>
  <c r="BG18" i="3"/>
  <c r="BM24" i="3"/>
  <c r="BG19" i="3"/>
  <c r="BN18" i="3"/>
  <c r="BG41" i="3"/>
  <c r="BA5" i="3"/>
  <c r="BN32" i="3"/>
  <c r="BL30" i="3"/>
  <c r="BA20" i="3"/>
  <c r="BL11" i="3"/>
  <c r="BO12" i="3"/>
  <c r="BV24" i="3"/>
  <c r="FA9" i="4" a="1"/>
  <c r="FF6" i="4" a="1"/>
  <c r="AA82" i="2"/>
  <c r="BC42" i="3"/>
  <c r="EX13" i="4" a="1"/>
  <c r="BL40" i="3"/>
  <c r="BS35" i="3"/>
  <c r="AA36" i="2"/>
  <c r="BN17" i="3"/>
  <c r="BO33" i="3"/>
  <c r="AA56" i="2"/>
  <c r="BS46" i="3"/>
  <c r="BB33" i="3"/>
  <c r="BP10" i="3"/>
  <c r="Y55" i="2"/>
  <c r="BH7" i="3"/>
  <c r="BE27" i="3"/>
  <c r="AA93" i="2"/>
  <c r="BQ23" i="3"/>
  <c r="BC17" i="3"/>
  <c r="BP30" i="3"/>
  <c r="BF14" i="3"/>
  <c r="BL29" i="3"/>
  <c r="BP21" i="3"/>
  <c r="BR14" i="3"/>
  <c r="Z21" i="2"/>
  <c r="BD42" i="3"/>
  <c r="BB41" i="3"/>
  <c r="BD33" i="3"/>
  <c r="BE33" i="3"/>
  <c r="Y12" i="2"/>
  <c r="EY16" i="4" a="1"/>
  <c r="AA62" i="2"/>
  <c r="AA69" i="2"/>
  <c r="BE23" i="3"/>
  <c r="BV5" i="3"/>
  <c r="Z20" i="2"/>
  <c r="Z76" i="2"/>
  <c r="BR16" i="3"/>
  <c r="AA95" i="2"/>
  <c r="BJ33" i="3"/>
  <c r="BT21" i="3"/>
  <c r="BD18" i="3"/>
  <c r="BN13" i="3"/>
  <c r="BS11" i="3"/>
  <c r="BD40" i="3"/>
  <c r="BL22" i="3"/>
  <c r="BL6" i="3"/>
  <c r="BN10" i="3"/>
  <c r="BO13" i="3"/>
  <c r="Y109" i="2"/>
  <c r="BP46" i="3"/>
  <c r="BA23" i="3"/>
  <c r="BL37" i="3"/>
  <c r="BI9" i="3"/>
  <c r="AA65" i="2"/>
  <c r="Z29" i="2"/>
  <c r="EZ7" i="4" a="1"/>
  <c r="BT33" i="3"/>
  <c r="BS26" i="3"/>
  <c r="BO26" i="3"/>
  <c r="Z80" i="2"/>
  <c r="BA38" i="3"/>
  <c r="FF14" i="4" a="1"/>
  <c r="BI25" i="3"/>
  <c r="BU20" i="3"/>
  <c r="Z94" i="2"/>
  <c r="Z27" i="2"/>
  <c r="BJ31" i="3"/>
  <c r="AA21" i="2"/>
  <c r="BU32" i="3"/>
  <c r="BT20" i="3"/>
  <c r="BH24" i="3"/>
  <c r="Y90" i="2"/>
  <c r="BQ7" i="3"/>
  <c r="BQ9" i="3"/>
  <c r="BS39" i="3"/>
  <c r="BK6" i="3"/>
  <c r="BF39" i="3"/>
  <c r="BM20" i="3"/>
  <c r="BG27" i="3"/>
  <c r="BD6" i="3"/>
  <c r="BG6" i="3"/>
  <c r="BH11" i="3"/>
  <c r="BE20" i="3"/>
  <c r="BT19" i="3"/>
  <c r="BH39" i="3"/>
  <c r="BV15" i="3"/>
  <c r="EY11" i="4" a="1"/>
  <c r="Z54" i="2"/>
  <c r="BJ17" i="3"/>
  <c r="AA66" i="2"/>
  <c r="AA98" i="2"/>
  <c r="BQ20" i="3"/>
  <c r="BM10" i="3"/>
  <c r="BI34" i="3"/>
  <c r="BC38" i="3"/>
  <c r="BI73" i="3"/>
  <c r="BL84" i="3"/>
  <c r="BN69" i="3"/>
  <c r="GH8" i="4" a="1"/>
  <c r="GP15" i="4" a="1"/>
  <c r="FN6" i="4" a="1"/>
  <c r="BT57" i="3"/>
  <c r="BT68" i="3"/>
  <c r="BE78" i="3"/>
  <c r="GQ12" i="4" a="1"/>
  <c r="FV11" i="4" a="1"/>
  <c r="BA82" i="3"/>
  <c r="BH49" i="3"/>
  <c r="BL78" i="3"/>
  <c r="GO8" i="4" a="1"/>
  <c r="GN15" i="4" a="1"/>
  <c r="BA56" i="3"/>
  <c r="BB94" i="3"/>
  <c r="BF77" i="3"/>
  <c r="BG59" i="3"/>
  <c r="BF47" i="3"/>
  <c r="BB95" i="3"/>
  <c r="BJ83" i="3"/>
  <c r="GA8" i="4" a="1"/>
  <c r="BS82" i="3"/>
  <c r="BP84" i="3"/>
  <c r="BK54" i="3"/>
  <c r="BG72" i="3"/>
  <c r="FS6" i="4" a="1"/>
  <c r="FO7" i="4" a="1"/>
  <c r="BP88" i="3"/>
  <c r="BL57" i="3"/>
  <c r="BI68" i="3"/>
  <c r="FR8" i="4" a="1"/>
  <c r="GL16" i="4" a="1"/>
  <c r="BU58" i="3"/>
  <c r="BD82" i="3"/>
  <c r="BM85" i="3"/>
  <c r="BR69" i="3"/>
  <c r="BP92" i="3"/>
  <c r="BI82" i="3"/>
  <c r="GM13" i="4" a="1"/>
  <c r="BE88" i="3"/>
  <c r="BM71" i="3"/>
  <c r="BJ93" i="3"/>
  <c r="GN9" i="4" a="1"/>
  <c r="BC62" i="3"/>
  <c r="BH81" i="3"/>
  <c r="BJ71" i="3"/>
  <c r="BJ55" i="3"/>
  <c r="HG5" i="4" a="1"/>
  <c r="FG11" i="4" a="1"/>
  <c r="FT11" i="4" a="1"/>
  <c r="BB92" i="3"/>
  <c r="BR70" i="3"/>
  <c r="BU97" i="3"/>
  <c r="GJ15" i="4" a="1"/>
  <c r="GC11" i="4" a="1"/>
  <c r="BG95" i="3"/>
  <c r="BB90" i="3"/>
  <c r="FK5" i="4" a="1"/>
  <c r="BG83" i="3"/>
  <c r="BS77" i="3"/>
  <c r="BD50" i="3"/>
  <c r="GO12" i="4" a="1"/>
  <c r="GH15" i="4" a="1"/>
  <c r="FZ9" i="4" a="1"/>
  <c r="BE95" i="3"/>
  <c r="GS8" i="4" a="1"/>
  <c r="BJ97" i="3"/>
  <c r="FY7" i="4" a="1"/>
  <c r="BA48" i="3"/>
  <c r="BB89" i="3"/>
  <c r="BT74" i="3"/>
  <c r="BR67" i="3"/>
  <c r="GJ16" i="4" a="1"/>
  <c r="BC97" i="3"/>
  <c r="BP58" i="3"/>
  <c r="BD88" i="3"/>
  <c r="FQ13" i="4" a="1"/>
  <c r="BJ74" i="3"/>
  <c r="BE55" i="3"/>
  <c r="BR73" i="3"/>
  <c r="BG47" i="3"/>
  <c r="BG64" i="3"/>
  <c r="BV65" i="3"/>
  <c r="BK96" i="3"/>
  <c r="GQ14" i="4" a="1"/>
  <c r="FI11" i="4" a="1"/>
  <c r="BR49" i="3"/>
  <c r="GL5" i="4" a="1"/>
  <c r="BV97" i="3"/>
  <c r="BS91" i="3"/>
  <c r="BO67" i="3"/>
  <c r="BV63" i="3"/>
  <c r="BD86" i="3"/>
  <c r="GS15" i="4" a="1"/>
  <c r="GL9" i="4" a="1"/>
  <c r="FO11" i="4" a="1"/>
  <c r="BV66" i="3"/>
  <c r="BK58" i="3"/>
  <c r="FW14" i="4" a="1"/>
  <c r="BM91" i="3"/>
  <c r="BD73" i="3"/>
  <c r="BT60" i="3"/>
  <c r="BP64" i="3"/>
  <c r="BR89" i="3"/>
  <c r="GL12" i="4" a="1"/>
  <c r="BN49" i="3"/>
  <c r="BO82" i="3"/>
  <c r="BB54" i="3"/>
  <c r="FS8" i="4" a="1"/>
  <c r="GT8" i="4" a="1"/>
  <c r="HC8" i="4" a="1"/>
  <c r="BH74" i="3"/>
  <c r="FH8" i="4" a="1"/>
  <c r="BS89" i="3"/>
  <c r="HB11" i="4" a="1"/>
  <c r="BR83" i="3"/>
  <c r="BE56" i="3"/>
  <c r="BD92" i="3"/>
  <c r="BR86" i="3"/>
  <c r="BD70" i="3"/>
  <c r="BT59" i="3"/>
  <c r="BF94" i="3"/>
  <c r="BF79" i="3"/>
  <c r="FO16" i="4" a="1"/>
  <c r="BC65" i="3"/>
  <c r="BU67" i="3"/>
  <c r="FO12" i="4" a="1"/>
  <c r="FZ8" i="4" a="1"/>
  <c r="BC87" i="3"/>
  <c r="GK5" i="4" a="1"/>
  <c r="BI97" i="3"/>
  <c r="BA68" i="3"/>
  <c r="BP75" i="3"/>
  <c r="GC7" i="4" a="1"/>
  <c r="GN16" i="4" a="1"/>
  <c r="GX11" i="4" a="1"/>
  <c r="BT66" i="3"/>
  <c r="BT65" i="3"/>
  <c r="BQ67" i="3"/>
  <c r="BE70" i="3"/>
  <c r="BM69" i="3"/>
  <c r="BU69" i="3"/>
  <c r="BB97" i="3"/>
  <c r="BG80" i="3"/>
  <c r="BI70" i="3"/>
  <c r="BI91" i="3"/>
  <c r="FI15" i="4" a="1"/>
  <c r="GU16" i="4" a="1"/>
  <c r="BH89" i="3"/>
  <c r="BA74" i="3"/>
  <c r="BA60" i="3"/>
  <c r="BO73" i="3"/>
  <c r="HD14" i="4" a="1"/>
  <c r="HE13" i="4" a="1"/>
  <c r="GB11" i="4" a="1"/>
  <c r="BN81" i="3"/>
  <c r="BL87" i="3"/>
  <c r="BE79" i="3"/>
  <c r="BS96" i="3"/>
  <c r="BM67" i="3"/>
  <c r="BC82" i="3"/>
  <c r="BL62" i="3"/>
  <c r="BG62" i="3"/>
  <c r="GY14" i="4" a="1"/>
  <c r="FR14" i="4" a="1"/>
  <c r="BN55" i="3"/>
  <c r="FX16" i="4" a="1"/>
  <c r="BI57" i="3"/>
  <c r="BF60" i="3"/>
  <c r="BJ57" i="3"/>
  <c r="FJ5" i="4" a="1"/>
  <c r="BD65" i="3"/>
  <c r="BU50" i="3"/>
  <c r="BK48" i="3"/>
  <c r="BH72" i="3"/>
  <c r="FZ11" i="4" a="1"/>
  <c r="BO79" i="3"/>
  <c r="GH9" i="4" a="1"/>
  <c r="BN60" i="3"/>
  <c r="BD61" i="3"/>
  <c r="BI62" i="3"/>
  <c r="BV54" i="3"/>
  <c r="FL11" i="4" a="1"/>
  <c r="BM56" i="3"/>
  <c r="BQ89" i="3"/>
  <c r="BP50" i="3"/>
  <c r="BF93" i="3"/>
  <c r="BB63" i="3"/>
  <c r="BK67" i="3"/>
  <c r="GV9" i="4" a="1"/>
  <c r="BR82" i="3"/>
  <c r="BG54" i="3"/>
  <c r="GC5" i="4" a="1"/>
  <c r="BA86" i="3"/>
  <c r="GC14" i="4" a="1"/>
  <c r="BD49" i="3"/>
  <c r="BE89" i="3"/>
  <c r="FG6" i="4" a="1"/>
  <c r="BS70" i="3"/>
  <c r="BV90" i="3"/>
  <c r="BM75" i="3"/>
  <c r="FR12" i="4" a="1"/>
  <c r="BA84" i="3"/>
  <c r="GQ15" i="4" a="1"/>
  <c r="GI14" i="4" a="1"/>
  <c r="GR9" i="4" a="1"/>
  <c r="FX5" i="4" a="1"/>
  <c r="GX12" i="4" a="1"/>
  <c r="BA63" i="3"/>
  <c r="GX13" i="4" a="1"/>
  <c r="GL6" i="4" a="1"/>
  <c r="BK89" i="3"/>
  <c r="BM96" i="3"/>
  <c r="BQ85" i="3"/>
  <c r="GW8" i="4" a="1"/>
  <c r="GC15" i="4" a="1"/>
  <c r="BJ79" i="3"/>
  <c r="BT72" i="3"/>
  <c r="FO9" i="4" a="1"/>
  <c r="BC71" i="3"/>
  <c r="BV58" i="3"/>
  <c r="BN71" i="3"/>
  <c r="BO84" i="3"/>
  <c r="BL91" i="3"/>
  <c r="BL83" i="3"/>
  <c r="GZ6" i="4" a="1"/>
  <c r="BI89" i="3"/>
  <c r="BL88" i="3"/>
  <c r="BN89" i="3"/>
  <c r="BH66" i="3"/>
  <c r="BV59" i="3"/>
  <c r="FN15" i="4" a="1"/>
  <c r="HA11" i="4" a="1"/>
  <c r="BC80" i="3"/>
  <c r="FH6" i="4" a="1"/>
  <c r="GI5" i="4" a="1"/>
  <c r="BH82" i="3"/>
  <c r="BO55" i="3"/>
  <c r="HF7" i="4" a="1"/>
  <c r="BT48" i="3"/>
  <c r="BA64" i="3"/>
  <c r="BL60" i="3"/>
  <c r="BU84" i="3"/>
  <c r="FH5" i="4" a="1"/>
  <c r="BQ49" i="3"/>
  <c r="BA88" i="3"/>
  <c r="FX8" i="4" a="1"/>
  <c r="BG55" i="3"/>
  <c r="BS73" i="3"/>
  <c r="BA47" i="3"/>
  <c r="FT8" i="4" a="1"/>
  <c r="HA13" i="4" a="1"/>
  <c r="FU5" i="4" a="1"/>
  <c r="BL70" i="3"/>
  <c r="FT5" i="4" a="1"/>
  <c r="BI75" i="3"/>
  <c r="GP13" i="4" a="1"/>
  <c r="BT58" i="3"/>
  <c r="FR6" i="4" a="1"/>
  <c r="BJ47" i="3"/>
  <c r="BQ92" i="3"/>
  <c r="BV62" i="3"/>
  <c r="BF57" i="3"/>
  <c r="HF5" i="4" a="1"/>
  <c r="BL75" i="3"/>
  <c r="GX9" i="4" a="1"/>
  <c r="BE62" i="3"/>
  <c r="BS57" i="3"/>
  <c r="BQ73" i="3"/>
  <c r="GG5" i="4" a="1"/>
  <c r="HH15" i="4" a="1"/>
  <c r="FV6" i="4" a="1"/>
  <c r="BI58" i="3"/>
  <c r="HD5" i="4" a="1"/>
  <c r="BK85" i="3"/>
  <c r="FP15" i="4" a="1"/>
  <c r="BU76" i="3"/>
  <c r="BG87" i="3"/>
  <c r="GM12" i="4" a="1"/>
  <c r="FH7" i="4" a="1"/>
  <c r="GQ13" i="4" a="1"/>
  <c r="GZ16" i="4" a="1"/>
  <c r="GK8" i="4" a="1"/>
  <c r="BO83" i="3"/>
  <c r="BO77" i="3"/>
  <c r="BJ54" i="3"/>
  <c r="GL8" i="4" a="1"/>
  <c r="GU11" i="4" a="1"/>
  <c r="BA66" i="3"/>
  <c r="BF86" i="3"/>
  <c r="BL81" i="3"/>
  <c r="BP67" i="3"/>
  <c r="HC11" i="4" a="1"/>
  <c r="BS86" i="3"/>
  <c r="BM84" i="3"/>
  <c r="BC63" i="3"/>
  <c r="GK15" i="4" a="1"/>
  <c r="BB61" i="3"/>
  <c r="BE50" i="3"/>
  <c r="GA14" i="4" a="1"/>
  <c r="BV84" i="3"/>
  <c r="FI7" i="4" a="1"/>
  <c r="BM47" i="3"/>
  <c r="BF61" i="3"/>
  <c r="BU65" i="3"/>
  <c r="BE91" i="3"/>
  <c r="GZ12" i="4" a="1"/>
  <c r="BH73" i="3"/>
  <c r="BK80" i="3"/>
  <c r="BD57" i="3"/>
  <c r="BU48" i="3"/>
  <c r="BT55" i="3"/>
  <c r="BQ93" i="3"/>
  <c r="BA87" i="3"/>
  <c r="GM16" i="4" a="1"/>
  <c r="BP78" i="3"/>
  <c r="BU81" i="3"/>
  <c r="FL13" i="4" a="1"/>
  <c r="FK8" i="4" a="1"/>
  <c r="BD91" i="3"/>
  <c r="BE47" i="3"/>
  <c r="GE12" i="4" a="1"/>
  <c r="BL63" i="3"/>
  <c r="BU80" i="3"/>
  <c r="BF58" i="3"/>
  <c r="GO7" i="4" a="1"/>
  <c r="BP89" i="3"/>
  <c r="BR76" i="3"/>
  <c r="FR13" i="4" a="1"/>
  <c r="BI74" i="3"/>
  <c r="BN67" i="3"/>
  <c r="BQ69" i="3"/>
  <c r="BQ77" i="3"/>
  <c r="BC67" i="3"/>
  <c r="BM90" i="3"/>
  <c r="BV67" i="3"/>
  <c r="HG11" i="4" a="1"/>
  <c r="HF12" i="4" a="1"/>
  <c r="BG70" i="3"/>
  <c r="BV80" i="3"/>
  <c r="BA83" i="3"/>
  <c r="GM14" i="4" a="1"/>
  <c r="GG14" i="4" a="1"/>
  <c r="GR12" i="4" a="1"/>
  <c r="BR64" i="3"/>
  <c r="BI65" i="3"/>
  <c r="GY7" i="4" a="1"/>
  <c r="FU13" i="4" a="1"/>
  <c r="BR80" i="3"/>
  <c r="BL73" i="3"/>
  <c r="BC83" i="3"/>
  <c r="BQ59" i="3"/>
  <c r="BQ81" i="3"/>
  <c r="BD62" i="3"/>
  <c r="BP93" i="3"/>
  <c r="GD12" i="4" a="1"/>
  <c r="BK94" i="3"/>
  <c r="BH79" i="3"/>
  <c r="FT12" i="4" a="1"/>
  <c r="GE5" i="4" a="1"/>
  <c r="BK73" i="3"/>
  <c r="BH91" i="3"/>
  <c r="GU9" i="4" a="1"/>
  <c r="BV60" i="3"/>
  <c r="BM78" i="3"/>
  <c r="GF9" i="4" a="1"/>
  <c r="GD13" i="4" a="1"/>
  <c r="HA16" i="4" a="1"/>
  <c r="GG16" i="4" a="1"/>
  <c r="BF97" i="3"/>
  <c r="BK74" i="3"/>
  <c r="GT12" i="4" a="1"/>
  <c r="HF9" i="4" a="1"/>
  <c r="BV64" i="3"/>
  <c r="BQ84" i="3"/>
  <c r="BG74" i="3"/>
  <c r="BO61" i="3"/>
  <c r="FY5" i="4" a="1"/>
  <c r="BQ71" i="3"/>
  <c r="FM7" i="4" a="1"/>
  <c r="BS49" i="3"/>
  <c r="GV5" i="4" a="1"/>
  <c r="BA75" i="3"/>
  <c r="BS92" i="3"/>
  <c r="BE54" i="3"/>
  <c r="GE8" i="4" a="1"/>
  <c r="BH63" i="3"/>
  <c r="BS56" i="3"/>
  <c r="FI13" i="4" a="1"/>
  <c r="FR15" i="4" a="1"/>
  <c r="BE72" i="3"/>
  <c r="BI63" i="3"/>
  <c r="BS50" i="3"/>
  <c r="BK72" i="3"/>
  <c r="BP76" i="3"/>
  <c r="BE86" i="3"/>
  <c r="BE65" i="3"/>
  <c r="GI12" i="4" a="1"/>
  <c r="HE15" i="4" a="1"/>
  <c r="AA112" i="2"/>
  <c r="GH7" i="4" a="1"/>
  <c r="HD16" i="4" a="1"/>
  <c r="BG56" i="3"/>
  <c r="BP72" i="3"/>
  <c r="FW15" i="4" a="1"/>
  <c r="GO6" i="4" a="1"/>
  <c r="GB6" i="4" a="1"/>
  <c r="BA49" i="3"/>
  <c r="BQ88" i="3"/>
  <c r="BH50" i="3"/>
  <c r="FR5" i="4" a="1"/>
  <c r="FO14" i="4" a="1"/>
  <c r="BP61" i="3"/>
  <c r="BB50" i="3"/>
  <c r="BN75" i="3"/>
  <c r="GA15" i="4" a="1"/>
  <c r="BV96" i="3"/>
  <c r="GP7" i="4" a="1"/>
  <c r="BF64" i="3"/>
  <c r="BQ68" i="3"/>
  <c r="BR85" i="3"/>
  <c r="BI87" i="3"/>
  <c r="GY5" i="4" a="1"/>
  <c r="BL55" i="3"/>
  <c r="GB5" i="4" a="1"/>
  <c r="BH90" i="3"/>
  <c r="BG63" i="3"/>
  <c r="BB85" i="3"/>
  <c r="BV71" i="3"/>
  <c r="BR60" i="3"/>
  <c r="FJ16" i="4" a="1"/>
  <c r="BC92" i="3"/>
  <c r="BP97" i="3"/>
  <c r="BH54" i="3"/>
  <c r="FW11" i="4" a="1"/>
  <c r="BT56" i="3"/>
  <c r="FP11" i="4" a="1"/>
  <c r="BJ89" i="3"/>
  <c r="BQ78" i="3"/>
  <c r="BV86" i="3"/>
  <c r="BJ72" i="3"/>
  <c r="FS7" i="4" a="1"/>
  <c r="BE57" i="3"/>
  <c r="GX7" i="4" a="1"/>
  <c r="BA70" i="3"/>
  <c r="HD12" i="4" a="1"/>
  <c r="FL5" i="4" a="1"/>
  <c r="BK86" i="3"/>
  <c r="BG58" i="3"/>
  <c r="BA59" i="3"/>
  <c r="FI12" i="4" a="1"/>
  <c r="GG11" i="4" a="1"/>
  <c r="HB5" i="4" a="1"/>
  <c r="BI85" i="3"/>
  <c r="FS5" i="4" a="1"/>
  <c r="BU91" i="3"/>
  <c r="BK88" i="3"/>
  <c r="GT5" i="4" a="1"/>
  <c r="GO5" i="4" a="1"/>
  <c r="BI81" i="3"/>
  <c r="BD85" i="3"/>
  <c r="BH78" i="3"/>
  <c r="BK84" i="3"/>
  <c r="FG8" i="4" a="1"/>
  <c r="BJ95" i="3"/>
  <c r="GN5" i="4" a="1"/>
  <c r="BF63" i="3"/>
  <c r="BQ75" i="3"/>
  <c r="BU57" i="3"/>
  <c r="FJ14" i="4" a="1"/>
  <c r="GQ16" i="4" a="1"/>
  <c r="BB66" i="3"/>
  <c r="BB79" i="3"/>
  <c r="GI8" i="4" a="1"/>
  <c r="FY8" i="4" a="1"/>
  <c r="BG84" i="3"/>
  <c r="GK11" i="4" a="1"/>
  <c r="BP81" i="3"/>
  <c r="BF91" i="3"/>
  <c r="BI60" i="3"/>
  <c r="HB9" i="4" a="1"/>
  <c r="BU63" i="3"/>
  <c r="BU77" i="3"/>
  <c r="GT11" i="4" a="1"/>
  <c r="FZ5" i="4" a="1"/>
  <c r="BM59" i="3"/>
  <c r="BQ60" i="3"/>
  <c r="BR47" i="3"/>
  <c r="BI77" i="3"/>
  <c r="BC95" i="3"/>
  <c r="BT96" i="3"/>
  <c r="GO16" i="4" a="1"/>
  <c r="GE15" i="4" a="1"/>
  <c r="HA8" i="4" a="1"/>
  <c r="BV55" i="3"/>
  <c r="FM9" i="4" a="1"/>
  <c r="GI7" i="4" a="1"/>
  <c r="BS85" i="3"/>
  <c r="BE75" i="3"/>
  <c r="BF59" i="3"/>
  <c r="BR79" i="3"/>
  <c r="BH64" i="3"/>
  <c r="BV48" i="3"/>
  <c r="BS63" i="3"/>
  <c r="HF14" i="4" a="1"/>
  <c r="BT78" i="3"/>
  <c r="BH61" i="3"/>
  <c r="GK14" i="4" a="1"/>
  <c r="BA94" i="3"/>
  <c r="BR54" i="3"/>
  <c r="BN79" i="3"/>
  <c r="FJ6" i="4" a="1"/>
  <c r="FP16" i="4" a="1"/>
  <c r="GJ6" i="4" a="1"/>
  <c r="BV85" i="3"/>
  <c r="BP56" i="3"/>
  <c r="BD94" i="3"/>
  <c r="BC77" i="3"/>
  <c r="BD54" i="3"/>
  <c r="FN7" i="4" a="1"/>
  <c r="FQ14" i="4" a="1"/>
  <c r="BK59" i="3"/>
  <c r="GY12" i="4" a="1"/>
  <c r="BN70" i="3"/>
  <c r="BP55" i="3"/>
  <c r="GP12" i="4" a="1"/>
  <c r="BA72" i="3"/>
  <c r="GY13" i="4" a="1"/>
  <c r="GZ14" i="4" a="1"/>
  <c r="BN68" i="3"/>
  <c r="BI96" i="3"/>
  <c r="BA95" i="3"/>
  <c r="GH6" i="4" a="1"/>
  <c r="BQ50" i="3"/>
  <c r="BP85" i="3"/>
  <c r="GP6" i="4" a="1"/>
  <c r="Z112" i="2"/>
  <c r="BD63" i="3"/>
  <c r="GF13" i="4" a="1"/>
  <c r="GA5" i="4" a="1"/>
  <c r="BV95" i="3"/>
  <c r="BQ79" i="3"/>
  <c r="BN66" i="3"/>
  <c r="BM74" i="3"/>
  <c r="BC74" i="3"/>
  <c r="FT7" i="4" a="1"/>
  <c r="BG90" i="3"/>
  <c r="BQ94" i="3"/>
  <c r="BH47" i="3"/>
  <c r="FS16" i="4" a="1"/>
  <c r="GV16" i="4" a="1"/>
  <c r="GM11" i="4" a="1"/>
  <c r="BG69" i="3"/>
  <c r="FG15" i="4" a="1"/>
  <c r="GU14" i="4" a="1"/>
  <c r="BD69" i="3"/>
  <c r="GI16" i="4" a="1"/>
  <c r="BB59" i="3"/>
  <c r="FX13" i="4" a="1"/>
  <c r="BB56" i="3"/>
  <c r="BH76" i="3"/>
  <c r="BJ63" i="3"/>
  <c r="BE77" i="3"/>
  <c r="BU78" i="3"/>
  <c r="GW15" i="4" a="1"/>
  <c r="BP74" i="3"/>
  <c r="HH16" i="4" a="1"/>
  <c r="BC56" i="3"/>
  <c r="BR96" i="3"/>
  <c r="HB13" i="4" a="1"/>
  <c r="GD5" i="4" a="1"/>
  <c r="FI6" i="4" a="1"/>
  <c r="BV93" i="3"/>
  <c r="BI69" i="3"/>
  <c r="GG9" i="4" a="1"/>
  <c r="BH77" i="3"/>
  <c r="BE81" i="3"/>
  <c r="BR97" i="3"/>
  <c r="BV89" i="3"/>
  <c r="BD75" i="3"/>
  <c r="BQ72" i="3"/>
  <c r="BE90" i="3"/>
  <c r="BK77" i="3"/>
  <c r="BP96" i="3"/>
  <c r="GA16" i="4" a="1"/>
  <c r="BN91" i="3"/>
  <c r="HH7" i="4" a="1"/>
  <c r="BS87" i="3"/>
  <c r="BJ77" i="3"/>
  <c r="FW6" i="4" a="1"/>
  <c r="BM88" i="3"/>
  <c r="BQ54" i="3"/>
  <c r="BF67" i="3"/>
  <c r="BC58" i="3"/>
  <c r="BB82" i="3"/>
  <c r="BR62" i="3"/>
  <c r="BI72" i="3"/>
  <c r="BV92" i="3"/>
  <c r="FW7" i="4" a="1"/>
  <c r="GM15" i="4" a="1"/>
  <c r="BF95" i="3"/>
  <c r="FM14" i="4" a="1"/>
  <c r="BK76" i="3"/>
  <c r="FR11" i="4" a="1"/>
  <c r="GX14" i="4" a="1"/>
  <c r="FQ12" i="4" a="1"/>
  <c r="BN95" i="3"/>
  <c r="GQ5" i="4" a="1"/>
  <c r="BK62" i="3"/>
  <c r="BT90" i="3"/>
  <c r="BR57" i="3"/>
  <c r="BD55" i="3"/>
  <c r="BL86" i="3"/>
  <c r="GP14" i="4" a="1"/>
  <c r="FX11" i="4" a="1"/>
  <c r="FN5" i="4" a="1"/>
  <c r="GD16" i="4" a="1"/>
  <c r="BE85" i="3"/>
  <c r="GE6" i="4" a="1"/>
  <c r="BI56" i="3"/>
  <c r="BP95" i="3"/>
  <c r="FZ15" i="4" a="1"/>
  <c r="BT61" i="3"/>
  <c r="BH97" i="3"/>
  <c r="BD71" i="3"/>
  <c r="FX9" i="4" a="1"/>
  <c r="BT76" i="3"/>
  <c r="BT75" i="3"/>
  <c r="BS76" i="3"/>
  <c r="BG57" i="3"/>
  <c r="BC48" i="3"/>
  <c r="BJ69" i="3"/>
  <c r="BO81" i="3"/>
  <c r="GW12" i="4" a="1"/>
  <c r="BP49" i="3"/>
  <c r="BR88" i="3"/>
  <c r="BR74" i="3"/>
  <c r="GX6" i="4" a="1"/>
  <c r="BL64" i="3"/>
  <c r="BE60" i="3"/>
  <c r="BO50" i="3"/>
  <c r="BJ48" i="3"/>
  <c r="BA61" i="3"/>
  <c r="BU72" i="3"/>
  <c r="BN78" i="3"/>
  <c r="Y112" i="2"/>
  <c r="BM58" i="3"/>
  <c r="BE93" i="3"/>
  <c r="BU88" i="3"/>
  <c r="GF16" i="4" a="1"/>
  <c r="GQ8" i="4" a="1"/>
  <c r="FO15" i="4" a="1"/>
  <c r="FH11" i="4" a="1"/>
  <c r="BH55" i="3"/>
  <c r="GM5" i="4" a="1"/>
  <c r="BB47" i="3"/>
  <c r="GV7" i="4" a="1"/>
  <c r="BT93" i="3"/>
  <c r="GX8" i="4" a="1"/>
  <c r="BA54" i="3"/>
  <c r="GZ5" i="4" a="1"/>
  <c r="HC16" i="4" a="1"/>
  <c r="FP13" i="4" a="1"/>
  <c r="HG8" i="4" a="1"/>
  <c r="BE87" i="3"/>
  <c r="HE14" i="4" a="1"/>
  <c r="GS5" i="4" a="1"/>
  <c r="GJ13" i="4" a="1"/>
  <c r="BL58" i="3"/>
  <c r="HE16" i="4" a="1"/>
  <c r="FW13" i="4" a="1"/>
  <c r="BI95" i="3"/>
  <c r="BU75" i="3"/>
  <c r="BJ50" i="3"/>
  <c r="BT67" i="3"/>
  <c r="BK61" i="3"/>
  <c r="BO63" i="3"/>
  <c r="GY8" i="4" a="1"/>
  <c r="FH14" i="4" a="1"/>
  <c r="BT70" i="3"/>
  <c r="FZ7" i="4" a="1"/>
  <c r="BL72" i="3"/>
  <c r="BK55" i="3"/>
  <c r="HF13" i="4" a="1"/>
  <c r="GU15" i="4" a="1"/>
  <c r="BK65" i="3"/>
  <c r="BH92" i="3"/>
  <c r="BN59" i="3"/>
  <c r="BL96" i="3"/>
  <c r="BB57" i="3"/>
  <c r="FU11" i="4" a="1"/>
  <c r="BR58" i="3"/>
  <c r="BF83" i="3"/>
  <c r="BH65" i="3"/>
  <c r="FN9" i="4" a="1"/>
  <c r="BN94" i="3"/>
  <c r="BP73" i="3"/>
  <c r="BT83" i="3"/>
  <c r="BS83" i="3"/>
  <c r="GY6" i="4" a="1"/>
  <c r="BR50" i="3"/>
  <c r="GI13" i="4" a="1"/>
  <c r="BL56" i="3"/>
  <c r="BN64" i="3"/>
  <c r="BK78" i="3"/>
  <c r="BD89" i="3"/>
  <c r="BV73" i="3"/>
  <c r="GN7" i="4" a="1"/>
  <c r="BK66" i="3"/>
  <c r="BT69" i="3"/>
  <c r="BJ64" i="3"/>
  <c r="BL67" i="3"/>
  <c r="BG65" i="3"/>
  <c r="BQ66" i="3"/>
  <c r="BB72" i="3"/>
  <c r="BR92" i="3"/>
  <c r="BT62" i="3"/>
  <c r="BG92" i="3"/>
  <c r="BN77" i="3"/>
  <c r="BF74" i="3"/>
  <c r="BU94" i="3"/>
  <c r="BT54" i="3"/>
  <c r="BC90" i="3"/>
  <c r="BJ92" i="3"/>
  <c r="BM81" i="3"/>
  <c r="BH83" i="3"/>
  <c r="FM16" i="4" a="1"/>
  <c r="GO14" i="4" a="1"/>
  <c r="FW5" i="4" a="1"/>
  <c r="HF8" i="4" a="1"/>
  <c r="FI9" i="4" a="1"/>
  <c r="BP86" i="3"/>
  <c r="BU59" i="3"/>
  <c r="HD6" i="4" a="1"/>
  <c r="FS15" i="4" a="1"/>
  <c r="BO86" i="3"/>
  <c r="BJ90" i="3"/>
  <c r="FL6" i="4" a="1"/>
  <c r="BS90" i="3"/>
  <c r="GS11" i="4" a="1"/>
  <c r="BD93" i="3"/>
  <c r="Z113" i="2"/>
  <c r="BL85" i="3"/>
  <c r="BD59" i="3"/>
  <c r="FN13" i="4" a="1"/>
  <c r="BC47" i="3"/>
  <c r="BH59" i="3"/>
  <c r="BK82" i="3"/>
  <c r="BP83" i="3"/>
  <c r="BD80" i="3"/>
  <c r="FU8" i="4" a="1"/>
  <c r="BO94" i="3"/>
  <c r="BB49" i="3"/>
  <c r="FY14" i="4" a="1"/>
  <c r="FY12" i="4" a="1"/>
  <c r="GX5" i="4" a="1"/>
  <c r="GW16" i="4" a="1"/>
  <c r="GS12" i="4" a="1"/>
  <c r="GU8" i="4" a="1"/>
  <c r="FL8" i="4" a="1"/>
  <c r="BS47" i="3"/>
  <c r="BH84" i="3"/>
  <c r="BH85" i="3"/>
  <c r="BC76" i="3"/>
  <c r="FQ8" i="4" a="1"/>
  <c r="BO76" i="3"/>
  <c r="GP11" i="4" a="1"/>
  <c r="BL80" i="3"/>
  <c r="BM61" i="3"/>
  <c r="BM72" i="3"/>
  <c r="FQ9" i="4" a="1"/>
  <c r="BS74" i="3"/>
  <c r="BM49" i="3"/>
  <c r="BT64" i="3"/>
  <c r="BQ63" i="3"/>
  <c r="FJ9" i="4" a="1"/>
  <c r="BO64" i="3"/>
  <c r="FU7" i="4" a="1"/>
  <c r="FH13" i="4" a="1"/>
  <c r="HC13" i="4" a="1"/>
  <c r="FV8" i="4" a="1"/>
  <c r="GJ8" i="4" a="1"/>
  <c r="BG60" i="3"/>
  <c r="GF5" i="4" a="1"/>
  <c r="BI48" i="3"/>
  <c r="GV15" i="4" a="1"/>
  <c r="GB16" i="4" a="1"/>
  <c r="BU90" i="3"/>
  <c r="GU12" i="4" a="1"/>
  <c r="GO15" i="4" a="1"/>
  <c r="BD56" i="3"/>
  <c r="FP12" i="4" a="1"/>
  <c r="FP9" i="4" a="1"/>
  <c r="BV76" i="3"/>
  <c r="BU68" i="3"/>
  <c r="FU9" i="4" a="1"/>
  <c r="GK12" i="4" a="1"/>
  <c r="GM6" i="4" a="1"/>
  <c r="GB9" i="4" a="1"/>
  <c r="BC84" i="3"/>
  <c r="BF48" i="3"/>
  <c r="GH11" i="4" a="1"/>
  <c r="FH16" i="4" a="1"/>
  <c r="BB96" i="3"/>
  <c r="BA97" i="3"/>
  <c r="BL90" i="3"/>
  <c r="BA92" i="3"/>
  <c r="FL16" i="4" a="1"/>
  <c r="FK11" i="4" a="1"/>
  <c r="HE12" i="4" a="1"/>
  <c r="BG75" i="3"/>
  <c r="BF96" i="3"/>
  <c r="BT50" i="3"/>
  <c r="FV7" i="4" a="1"/>
  <c r="BS97" i="3"/>
  <c r="HG15" i="4" a="1"/>
  <c r="BS81" i="3"/>
  <c r="BA77" i="3"/>
  <c r="BC64" i="3"/>
  <c r="GC9" i="4" a="1"/>
  <c r="HA6" i="4" a="1"/>
  <c r="BV57" i="3"/>
  <c r="GJ14" i="4" a="1"/>
  <c r="GC16" i="4" a="1"/>
  <c r="FX12" i="4" a="1"/>
  <c r="FS14" i="4" a="1"/>
  <c r="BQ96" i="3"/>
  <c r="BC60" i="3"/>
  <c r="BS67" i="3"/>
  <c r="HH11" i="4" a="1"/>
  <c r="BP77" i="3"/>
  <c r="GM8" i="4" a="1"/>
  <c r="BR65" i="3"/>
  <c r="FZ6" i="4" a="1"/>
  <c r="BH96" i="3"/>
  <c r="BI83" i="3"/>
  <c r="BN97" i="3"/>
  <c r="HC7" i="4" a="1"/>
  <c r="HB16" i="4" a="1"/>
  <c r="BT87" i="3"/>
  <c r="GT15" i="4" a="1"/>
  <c r="BF69" i="3"/>
  <c r="BE64" i="3"/>
  <c r="BD79" i="3"/>
  <c r="GC13" i="4" a="1"/>
  <c r="FV12" i="4" a="1"/>
  <c r="HH9" i="4" a="1"/>
  <c r="FJ13" i="4" a="1"/>
  <c r="GV12" i="4" a="1"/>
  <c r="FW16" i="4" a="1"/>
  <c r="BP54" i="3"/>
  <c r="BP71" i="3"/>
  <c r="BO71" i="3"/>
  <c r="GS16" i="4" a="1"/>
  <c r="GQ11" i="4" a="1"/>
  <c r="BL50" i="3"/>
  <c r="FP7" i="4" a="1"/>
  <c r="BU89" i="3"/>
  <c r="BL69" i="3"/>
  <c r="BL89" i="3"/>
  <c r="BC59" i="3"/>
  <c r="GK7" i="4" a="1"/>
  <c r="BU56" i="3"/>
  <c r="FT16" i="4" a="1"/>
  <c r="GS9" i="4" a="1"/>
  <c r="BE59" i="3"/>
  <c r="BK91" i="3"/>
  <c r="GF15" i="4" a="1"/>
  <c r="GG13" i="4" a="1"/>
  <c r="BD72" i="3"/>
  <c r="BI50" i="3"/>
  <c r="BD96" i="3"/>
  <c r="BI64" i="3"/>
  <c r="BM82" i="3"/>
  <c r="FM11" i="4" a="1"/>
  <c r="BG50" i="3"/>
  <c r="BU85" i="3"/>
  <c r="GM7" i="4" a="1"/>
  <c r="FV13" i="4" a="1"/>
  <c r="FL12" i="4" a="1"/>
  <c r="BM94" i="3"/>
  <c r="FO8" i="4" a="1"/>
  <c r="BB87" i="3"/>
  <c r="BV69" i="3"/>
  <c r="BF62" i="3"/>
  <c r="BO72" i="3"/>
  <c r="BV88" i="3"/>
  <c r="FU14" i="4" a="1"/>
  <c r="BC96" i="3"/>
  <c r="FT9" i="4" a="1"/>
  <c r="BF76" i="3"/>
  <c r="BA91" i="3"/>
  <c r="BA79" i="3"/>
  <c r="BQ86" i="3"/>
  <c r="BC50" i="3"/>
  <c r="BB88" i="3"/>
  <c r="BA58" i="3"/>
  <c r="FV5" i="4" a="1"/>
  <c r="BD87" i="3"/>
  <c r="FY13" i="4" a="1"/>
  <c r="BM55" i="3"/>
  <c r="FG5" i="4" a="1"/>
  <c r="HH14" i="4" a="1"/>
  <c r="BK64" i="3"/>
  <c r="GL7" i="4" a="1"/>
  <c r="BB91" i="3"/>
  <c r="GU13" i="4" a="1"/>
  <c r="BN74" i="3"/>
  <c r="GS13" i="4" a="1"/>
  <c r="BV74" i="3"/>
  <c r="BC81" i="3"/>
  <c r="BI71" i="3"/>
  <c r="BI61" i="3"/>
  <c r="BA57" i="3"/>
  <c r="GR7" i="4" a="1"/>
  <c r="FP14" i="4" a="1"/>
  <c r="AA113" i="2"/>
  <c r="BN48" i="3"/>
  <c r="GQ7" i="4" a="1"/>
  <c r="BJ78" i="3"/>
  <c r="FG13" i="4" a="1"/>
  <c r="GZ15" i="4" a="1"/>
  <c r="FZ12" i="4" a="1"/>
  <c r="GT14" i="4" a="1"/>
  <c r="BA78" i="3"/>
  <c r="BU61" i="3"/>
  <c r="FP8" i="4" a="1"/>
  <c r="HG9" i="4" a="1"/>
  <c r="BT71" i="3"/>
  <c r="GE9" i="4" a="1"/>
  <c r="BC93" i="3"/>
  <c r="FM5" i="4" a="1"/>
  <c r="BU82" i="3"/>
  <c r="BH94" i="3"/>
  <c r="BU73" i="3"/>
  <c r="BA90" i="3"/>
  <c r="FH15" i="4" a="1"/>
  <c r="BN58" i="3"/>
  <c r="BD84" i="3"/>
  <c r="BK49" i="3"/>
  <c r="FR9" i="4" a="1"/>
  <c r="BH67" i="3"/>
  <c r="BM79" i="3"/>
  <c r="GG7" i="4" a="1"/>
  <c r="BF49" i="3"/>
  <c r="FP5" i="4" a="1"/>
  <c r="HG12" i="4" a="1"/>
  <c r="BO93" i="3"/>
  <c r="BM70" i="3"/>
  <c r="BS75" i="3"/>
  <c r="BC66" i="3"/>
  <c r="BA71" i="3"/>
  <c r="BJ66" i="3"/>
  <c r="BM76" i="3"/>
  <c r="BG93" i="3"/>
  <c r="BJ76" i="3"/>
  <c r="BE61" i="3"/>
  <c r="FS13" i="4" a="1"/>
  <c r="BR87" i="3"/>
  <c r="BO69" i="3"/>
  <c r="BR48" i="3"/>
  <c r="FI14" i="4" a="1"/>
  <c r="GN11" i="4" a="1"/>
  <c r="BN57" i="3"/>
  <c r="BQ76" i="3"/>
  <c r="FL14" i="4" a="1"/>
  <c r="GT9" i="4" a="1"/>
  <c r="BL66" i="3"/>
  <c r="GK9" i="4" a="1"/>
  <c r="GD14" i="4" a="1"/>
  <c r="HH5" i="4" a="1"/>
  <c r="BD48" i="3"/>
  <c r="BT73" i="3"/>
  <c r="GB14" i="4" a="1"/>
  <c r="BL76" i="3"/>
  <c r="BS55" i="3"/>
  <c r="BT94" i="3"/>
  <c r="BF50" i="3"/>
  <c r="BO74" i="3"/>
  <c r="BM93" i="3"/>
  <c r="BJ62" i="3"/>
  <c r="FU15" i="4" a="1"/>
  <c r="BG94" i="3"/>
  <c r="GK6" i="4" a="1"/>
  <c r="FK16" i="4" a="1"/>
  <c r="GJ12" i="4" a="1"/>
  <c r="FU6" i="4" a="1"/>
  <c r="GE16" i="4" a="1"/>
  <c r="BD90" i="3"/>
  <c r="BB73" i="3"/>
  <c r="BC70" i="3"/>
  <c r="BE49" i="3"/>
  <c r="BQ87" i="3"/>
  <c r="BQ97" i="3"/>
  <c r="BR84" i="3"/>
  <c r="BP63" i="3"/>
  <c r="GJ7" i="4" a="1"/>
  <c r="BM62" i="3"/>
  <c r="BE82" i="3"/>
  <c r="BD95" i="3"/>
  <c r="BF90" i="3"/>
  <c r="FV14" i="4" a="1"/>
  <c r="BG96" i="3"/>
  <c r="BE71" i="3"/>
  <c r="BC78" i="3"/>
  <c r="GR15" i="4" a="1"/>
  <c r="GR16" i="4" a="1"/>
  <c r="BT97" i="3"/>
  <c r="BG49" i="3"/>
  <c r="BT91" i="3"/>
  <c r="BV78" i="3"/>
  <c r="BQ80" i="3"/>
  <c r="BN90" i="3"/>
  <c r="GO13" i="4" a="1"/>
  <c r="BK83" i="3"/>
  <c r="BU93" i="3"/>
  <c r="GH14" i="4" a="1"/>
  <c r="BE83" i="3"/>
  <c r="BL65" i="3"/>
  <c r="BH56" i="3"/>
  <c r="BE84" i="3"/>
  <c r="GY16" i="4" a="1"/>
  <c r="BH69" i="3"/>
  <c r="BF92" i="3"/>
  <c r="BI90" i="3"/>
  <c r="BC73" i="3"/>
  <c r="BE97" i="3"/>
  <c r="BA89" i="3"/>
  <c r="BC85" i="3"/>
  <c r="GA13" i="4" a="1"/>
  <c r="BE69" i="3"/>
  <c r="GC6" i="4" a="1"/>
  <c r="BN84" i="3"/>
  <c r="BV50" i="3"/>
  <c r="BO92" i="3"/>
  <c r="BG48" i="3"/>
  <c r="BS88" i="3"/>
  <c r="FY6" i="4" a="1"/>
  <c r="BP69" i="3"/>
  <c r="GY15" i="4" a="1"/>
  <c r="GV14" i="4" a="1"/>
  <c r="BD83" i="3"/>
  <c r="BJ61" i="3"/>
  <c r="GA9" i="4" a="1"/>
  <c r="BC55" i="3"/>
  <c r="BV81" i="3"/>
  <c r="BA69" i="3"/>
  <c r="BJ75" i="3"/>
  <c r="BJ81" i="3"/>
  <c r="BC68" i="3"/>
  <c r="GZ9" i="4" a="1"/>
  <c r="GB15" i="4" a="1"/>
  <c r="BP87" i="3"/>
  <c r="BK71" i="3"/>
  <c r="GL15" i="4" a="1"/>
  <c r="GH5" i="4" a="1"/>
  <c r="FY9" i="4" a="1"/>
  <c r="BQ48" i="3"/>
  <c r="BM68" i="3"/>
  <c r="FT13" i="4" a="1"/>
  <c r="GG15" i="4" a="1"/>
  <c r="GT6" i="4" a="1"/>
  <c r="BN73" i="3"/>
  <c r="BB65" i="3"/>
  <c r="BP90" i="3"/>
  <c r="BJ68" i="3"/>
  <c r="BT77" i="3"/>
  <c r="BO70" i="3"/>
  <c r="BS95" i="3"/>
  <c r="BH60" i="3"/>
  <c r="FR7" i="4" a="1"/>
  <c r="BS68" i="3"/>
  <c r="BS78" i="3"/>
  <c r="BH88" i="3"/>
  <c r="Z111" i="2"/>
  <c r="GD15" i="4" a="1"/>
  <c r="BC86" i="3"/>
  <c r="BM50" i="3"/>
  <c r="GS7" i="4" a="1"/>
  <c r="FY11" i="4" a="1"/>
  <c r="HA15" i="4" a="1"/>
  <c r="BK75" i="3"/>
  <c r="BJ88" i="3"/>
  <c r="BL48" i="3"/>
  <c r="BF82" i="3"/>
  <c r="GQ9" i="4" a="1"/>
  <c r="BQ83" i="3"/>
  <c r="BU95" i="3"/>
  <c r="BG91" i="3"/>
  <c r="BS58" i="3"/>
  <c r="BD78" i="3"/>
  <c r="GF7" i="4" a="1"/>
  <c r="HA5" i="4" a="1"/>
  <c r="FH12" i="4" a="1"/>
  <c r="BO62" i="3"/>
  <c r="HH12" i="4" a="1"/>
  <c r="GE7" i="4" a="1"/>
  <c r="FV9" i="4" a="1"/>
  <c r="FN8" i="4" a="1"/>
  <c r="BU87" i="3"/>
  <c r="BR72" i="3"/>
  <c r="HF6" i="4" a="1"/>
  <c r="HE8" i="4" a="1"/>
  <c r="BQ74" i="3"/>
  <c r="BK68" i="3"/>
  <c r="BF88" i="3"/>
  <c r="Y111" i="2"/>
  <c r="HD9" i="4" a="1"/>
  <c r="HG6" i="4" a="1"/>
  <c r="BP82" i="3"/>
  <c r="BL95" i="3"/>
  <c r="BA65" i="3"/>
  <c r="BN86" i="3"/>
  <c r="BR61" i="3"/>
  <c r="BM86" i="3"/>
  <c r="BA76" i="3"/>
  <c r="BI88" i="3"/>
  <c r="GG8" i="4" a="1"/>
  <c r="BG67" i="3"/>
  <c r="BR56" i="3"/>
  <c r="BP70" i="3"/>
  <c r="BM66" i="3"/>
  <c r="GI11" i="4" a="1"/>
  <c r="BN54" i="3"/>
  <c r="BQ58" i="3"/>
  <c r="BQ64" i="3"/>
  <c r="BP59" i="3"/>
  <c r="FX15" i="4" a="1"/>
  <c r="FT14" i="4" a="1"/>
  <c r="BL93" i="3"/>
  <c r="BK70" i="3"/>
  <c r="HC6" i="4" a="1"/>
  <c r="FJ7" i="4" a="1"/>
  <c r="BE73" i="3"/>
  <c r="FW8" i="4" a="1"/>
  <c r="BH75" i="3"/>
  <c r="BS84" i="3"/>
  <c r="GP9" i="4" a="1"/>
  <c r="BC69" i="3"/>
  <c r="BF75" i="3"/>
  <c r="BQ65" i="3"/>
  <c r="BN65" i="3"/>
  <c r="BU92" i="3"/>
  <c r="BJ70" i="3"/>
  <c r="BO97" i="3"/>
  <c r="BS72" i="3"/>
  <c r="BR94" i="3"/>
  <c r="BV56" i="3"/>
  <c r="BR68" i="3"/>
  <c r="FZ16" i="4" a="1"/>
  <c r="BV47" i="3"/>
  <c r="FN14" i="4" a="1"/>
  <c r="BO59" i="3"/>
  <c r="BJ80" i="3"/>
  <c r="BN62" i="3"/>
  <c r="GF8" i="4" a="1"/>
  <c r="GW5" i="4" a="1"/>
  <c r="BN72" i="3"/>
  <c r="FT6" i="4" a="1"/>
  <c r="BD67" i="3"/>
  <c r="GR14" i="4" a="1"/>
  <c r="BT49" i="3"/>
  <c r="GO11" i="4" a="1"/>
  <c r="BR71" i="3"/>
  <c r="BM65" i="3"/>
  <c r="FX14" i="4" a="1"/>
  <c r="BG82" i="3"/>
  <c r="BB76" i="3"/>
  <c r="GY9" i="4" a="1"/>
  <c r="FI16" i="4" a="1"/>
  <c r="BA93" i="3"/>
  <c r="BV83" i="3"/>
  <c r="Y113" i="2"/>
  <c r="BN63" i="3"/>
  <c r="HB6" i="4" a="1"/>
  <c r="GD8" i="4" a="1"/>
  <c r="BM83" i="3"/>
  <c r="BO58" i="3"/>
  <c r="GE14" i="4" a="1"/>
  <c r="GU6" i="4" a="1"/>
  <c r="BT47" i="3"/>
  <c r="GG6" i="4" a="1"/>
  <c r="FY16" i="4" a="1"/>
  <c r="BK97" i="3"/>
  <c r="BH70" i="3"/>
  <c r="BI59" i="3"/>
  <c r="FN16" i="4" a="1"/>
  <c r="BJ91" i="3"/>
  <c r="HC15" i="4" a="1"/>
  <c r="FZ14" i="4" a="1"/>
  <c r="BL49" i="3"/>
  <c r="BH86" i="3"/>
  <c r="BF71" i="3"/>
  <c r="FS12" i="4" a="1"/>
  <c r="BU47" i="3"/>
  <c r="AA111" i="2"/>
  <c r="BH58" i="3"/>
  <c r="FG16" i="4" a="1"/>
  <c r="BQ57" i="3"/>
  <c r="BE66" i="3"/>
  <c r="BT85" i="3"/>
  <c r="BT88" i="3"/>
  <c r="GA6" i="4" a="1"/>
  <c r="BE48" i="3"/>
  <c r="BQ55" i="3"/>
  <c r="BB75" i="3"/>
  <c r="BI78" i="3"/>
  <c r="FQ16" i="4" a="1"/>
  <c r="GI9" i="4" a="1"/>
  <c r="BF89" i="3"/>
  <c r="GZ7" i="4" a="1"/>
  <c r="BJ73" i="3"/>
  <c r="GW14" i="4" a="1"/>
  <c r="BS79" i="3"/>
  <c r="BU71" i="3"/>
  <c r="BP91" i="3"/>
  <c r="GH16" i="4" a="1"/>
  <c r="GV11" i="4" a="1"/>
  <c r="FQ5" i="4" a="1"/>
  <c r="BM92" i="3"/>
  <c r="BM80" i="3"/>
  <c r="BE80" i="3"/>
  <c r="BA62" i="3"/>
  <c r="GR6" i="4" a="1"/>
  <c r="HA9" i="4" a="1"/>
  <c r="BJ87" i="3"/>
  <c r="FS11" i="4" a="1"/>
  <c r="BT82" i="3"/>
  <c r="BB60" i="3"/>
  <c r="BI49" i="3"/>
  <c r="BL47" i="3"/>
  <c r="BC88" i="3"/>
  <c r="BT63" i="3"/>
  <c r="BM89" i="3"/>
  <c r="FT15" i="4" a="1"/>
  <c r="BQ82" i="3"/>
  <c r="GS14" i="4" a="1"/>
  <c r="HB8" i="4" a="1"/>
  <c r="BR81" i="3"/>
  <c r="BK81" i="3"/>
  <c r="BB58" i="3"/>
  <c r="BL77" i="3"/>
  <c r="BO87" i="3"/>
  <c r="GJ5" i="4" a="1"/>
  <c r="BK63" i="3"/>
  <c r="BP80" i="3"/>
  <c r="BM57" i="3"/>
  <c r="BU62" i="3"/>
  <c r="BD66" i="3"/>
  <c r="BJ60" i="3"/>
  <c r="BV79" i="3"/>
  <c r="GH13" i="4" a="1"/>
  <c r="BC75" i="3"/>
  <c r="BV91" i="3"/>
  <c r="BS59" i="3"/>
  <c r="BN83" i="3"/>
  <c r="BP60" i="3"/>
  <c r="BO88" i="3"/>
  <c r="BC91" i="3"/>
  <c r="BH48" i="3"/>
  <c r="BQ90" i="3"/>
  <c r="FU12" i="4" a="1"/>
  <c r="FK9" i="4" a="1"/>
  <c r="GV6" i="4" a="1"/>
  <c r="BR55" i="3"/>
  <c r="GH12" i="4" a="1"/>
  <c r="BG97" i="3"/>
  <c r="HA7" i="4" a="1"/>
  <c r="BO89" i="3"/>
  <c r="BR66" i="3"/>
  <c r="GS6" i="4" a="1"/>
  <c r="BE63" i="3"/>
  <c r="BN61" i="3"/>
  <c r="BI47" i="3"/>
  <c r="BC94" i="3"/>
  <c r="BC61" i="3"/>
  <c r="BG71" i="3"/>
  <c r="GE11" i="4" a="1"/>
  <c r="BN80" i="3"/>
  <c r="BJ65" i="3"/>
  <c r="BD81" i="3"/>
  <c r="GP5" i="4" a="1"/>
  <c r="BL97" i="3"/>
  <c r="BJ84" i="3"/>
  <c r="GO9" i="4" a="1"/>
  <c r="BU54" i="3"/>
  <c r="BV72" i="3"/>
  <c r="BK56" i="3"/>
  <c r="FN12" i="4" a="1"/>
  <c r="FJ8" i="4" a="1"/>
  <c r="BC72" i="3"/>
  <c r="GT7" i="4" a="1"/>
  <c r="BU55" i="3"/>
  <c r="GI6" i="4" a="1"/>
  <c r="GC8" i="4" a="1"/>
  <c r="HC5" i="4" a="1"/>
  <c r="FO13" i="4" a="1"/>
  <c r="BI84" i="3"/>
  <c r="BK47" i="3"/>
  <c r="BT84" i="3"/>
  <c r="BS93" i="3"/>
  <c r="HH6" i="4" a="1"/>
  <c r="GR5" i="4" a="1"/>
  <c r="BC49" i="3"/>
  <c r="BO78" i="3"/>
  <c r="BT80" i="3"/>
  <c r="BM64" i="3"/>
  <c r="BN88" i="3"/>
  <c r="FU16" i="4" a="1"/>
  <c r="GW13" i="4" a="1"/>
  <c r="BP65" i="3"/>
  <c r="HA14" i="4" a="1"/>
  <c r="FJ12" i="4" a="1"/>
  <c r="BI86" i="3"/>
  <c r="GV13" i="4" a="1"/>
  <c r="BO54" i="3"/>
  <c r="BI55" i="3"/>
  <c r="BH62" i="3"/>
  <c r="GA12" i="4" a="1"/>
  <c r="FL15" i="4" a="1"/>
  <c r="HG13" i="4" a="1"/>
  <c r="BR91" i="3"/>
  <c r="BR59" i="3"/>
  <c r="BI93" i="3"/>
  <c r="FK14" i="4" a="1"/>
  <c r="GL11" i="4" a="1"/>
  <c r="GN14" i="4" a="1"/>
  <c r="BQ70" i="3"/>
  <c r="BB68" i="3"/>
  <c r="BD76" i="3"/>
  <c r="FQ6" i="4" a="1"/>
  <c r="HA12" i="4" a="1"/>
  <c r="HG14" i="4" a="1"/>
  <c r="GW11" i="4" a="1"/>
  <c r="BV87" i="3"/>
  <c r="GT16" i="4" a="1"/>
  <c r="FK6" i="4" a="1"/>
  <c r="BF72" i="3"/>
  <c r="BO75" i="3"/>
  <c r="BA55" i="3"/>
  <c r="HE5" i="4" a="1"/>
  <c r="BV94" i="3"/>
  <c r="BO80" i="3"/>
  <c r="GX16" i="4" a="1"/>
  <c r="BU64" i="3"/>
  <c r="BD77" i="3"/>
  <c r="BU86" i="3"/>
  <c r="GY11" i="4" a="1"/>
  <c r="FJ15" i="4" a="1"/>
  <c r="BQ47" i="3"/>
  <c r="BG86" i="3"/>
  <c r="BE92" i="3"/>
  <c r="FP6" i="4" a="1"/>
  <c r="BB77" i="3"/>
  <c r="BF70" i="3"/>
  <c r="GA11" i="4" a="1"/>
  <c r="BU60" i="3"/>
  <c r="BU83" i="3"/>
  <c r="FX7" i="4" a="1"/>
  <c r="FR16" i="4" a="1"/>
  <c r="BJ58" i="3"/>
  <c r="BS65" i="3"/>
  <c r="HE7" i="4" a="1"/>
  <c r="BO96" i="3"/>
  <c r="BH87" i="3"/>
  <c r="BR63" i="3"/>
  <c r="BE68" i="3"/>
  <c r="BK93" i="3"/>
  <c r="BI76" i="3"/>
  <c r="BP94" i="3"/>
  <c r="BN76" i="3"/>
  <c r="FI5" i="4" a="1"/>
  <c r="BQ61" i="3"/>
  <c r="HD11" i="4" a="1"/>
  <c r="BC79" i="3"/>
  <c r="BU74" i="3"/>
  <c r="BI94" i="3"/>
  <c r="FN11" i="4" a="1"/>
  <c r="BV82" i="3"/>
  <c r="BK79" i="3"/>
  <c r="BS48" i="3"/>
  <c r="FJ11" i="4" a="1"/>
  <c r="FQ7" i="4" a="1"/>
  <c r="BT86" i="3"/>
  <c r="HB7" i="4" a="1"/>
  <c r="BB71" i="3"/>
  <c r="BA81" i="3"/>
  <c r="GE13" i="4" a="1"/>
  <c r="FV15" i="4" a="1"/>
  <c r="GN6" i="4" a="1"/>
  <c r="FQ11" i="4" a="1"/>
  <c r="BE74" i="3"/>
  <c r="HD7" i="4" a="1"/>
  <c r="BN85" i="3"/>
  <c r="BT92" i="3"/>
  <c r="GM9" i="4" a="1"/>
  <c r="BE96" i="3"/>
  <c r="FK13" i="4" a="1"/>
  <c r="BN92" i="3"/>
  <c r="HB12" i="4" a="1"/>
  <c r="BD60" i="3"/>
  <c r="BB81" i="3"/>
  <c r="BO57" i="3"/>
  <c r="BC54" i="3"/>
  <c r="GN12" i="4" a="1"/>
  <c r="BS62" i="3"/>
  <c r="GN13" i="4" a="1"/>
  <c r="BO95" i="3"/>
  <c r="BP57" i="3"/>
  <c r="HB14" i="4" a="1"/>
  <c r="BR90" i="3"/>
  <c r="HE9" i="4" a="1"/>
  <c r="FG9" i="4" a="1"/>
  <c r="GK16" i="4" a="1"/>
  <c r="BM95" i="3"/>
  <c r="BO68" i="3"/>
  <c r="BM77" i="3"/>
  <c r="BI92" i="3"/>
  <c r="BH71" i="3"/>
  <c r="BN47" i="3"/>
  <c r="GU7" i="4" a="1"/>
  <c r="BO49" i="3"/>
  <c r="BR78" i="3"/>
  <c r="GZ8" i="4" a="1"/>
  <c r="BF55" i="3"/>
  <c r="GB8" i="4" a="1"/>
  <c r="BV61" i="3"/>
  <c r="BH95" i="3"/>
  <c r="FM13" i="4" a="1"/>
  <c r="HE11" i="4" a="1"/>
  <c r="BF87" i="3"/>
  <c r="BA85" i="3"/>
  <c r="BF65" i="3"/>
  <c r="BR77" i="3"/>
  <c r="FL9" i="4" a="1"/>
  <c r="BF84" i="3"/>
  <c r="BV49" i="3"/>
  <c r="BB70" i="3"/>
  <c r="BV70" i="3"/>
  <c r="FG7" i="4" a="1"/>
  <c r="BF80" i="3"/>
  <c r="GJ11" i="4" a="1"/>
  <c r="GN8" i="4" a="1"/>
  <c r="GZ13" i="4" a="1"/>
  <c r="BK87" i="3"/>
  <c r="BN82" i="3"/>
  <c r="BP47" i="3"/>
  <c r="BB86" i="3"/>
  <c r="GD7" i="4" a="1"/>
  <c r="GB7" i="4" a="1"/>
  <c r="BM54" i="3"/>
  <c r="BR75" i="3"/>
  <c r="FK7" i="4" a="1"/>
  <c r="GR13" i="4" a="1"/>
  <c r="BK69" i="3"/>
  <c r="BV68" i="3"/>
  <c r="HF16" i="4" a="1"/>
  <c r="BF68" i="3"/>
  <c r="GI15" i="4" a="1"/>
  <c r="FG14" i="4" a="1"/>
  <c r="BP79" i="3"/>
  <c r="BL79" i="3"/>
  <c r="BU79" i="3"/>
  <c r="BL54" i="3"/>
  <c r="GF12" i="4" a="1"/>
  <c r="GT13" i="4" a="1"/>
  <c r="BK60" i="3"/>
  <c r="BJ67" i="3"/>
  <c r="BP66" i="3"/>
  <c r="FL7" i="4" a="1"/>
  <c r="BP48" i="3"/>
  <c r="BJ86" i="3"/>
  <c r="BS60" i="3"/>
  <c r="BF56" i="3"/>
  <c r="BJ96" i="3"/>
  <c r="BH80" i="3"/>
  <c r="BM87" i="3"/>
  <c r="BL71" i="3"/>
  <c r="BR93" i="3"/>
  <c r="BI80" i="3"/>
  <c r="FY15" i="4" a="1"/>
  <c r="BF54" i="3"/>
  <c r="BT95" i="3"/>
  <c r="BN87" i="3"/>
  <c r="BA80" i="3"/>
  <c r="HH8" i="4" a="1"/>
  <c r="GF6" i="4" a="1"/>
  <c r="BC89" i="3"/>
  <c r="BB67" i="3"/>
  <c r="GF14" i="4" a="1"/>
  <c r="BH93" i="3"/>
  <c r="BF66" i="3"/>
  <c r="BL82" i="3"/>
  <c r="BB84" i="3"/>
  <c r="BA73" i="3"/>
  <c r="BO60" i="3"/>
  <c r="BT79" i="3"/>
  <c r="BG73" i="3"/>
  <c r="BM48" i="3"/>
  <c r="BF78" i="3"/>
  <c r="FS9" i="4" a="1"/>
  <c r="BN50" i="3"/>
  <c r="BG76" i="3"/>
  <c r="HE6" i="4" a="1"/>
  <c r="BS54" i="3"/>
  <c r="BS94" i="3"/>
  <c r="BO48" i="3"/>
  <c r="GL14" i="4" a="1"/>
  <c r="FH9" i="4" a="1"/>
  <c r="BG77" i="3"/>
  <c r="FV16" i="4" a="1"/>
  <c r="BA67" i="3"/>
  <c r="BG89" i="3"/>
  <c r="GU5" i="4" a="1"/>
  <c r="HF15" i="4" a="1"/>
  <c r="BM63" i="3"/>
  <c r="BE76" i="3"/>
  <c r="BF81" i="3"/>
  <c r="GD9" i="4" a="1"/>
  <c r="BU70" i="3"/>
  <c r="FX6" i="4" a="1"/>
  <c r="BG88" i="3"/>
  <c r="BL61" i="3"/>
  <c r="BJ85" i="3"/>
  <c r="GW6" i="4" a="1"/>
  <c r="BB83" i="3"/>
  <c r="BS61" i="3"/>
  <c r="HC9" i="4" a="1"/>
  <c r="GW9" i="4" a="1"/>
  <c r="BG78" i="3"/>
  <c r="BO85" i="3"/>
  <c r="BG68" i="3"/>
  <c r="BD74" i="3"/>
  <c r="BD97" i="3"/>
  <c r="BP62" i="3"/>
  <c r="BJ82" i="3"/>
  <c r="BM73" i="3"/>
  <c r="GJ9" i="4" a="1"/>
  <c r="GC12" i="4" a="1"/>
  <c r="GF11" i="4" a="1"/>
  <c r="GL13" i="4" a="1"/>
  <c r="BB69" i="3"/>
  <c r="GW7" i="4" a="1"/>
  <c r="BJ56" i="3"/>
  <c r="GP8" i="4" a="1"/>
  <c r="BS80" i="3"/>
  <c r="GQ6" i="4" a="1"/>
  <c r="BL74" i="3"/>
  <c r="GR11" i="4" a="1"/>
  <c r="BS71" i="3"/>
  <c r="BB78" i="3"/>
  <c r="GB13" i="4" a="1"/>
  <c r="FM15" i="4" a="1"/>
  <c r="FQ15" i="4" a="1"/>
  <c r="BG85" i="3"/>
  <c r="BK90" i="3"/>
  <c r="BN56" i="3"/>
  <c r="GB12" i="4" a="1"/>
  <c r="BQ91" i="3"/>
  <c r="FK15" i="4" a="1"/>
  <c r="FM6" i="4" a="1"/>
  <c r="FO6" i="4" a="1"/>
  <c r="BE58" i="3"/>
  <c r="GD11" i="4" a="1"/>
  <c r="BB93" i="3"/>
  <c r="BK95" i="3"/>
  <c r="BO65" i="3"/>
  <c r="BD64" i="3"/>
  <c r="GR8" i="4" a="1"/>
  <c r="BM97" i="3"/>
  <c r="HF11" i="4" a="1"/>
  <c r="BG81" i="3"/>
  <c r="BO90" i="3"/>
  <c r="BT89" i="3"/>
  <c r="BO47" i="3"/>
  <c r="FW9" i="4" a="1"/>
  <c r="BM60" i="3"/>
  <c r="HG16" i="4" a="1"/>
  <c r="FM12" i="4" a="1"/>
  <c r="BB48" i="3"/>
  <c r="BJ49" i="3"/>
  <c r="GK13" i="4" a="1"/>
  <c r="HC12" i="4" a="1"/>
  <c r="FO5" i="4" a="1"/>
  <c r="BG61" i="3"/>
  <c r="FZ13" i="4" a="1"/>
  <c r="BL94" i="3"/>
  <c r="HD13" i="4" a="1"/>
  <c r="FW12" i="4" a="1"/>
  <c r="FM8" i="4" a="1"/>
  <c r="BL68" i="3"/>
  <c r="BS69" i="3"/>
  <c r="BK57" i="3"/>
  <c r="BD68" i="3"/>
  <c r="BJ94" i="3"/>
  <c r="BQ95" i="3"/>
  <c r="BD58" i="3"/>
  <c r="BP68" i="3"/>
  <c r="BJ59" i="3"/>
  <c r="BS64" i="3"/>
  <c r="HC14" i="4" a="1"/>
  <c r="BU49" i="3"/>
  <c r="BR95" i="3"/>
  <c r="BC57" i="3"/>
  <c r="BO91" i="3"/>
  <c r="BV77" i="3"/>
  <c r="GA7" i="4" a="1"/>
  <c r="BB80" i="3"/>
  <c r="BA96" i="3"/>
  <c r="GP16" i="4" a="1"/>
  <c r="BH57" i="3"/>
  <c r="BD47" i="3"/>
  <c r="BK50" i="3"/>
  <c r="BI67" i="3"/>
  <c r="BB55" i="3"/>
  <c r="BF73" i="3"/>
  <c r="HD8" i="4" a="1"/>
  <c r="BV75" i="3"/>
  <c r="HH13" i="4" a="1"/>
  <c r="BF85" i="3"/>
  <c r="BA50" i="3"/>
  <c r="FI8" i="4" a="1"/>
  <c r="BH68" i="3"/>
  <c r="GZ11" i="4" a="1"/>
  <c r="BB62" i="3"/>
  <c r="BK92" i="3"/>
  <c r="BI66" i="3"/>
  <c r="BN96" i="3"/>
  <c r="GV8" i="4" a="1"/>
  <c r="BO66" i="3"/>
  <c r="HD15" i="4" a="1"/>
  <c r="BS66" i="3"/>
  <c r="BU96" i="3"/>
  <c r="BT81" i="3"/>
  <c r="BL59" i="3"/>
  <c r="BE67" i="3"/>
  <c r="HG7" i="4" a="1"/>
  <c r="GD6" i="4" a="1"/>
  <c r="FG12" i="4" a="1"/>
  <c r="BO56" i="3"/>
  <c r="BL92" i="3"/>
  <c r="BE94" i="3"/>
  <c r="GX15" i="4" a="1"/>
  <c r="BB74" i="3"/>
  <c r="BB64" i="3"/>
  <c r="BN93" i="3"/>
  <c r="FK12" i="4" a="1"/>
  <c r="GG12" i="4" a="1"/>
  <c r="BI54" i="3"/>
  <c r="HB15" i="4" a="1"/>
  <c r="BI79" i="3"/>
  <c r="BG79" i="3"/>
  <c r="CL161" i="1" l="1"/>
  <c r="CL158" i="1"/>
  <c r="CL156" i="1"/>
  <c r="CL165" i="1"/>
  <c r="CL131" i="1"/>
  <c r="CL148" i="1"/>
  <c r="CL173" i="1"/>
  <c r="CL160" i="1"/>
  <c r="CL164" i="1"/>
  <c r="CL166" i="1"/>
  <c r="CL147" i="1"/>
  <c r="CL149" i="1"/>
  <c r="CL167" i="1"/>
  <c r="CL141" i="1"/>
  <c r="CL159" i="1"/>
  <c r="CL169" i="1"/>
  <c r="CL140" i="1"/>
  <c r="CL138" i="1"/>
  <c r="CL177" i="1"/>
  <c r="CL151" i="1"/>
  <c r="CL174" i="1"/>
  <c r="CL178" i="1"/>
  <c r="CL168" i="1"/>
  <c r="CL139" i="1"/>
  <c r="CL163" i="1"/>
  <c r="CL133" i="1"/>
  <c r="CL132" i="1"/>
  <c r="CL136" i="1"/>
  <c r="CL157" i="1"/>
  <c r="CL154" i="1"/>
  <c r="Y167" i="1"/>
  <c r="CK23" i="1"/>
  <c r="CJ22" i="1"/>
  <c r="CJ245" i="1" s="1"/>
  <c r="Y46" i="1"/>
  <c r="Y161" i="1"/>
  <c r="Y61" i="1"/>
  <c r="CG49" i="1"/>
  <c r="CJ39" i="1"/>
  <c r="Z185" i="1"/>
  <c r="Y158" i="1"/>
  <c r="CK49" i="1"/>
  <c r="X29" i="1"/>
  <c r="CJ65" i="1"/>
  <c r="CL37" i="1"/>
  <c r="CI35" i="1"/>
  <c r="Z186" i="1"/>
  <c r="Z141" i="1"/>
  <c r="CH141" i="1" s="1"/>
  <c r="CI141" i="1" s="1"/>
  <c r="CI65" i="1"/>
  <c r="CG23" i="1"/>
  <c r="X132" i="1"/>
  <c r="Y34" i="1"/>
  <c r="CH60" i="1"/>
  <c r="Y174" i="1"/>
  <c r="X139" i="1"/>
  <c r="CL77" i="1"/>
  <c r="CL79" i="1" s="1"/>
  <c r="Y186" i="1"/>
  <c r="CI27" i="1"/>
  <c r="Y173" i="1"/>
  <c r="Y175" i="1" s="1"/>
  <c r="Z223" i="1" s="1"/>
  <c r="CH39" i="1"/>
  <c r="CL29" i="1"/>
  <c r="X186" i="1"/>
  <c r="X138" i="1"/>
  <c r="Z158" i="1"/>
  <c r="CH158" i="1" s="1"/>
  <c r="CL27" i="1"/>
  <c r="X81" i="1"/>
  <c r="Z92" i="1"/>
  <c r="Y91" i="1"/>
  <c r="CG38" i="1"/>
  <c r="CL22" i="1"/>
  <c r="CL245" i="1" s="1"/>
  <c r="CG29" i="1"/>
  <c r="Y139" i="1"/>
  <c r="X46" i="1"/>
  <c r="X208" i="1" s="1"/>
  <c r="CG37" i="1"/>
  <c r="CJ61" i="1"/>
  <c r="Z164" i="1"/>
  <c r="CH164" i="1" s="1"/>
  <c r="Y147" i="1"/>
  <c r="CI46" i="1"/>
  <c r="CI208" i="1" s="1"/>
  <c r="Y22" i="1"/>
  <c r="Y245" i="1" s="1"/>
  <c r="Z91" i="1"/>
  <c r="Y60" i="1"/>
  <c r="Y38" i="1"/>
  <c r="CK37" i="1"/>
  <c r="Z161" i="1"/>
  <c r="CH161" i="1" s="1"/>
  <c r="Z93" i="1"/>
  <c r="CJ36" i="1"/>
  <c r="CJ49" i="1"/>
  <c r="Y136" i="1"/>
  <c r="X22" i="1"/>
  <c r="X267" i="1" s="1"/>
  <c r="CL65" i="1"/>
  <c r="CG65" i="1"/>
  <c r="JN8" i="4" s="1"/>
  <c r="CI59" i="1"/>
  <c r="Y29" i="1"/>
  <c r="CI22" i="1"/>
  <c r="CL59" i="1"/>
  <c r="X161" i="1"/>
  <c r="X158" i="1"/>
  <c r="X177" i="1"/>
  <c r="Y184" i="1"/>
  <c r="CG27" i="1"/>
  <c r="Z178" i="1"/>
  <c r="CH178" i="1" s="1"/>
  <c r="CI178" i="1" s="1"/>
  <c r="X169" i="1"/>
  <c r="Y151" i="1"/>
  <c r="X159" i="1"/>
  <c r="Z156" i="1"/>
  <c r="CH156" i="1" s="1"/>
  <c r="CG34" i="1"/>
  <c r="Z46" i="1"/>
  <c r="Z208" i="1" s="1"/>
  <c r="Y132" i="1"/>
  <c r="Z150" i="1"/>
  <c r="CH150" i="1" s="1"/>
  <c r="CI150" i="1" s="1"/>
  <c r="CH29" i="1"/>
  <c r="CI50" i="1"/>
  <c r="CH38" i="1"/>
  <c r="CJ27" i="1"/>
  <c r="Z160" i="1"/>
  <c r="CH160" i="1" s="1"/>
  <c r="JO8" i="4" s="1"/>
  <c r="CJ35" i="1"/>
  <c r="X60" i="1"/>
  <c r="CL53" i="1"/>
  <c r="CH23" i="1"/>
  <c r="X65" i="1"/>
  <c r="Z131" i="1"/>
  <c r="CH131" i="1" s="1"/>
  <c r="CI131" i="1" s="1"/>
  <c r="CK59" i="1"/>
  <c r="CK29" i="1"/>
  <c r="CK65" i="1"/>
  <c r="X92" i="1"/>
  <c r="Z37" i="1"/>
  <c r="CK35" i="1"/>
  <c r="CJ78" i="1"/>
  <c r="CI78" i="1" s="1"/>
  <c r="CH78" i="1" s="1"/>
  <c r="CG78" i="1" s="1"/>
  <c r="CF78" i="1" s="1"/>
  <c r="CE78" i="1" s="1"/>
  <c r="CD78" i="1" s="1"/>
  <c r="CC78" i="1" s="1"/>
  <c r="CB78" i="1" s="1"/>
  <c r="CA78" i="1" s="1"/>
  <c r="BZ78" i="1" s="1"/>
  <c r="BY78" i="1" s="1"/>
  <c r="BX78" i="1" s="1"/>
  <c r="BW78" i="1" s="1"/>
  <c r="BV78" i="1" s="1"/>
  <c r="BU78" i="1" s="1"/>
  <c r="BT78" i="1" s="1"/>
  <c r="BS78" i="1" s="1"/>
  <c r="BR78" i="1" s="1"/>
  <c r="BQ78" i="1" s="1"/>
  <c r="BP78" i="1" s="1"/>
  <c r="BO78" i="1" s="1"/>
  <c r="BN78" i="1" s="1"/>
  <c r="BM78" i="1" s="1"/>
  <c r="BL78" i="1" s="1"/>
  <c r="BK78" i="1" s="1"/>
  <c r="BJ78" i="1" s="1"/>
  <c r="BI78" i="1" s="1"/>
  <c r="BH78" i="1" s="1"/>
  <c r="BG78" i="1" s="1"/>
  <c r="BF78" i="1" s="1"/>
  <c r="BE78" i="1" s="1"/>
  <c r="BD78" i="1" s="1"/>
  <c r="BC78" i="1" s="1"/>
  <c r="BB78" i="1" s="1"/>
  <c r="BA78" i="1" s="1"/>
  <c r="AZ78" i="1" s="1"/>
  <c r="AY78" i="1" s="1"/>
  <c r="AX78" i="1" s="1"/>
  <c r="AW78" i="1" s="1"/>
  <c r="AV78" i="1" s="1"/>
  <c r="AU78" i="1" s="1"/>
  <c r="AT78" i="1" s="1"/>
  <c r="AS78" i="1" s="1"/>
  <c r="AR78" i="1" s="1"/>
  <c r="AQ78" i="1" s="1"/>
  <c r="AP78" i="1" s="1"/>
  <c r="AO78" i="1" s="1"/>
  <c r="AN78" i="1" s="1"/>
  <c r="AM78" i="1" s="1"/>
  <c r="AL78" i="1" s="1"/>
  <c r="AK78" i="1" s="1"/>
  <c r="AJ78" i="1" s="1"/>
  <c r="AI78" i="1" s="1"/>
  <c r="X178" i="1"/>
  <c r="Y131" i="1"/>
  <c r="Y154" i="1"/>
  <c r="CJ37" i="1"/>
  <c r="CI37" i="1"/>
  <c r="Y185" i="1"/>
  <c r="JO14" i="4" s="1"/>
  <c r="X157" i="1"/>
  <c r="X162" i="1" s="1"/>
  <c r="X196" i="1" s="1"/>
  <c r="X61" i="1"/>
  <c r="Z167" i="1"/>
  <c r="CG39" i="1"/>
  <c r="Z50" i="1"/>
  <c r="Y157" i="1"/>
  <c r="X50" i="1"/>
  <c r="CJ38" i="1"/>
  <c r="X160" i="1"/>
  <c r="CJ60" i="1"/>
  <c r="CL78" i="1"/>
  <c r="CG61" i="1"/>
  <c r="CI39" i="1"/>
  <c r="Z29" i="1"/>
  <c r="X37" i="1"/>
  <c r="CK46" i="1"/>
  <c r="Z169" i="1"/>
  <c r="CH169" i="1" s="1"/>
  <c r="CI29" i="1"/>
  <c r="X140" i="1"/>
  <c r="X168" i="1" s="1"/>
  <c r="CK28" i="1"/>
  <c r="Z53" i="1"/>
  <c r="CG35" i="1"/>
  <c r="Y178" i="1"/>
  <c r="CJ29" i="1"/>
  <c r="X184" i="1"/>
  <c r="X141" i="1"/>
  <c r="Z38" i="1"/>
  <c r="Y165" i="1"/>
  <c r="Y23" i="1"/>
  <c r="X39" i="1"/>
  <c r="Z163" i="1"/>
  <c r="CH163" i="1" s="1"/>
  <c r="X23" i="1"/>
  <c r="CH27" i="1"/>
  <c r="Y141" i="1"/>
  <c r="X164" i="1"/>
  <c r="CI34" i="1"/>
  <c r="CM34" i="1" s="1"/>
  <c r="CQ34" i="1" s="1"/>
  <c r="CU34" i="1" s="1"/>
  <c r="CY34" i="1" s="1"/>
  <c r="Y159" i="1"/>
  <c r="Z138" i="1"/>
  <c r="CH138" i="1" s="1"/>
  <c r="CI138" i="1" s="1"/>
  <c r="X146" i="1"/>
  <c r="Y36" i="1"/>
  <c r="Y37" i="1"/>
  <c r="Y169" i="1"/>
  <c r="CL50" i="1"/>
  <c r="CH61" i="1"/>
  <c r="CK60" i="1"/>
  <c r="CK38" i="1"/>
  <c r="X185" i="1"/>
  <c r="X34" i="1"/>
  <c r="CJ28" i="1"/>
  <c r="Z139" i="1"/>
  <c r="CH139" i="1" s="1"/>
  <c r="CI139" i="1" s="1"/>
  <c r="CL46" i="1"/>
  <c r="CI60" i="1"/>
  <c r="X174" i="1"/>
  <c r="X133" i="1"/>
  <c r="Z23" i="1"/>
  <c r="CK61" i="1"/>
  <c r="CK27" i="1"/>
  <c r="CH28" i="1"/>
  <c r="Z159" i="1"/>
  <c r="CH159" i="1" s="1"/>
  <c r="Z157" i="1"/>
  <c r="CH157" i="1" s="1"/>
  <c r="Y140" i="1"/>
  <c r="Y168" i="1" s="1"/>
  <c r="Z61" i="1"/>
  <c r="X36" i="1"/>
  <c r="X93" i="1"/>
  <c r="X136" i="1"/>
  <c r="X151" i="1"/>
  <c r="CG53" i="1"/>
  <c r="Z136" i="1"/>
  <c r="CH136" i="1" s="1"/>
  <c r="CI136" i="1" s="1"/>
  <c r="CI28" i="1"/>
  <c r="CG60" i="1"/>
  <c r="JO16" i="4" s="1"/>
  <c r="CL38" i="1"/>
  <c r="CL34" i="1"/>
  <c r="CP34" i="1" s="1"/>
  <c r="CT34" i="1" s="1"/>
  <c r="CX34" i="1" s="1"/>
  <c r="DB34" i="1" s="1"/>
  <c r="Y133" i="1"/>
  <c r="X91" i="1"/>
  <c r="CG22" i="1"/>
  <c r="CG245" i="1" s="1"/>
  <c r="CH59" i="1"/>
  <c r="CG50" i="1"/>
  <c r="CK77" i="1"/>
  <c r="CJ23" i="1"/>
  <c r="Z39" i="1"/>
  <c r="Y177" i="1"/>
  <c r="X167" i="1"/>
  <c r="Z154" i="1"/>
  <c r="CK34" i="1"/>
  <c r="CK40" i="1" s="1"/>
  <c r="Z151" i="1"/>
  <c r="CH151" i="1" s="1"/>
  <c r="CI151" i="1" s="1"/>
  <c r="CG59" i="1"/>
  <c r="Y50" i="1"/>
  <c r="Y266" i="1" s="1"/>
  <c r="Y146" i="1"/>
  <c r="Y156" i="1"/>
  <c r="CL36" i="1"/>
  <c r="CK22" i="1"/>
  <c r="JP7" i="4" s="1"/>
  <c r="CK39" i="1"/>
  <c r="Y59" i="1"/>
  <c r="CL23" i="1"/>
  <c r="Z132" i="1"/>
  <c r="CH132" i="1" s="1"/>
  <c r="CI132" i="1" s="1"/>
  <c r="Y39" i="1"/>
  <c r="CL49" i="1"/>
  <c r="CK53" i="1"/>
  <c r="X173" i="1"/>
  <c r="X131" i="1"/>
  <c r="JN9" i="4" s="1"/>
  <c r="X150" i="1"/>
  <c r="JO9" i="4" s="1"/>
  <c r="CG28" i="1"/>
  <c r="Y150" i="1"/>
  <c r="CL28" i="1"/>
  <c r="CG46" i="1"/>
  <c r="Y81" i="1"/>
  <c r="Z165" i="1"/>
  <c r="CH165" i="1" s="1"/>
  <c r="Z65" i="1"/>
  <c r="Z140" i="1"/>
  <c r="CH140" i="1" s="1"/>
  <c r="CI140" i="1" s="1"/>
  <c r="X149" i="1"/>
  <c r="X145" i="1" s="1"/>
  <c r="Y35" i="1"/>
  <c r="CL35" i="1"/>
  <c r="Y27" i="1"/>
  <c r="Y49" i="1"/>
  <c r="CL60" i="1"/>
  <c r="CJ50" i="1"/>
  <c r="X165" i="1"/>
  <c r="CI23" i="1"/>
  <c r="CI61" i="1"/>
  <c r="Z59" i="1"/>
  <c r="CJ77" i="1"/>
  <c r="CI77" i="1" s="1"/>
  <c r="CH77" i="1" s="1"/>
  <c r="CG77" i="1" s="1"/>
  <c r="CF77" i="1" s="1"/>
  <c r="CE77" i="1" s="1"/>
  <c r="CD77" i="1" s="1"/>
  <c r="CC77" i="1" s="1"/>
  <c r="CB77" i="1" s="1"/>
  <c r="CA77" i="1" s="1"/>
  <c r="BZ77" i="1" s="1"/>
  <c r="BY77" i="1" s="1"/>
  <c r="BX77" i="1" s="1"/>
  <c r="BW77" i="1" s="1"/>
  <c r="BV77" i="1" s="1"/>
  <c r="BU77" i="1" s="1"/>
  <c r="BT77" i="1" s="1"/>
  <c r="BS77" i="1" s="1"/>
  <c r="BR77" i="1" s="1"/>
  <c r="BQ77" i="1" s="1"/>
  <c r="BP77" i="1" s="1"/>
  <c r="BO77" i="1" s="1"/>
  <c r="BN77" i="1" s="1"/>
  <c r="BM77" i="1" s="1"/>
  <c r="BL77" i="1" s="1"/>
  <c r="BK77" i="1" s="1"/>
  <c r="BJ77" i="1" s="1"/>
  <c r="BI77" i="1" s="1"/>
  <c r="BH77" i="1" s="1"/>
  <c r="BG77" i="1" s="1"/>
  <c r="BF77" i="1" s="1"/>
  <c r="BE77" i="1" s="1"/>
  <c r="BD77" i="1" s="1"/>
  <c r="BC77" i="1" s="1"/>
  <c r="BB77" i="1" s="1"/>
  <c r="BA77" i="1" s="1"/>
  <c r="AZ77" i="1" s="1"/>
  <c r="AY77" i="1" s="1"/>
  <c r="AX77" i="1" s="1"/>
  <c r="AW77" i="1" s="1"/>
  <c r="AV77" i="1" s="1"/>
  <c r="AU77" i="1" s="1"/>
  <c r="AT77" i="1" s="1"/>
  <c r="AS77" i="1" s="1"/>
  <c r="AR77" i="1" s="1"/>
  <c r="AQ77" i="1" s="1"/>
  <c r="AP77" i="1" s="1"/>
  <c r="AO77" i="1" s="1"/>
  <c r="AN77" i="1" s="1"/>
  <c r="AM77" i="1" s="1"/>
  <c r="AL77" i="1" s="1"/>
  <c r="AK77" i="1" s="1"/>
  <c r="AJ77" i="1" s="1"/>
  <c r="AI77" i="1" s="1"/>
  <c r="CI36" i="1"/>
  <c r="Z146" i="1"/>
  <c r="CH146" i="1" s="1"/>
  <c r="Z22" i="1"/>
  <c r="Z149" i="1"/>
  <c r="CH149" i="1" s="1"/>
  <c r="CI149" i="1" s="1"/>
  <c r="CJ59" i="1"/>
  <c r="Z173" i="1"/>
  <c r="CH173" i="1" s="1"/>
  <c r="CH175" i="1" s="1"/>
  <c r="CI223" i="1" s="1"/>
  <c r="Z60" i="1"/>
  <c r="Z36" i="1"/>
  <c r="Z147" i="1"/>
  <c r="CH147" i="1" s="1"/>
  <c r="CI147" i="1" s="1"/>
  <c r="JP16" i="4" s="1"/>
  <c r="Z133" i="1"/>
  <c r="CH133" i="1" s="1"/>
  <c r="Y160" i="1"/>
  <c r="Y65" i="1"/>
  <c r="CL61" i="1"/>
  <c r="X53" i="1"/>
  <c r="Z34" i="1"/>
  <c r="Y53" i="1"/>
  <c r="Z177" i="1"/>
  <c r="CH177" i="1" s="1"/>
  <c r="CI177" i="1" s="1"/>
  <c r="X154" i="1"/>
  <c r="X163" i="1"/>
  <c r="CK36" i="1"/>
  <c r="CG36" i="1"/>
  <c r="X156" i="1"/>
  <c r="CJ46" i="1"/>
  <c r="Z35" i="1"/>
  <c r="Z81" i="1"/>
  <c r="Y164" i="1"/>
  <c r="Y163" i="1"/>
  <c r="Z174" i="1"/>
  <c r="CH174" i="1" s="1"/>
  <c r="CE53" i="1"/>
  <c r="CL39" i="1"/>
  <c r="CI53" i="1"/>
  <c r="CK50" i="1"/>
  <c r="Y149" i="1"/>
  <c r="Y145" i="1" s="1"/>
  <c r="Y92" i="1"/>
  <c r="X35" i="1"/>
  <c r="X38" i="1"/>
  <c r="CJ53" i="1"/>
  <c r="X27" i="1"/>
  <c r="CK78" i="1"/>
  <c r="CJ34" i="1"/>
  <c r="CN34" i="1" s="1"/>
  <c r="CR34" i="1" s="1"/>
  <c r="CV34" i="1" s="1"/>
  <c r="CZ34" i="1" s="1"/>
  <c r="Z49" i="1"/>
  <c r="Y93" i="1"/>
  <c r="JN16" i="4" s="1"/>
  <c r="JN21" i="4" s="1"/>
  <c r="CH91" i="1" s="1"/>
  <c r="Z184" i="1"/>
  <c r="CI38" i="1"/>
  <c r="X147" i="1"/>
  <c r="X49" i="1"/>
  <c r="X59" i="1"/>
  <c r="Z27" i="1"/>
  <c r="Y138" i="1"/>
  <c r="Y142" i="1" s="1"/>
  <c r="CI49" i="1"/>
  <c r="CL88" i="1"/>
  <c r="CL87" i="1"/>
  <c r="CJ136" i="1"/>
  <c r="CK136" i="1" s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J149" i="1"/>
  <c r="CK149" i="1" s="1"/>
  <c r="KG9" i="4" s="1"/>
  <c r="CJ160" i="1"/>
  <c r="JY16" i="4" s="1"/>
  <c r="KB16" i="4" s="1"/>
  <c r="Y88" i="1"/>
  <c r="JW16" i="4" s="1"/>
  <c r="CJ133" i="1"/>
  <c r="JV16" i="4" s="1"/>
  <c r="JQ9" i="4" s="1"/>
  <c r="CJ148" i="1"/>
  <c r="JX16" i="4" s="1"/>
  <c r="CJ139" i="1"/>
  <c r="CK139" i="1" s="1"/>
  <c r="KA9" i="4" s="1"/>
  <c r="CJ177" i="1"/>
  <c r="CK177" i="1" s="1"/>
  <c r="CM177" i="1" s="1"/>
  <c r="CN177" i="1" s="1"/>
  <c r="CO177" i="1" s="1"/>
  <c r="CP177" i="1" s="1"/>
  <c r="CQ177" i="1" s="1"/>
  <c r="CR177" i="1" s="1"/>
  <c r="CS177" i="1" s="1"/>
  <c r="CT177" i="1" s="1"/>
  <c r="CU177" i="1" s="1"/>
  <c r="CV177" i="1" s="1"/>
  <c r="CW177" i="1" s="1"/>
  <c r="CJ132" i="1"/>
  <c r="CK132" i="1" s="1"/>
  <c r="KG16" i="4" s="1"/>
  <c r="Z87" i="1"/>
  <c r="CJ168" i="1"/>
  <c r="JT16" i="4" s="1"/>
  <c r="CJ140" i="1"/>
  <c r="CK140" i="1" s="1"/>
  <c r="CJ163" i="1"/>
  <c r="KE16" i="4" s="1"/>
  <c r="JQ16" i="4" s="1"/>
  <c r="KF16" i="4" s="1"/>
  <c r="KH9" i="4" s="1"/>
  <c r="CJ178" i="1"/>
  <c r="CK178" i="1" s="1"/>
  <c r="CJ166" i="1"/>
  <c r="JX9" i="4" s="1"/>
  <c r="CJ158" i="1"/>
  <c r="CJ151" i="1"/>
  <c r="CK151" i="1" s="1"/>
  <c r="JW9" i="4" s="1"/>
  <c r="CJ141" i="1"/>
  <c r="CK141" i="1" s="1"/>
  <c r="CM141" i="1" s="1"/>
  <c r="CN141" i="1" s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Y141" i="1" s="1"/>
  <c r="CZ141" i="1" s="1"/>
  <c r="DA141" i="1" s="1"/>
  <c r="DB141" i="1" s="1"/>
  <c r="CJ159" i="1"/>
  <c r="CH88" i="1"/>
  <c r="KD16" i="4" s="1"/>
  <c r="JU9" i="4" s="1"/>
  <c r="CJ173" i="1"/>
  <c r="JR16" i="4" s="1"/>
  <c r="JS9" i="4" s="1"/>
  <c r="JY8" i="4" s="1"/>
  <c r="KF9" i="4" s="1"/>
  <c r="CJ164" i="1"/>
  <c r="KC16" i="4" s="1"/>
  <c r="JU16" i="4" s="1"/>
  <c r="CJ154" i="1"/>
  <c r="CJ131" i="1"/>
  <c r="CK131" i="1" s="1"/>
  <c r="CJ165" i="1"/>
  <c r="KE9" i="4" s="1"/>
  <c r="JZ16" i="4" s="1"/>
  <c r="KB9" i="4" s="1"/>
  <c r="X87" i="1"/>
  <c r="CJ167" i="1"/>
  <c r="CJ157" i="1"/>
  <c r="JY9" i="4" s="1"/>
  <c r="KA16" i="4" s="1"/>
  <c r="JS16" i="4" s="1"/>
  <c r="KH16" i="4" s="1"/>
  <c r="KH21" i="4" s="1"/>
  <c r="KD9" i="4" s="1"/>
  <c r="CK87" i="1"/>
  <c r="Z88" i="1"/>
  <c r="CJ161" i="1"/>
  <c r="CI88" i="1"/>
  <c r="CJ174" i="1"/>
  <c r="CK88" i="1"/>
  <c r="CJ156" i="1"/>
  <c r="CH87" i="1"/>
  <c r="CJ88" i="1"/>
  <c r="CJ169" i="1"/>
  <c r="CJ138" i="1"/>
  <c r="CK138" i="1" s="1"/>
  <c r="CG87" i="1"/>
  <c r="KC9" i="4" s="1"/>
  <c r="JV9" i="4" s="1"/>
  <c r="JZ9" i="4" s="1"/>
  <c r="CJ87" i="1"/>
  <c r="CG88" i="1"/>
  <c r="JR9" i="4" s="1"/>
  <c r="JT9" i="4" s="1"/>
  <c r="CJ147" i="1"/>
  <c r="CK147" i="1" s="1"/>
  <c r="CI87" i="1"/>
  <c r="Y40" i="1"/>
  <c r="CG208" i="1"/>
  <c r="CH267" i="1"/>
  <c r="CH193" i="1"/>
  <c r="CI193" i="1" s="1"/>
  <c r="CH266" i="1"/>
  <c r="CH245" i="1"/>
  <c r="CH194" i="1"/>
  <c r="CI194" i="1" s="1"/>
  <c r="Y87" i="1"/>
  <c r="X88" i="1"/>
  <c r="JP8" i="4"/>
  <c r="JP21" i="4"/>
  <c r="CJ91" i="1" s="1"/>
  <c r="JN14" i="4"/>
  <c r="CB27" i="1"/>
  <c r="BG66" i="3"/>
  <c r="CH40" i="1" l="1"/>
  <c r="CG40" i="1"/>
  <c r="X197" i="1"/>
  <c r="X175" i="1"/>
  <c r="JO21" i="4"/>
  <c r="CI91" i="1" s="1"/>
  <c r="X148" i="1"/>
  <c r="CH162" i="1"/>
  <c r="CH196" i="1" s="1"/>
  <c r="Z187" i="1"/>
  <c r="X194" i="1"/>
  <c r="Z162" i="1"/>
  <c r="AA210" i="1" s="1"/>
  <c r="X193" i="1"/>
  <c r="CG267" i="1"/>
  <c r="CG266" i="1"/>
  <c r="CI245" i="1"/>
  <c r="Y216" i="1"/>
  <c r="CH24" i="1"/>
  <c r="CI266" i="1"/>
  <c r="Y267" i="1"/>
  <c r="Y193" i="1"/>
  <c r="CG24" i="1"/>
  <c r="JP9" i="4" s="1"/>
  <c r="X134" i="1"/>
  <c r="X189" i="1" s="1"/>
  <c r="JO7" i="4" s="1"/>
  <c r="Y134" i="1"/>
  <c r="X266" i="1"/>
  <c r="Y24" i="1"/>
  <c r="Y194" i="1"/>
  <c r="JP15" i="4" s="1"/>
  <c r="Y197" i="1"/>
  <c r="Z193" i="1"/>
  <c r="CH167" i="1"/>
  <c r="CH197" i="1" s="1"/>
  <c r="CI197" i="1" s="1"/>
  <c r="Z196" i="1"/>
  <c r="Z145" i="1"/>
  <c r="CH154" i="1"/>
  <c r="CI154" i="1" s="1"/>
  <c r="AA216" i="1"/>
  <c r="CH134" i="1"/>
  <c r="CI142" i="1"/>
  <c r="Y187" i="1"/>
  <c r="CJ79" i="1"/>
  <c r="Y148" i="1"/>
  <c r="Y47" i="1" s="1"/>
  <c r="JO15" i="4"/>
  <c r="JO20" i="4" s="1"/>
  <c r="CI93" i="1" s="1"/>
  <c r="CK25" i="1"/>
  <c r="CG79" i="1"/>
  <c r="X24" i="1"/>
  <c r="Y25" i="1" s="1"/>
  <c r="CM131" i="1"/>
  <c r="CN131" i="1" s="1"/>
  <c r="CO131" i="1" s="1"/>
  <c r="CP131" i="1" s="1"/>
  <c r="CQ131" i="1" s="1"/>
  <c r="CR131" i="1" s="1"/>
  <c r="CS131" i="1" s="1"/>
  <c r="CT131" i="1" s="1"/>
  <c r="CU131" i="1" s="1"/>
  <c r="CV131" i="1" s="1"/>
  <c r="CW131" i="1" s="1"/>
  <c r="CX131" i="1" s="1"/>
  <c r="KC8" i="4"/>
  <c r="CM140" i="1"/>
  <c r="CN140" i="1" s="1"/>
  <c r="CO140" i="1" s="1"/>
  <c r="CP140" i="1" s="1"/>
  <c r="CQ140" i="1" s="1"/>
  <c r="CR140" i="1" s="1"/>
  <c r="CS140" i="1" s="1"/>
  <c r="CT140" i="1" s="1"/>
  <c r="CU140" i="1" s="1"/>
  <c r="CV140" i="1" s="1"/>
  <c r="CW140" i="1" s="1"/>
  <c r="CX140" i="1" s="1"/>
  <c r="CY140" i="1" s="1"/>
  <c r="CZ140" i="1" s="1"/>
  <c r="DA140" i="1" s="1"/>
  <c r="DB140" i="1" s="1"/>
  <c r="CJ267" i="1"/>
  <c r="CK24" i="1"/>
  <c r="CK41" i="1" s="1"/>
  <c r="X187" i="1"/>
  <c r="JN7" i="4"/>
  <c r="JN19" i="4" s="1"/>
  <c r="CH92" i="1" s="1"/>
  <c r="KE21" i="4"/>
  <c r="X142" i="1"/>
  <c r="X51" i="1" s="1"/>
  <c r="JN15" i="4"/>
  <c r="JN20" i="4" s="1"/>
  <c r="CH93" i="1" s="1"/>
  <c r="CI79" i="1"/>
  <c r="KD21" i="4"/>
  <c r="Y170" i="1"/>
  <c r="X40" i="1"/>
  <c r="CH142" i="1"/>
  <c r="CH182" i="1" s="1"/>
  <c r="JX21" i="4"/>
  <c r="JV21" i="4"/>
  <c r="Z134" i="1"/>
  <c r="AA221" i="1" s="1"/>
  <c r="KB15" i="4"/>
  <c r="JU7" i="4"/>
  <c r="KG21" i="4"/>
  <c r="JP14" i="4"/>
  <c r="CH79" i="1"/>
  <c r="Y162" i="1"/>
  <c r="KD7" i="4"/>
  <c r="Z40" i="1"/>
  <c r="CJ193" i="1"/>
  <c r="CK193" i="1" s="1"/>
  <c r="X170" i="1"/>
  <c r="X171" i="1" s="1"/>
  <c r="Z24" i="1"/>
  <c r="Z216" i="1"/>
  <c r="Z266" i="1"/>
  <c r="Z245" i="1"/>
  <c r="Z194" i="1"/>
  <c r="Y210" i="1"/>
  <c r="CJ24" i="1"/>
  <c r="CJ112" i="1"/>
  <c r="CL40" i="1"/>
  <c r="CL170" i="1"/>
  <c r="CL199" i="1" s="1"/>
  <c r="CJ266" i="1"/>
  <c r="CI24" i="1"/>
  <c r="CK112" i="1"/>
  <c r="CM147" i="1"/>
  <c r="CN147" i="1" s="1"/>
  <c r="CO147" i="1" s="1"/>
  <c r="CP147" i="1" s="1"/>
  <c r="AB147" i="1" s="1"/>
  <c r="CL24" i="1"/>
  <c r="CJ197" i="1"/>
  <c r="CK197" i="1" s="1"/>
  <c r="CK47" i="1"/>
  <c r="CL112" i="1"/>
  <c r="CL266" i="1"/>
  <c r="CL175" i="1"/>
  <c r="CI267" i="1"/>
  <c r="CJ40" i="1"/>
  <c r="CJ41" i="1" s="1"/>
  <c r="Z267" i="1"/>
  <c r="KG8" i="4"/>
  <c r="JY14" i="4"/>
  <c r="KE15" i="4"/>
  <c r="CO34" i="1"/>
  <c r="CS34" i="1" s="1"/>
  <c r="CW34" i="1" s="1"/>
  <c r="DA34" i="1" s="1"/>
  <c r="CK79" i="1"/>
  <c r="CL142" i="1"/>
  <c r="CM138" i="1"/>
  <c r="CN138" i="1" s="1"/>
  <c r="JU8" i="4"/>
  <c r="JQ8" i="4"/>
  <c r="KF21" i="4"/>
  <c r="JT14" i="4"/>
  <c r="CM149" i="1"/>
  <c r="CN149" i="1" s="1"/>
  <c r="CO149" i="1" s="1"/>
  <c r="CP149" i="1" s="1"/>
  <c r="CQ149" i="1" s="1"/>
  <c r="CR149" i="1" s="1"/>
  <c r="CS149" i="1" s="1"/>
  <c r="CT149" i="1" s="1"/>
  <c r="CU149" i="1" s="1"/>
  <c r="CV149" i="1" s="1"/>
  <c r="CW149" i="1" s="1"/>
  <c r="CX149" i="1" s="1"/>
  <c r="CY149" i="1" s="1"/>
  <c r="CZ149" i="1" s="1"/>
  <c r="DA149" i="1" s="1"/>
  <c r="DB149" i="1" s="1"/>
  <c r="Y208" i="1"/>
  <c r="Z197" i="1"/>
  <c r="CL134" i="1"/>
  <c r="Z142" i="1"/>
  <c r="Z175" i="1"/>
  <c r="AA223" i="1" s="1"/>
  <c r="KE14" i="4"/>
  <c r="CL267" i="1"/>
  <c r="CL208" i="1"/>
  <c r="CM178" i="1"/>
  <c r="CN178" i="1" s="1"/>
  <c r="CO178" i="1" s="1"/>
  <c r="CP178" i="1" s="1"/>
  <c r="CQ178" i="1" s="1"/>
  <c r="CR178" i="1" s="1"/>
  <c r="CS178" i="1" s="1"/>
  <c r="CT178" i="1" s="1"/>
  <c r="CU178" i="1" s="1"/>
  <c r="CV178" i="1" s="1"/>
  <c r="CW178" i="1" s="1"/>
  <c r="CX178" i="1" s="1"/>
  <c r="CY178" i="1" s="1"/>
  <c r="CZ178" i="1" s="1"/>
  <c r="DA178" i="1" s="1"/>
  <c r="DB178" i="1" s="1"/>
  <c r="CL152" i="1"/>
  <c r="CJ208" i="1"/>
  <c r="CL194" i="1"/>
  <c r="CM194" i="1" s="1"/>
  <c r="CL162" i="1"/>
  <c r="CI146" i="1"/>
  <c r="CJ146" i="1" s="1"/>
  <c r="X245" i="1"/>
  <c r="JR21" i="4"/>
  <c r="CL91" i="1" s="1"/>
  <c r="CJ194" i="1"/>
  <c r="CK194" i="1" s="1"/>
  <c r="CM132" i="1"/>
  <c r="CN132" i="1" s="1"/>
  <c r="CO132" i="1" s="1"/>
  <c r="CP132" i="1" s="1"/>
  <c r="CQ132" i="1" s="1"/>
  <c r="CR132" i="1" s="1"/>
  <c r="CS132" i="1" s="1"/>
  <c r="CT132" i="1" s="1"/>
  <c r="CU132" i="1" s="1"/>
  <c r="CV132" i="1" s="1"/>
  <c r="CW132" i="1" s="1"/>
  <c r="CX132" i="1" s="1"/>
  <c r="CY132" i="1" s="1"/>
  <c r="CZ132" i="1" s="1"/>
  <c r="DA132" i="1" s="1"/>
  <c r="DB132" i="1" s="1"/>
  <c r="CL193" i="1"/>
  <c r="CM193" i="1" s="1"/>
  <c r="KB21" i="4"/>
  <c r="KC15" i="4"/>
  <c r="KC20" i="4" s="1"/>
  <c r="CI40" i="1"/>
  <c r="CM151" i="1"/>
  <c r="CN151" i="1" s="1"/>
  <c r="CO151" i="1" s="1"/>
  <c r="CP151" i="1" s="1"/>
  <c r="CQ151" i="1" s="1"/>
  <c r="CR151" i="1" s="1"/>
  <c r="CS151" i="1" s="1"/>
  <c r="CT151" i="1" s="1"/>
  <c r="CU151" i="1" s="1"/>
  <c r="CV151" i="1" s="1"/>
  <c r="CW151" i="1" s="1"/>
  <c r="CX151" i="1" s="1"/>
  <c r="CY151" i="1" s="1"/>
  <c r="CZ151" i="1" s="1"/>
  <c r="DA151" i="1" s="1"/>
  <c r="DB151" i="1" s="1"/>
  <c r="JQ21" i="4"/>
  <c r="CK91" i="1" s="1"/>
  <c r="Z168" i="1"/>
  <c r="CH168" i="1" s="1"/>
  <c r="CL197" i="1"/>
  <c r="CM197" i="1" s="1"/>
  <c r="CJ175" i="1"/>
  <c r="Z170" i="1"/>
  <c r="KD15" i="4"/>
  <c r="CH170" i="1"/>
  <c r="CH199" i="1" s="1"/>
  <c r="JV7" i="4"/>
  <c r="JS8" i="4"/>
  <c r="JZ8" i="4"/>
  <c r="KF8" i="4"/>
  <c r="JW21" i="4"/>
  <c r="JV8" i="4"/>
  <c r="KE8" i="4"/>
  <c r="JR15" i="4"/>
  <c r="KA21" i="4"/>
  <c r="JQ7" i="4"/>
  <c r="KF14" i="4"/>
  <c r="JT7" i="4"/>
  <c r="KC7" i="4"/>
  <c r="KB8" i="4"/>
  <c r="KB14" i="4"/>
  <c r="JT15" i="4"/>
  <c r="JR7" i="4"/>
  <c r="KG15" i="4"/>
  <c r="JV14" i="4"/>
  <c r="JZ14" i="4"/>
  <c r="JZ19" i="4" s="1"/>
  <c r="KH14" i="4"/>
  <c r="KB7" i="4"/>
  <c r="KF15" i="4"/>
  <c r="JS21" i="4"/>
  <c r="JV15" i="4"/>
  <c r="KF7" i="4"/>
  <c r="JR14" i="4"/>
  <c r="JR19" i="4" s="1"/>
  <c r="CL92" i="1" s="1"/>
  <c r="JZ21" i="4"/>
  <c r="JZ7" i="4"/>
  <c r="KA8" i="4"/>
  <c r="JR8" i="4"/>
  <c r="KC14" i="4"/>
  <c r="JU15" i="4"/>
  <c r="KD14" i="4"/>
  <c r="KD19" i="4" s="1"/>
  <c r="JS15" i="4"/>
  <c r="JS20" i="4" s="1"/>
  <c r="KA7" i="4"/>
  <c r="JT8" i="4"/>
  <c r="KE7" i="4"/>
  <c r="JU21" i="4"/>
  <c r="JW7" i="4"/>
  <c r="JS7" i="4"/>
  <c r="JS14" i="4"/>
  <c r="JS19" i="4" s="1"/>
  <c r="JU14" i="4"/>
  <c r="KC21" i="4"/>
  <c r="KG7" i="4"/>
  <c r="JX8" i="4"/>
  <c r="KA14" i="4"/>
  <c r="JW14" i="4"/>
  <c r="JX15" i="4"/>
  <c r="JX14" i="4"/>
  <c r="KA15" i="4"/>
  <c r="CJ162" i="1"/>
  <c r="JW8" i="4"/>
  <c r="KH8" i="4"/>
  <c r="KH15" i="4"/>
  <c r="JX7" i="4"/>
  <c r="JT21" i="4"/>
  <c r="JW15" i="4"/>
  <c r="KD8" i="4"/>
  <c r="KH7" i="4"/>
  <c r="JQ14" i="4"/>
  <c r="JY15" i="4"/>
  <c r="JY20" i="4" s="1"/>
  <c r="JZ15" i="4"/>
  <c r="CK154" i="1"/>
  <c r="CL216" i="1" s="1"/>
  <c r="JQ15" i="4"/>
  <c r="KG14" i="4"/>
  <c r="JY21" i="4"/>
  <c r="JY7" i="4"/>
  <c r="CJ134" i="1"/>
  <c r="CJ142" i="1"/>
  <c r="CJ152" i="1"/>
  <c r="CJ170" i="1"/>
  <c r="CJ199" i="1" s="1"/>
  <c r="KG19" i="4"/>
  <c r="Y182" i="1"/>
  <c r="Y123" i="1" s="1"/>
  <c r="CK142" i="1"/>
  <c r="Y51" i="1"/>
  <c r="CX177" i="1"/>
  <c r="JO19" i="4"/>
  <c r="CI92" i="1" s="1"/>
  <c r="CJ216" i="1" l="1"/>
  <c r="CI263" i="1"/>
  <c r="CI216" i="1"/>
  <c r="Z189" i="1"/>
  <c r="CK30" i="1"/>
  <c r="CL113" i="1"/>
  <c r="Z210" i="1"/>
  <c r="Y196" i="1"/>
  <c r="Y195" i="1" s="1"/>
  <c r="Y199" i="1"/>
  <c r="Y171" i="1"/>
  <c r="X152" i="1"/>
  <c r="X47" i="1"/>
  <c r="Y223" i="1"/>
  <c r="X199" i="1"/>
  <c r="Y211" i="1"/>
  <c r="Y263" i="1"/>
  <c r="Y220" i="1"/>
  <c r="CH41" i="1"/>
  <c r="CH30" i="1"/>
  <c r="X195" i="1"/>
  <c r="JP19" i="4"/>
  <c r="CJ92" i="1" s="1"/>
  <c r="CH195" i="1"/>
  <c r="CI195" i="1" s="1"/>
  <c r="Z195" i="1"/>
  <c r="Y41" i="1"/>
  <c r="CL41" i="1"/>
  <c r="CM41" i="1" s="1"/>
  <c r="CJ239" i="1"/>
  <c r="CK113" i="1"/>
  <c r="Y30" i="1"/>
  <c r="X41" i="1"/>
  <c r="Y112" i="1"/>
  <c r="X30" i="1"/>
  <c r="Y32" i="1" s="1"/>
  <c r="X112" i="1"/>
  <c r="CJ145" i="1"/>
  <c r="CK145" i="1" s="1"/>
  <c r="Z148" i="1"/>
  <c r="CH145" i="1"/>
  <c r="CG41" i="1"/>
  <c r="CG30" i="1"/>
  <c r="X262" i="1"/>
  <c r="Z202" i="1"/>
  <c r="Z25" i="1"/>
  <c r="Y189" i="1"/>
  <c r="Y262" i="1"/>
  <c r="CH106" i="1"/>
  <c r="CH108" i="1" s="1"/>
  <c r="CI220" i="1"/>
  <c r="Y143" i="1"/>
  <c r="CK223" i="1"/>
  <c r="Z182" i="1"/>
  <c r="Z123" i="1" s="1"/>
  <c r="Z220" i="1"/>
  <c r="CJ113" i="1"/>
  <c r="CJ116" i="1" s="1"/>
  <c r="CH26" i="1"/>
  <c r="Z143" i="1"/>
  <c r="Z51" i="1"/>
  <c r="Z263" i="1"/>
  <c r="CH262" i="1"/>
  <c r="CH143" i="1"/>
  <c r="JP20" i="4"/>
  <c r="CJ93" i="1" s="1"/>
  <c r="Z30" i="1"/>
  <c r="AA32" i="1" s="1"/>
  <c r="AA25" i="1"/>
  <c r="AA202" i="1"/>
  <c r="AA263" i="1"/>
  <c r="AA220" i="1"/>
  <c r="AA219" i="1" s="1"/>
  <c r="Z211" i="1"/>
  <c r="AA211" i="1"/>
  <c r="AA212" i="1" s="1"/>
  <c r="AA213" i="1" s="1"/>
  <c r="CL198" i="1"/>
  <c r="CQ147" i="1"/>
  <c r="CR147" i="1" s="1"/>
  <c r="CS147" i="1" s="1"/>
  <c r="CT147" i="1" s="1"/>
  <c r="CJ198" i="1"/>
  <c r="CK198" i="1" s="1"/>
  <c r="KC19" i="4"/>
  <c r="Y152" i="1"/>
  <c r="CL116" i="1"/>
  <c r="KG20" i="4"/>
  <c r="Z262" i="1"/>
  <c r="X143" i="1"/>
  <c r="JX19" i="4"/>
  <c r="KE19" i="4"/>
  <c r="JU19" i="4"/>
  <c r="JV19" i="4"/>
  <c r="Z112" i="1"/>
  <c r="CK116" i="1"/>
  <c r="JT19" i="4"/>
  <c r="Z212" i="1"/>
  <c r="X182" i="1"/>
  <c r="X123" i="1" s="1"/>
  <c r="Z41" i="1"/>
  <c r="CK26" i="1"/>
  <c r="CK32" i="1"/>
  <c r="KB19" i="4"/>
  <c r="CJ106" i="1"/>
  <c r="CJ108" i="1" s="1"/>
  <c r="JV20" i="4"/>
  <c r="KB20" i="4"/>
  <c r="Y202" i="1"/>
  <c r="CL30" i="1"/>
  <c r="CL202" i="1"/>
  <c r="KH19" i="4"/>
  <c r="KD20" i="4"/>
  <c r="KE20" i="4"/>
  <c r="Z171" i="1"/>
  <c r="CJ26" i="1"/>
  <c r="CL26" i="1"/>
  <c r="Z199" i="1"/>
  <c r="Z198" i="1" s="1"/>
  <c r="JQ20" i="4"/>
  <c r="CK93" i="1" s="1"/>
  <c r="CK122" i="1" s="1"/>
  <c r="JU20" i="4"/>
  <c r="CL262" i="1"/>
  <c r="CL260" i="1"/>
  <c r="CL263" i="1"/>
  <c r="CL182" i="1"/>
  <c r="CL143" i="1"/>
  <c r="CL220" i="1"/>
  <c r="JQ19" i="4"/>
  <c r="CK92" i="1" s="1"/>
  <c r="CL25" i="1"/>
  <c r="KA19" i="4"/>
  <c r="CI30" i="1"/>
  <c r="CL239" i="1"/>
  <c r="CL258" i="1"/>
  <c r="JY19" i="4"/>
  <c r="CI41" i="1"/>
  <c r="CJ30" i="1"/>
  <c r="CJ31" i="1" s="1"/>
  <c r="JZ20" i="4"/>
  <c r="CL196" i="1"/>
  <c r="CL171" i="1"/>
  <c r="CL179" i="1" s="1"/>
  <c r="CH171" i="1"/>
  <c r="CI26" i="1"/>
  <c r="CH200" i="1"/>
  <c r="CH198" i="1"/>
  <c r="CI198" i="1" s="1"/>
  <c r="CI199" i="1" s="1"/>
  <c r="JW20" i="4"/>
  <c r="CJ260" i="1"/>
  <c r="JW19" i="4"/>
  <c r="KA20" i="4"/>
  <c r="KF20" i="4"/>
  <c r="JR20" i="4"/>
  <c r="CL93" i="1" s="1"/>
  <c r="CL122" i="1" s="1"/>
  <c r="CJ262" i="1"/>
  <c r="CJ143" i="1"/>
  <c r="JX20" i="4"/>
  <c r="JT20" i="4"/>
  <c r="KF19" i="4"/>
  <c r="CL121" i="1"/>
  <c r="KH20" i="4"/>
  <c r="CJ196" i="1"/>
  <c r="CJ195" i="1" s="1"/>
  <c r="CK195" i="1" s="1"/>
  <c r="CJ220" i="1"/>
  <c r="CJ263" i="1"/>
  <c r="CJ258" i="1"/>
  <c r="CK216" i="1"/>
  <c r="CJ171" i="1"/>
  <c r="CJ179" i="1" s="1"/>
  <c r="CH148" i="1"/>
  <c r="CH152" i="1" s="1"/>
  <c r="CM154" i="1"/>
  <c r="CM139" i="1"/>
  <c r="CK220" i="1"/>
  <c r="CK263" i="1"/>
  <c r="CI51" i="1"/>
  <c r="CH123" i="1"/>
  <c r="CH122" i="1"/>
  <c r="CI121" i="1"/>
  <c r="CH121" i="1"/>
  <c r="CI122" i="1"/>
  <c r="CN194" i="1"/>
  <c r="CO138" i="1"/>
  <c r="CN197" i="1"/>
  <c r="CN193" i="1"/>
  <c r="CY131" i="1"/>
  <c r="CY177" i="1"/>
  <c r="Y212" i="1" l="1"/>
  <c r="CK117" i="1"/>
  <c r="CL32" i="1"/>
  <c r="CI33" i="1"/>
  <c r="CL117" i="1"/>
  <c r="X31" i="1"/>
  <c r="CL33" i="1"/>
  <c r="CK42" i="1"/>
  <c r="CK31" i="1"/>
  <c r="Z42" i="1"/>
  <c r="Z31" i="1"/>
  <c r="CI145" i="1"/>
  <c r="CI148" i="1" s="1"/>
  <c r="Z152" i="1"/>
  <c r="AA217" i="1" s="1"/>
  <c r="AA215" i="1" s="1"/>
  <c r="Z47" i="1"/>
  <c r="X258" i="1"/>
  <c r="X260" i="1"/>
  <c r="X179" i="1"/>
  <c r="CH110" i="1"/>
  <c r="CG42" i="1"/>
  <c r="CG31" i="1"/>
  <c r="Y198" i="1"/>
  <c r="Y200" i="1"/>
  <c r="CH31" i="1"/>
  <c r="X198" i="1"/>
  <c r="X200" i="1"/>
  <c r="CH42" i="1"/>
  <c r="CJ121" i="1"/>
  <c r="CI196" i="1"/>
  <c r="CI160" i="1"/>
  <c r="Z32" i="1"/>
  <c r="Y31" i="1"/>
  <c r="Y42" i="1"/>
  <c r="CL180" i="1"/>
  <c r="Y260" i="1"/>
  <c r="Y258" i="1"/>
  <c r="X42" i="1"/>
  <c r="Y264" i="1" s="1"/>
  <c r="Y265" i="1" s="1"/>
  <c r="AC147" i="1"/>
  <c r="CU147" i="1"/>
  <c r="CV147" i="1" s="1"/>
  <c r="CW147" i="1" s="1"/>
  <c r="CX147" i="1" s="1"/>
  <c r="Y217" i="1"/>
  <c r="Y215" i="1" s="1"/>
  <c r="CK199" i="1"/>
  <c r="CH109" i="1"/>
  <c r="CJ42" i="1"/>
  <c r="CH33" i="1"/>
  <c r="CJ122" i="1"/>
  <c r="CJ118" i="1"/>
  <c r="CJ117" i="1"/>
  <c r="Y179" i="1"/>
  <c r="Y180" i="1" s="1"/>
  <c r="AA264" i="1"/>
  <c r="AA265" i="1" s="1"/>
  <c r="AA44" i="1"/>
  <c r="AA227" i="1"/>
  <c r="AA224" i="1"/>
  <c r="AA225" i="1" s="1"/>
  <c r="CJ33" i="1"/>
  <c r="X43" i="1"/>
  <c r="X126" i="1"/>
  <c r="CJ109" i="1"/>
  <c r="CJ110" i="1"/>
  <c r="X48" i="1"/>
  <c r="CK118" i="1"/>
  <c r="X180" i="1"/>
  <c r="Z200" i="1"/>
  <c r="CL200" i="1"/>
  <c r="CL203" i="1" s="1"/>
  <c r="CL195" i="1"/>
  <c r="CK121" i="1"/>
  <c r="CK33" i="1"/>
  <c r="CI166" i="1"/>
  <c r="CL42" i="1"/>
  <c r="CL31" i="1"/>
  <c r="CI31" i="1"/>
  <c r="CM31" i="1" s="1"/>
  <c r="CI42" i="1"/>
  <c r="CK126" i="1" s="1"/>
  <c r="CJ200" i="1"/>
  <c r="CL118" i="1"/>
  <c r="CJ180" i="1"/>
  <c r="Z264" i="1"/>
  <c r="Z265" i="1" s="1"/>
  <c r="X246" i="1"/>
  <c r="X247" i="1" s="1"/>
  <c r="Z246" i="1"/>
  <c r="Z247" i="1" s="1"/>
  <c r="Z126" i="1"/>
  <c r="Z43" i="1"/>
  <c r="Z48" i="1"/>
  <c r="Z52" i="1" s="1"/>
  <c r="CK48" i="1"/>
  <c r="CK52" i="1" s="1"/>
  <c r="CK43" i="1"/>
  <c r="CI47" i="1"/>
  <c r="CJ47" i="1"/>
  <c r="CI152" i="1"/>
  <c r="CM216" i="1"/>
  <c r="CN154" i="1"/>
  <c r="CY147" i="1"/>
  <c r="CZ147" i="1" s="1"/>
  <c r="DA147" i="1" s="1"/>
  <c r="DB147" i="1" s="1"/>
  <c r="AE147" i="1" s="1"/>
  <c r="CK196" i="1"/>
  <c r="CM198" i="1"/>
  <c r="CH43" i="1"/>
  <c r="CH48" i="1"/>
  <c r="CH52" i="1" s="1"/>
  <c r="CI45" i="1"/>
  <c r="CH246" i="1"/>
  <c r="CH247" i="1" s="1"/>
  <c r="CN139" i="1"/>
  <c r="CM142" i="1"/>
  <c r="CM263" i="1" s="1"/>
  <c r="CH124" i="1"/>
  <c r="CH125" i="1"/>
  <c r="CH260" i="1"/>
  <c r="CH179" i="1"/>
  <c r="CH180" i="1" s="1"/>
  <c r="CN41" i="1"/>
  <c r="CO41" i="1" s="1"/>
  <c r="CP138" i="1"/>
  <c r="CO193" i="1"/>
  <c r="CO194" i="1"/>
  <c r="CO197" i="1"/>
  <c r="CZ177" i="1"/>
  <c r="CZ131" i="1"/>
  <c r="CM59" i="1"/>
  <c r="CN59" i="1" s="1"/>
  <c r="CO59" i="1" s="1"/>
  <c r="CP59" i="1" s="1"/>
  <c r="CQ59" i="1" s="1"/>
  <c r="CR59" i="1" s="1"/>
  <c r="CS59" i="1" s="1"/>
  <c r="CT59" i="1" s="1"/>
  <c r="CU59" i="1" s="1"/>
  <c r="CM60" i="1"/>
  <c r="Y203" i="1" l="1"/>
  <c r="Y204" i="1" s="1"/>
  <c r="CK45" i="1"/>
  <c r="CK44" i="1"/>
  <c r="CG43" i="1"/>
  <c r="CG48" i="1"/>
  <c r="CG52" i="1" s="1"/>
  <c r="CG246" i="1"/>
  <c r="CG247" i="1" s="1"/>
  <c r="Z217" i="1"/>
  <c r="Z215" i="1" s="1"/>
  <c r="Z260" i="1"/>
  <c r="Z258" i="1"/>
  <c r="Z179" i="1"/>
  <c r="Z180" i="1" s="1"/>
  <c r="CH45" i="1"/>
  <c r="CH264" i="1"/>
  <c r="Y246" i="1"/>
  <c r="Y247" i="1" s="1"/>
  <c r="Y43" i="1"/>
  <c r="Y48" i="1"/>
  <c r="Y126" i="1"/>
  <c r="Z44" i="1"/>
  <c r="Y44" i="1"/>
  <c r="CI264" i="1"/>
  <c r="CI265" i="1" s="1"/>
  <c r="AD147" i="1"/>
  <c r="CK200" i="1"/>
  <c r="CJ246" i="1"/>
  <c r="CJ247" i="1" s="1"/>
  <c r="CJ43" i="1"/>
  <c r="CJ48" i="1"/>
  <c r="CJ52" i="1" s="1"/>
  <c r="X52" i="1"/>
  <c r="X69" i="1"/>
  <c r="Z203" i="1"/>
  <c r="Z204" i="1" s="1"/>
  <c r="AA203" i="1"/>
  <c r="AA204" i="1" s="1"/>
  <c r="CJ45" i="1"/>
  <c r="CJ126" i="1"/>
  <c r="CJ264" i="1"/>
  <c r="CJ265" i="1" s="1"/>
  <c r="CL264" i="1"/>
  <c r="CL265" i="1" s="1"/>
  <c r="CL246" i="1"/>
  <c r="CL247" i="1" s="1"/>
  <c r="CL48" i="1"/>
  <c r="CL52" i="1" s="1"/>
  <c r="CL43" i="1"/>
  <c r="CL45" i="1"/>
  <c r="CL44" i="1"/>
  <c r="CL126" i="1"/>
  <c r="CL240" i="1"/>
  <c r="CI48" i="1"/>
  <c r="CI52" i="1" s="1"/>
  <c r="CI246" i="1"/>
  <c r="CI247" i="1" s="1"/>
  <c r="CI43" i="1"/>
  <c r="CJ240" i="1"/>
  <c r="CK54" i="1"/>
  <c r="CK55" i="1"/>
  <c r="Z69" i="1"/>
  <c r="CN216" i="1"/>
  <c r="CO154" i="1"/>
  <c r="CP154" i="1" s="1"/>
  <c r="CP216" i="1" s="1"/>
  <c r="CJ217" i="1"/>
  <c r="CJ215" i="1" s="1"/>
  <c r="CI217" i="1"/>
  <c r="CI215" i="1" s="1"/>
  <c r="CN198" i="1"/>
  <c r="CM199" i="1"/>
  <c r="CH55" i="1"/>
  <c r="CH54" i="1"/>
  <c r="CM195" i="1"/>
  <c r="CO139" i="1"/>
  <c r="CN142" i="1"/>
  <c r="CN263" i="1" s="1"/>
  <c r="CM220" i="1"/>
  <c r="Z55" i="1"/>
  <c r="AA57" i="1" s="1"/>
  <c r="Z54" i="1"/>
  <c r="CP41" i="1"/>
  <c r="CQ41" i="1" s="1"/>
  <c r="CR41" i="1" s="1"/>
  <c r="CS41" i="1" s="1"/>
  <c r="CN31" i="1"/>
  <c r="CP197" i="1"/>
  <c r="CP194" i="1"/>
  <c r="CP193" i="1"/>
  <c r="CO216" i="1"/>
  <c r="CQ138" i="1"/>
  <c r="DA131" i="1"/>
  <c r="DA177" i="1"/>
  <c r="CE79" i="1"/>
  <c r="AB59" i="1"/>
  <c r="AC59" i="1"/>
  <c r="CV59" i="1"/>
  <c r="CW59" i="1" s="1"/>
  <c r="CX59" i="1" s="1"/>
  <c r="CY59" i="1" s="1"/>
  <c r="AB49" i="1"/>
  <c r="CN60" i="1"/>
  <c r="CO60" i="1" s="1"/>
  <c r="CP60" i="1" s="1"/>
  <c r="CQ60" i="1" s="1"/>
  <c r="CG55" i="1" l="1"/>
  <c r="CK57" i="1" s="1"/>
  <c r="CG54" i="1"/>
  <c r="Y52" i="1"/>
  <c r="Y69" i="1"/>
  <c r="CJ54" i="1"/>
  <c r="CJ55" i="1"/>
  <c r="CK58" i="1" s="1"/>
  <c r="X54" i="1"/>
  <c r="X55" i="1"/>
  <c r="CI55" i="1"/>
  <c r="CI54" i="1"/>
  <c r="CL55" i="1"/>
  <c r="CL54" i="1"/>
  <c r="CL57" i="1"/>
  <c r="CL58" i="1"/>
  <c r="CK56" i="1"/>
  <c r="CK62" i="1"/>
  <c r="CK146" i="1"/>
  <c r="CK208" i="1"/>
  <c r="CN199" i="1"/>
  <c r="CO198" i="1"/>
  <c r="CI58" i="1"/>
  <c r="CH62" i="1"/>
  <c r="CH56" i="1"/>
  <c r="CH259" i="1" s="1"/>
  <c r="CH248" i="1"/>
  <c r="CM196" i="1"/>
  <c r="CM200" i="1" s="1"/>
  <c r="CN195" i="1"/>
  <c r="CP139" i="1"/>
  <c r="CO142" i="1"/>
  <c r="CO263" i="1" s="1"/>
  <c r="CN220" i="1"/>
  <c r="Z62" i="1"/>
  <c r="Z56" i="1"/>
  <c r="Z259" i="1" s="1"/>
  <c r="Z248" i="1"/>
  <c r="CO31" i="1"/>
  <c r="CP31" i="1" s="1"/>
  <c r="CT41" i="1"/>
  <c r="CB79" i="1"/>
  <c r="BL79" i="1"/>
  <c r="CR138" i="1"/>
  <c r="CQ193" i="1"/>
  <c r="CQ197" i="1"/>
  <c r="CC79" i="1"/>
  <c r="CQ194" i="1"/>
  <c r="CQ154" i="1"/>
  <c r="CQ216" i="1" s="1"/>
  <c r="DB131" i="1"/>
  <c r="DB177" i="1"/>
  <c r="AL79" i="1"/>
  <c r="CF79" i="1"/>
  <c r="CD79" i="1"/>
  <c r="BY79" i="1"/>
  <c r="BZ79" i="1"/>
  <c r="CA79" i="1"/>
  <c r="AD59" i="1"/>
  <c r="AB60" i="1"/>
  <c r="CZ59" i="1"/>
  <c r="DA59" i="1" s="1"/>
  <c r="DB59" i="1" s="1"/>
  <c r="AE59" i="1" s="1"/>
  <c r="AC49" i="1"/>
  <c r="CR60" i="1"/>
  <c r="CS60" i="1" s="1"/>
  <c r="CT60" i="1" s="1"/>
  <c r="CU60" i="1" s="1"/>
  <c r="CJ241" i="1" l="1"/>
  <c r="CG56" i="1"/>
  <c r="CG259" i="1" s="1"/>
  <c r="CG248" i="1"/>
  <c r="CG62" i="1"/>
  <c r="CH58" i="1"/>
  <c r="CJ58" i="1"/>
  <c r="CJ56" i="1"/>
  <c r="CJ259" i="1" s="1"/>
  <c r="CJ248" i="1"/>
  <c r="CJ62" i="1"/>
  <c r="X248" i="1"/>
  <c r="X56" i="1"/>
  <c r="X259" i="1" s="1"/>
  <c r="CM54" i="1"/>
  <c r="CN54" i="1" s="1"/>
  <c r="Y55" i="1"/>
  <c r="Y54" i="1"/>
  <c r="Y57" i="1"/>
  <c r="X62" i="1"/>
  <c r="CK148" i="1"/>
  <c r="CL47" i="1" s="1"/>
  <c r="CM47" i="1" s="1"/>
  <c r="CN47" i="1" s="1"/>
  <c r="CO47" i="1" s="1"/>
  <c r="CP47" i="1" s="1"/>
  <c r="CQ47" i="1" s="1"/>
  <c r="CR47" i="1" s="1"/>
  <c r="CS47" i="1" s="1"/>
  <c r="CT47" i="1" s="1"/>
  <c r="CU47" i="1" s="1"/>
  <c r="CV47" i="1" s="1"/>
  <c r="CW47" i="1" s="1"/>
  <c r="CX47" i="1" s="1"/>
  <c r="CY47" i="1" s="1"/>
  <c r="CZ47" i="1" s="1"/>
  <c r="DA47" i="1" s="1"/>
  <c r="DB47" i="1" s="1"/>
  <c r="CL146" i="1"/>
  <c r="CL145" i="1" s="1"/>
  <c r="CL248" i="1"/>
  <c r="CL62" i="1"/>
  <c r="CL56" i="1"/>
  <c r="CL259" i="1" s="1"/>
  <c r="CL241" i="1"/>
  <c r="CI248" i="1"/>
  <c r="CI56" i="1"/>
  <c r="CI259" i="1" s="1"/>
  <c r="CI62" i="1"/>
  <c r="CK152" i="1"/>
  <c r="CJ68" i="1"/>
  <c r="CG207" i="1"/>
  <c r="CG209" i="1" s="1"/>
  <c r="CG66" i="1"/>
  <c r="CG80" i="1"/>
  <c r="CJ80" i="1"/>
  <c r="CJ207" i="1"/>
  <c r="CJ209" i="1" s="1"/>
  <c r="CJ66" i="1"/>
  <c r="CP198" i="1"/>
  <c r="CO199" i="1"/>
  <c r="CH207" i="1"/>
  <c r="CH209" i="1" s="1"/>
  <c r="CH80" i="1"/>
  <c r="CH66" i="1"/>
  <c r="CN196" i="1"/>
  <c r="CN200" i="1" s="1"/>
  <c r="CO195" i="1"/>
  <c r="CQ139" i="1"/>
  <c r="CP142" i="1"/>
  <c r="CP263" i="1" s="1"/>
  <c r="CO220" i="1"/>
  <c r="X207" i="1"/>
  <c r="X209" i="1" s="1"/>
  <c r="X66" i="1"/>
  <c r="X68" i="1"/>
  <c r="Z207" i="1"/>
  <c r="Z209" i="1" s="1"/>
  <c r="Z213" i="1" s="1"/>
  <c r="Z227" i="1" s="1"/>
  <c r="Z221" i="1"/>
  <c r="Z219" i="1" s="1"/>
  <c r="Z68" i="1"/>
  <c r="Z66" i="1"/>
  <c r="CO54" i="1"/>
  <c r="CP54" i="1" s="1"/>
  <c r="CU41" i="1"/>
  <c r="CQ31" i="1"/>
  <c r="CS138" i="1"/>
  <c r="CR154" i="1"/>
  <c r="CR216" i="1" s="1"/>
  <c r="CR194" i="1"/>
  <c r="CR197" i="1"/>
  <c r="CR193" i="1"/>
  <c r="CJ69" i="1"/>
  <c r="AC60" i="1"/>
  <c r="CV60" i="1"/>
  <c r="CW60" i="1" s="1"/>
  <c r="CX60" i="1" s="1"/>
  <c r="CY60" i="1" s="1"/>
  <c r="AD49" i="1"/>
  <c r="AT13" i="3"/>
  <c r="AZ6" i="3"/>
  <c r="AB5" i="6" a="1"/>
  <c r="AV26" i="3"/>
  <c r="EP11" i="4" a="1"/>
  <c r="EL13" i="4" a="1"/>
  <c r="AW13" i="3"/>
  <c r="AU8" i="3"/>
  <c r="AZ29" i="3"/>
  <c r="AV30" i="3"/>
  <c r="AZ22" i="3"/>
  <c r="AX15" i="3"/>
  <c r="AS35" i="3"/>
  <c r="AZ8" i="3"/>
  <c r="AW40" i="3"/>
  <c r="AT19" i="3"/>
  <c r="AZ5" i="3"/>
  <c r="ES15" i="4" a="1"/>
  <c r="AX14" i="3"/>
  <c r="AF40" i="3"/>
  <c r="AU19" i="3"/>
  <c r="H5" i="6" a="1"/>
  <c r="AY32" i="3"/>
  <c r="AV24" i="3"/>
  <c r="AS25" i="3"/>
  <c r="AO6" i="6" a="1"/>
  <c r="AF11" i="3"/>
  <c r="EV12" i="4" a="1"/>
  <c r="EP9" i="4" a="1"/>
  <c r="EW15" i="4" a="1"/>
  <c r="AS5" i="6" a="1"/>
  <c r="AV29" i="3"/>
  <c r="AU23" i="3"/>
  <c r="AT9" i="3"/>
  <c r="D6" i="6" a="1"/>
  <c r="AX6" i="6" a="1"/>
  <c r="AX17" i="3"/>
  <c r="AX16" i="3"/>
  <c r="EU14" i="4" a="1"/>
  <c r="AU6" i="6" a="1"/>
  <c r="AW9" i="3"/>
  <c r="AW35" i="3"/>
  <c r="AS27" i="3"/>
  <c r="AS10" i="3"/>
  <c r="AU45" i="3"/>
  <c r="E5" i="6" a="1"/>
  <c r="AV18" i="3"/>
  <c r="J5" i="6" a="1"/>
  <c r="AY9" i="3"/>
  <c r="AV33" i="3"/>
  <c r="AZ90" i="3"/>
  <c r="AZ62" i="3"/>
  <c r="AZ58" i="3"/>
  <c r="ES8" i="4" a="1"/>
  <c r="EM8" i="4" a="1"/>
  <c r="T6" i="6" a="1"/>
  <c r="AG6" i="6" a="1"/>
  <c r="EU8" i="4" a="1"/>
  <c r="AX18" i="3"/>
  <c r="AV31" i="3"/>
  <c r="ET5" i="4" a="1"/>
  <c r="AC5" i="6" a="1"/>
  <c r="AW26" i="3"/>
  <c r="AF38" i="3"/>
  <c r="EO7" i="4" a="1"/>
  <c r="AX39" i="3"/>
  <c r="AZ92" i="3"/>
  <c r="AV14" i="3"/>
  <c r="AS20" i="3"/>
  <c r="EV7" i="4" a="1"/>
  <c r="AF16" i="3"/>
  <c r="AW28" i="3"/>
  <c r="AU9" i="3"/>
  <c r="AX21" i="3"/>
  <c r="AU24" i="3"/>
  <c r="EW11" i="4" a="1"/>
  <c r="AY8" i="3"/>
  <c r="O6" i="6" a="1"/>
  <c r="EQ11" i="4" a="1"/>
  <c r="AU14" i="3"/>
  <c r="AU33" i="3"/>
  <c r="AW12" i="3"/>
  <c r="EQ7" i="4" a="1"/>
  <c r="EO15" i="4" a="1"/>
  <c r="AZ33" i="3"/>
  <c r="EV13" i="4" a="1"/>
  <c r="AS41" i="3"/>
  <c r="ER7" i="4" a="1"/>
  <c r="AW33" i="3"/>
  <c r="EQ8" i="4" a="1"/>
  <c r="AY13" i="3"/>
  <c r="EV14" i="4" a="1"/>
  <c r="ES14" i="4" a="1"/>
  <c r="AZ7" i="3"/>
  <c r="L5" i="6" a="1"/>
  <c r="AX10" i="3"/>
  <c r="AS17" i="3"/>
  <c r="AS45" i="3"/>
  <c r="AF41" i="3"/>
  <c r="AY38" i="3"/>
  <c r="AF23" i="3"/>
  <c r="AY20" i="3"/>
  <c r="AT16" i="3"/>
  <c r="AT45" i="3"/>
  <c r="AV5" i="3"/>
  <c r="AX20" i="3"/>
  <c r="AF5" i="3"/>
  <c r="AU11" i="3"/>
  <c r="EM16" i="4" a="1"/>
  <c r="EP14" i="4" a="1"/>
  <c r="ER9" i="4" a="1"/>
  <c r="AI6" i="6" a="1"/>
  <c r="AS12" i="3"/>
  <c r="AU25" i="3"/>
  <c r="AT8" i="3"/>
  <c r="AF31" i="3"/>
  <c r="Y5" i="6" a="1"/>
  <c r="AZ79" i="3"/>
  <c r="AV78" i="3"/>
  <c r="AZ74" i="3"/>
  <c r="AF89" i="3"/>
  <c r="AF90" i="3"/>
  <c r="AF75" i="3"/>
  <c r="AZ94" i="3"/>
  <c r="AF56" i="3"/>
  <c r="AV49" i="3"/>
  <c r="AZ88" i="3"/>
  <c r="AZ89" i="3"/>
  <c r="AZ48" i="3"/>
  <c r="AF82" i="3"/>
  <c r="EM15" i="4" a="1"/>
  <c r="AF42" i="3"/>
  <c r="AU16" i="3"/>
  <c r="AX5" i="6" a="1"/>
  <c r="AZ13" i="3"/>
  <c r="AV28" i="3"/>
  <c r="AS29" i="3"/>
  <c r="AU21" i="3"/>
  <c r="AF25" i="3"/>
  <c r="AW11" i="3"/>
  <c r="Z5" i="6" a="1"/>
  <c r="AU39" i="3"/>
  <c r="EO11" i="4" a="1"/>
  <c r="EP6" i="4" a="1"/>
  <c r="AR6" i="6" a="1"/>
  <c r="AL5" i="6" a="1"/>
  <c r="AF33" i="3"/>
  <c r="AV19" i="3"/>
  <c r="EN11" i="4" a="1"/>
  <c r="AV9" i="3"/>
  <c r="AX32" i="3"/>
  <c r="AV89" i="3"/>
  <c r="AF61" i="3"/>
  <c r="AF58" i="3"/>
  <c r="AV36" i="3"/>
  <c r="AS26" i="3"/>
  <c r="M6" i="6" a="1"/>
  <c r="AM5" i="6" a="1"/>
  <c r="EO12" i="4" a="1"/>
  <c r="ER8" i="4" a="1"/>
  <c r="AZ34" i="3"/>
  <c r="AU32" i="3"/>
  <c r="EM12" i="4" a="1"/>
  <c r="AU26" i="3"/>
  <c r="AW5" i="3"/>
  <c r="AR5" i="6" a="1"/>
  <c r="AX42" i="3"/>
  <c r="EN13" i="4" a="1"/>
  <c r="AW23" i="3"/>
  <c r="AU46" i="3"/>
  <c r="AX34" i="3"/>
  <c r="AS15" i="3"/>
  <c r="AF35" i="3"/>
  <c r="AV13" i="3"/>
  <c r="O5" i="6" a="1"/>
  <c r="AV32" i="3"/>
  <c r="AS30" i="3"/>
  <c r="AX28" i="3"/>
  <c r="AF18" i="3"/>
  <c r="EM13" i="4" a="1"/>
  <c r="AX26" i="3"/>
  <c r="AD6" i="6" a="1"/>
  <c r="V6" i="6" a="1"/>
  <c r="AK5" i="6" a="1"/>
  <c r="AW31" i="3"/>
  <c r="E6" i="6" a="1"/>
  <c r="AV39" i="3"/>
  <c r="AY26" i="3"/>
  <c r="AS24" i="3"/>
  <c r="EM11" i="4" a="1"/>
  <c r="AF13" i="3"/>
  <c r="AW32" i="3"/>
  <c r="AW29" i="3"/>
  <c r="AV38" i="3"/>
  <c r="EM9" i="4" a="1"/>
  <c r="AT20" i="3"/>
  <c r="AT41" i="3"/>
  <c r="AE5" i="6" a="1"/>
  <c r="AX23" i="3"/>
  <c r="AZ20" i="3"/>
  <c r="AV34" i="3"/>
  <c r="AZ11" i="3"/>
  <c r="AT5" i="6" a="1"/>
  <c r="AU27" i="3"/>
  <c r="AW55" i="3"/>
  <c r="AW74" i="3"/>
  <c r="AV96" i="3"/>
  <c r="AF66" i="3"/>
  <c r="AW57" i="3"/>
  <c r="AZ64" i="3"/>
  <c r="AZ80" i="3"/>
  <c r="AW94" i="3"/>
  <c r="AF87" i="3"/>
  <c r="AV69" i="3"/>
  <c r="AW78" i="3"/>
  <c r="AF68" i="3"/>
  <c r="AT36" i="3"/>
  <c r="AX38" i="3"/>
  <c r="AT28" i="3"/>
  <c r="EN15" i="4" a="1"/>
  <c r="AY40" i="3"/>
  <c r="U6" i="6" a="1"/>
  <c r="ET11" i="4" a="1"/>
  <c r="AT39" i="3"/>
  <c r="AW18" i="3"/>
  <c r="N6" i="6" a="1"/>
  <c r="AT14" i="3"/>
  <c r="AY24" i="3"/>
  <c r="AS46" i="3"/>
  <c r="AN5" i="6" a="1"/>
  <c r="AF28" i="3"/>
  <c r="AZ12" i="3"/>
  <c r="AZ55" i="3"/>
  <c r="AF59" i="3"/>
  <c r="AF88" i="3"/>
  <c r="AF69" i="3"/>
  <c r="AF86" i="3"/>
  <c r="AZ68" i="3"/>
  <c r="H6" i="6" a="1"/>
  <c r="AS21" i="3"/>
  <c r="EW7" i="4" a="1"/>
  <c r="ET6" i="4" a="1"/>
  <c r="ER13" i="4" a="1"/>
  <c r="AS7" i="3"/>
  <c r="AT6" i="3"/>
  <c r="Q5" i="6" a="1"/>
  <c r="AW15" i="3"/>
  <c r="AY33" i="3"/>
  <c r="AX46" i="3"/>
  <c r="AW6" i="6" a="1"/>
  <c r="AU18" i="3"/>
  <c r="AV27" i="3"/>
  <c r="AU34" i="3"/>
  <c r="AO5" i="6" a="1"/>
  <c r="AW19" i="3"/>
  <c r="EM7" i="4" a="1"/>
  <c r="AV37" i="3"/>
  <c r="AX29" i="3"/>
  <c r="AS9" i="3"/>
  <c r="AT23" i="3"/>
  <c r="AX8" i="3"/>
  <c r="AU10" i="3"/>
  <c r="AY25" i="3"/>
  <c r="AU5" i="3"/>
  <c r="C5" i="3"/>
  <c r="W5" i="6" a="1"/>
  <c r="ES7" i="4" a="1"/>
  <c r="EU11" i="4" a="1"/>
  <c r="AU22" i="3"/>
  <c r="AS8" i="3"/>
  <c r="AY41" i="3"/>
  <c r="Z6" i="6" a="1"/>
  <c r="EM6" i="4" a="1"/>
  <c r="AY17" i="3"/>
  <c r="AF20" i="3"/>
  <c r="AU37" i="3"/>
  <c r="AV45" i="3"/>
  <c r="ES9" i="4" a="1"/>
  <c r="EV5" i="4" a="1"/>
  <c r="AI5" i="6" a="1"/>
  <c r="EO14" i="4" a="1"/>
  <c r="EL16" i="4" a="1"/>
  <c r="AZ16" i="3"/>
  <c r="AX6" i="3"/>
  <c r="AT46" i="3"/>
  <c r="EM5" i="4" a="1"/>
  <c r="AV21" i="3"/>
  <c r="AT32" i="3"/>
  <c r="AF65" i="3"/>
  <c r="AU65" i="3"/>
  <c r="AW75" i="3"/>
  <c r="AW93" i="3"/>
  <c r="AU79" i="3"/>
  <c r="AZ72" i="3"/>
  <c r="AV86" i="3"/>
  <c r="AU89" i="3"/>
  <c r="AU86" i="3"/>
  <c r="C60" i="3"/>
  <c r="C84" i="3"/>
  <c r="AU96" i="3"/>
  <c r="AW58" i="3"/>
  <c r="C79" i="3"/>
  <c r="C83" i="3"/>
  <c r="C58" i="3"/>
  <c r="AW69" i="3"/>
  <c r="AW76" i="3"/>
  <c r="AU85" i="3"/>
  <c r="AV77" i="3"/>
  <c r="AV64" i="3"/>
  <c r="AU69" i="3"/>
  <c r="AV88" i="3"/>
  <c r="AV93" i="3"/>
  <c r="AZ60" i="3"/>
  <c r="AP5" i="3"/>
  <c r="ET9" i="4" a="1"/>
  <c r="EV15" i="4" a="1"/>
  <c r="AU28" i="3"/>
  <c r="AU30" i="3"/>
  <c r="AU29" i="3"/>
  <c r="EQ14" i="4" a="1"/>
  <c r="AV15" i="3"/>
  <c r="L6" i="6" a="1"/>
  <c r="AQ5" i="6" a="1"/>
  <c r="AK6" i="6" a="1"/>
  <c r="AS36" i="3"/>
  <c r="AX40" i="3"/>
  <c r="EU6" i="4" a="1"/>
  <c r="AW10" i="3"/>
  <c r="AX37" i="3"/>
  <c r="EL9" i="4" a="1"/>
  <c r="V5" i="6" a="1"/>
  <c r="EP8" i="4" a="1"/>
  <c r="AD5" i="6" a="1"/>
  <c r="AS16" i="3"/>
  <c r="AX11" i="3"/>
  <c r="EL11" i="4" a="1"/>
  <c r="AU36" i="3"/>
  <c r="AY19" i="3"/>
  <c r="ER11" i="4" a="1"/>
  <c r="AY28" i="3"/>
  <c r="ET15" i="4" a="1"/>
  <c r="AX27" i="3"/>
  <c r="EO6" i="4" a="1"/>
  <c r="AS6" i="3"/>
  <c r="ER6" i="4" a="1"/>
  <c r="AU41" i="3"/>
  <c r="AF10" i="3"/>
  <c r="AE6" i="6" a="1"/>
  <c r="AY42" i="3"/>
  <c r="J6" i="6" a="1"/>
  <c r="AF17" i="3"/>
  <c r="AT25" i="3"/>
  <c r="AZ45" i="3"/>
  <c r="AW41" i="3"/>
  <c r="I5" i="6" a="1"/>
  <c r="AV7" i="3"/>
  <c r="G6" i="6" a="1"/>
  <c r="EM14" i="4" a="1"/>
  <c r="ES16" i="4" a="1"/>
  <c r="AH6" i="6" a="1"/>
  <c r="AS5" i="3"/>
  <c r="AT42" i="3"/>
  <c r="AF6" i="3"/>
  <c r="AF26" i="3"/>
  <c r="EV16" i="4" a="1"/>
  <c r="R6" i="6" a="1"/>
  <c r="AS39" i="3"/>
  <c r="G5" i="6" a="1"/>
  <c r="EQ9" i="4" a="1"/>
  <c r="R5" i="6" a="1"/>
  <c r="AZ27" i="3"/>
  <c r="EP5" i="4" a="1"/>
  <c r="AF46" i="3"/>
  <c r="AT33" i="3"/>
  <c r="AF76" i="3"/>
  <c r="AZ77" i="3"/>
  <c r="AV71" i="3"/>
  <c r="AF70" i="3"/>
  <c r="C85" i="3"/>
  <c r="C81" i="3"/>
  <c r="AZ49" i="3"/>
  <c r="AS65" i="3"/>
  <c r="AU56" i="3"/>
  <c r="AU64" i="3"/>
  <c r="AF71" i="3"/>
  <c r="AU77" i="3"/>
  <c r="AZ82" i="3"/>
  <c r="AV81" i="3"/>
  <c r="AV70" i="3"/>
  <c r="AF95" i="3"/>
  <c r="AU81" i="3"/>
  <c r="EW5" i="4" a="1"/>
  <c r="AS79" i="3"/>
  <c r="C88" i="3"/>
  <c r="AU83" i="3"/>
  <c r="AU49" i="3"/>
  <c r="EW8" i="4" a="1"/>
  <c r="EU13" i="4" a="1"/>
  <c r="EN8" i="4" a="1"/>
  <c r="EU5" i="4" a="1"/>
  <c r="ER14" i="4" a="1"/>
  <c r="AS60" i="3"/>
  <c r="AZ59" i="3"/>
  <c r="AV85" i="3"/>
  <c r="EW13" i="4" a="1"/>
  <c r="AV46" i="3"/>
  <c r="EV8" i="4" a="1"/>
  <c r="AU31" i="3"/>
  <c r="AW95" i="3"/>
  <c r="AW96" i="3"/>
  <c r="AR7" i="3"/>
  <c r="AV17" i="3"/>
  <c r="AC6" i="6" a="1"/>
  <c r="AX12" i="3"/>
  <c r="AW62" i="3"/>
  <c r="AZ81" i="3"/>
  <c r="AW6" i="3"/>
  <c r="AY18" i="3"/>
  <c r="AF34" i="3"/>
  <c r="AT34" i="3"/>
  <c r="AT35" i="3"/>
  <c r="AF77" i="3"/>
  <c r="AW84" i="3"/>
  <c r="AV65" i="3"/>
  <c r="AZ85" i="3"/>
  <c r="EL7" i="4" a="1"/>
  <c r="ET8" i="4" a="1"/>
  <c r="AZ15" i="3"/>
  <c r="AY10" i="3"/>
  <c r="AT26" i="3"/>
  <c r="AS70" i="3"/>
  <c r="AW89" i="3"/>
  <c r="AF55" i="3"/>
  <c r="AZ93" i="3"/>
  <c r="EL6" i="4" a="1"/>
  <c r="AT17" i="3"/>
  <c r="AY15" i="3"/>
  <c r="EU16" i="4" a="1"/>
  <c r="AS34" i="3"/>
  <c r="AF47" i="3"/>
  <c r="EO5" i="4" a="1"/>
  <c r="EN12" i="4" a="1"/>
  <c r="ET14" i="4" a="1"/>
  <c r="P5" i="6" a="1"/>
  <c r="AW46" i="3"/>
  <c r="AV20" i="3"/>
  <c r="AZ73" i="3"/>
  <c r="C70" i="3"/>
  <c r="AS80" i="3"/>
  <c r="AX36" i="3"/>
  <c r="AW16" i="3"/>
  <c r="AP7" i="3"/>
  <c r="ER12" i="4" a="1"/>
  <c r="AU42" i="3"/>
  <c r="AX33" i="3"/>
  <c r="AT40" i="3"/>
  <c r="AF9" i="3"/>
  <c r="AT11" i="3"/>
  <c r="AF24" i="3"/>
  <c r="EO16" i="4" a="1"/>
  <c r="AZ36" i="3"/>
  <c r="AW37" i="3"/>
  <c r="AY14" i="3"/>
  <c r="EN7" i="4" a="1"/>
  <c r="EQ5" i="4" a="1"/>
  <c r="AY6" i="3"/>
  <c r="ES13" i="4" a="1"/>
  <c r="AG5" i="6" a="1"/>
  <c r="AY39" i="3"/>
  <c r="F6" i="6" a="1"/>
  <c r="AZ35" i="3"/>
  <c r="K5" i="6" a="1"/>
  <c r="AR5" i="3"/>
  <c r="AS11" i="3"/>
  <c r="AZ24" i="3"/>
  <c r="C62" i="3"/>
  <c r="AF74" i="3"/>
  <c r="AF63" i="3"/>
  <c r="C74" i="3"/>
  <c r="AZ91" i="3"/>
  <c r="C73" i="3"/>
  <c r="AW77" i="3"/>
  <c r="AZ67" i="3"/>
  <c r="AF57" i="3"/>
  <c r="AZ95" i="3"/>
  <c r="AV74" i="3"/>
  <c r="AU94" i="3"/>
  <c r="AU60" i="3"/>
  <c r="AS86" i="3"/>
  <c r="AF84" i="3"/>
  <c r="AS57" i="3"/>
  <c r="AW91" i="3"/>
  <c r="AF54" i="3"/>
  <c r="AS38" i="3"/>
  <c r="AT27" i="3"/>
  <c r="AF22" i="3"/>
  <c r="AV12" i="3"/>
  <c r="AY11" i="3"/>
  <c r="AY5" i="3"/>
  <c r="AF45" i="3"/>
  <c r="AP6" i="3"/>
  <c r="AA5" i="6" a="1"/>
  <c r="C67" i="3"/>
  <c r="C94" i="3"/>
  <c r="AZ61" i="3"/>
  <c r="AV58" i="3"/>
  <c r="AF67" i="3"/>
  <c r="C95" i="3"/>
  <c r="C55" i="3"/>
  <c r="AF30" i="3"/>
  <c r="AS14" i="3"/>
  <c r="EP13" i="4" a="1"/>
  <c r="AZ25" i="3"/>
  <c r="AV8" i="3"/>
  <c r="Y6" i="6" a="1"/>
  <c r="EP7" i="4" a="1"/>
  <c r="AW42" i="3"/>
  <c r="X6" i="6" a="1"/>
  <c r="AW38" i="3"/>
  <c r="AZ76" i="3"/>
  <c r="AU84" i="3"/>
  <c r="AZ83" i="3"/>
  <c r="AS18" i="3"/>
  <c r="AF37" i="3"/>
  <c r="AU7" i="3"/>
  <c r="AT24" i="3"/>
  <c r="AY74" i="3"/>
  <c r="AV57" i="3"/>
  <c r="AW66" i="3"/>
  <c r="AY79" i="3"/>
  <c r="AF93" i="3"/>
  <c r="AV42" i="3"/>
  <c r="AZ21" i="3"/>
  <c r="F45" i="3"/>
  <c r="F5" i="6" a="1"/>
  <c r="AS22" i="3"/>
  <c r="AF6" i="6" a="1"/>
  <c r="AY37" i="3"/>
  <c r="ES5" i="4" a="1"/>
  <c r="AS56" i="3"/>
  <c r="C59" i="3"/>
  <c r="AY54" i="3"/>
  <c r="AF83" i="3"/>
  <c r="AW71" i="3"/>
  <c r="AU50" i="3"/>
  <c r="AU48" i="3"/>
  <c r="AW20" i="3"/>
  <c r="EW14" i="4" a="1"/>
  <c r="AX30" i="3"/>
  <c r="AW39" i="3"/>
  <c r="AW17" i="3"/>
  <c r="AU93" i="3"/>
  <c r="AY64" i="3"/>
  <c r="AV35" i="3"/>
  <c r="AS6" i="6" a="1"/>
  <c r="AF15" i="3"/>
  <c r="AT29" i="3"/>
  <c r="AU15" i="3"/>
  <c r="AZ84" i="3"/>
  <c r="AU95" i="3"/>
  <c r="AS81" i="3"/>
  <c r="AW85" i="3"/>
  <c r="AW63" i="3"/>
  <c r="ER15" i="4" a="1"/>
  <c r="AS90" i="3"/>
  <c r="AU57" i="3"/>
  <c r="ET16" i="4" a="1"/>
  <c r="EP12" i="4" a="1"/>
  <c r="AY34" i="3"/>
  <c r="AL6" i="6" a="1"/>
  <c r="C5" i="6" a="1"/>
  <c r="AF39" i="3"/>
  <c r="C66" i="3"/>
  <c r="AU67" i="3"/>
  <c r="C63" i="3"/>
  <c r="AV5" i="6" a="1"/>
  <c r="AU13" i="3"/>
  <c r="EO8" i="4" a="1"/>
  <c r="AN6" i="6" a="1"/>
  <c r="AZ30" i="3"/>
  <c r="ET7" i="4" a="1"/>
  <c r="C6" i="6" a="1"/>
  <c r="EV6" i="4" a="1"/>
  <c r="EU9" i="4" a="1"/>
  <c r="F46" i="3"/>
  <c r="AT37" i="3"/>
  <c r="AS37" i="3"/>
  <c r="AZ42" i="3"/>
  <c r="AW14" i="3"/>
  <c r="EP16" i="4" a="1"/>
  <c r="AW21" i="3"/>
  <c r="AF5" i="6" a="1"/>
  <c r="AZ46" i="3"/>
  <c r="AX9" i="3"/>
  <c r="AM6" i="6" a="1"/>
  <c r="EO9" i="4" a="1"/>
  <c r="AU6" i="3"/>
  <c r="AT6" i="6" a="1"/>
  <c r="AU35" i="3"/>
  <c r="AZ10" i="3"/>
  <c r="AY35" i="3"/>
  <c r="AV59" i="3"/>
  <c r="AV62" i="3"/>
  <c r="AS82" i="3"/>
  <c r="C80" i="3"/>
  <c r="AU74" i="3"/>
  <c r="AU47" i="3"/>
  <c r="AS78" i="3"/>
  <c r="AY86" i="3"/>
  <c r="AW86" i="3"/>
  <c r="AW72" i="3"/>
  <c r="AF79" i="3"/>
  <c r="C72" i="3"/>
  <c r="AV82" i="3"/>
  <c r="C77" i="3"/>
  <c r="AX24" i="3"/>
  <c r="AF7" i="3"/>
  <c r="C6" i="4" a="1"/>
  <c r="P6" i="6" a="1"/>
  <c r="AQ6" i="6" a="1"/>
  <c r="AW34" i="3"/>
  <c r="AZ54" i="3"/>
  <c r="AY88" i="3"/>
  <c r="AZ87" i="3"/>
  <c r="AS55" i="3"/>
  <c r="AV76" i="3"/>
  <c r="AY75" i="3"/>
  <c r="AU78" i="3"/>
  <c r="AS67" i="3"/>
  <c r="AV11" i="3"/>
  <c r="ES6" i="4" a="1"/>
  <c r="AZ23" i="3"/>
  <c r="AW81" i="3"/>
  <c r="AY82" i="3"/>
  <c r="AS64" i="3"/>
  <c r="AY69" i="3"/>
  <c r="AF21" i="3"/>
  <c r="EU7" i="4" a="1"/>
  <c r="ET13" i="4" a="1"/>
  <c r="AY27" i="3"/>
  <c r="AF19" i="3"/>
  <c r="AU80" i="3"/>
  <c r="C87" i="3"/>
  <c r="EQ12" i="4" a="1"/>
  <c r="AF36" i="3"/>
  <c r="EQ13" i="4" a="1"/>
  <c r="AV48" i="3"/>
  <c r="AY71" i="3"/>
  <c r="AU92" i="3"/>
  <c r="AV68" i="3"/>
  <c r="AF94" i="3"/>
  <c r="AZ57" i="3"/>
  <c r="EL12" i="4" a="1"/>
  <c r="EQ15" i="4" a="1"/>
  <c r="AZ17" i="3"/>
  <c r="AZ41" i="3"/>
  <c r="AX31" i="3"/>
  <c r="AZ32" i="3"/>
  <c r="AR6" i="3"/>
  <c r="AV6" i="6" a="1"/>
  <c r="AZ50" i="3"/>
  <c r="AZ63" i="3"/>
  <c r="AT31" i="3"/>
  <c r="AY23" i="3"/>
  <c r="AV25" i="3"/>
  <c r="AY21" i="3"/>
  <c r="AY45" i="3"/>
  <c r="AZ9" i="3"/>
  <c r="AV54" i="3"/>
  <c r="AY50" i="3"/>
  <c r="AS96" i="3"/>
  <c r="AY6" i="6" a="1"/>
  <c r="S5" i="6" a="1"/>
  <c r="AV16" i="3"/>
  <c r="EW12" i="4" a="1"/>
  <c r="AW25" i="3"/>
  <c r="AF29" i="3"/>
  <c r="AU40" i="3"/>
  <c r="AV97" i="3"/>
  <c r="C97" i="3"/>
  <c r="AV63" i="3"/>
  <c r="AW80" i="3"/>
  <c r="AW67" i="3"/>
  <c r="AU58" i="3"/>
  <c r="AF62" i="3"/>
  <c r="AW54" i="3"/>
  <c r="AT5" i="3"/>
  <c r="AZ71" i="3"/>
  <c r="AS33" i="3"/>
  <c r="AH5" i="6" a="1"/>
  <c r="I6" i="6" a="1"/>
  <c r="M5" i="6" a="1"/>
  <c r="AF8" i="3"/>
  <c r="ET12" i="4" a="1"/>
  <c r="EW9" i="4" a="1"/>
  <c r="AW27" i="3"/>
  <c r="AB5" i="3"/>
  <c r="AT7" i="3"/>
  <c r="AW7" i="3"/>
  <c r="ER5" i="4" a="1"/>
  <c r="EW6" i="4" a="1"/>
  <c r="AZ38" i="3"/>
  <c r="EL14" i="4" a="1"/>
  <c r="ES12" i="4" a="1"/>
  <c r="AS31" i="3"/>
  <c r="AT21" i="3"/>
  <c r="AA6" i="6" a="1"/>
  <c r="T5" i="6" a="1"/>
  <c r="AX13" i="3"/>
  <c r="AW24" i="3"/>
  <c r="EN16" i="4" a="1"/>
  <c r="EL15" i="4" a="1"/>
  <c r="ES11" i="4" a="1"/>
  <c r="AW45" i="3"/>
  <c r="AW73" i="3"/>
  <c r="AZ65" i="3"/>
  <c r="C54" i="3"/>
  <c r="AF72" i="3"/>
  <c r="C90" i="3"/>
  <c r="AS85" i="3"/>
  <c r="AS93" i="3"/>
  <c r="AW90" i="3"/>
  <c r="AY58" i="3"/>
  <c r="AW49" i="3"/>
  <c r="AU70" i="3"/>
  <c r="AV84" i="3"/>
  <c r="AT58" i="3"/>
  <c r="AT59" i="3"/>
  <c r="C71" i="3"/>
  <c r="AS54" i="3"/>
  <c r="AF97" i="3"/>
  <c r="AF64" i="3"/>
  <c r="AV60" i="3"/>
  <c r="AF14" i="3"/>
  <c r="X5" i="6" a="1"/>
  <c r="AS23" i="3"/>
  <c r="AX7" i="3"/>
  <c r="EN9" i="4" a="1"/>
  <c r="EN6" i="4" a="1"/>
  <c r="EU15" i="4" a="1"/>
  <c r="AW36" i="3"/>
  <c r="AV41" i="3"/>
  <c r="AY46" i="3"/>
  <c r="AU5" i="6" a="1"/>
  <c r="AZ69" i="3"/>
  <c r="AP6" i="6" a="1"/>
  <c r="AX35" i="3"/>
  <c r="AS19" i="3"/>
  <c r="AV22" i="3"/>
  <c r="AT10" i="3"/>
  <c r="Q6" i="6" a="1"/>
  <c r="AS32" i="3"/>
  <c r="AW60" i="3"/>
  <c r="C65" i="3"/>
  <c r="AT72" i="3"/>
  <c r="AF81" i="3"/>
  <c r="AS75" i="3"/>
  <c r="AX45" i="3"/>
  <c r="AX41" i="3"/>
  <c r="AY7" i="3"/>
  <c r="AX22" i="3"/>
  <c r="AU20" i="3"/>
  <c r="AF27" i="3"/>
  <c r="AY12" i="3"/>
  <c r="EQ16" i="4" a="1"/>
  <c r="AT22" i="3"/>
  <c r="AZ47" i="3"/>
  <c r="AV72" i="3"/>
  <c r="AY85" i="3"/>
  <c r="C69" i="3"/>
  <c r="AV67" i="3"/>
  <c r="AF92" i="3"/>
  <c r="C68" i="3"/>
  <c r="AZ19" i="3"/>
  <c r="EP15" i="4" a="1"/>
  <c r="EO13" i="4" a="1"/>
  <c r="AX5" i="3"/>
  <c r="AU12" i="3"/>
  <c r="EQ6" i="4" a="1"/>
  <c r="AX25" i="3"/>
  <c r="AT30" i="3"/>
  <c r="EU12" i="4" a="1"/>
  <c r="AW5" i="6" a="1"/>
  <c r="AU62" i="3"/>
  <c r="C82" i="3"/>
  <c r="AF73" i="3"/>
  <c r="AY67" i="3"/>
  <c r="AY70" i="3"/>
  <c r="AV95" i="3"/>
  <c r="AY84" i="3"/>
  <c r="AV83" i="3"/>
  <c r="ER16" i="4" a="1"/>
  <c r="AZ75" i="3"/>
  <c r="AX71" i="3"/>
  <c r="AT83" i="3"/>
  <c r="AY90" i="3"/>
  <c r="AZ40" i="3"/>
  <c r="AZ14" i="3"/>
  <c r="AU17" i="3"/>
  <c r="AZ28" i="3"/>
  <c r="AW22" i="3"/>
  <c r="AZ97" i="3"/>
  <c r="C57" i="3"/>
  <c r="AX91" i="3"/>
  <c r="AY92" i="3"/>
  <c r="AY89" i="3"/>
  <c r="AS59" i="3"/>
  <c r="AY16" i="3"/>
  <c r="AZ18" i="3"/>
  <c r="AV40" i="3"/>
  <c r="U5" i="6" a="1"/>
  <c r="AT18" i="3"/>
  <c r="EN5" i="4" a="1"/>
  <c r="AZ56" i="3"/>
  <c r="AT48" i="3"/>
  <c r="AW87" i="3"/>
  <c r="AF60" i="3"/>
  <c r="AX73" i="3"/>
  <c r="AJ5" i="6" a="1"/>
  <c r="EN14" i="4" a="1"/>
  <c r="EL5" i="4" a="1"/>
  <c r="AS28" i="3"/>
  <c r="AY31" i="3"/>
  <c r="D5" i="6" a="1"/>
  <c r="AP5" i="6" a="1"/>
  <c r="C61" i="3"/>
  <c r="AV94" i="3"/>
  <c r="C64" i="3"/>
  <c r="AF91" i="3"/>
  <c r="AU54" i="3"/>
  <c r="AV61" i="3"/>
  <c r="C5" i="4" a="1"/>
  <c r="AY22" i="3"/>
  <c r="AW82" i="3"/>
  <c r="AV87" i="3"/>
  <c r="AU68" i="3"/>
  <c r="AZ37" i="3"/>
  <c r="N5" i="6" a="1"/>
  <c r="AW8" i="3"/>
  <c r="EW16" i="4" a="1"/>
  <c r="AS13" i="3"/>
  <c r="C76" i="3"/>
  <c r="W6" i="6" a="1"/>
  <c r="AV79" i="3"/>
  <c r="AT15" i="3"/>
  <c r="AW30" i="3"/>
  <c r="AY36" i="3"/>
  <c r="AY5" i="6" a="1"/>
  <c r="AT38" i="3"/>
  <c r="AS40" i="3"/>
  <c r="AV6" i="3"/>
  <c r="AV50" i="3"/>
  <c r="AW48" i="3"/>
  <c r="AZ70" i="3"/>
  <c r="AY91" i="3"/>
  <c r="AU87" i="3"/>
  <c r="AV80" i="3"/>
  <c r="AZ31" i="3"/>
  <c r="AV23" i="3"/>
  <c r="AF32" i="3"/>
  <c r="EV11" i="4" a="1"/>
  <c r="AJ6" i="6" a="1"/>
  <c r="AV75" i="3"/>
  <c r="C50" i="3"/>
  <c r="AZ96" i="3"/>
  <c r="AU76" i="3"/>
  <c r="K6" i="6" a="1"/>
  <c r="AY30" i="3"/>
  <c r="AU38" i="3"/>
  <c r="S6" i="6" a="1"/>
  <c r="AB6" i="6" a="1"/>
  <c r="AX19" i="3"/>
  <c r="EV9" i="4" a="1"/>
  <c r="AS77" i="3"/>
  <c r="AU66" i="3"/>
  <c r="C93" i="3"/>
  <c r="AY97" i="3"/>
  <c r="AS84" i="3"/>
  <c r="AZ78" i="3"/>
  <c r="AS62" i="3"/>
  <c r="AF12" i="3"/>
  <c r="AZ39" i="3"/>
  <c r="AT12" i="3"/>
  <c r="AZ26" i="3"/>
  <c r="EL8" i="4" a="1"/>
  <c r="AS42" i="3"/>
  <c r="AW47" i="3"/>
  <c r="AV47" i="3"/>
  <c r="AZ66" i="3"/>
  <c r="AS50" i="3"/>
  <c r="AF96" i="3"/>
  <c r="AW50" i="3"/>
  <c r="AZ86" i="3"/>
  <c r="AV91" i="3"/>
  <c r="AV92" i="3"/>
  <c r="AV66" i="3"/>
  <c r="AV73" i="3"/>
  <c r="AV56" i="3"/>
  <c r="AV55" i="3"/>
  <c r="AV90" i="3"/>
  <c r="AF80" i="3"/>
  <c r="AF85" i="3"/>
  <c r="AF49" i="3"/>
  <c r="AF78" i="3"/>
  <c r="AW70" i="3"/>
  <c r="AW79" i="3"/>
  <c r="AW56" i="3"/>
  <c r="AW68" i="3"/>
  <c r="AW92" i="3"/>
  <c r="AW83" i="3"/>
  <c r="AW97" i="3"/>
  <c r="AW61" i="3"/>
  <c r="AW88" i="3"/>
  <c r="AW64" i="3"/>
  <c r="AW65" i="3"/>
  <c r="AW59" i="3"/>
  <c r="AU97" i="3"/>
  <c r="AU90" i="3"/>
  <c r="AU61" i="3"/>
  <c r="AU63" i="3"/>
  <c r="AU82" i="3"/>
  <c r="AU73" i="3"/>
  <c r="AU72" i="3"/>
  <c r="AU55" i="3"/>
  <c r="AU71" i="3"/>
  <c r="AU91" i="3"/>
  <c r="AU88" i="3"/>
  <c r="AU75" i="3"/>
  <c r="AU59" i="3"/>
  <c r="C86" i="3"/>
  <c r="C56" i="3"/>
  <c r="C91" i="3"/>
  <c r="C75" i="3"/>
  <c r="C96" i="3"/>
  <c r="C89" i="3"/>
  <c r="C78" i="3"/>
  <c r="C92" i="3"/>
  <c r="AS69" i="3"/>
  <c r="AS71" i="3"/>
  <c r="AS66" i="3"/>
  <c r="AS73" i="3"/>
  <c r="AS94" i="3"/>
  <c r="AS76" i="3"/>
  <c r="AS48" i="3"/>
  <c r="AS91" i="3"/>
  <c r="AS61" i="3"/>
  <c r="AS72" i="3"/>
  <c r="AS83" i="3"/>
  <c r="AS92" i="3"/>
  <c r="AS74" i="3"/>
  <c r="AS88" i="3"/>
  <c r="AS63" i="3"/>
  <c r="AS58" i="3"/>
  <c r="AS95" i="3"/>
  <c r="AS89" i="3"/>
  <c r="AS68" i="3"/>
  <c r="AS87" i="3"/>
  <c r="AS97" i="3"/>
  <c r="AY57" i="3"/>
  <c r="AY94" i="3"/>
  <c r="AY68" i="3"/>
  <c r="AY76" i="3"/>
  <c r="AY81" i="3"/>
  <c r="AY55" i="3"/>
  <c r="AY56" i="3"/>
  <c r="AY87" i="3"/>
  <c r="AY49" i="3"/>
  <c r="AY80" i="3"/>
  <c r="AY62" i="3"/>
  <c r="AY93" i="3"/>
  <c r="AY63" i="3"/>
  <c r="AY72" i="3"/>
  <c r="AY60" i="3"/>
  <c r="AY59" i="3"/>
  <c r="AY78" i="3"/>
  <c r="AY65" i="3"/>
  <c r="AY96" i="3"/>
  <c r="AY83" i="3"/>
  <c r="AY95" i="3"/>
  <c r="AY73" i="3"/>
  <c r="AY48" i="3"/>
  <c r="AY61" i="3"/>
  <c r="AY77" i="3"/>
  <c r="AY47" i="3"/>
  <c r="AY66" i="3"/>
  <c r="AT96" i="3"/>
  <c r="AT63" i="3"/>
  <c r="AT55" i="3"/>
  <c r="AT57" i="3"/>
  <c r="AT71" i="3"/>
  <c r="AT67" i="3"/>
  <c r="AT54" i="3"/>
  <c r="AT80" i="3"/>
  <c r="AT68" i="3"/>
  <c r="AT75" i="3"/>
  <c r="AT60" i="3"/>
  <c r="AT64" i="3"/>
  <c r="AT56" i="3"/>
  <c r="AT47" i="3"/>
  <c r="AT69" i="3"/>
  <c r="AT82" i="3"/>
  <c r="AT89" i="3"/>
  <c r="AT95" i="3"/>
  <c r="AT70" i="3"/>
  <c r="AT93" i="3"/>
  <c r="AT90" i="3"/>
  <c r="AT86" i="3"/>
  <c r="AT77" i="3"/>
  <c r="AT92" i="3"/>
  <c r="AT73" i="3"/>
  <c r="AT49" i="3"/>
  <c r="AT78" i="3"/>
  <c r="AT79" i="3"/>
  <c r="AT88" i="3"/>
  <c r="AT61" i="3"/>
  <c r="AT91" i="3"/>
  <c r="AT62" i="3"/>
  <c r="AT65" i="3"/>
  <c r="AT74" i="3"/>
  <c r="AT97" i="3"/>
  <c r="AT76" i="3"/>
  <c r="AT81" i="3"/>
  <c r="AT84" i="3"/>
  <c r="AT85" i="3"/>
  <c r="AT50" i="3"/>
  <c r="AT94" i="3"/>
  <c r="AT66" i="3"/>
  <c r="AT87" i="3"/>
  <c r="AX96" i="3"/>
  <c r="AX74" i="3"/>
  <c r="AX86" i="3"/>
  <c r="AX50" i="3"/>
  <c r="AX79" i="3"/>
  <c r="AX84" i="3"/>
  <c r="AX87" i="3"/>
  <c r="AX88" i="3"/>
  <c r="AX67" i="3"/>
  <c r="AX48" i="3"/>
  <c r="AX81" i="3"/>
  <c r="AX66" i="3"/>
  <c r="AX47" i="3"/>
  <c r="AX63" i="3"/>
  <c r="AX78" i="3"/>
  <c r="AX60" i="3"/>
  <c r="AX83" i="3"/>
  <c r="AX70" i="3"/>
  <c r="AX80" i="3"/>
  <c r="AX56" i="3"/>
  <c r="AX68" i="3"/>
  <c r="AX72" i="3"/>
  <c r="AX49" i="3"/>
  <c r="AX94" i="3"/>
  <c r="AX75" i="3"/>
  <c r="AX82" i="3"/>
  <c r="AX92" i="3"/>
  <c r="AX59" i="3"/>
  <c r="AX85" i="3"/>
  <c r="AX76" i="3"/>
  <c r="AX62" i="3"/>
  <c r="AX54" i="3"/>
  <c r="AX90" i="3"/>
  <c r="AX58" i="3"/>
  <c r="AX69" i="3"/>
  <c r="AX64" i="3"/>
  <c r="AX89" i="3"/>
  <c r="AX55" i="3"/>
  <c r="AX65" i="3"/>
  <c r="AX95" i="3"/>
  <c r="AX61" i="3"/>
  <c r="AX93" i="3"/>
  <c r="AX57" i="3"/>
  <c r="AX77" i="3"/>
  <c r="AX97" i="3"/>
  <c r="Y62" i="1" l="1"/>
  <c r="Y56" i="1"/>
  <c r="Y259" i="1" s="1"/>
  <c r="Z57" i="1"/>
  <c r="Y248" i="1"/>
  <c r="CK217" i="1"/>
  <c r="CK215" i="1" s="1"/>
  <c r="CL217" i="1"/>
  <c r="CL215" i="1" s="1"/>
  <c r="CI133" i="1"/>
  <c r="CI134" i="1" s="1"/>
  <c r="CI66" i="1"/>
  <c r="CI80" i="1"/>
  <c r="CI207" i="1"/>
  <c r="CI209" i="1" s="1"/>
  <c r="CL207" i="1"/>
  <c r="CL209" i="1" s="1"/>
  <c r="CL80" i="1"/>
  <c r="CL66" i="1"/>
  <c r="CM145" i="1"/>
  <c r="CN145" i="1" s="1"/>
  <c r="CO145" i="1" s="1"/>
  <c r="CP145" i="1" s="1"/>
  <c r="CJ83" i="1"/>
  <c r="CJ99" i="1" s="1"/>
  <c r="CE60" i="1"/>
  <c r="BY65" i="1"/>
  <c r="BZ61" i="1"/>
  <c r="AV7" i="6" s="1"/>
  <c r="CB36" i="1"/>
  <c r="CF27" i="1"/>
  <c r="CF28" i="1"/>
  <c r="CF29" i="1"/>
  <c r="BY29" i="1"/>
  <c r="CC35" i="1"/>
  <c r="CB59" i="1"/>
  <c r="CA50" i="1"/>
  <c r="CB39" i="1"/>
  <c r="CF49" i="1"/>
  <c r="CC59" i="1"/>
  <c r="CA60" i="1"/>
  <c r="BL46" i="1"/>
  <c r="BL208" i="1" s="1"/>
  <c r="CF23" i="1"/>
  <c r="BY28" i="1"/>
  <c r="CF61" i="1"/>
  <c r="BY59" i="1"/>
  <c r="CA38" i="1"/>
  <c r="BZ60" i="1"/>
  <c r="CD22" i="1"/>
  <c r="CD245" i="1" s="1"/>
  <c r="CD49" i="1"/>
  <c r="AI7" i="6" s="1"/>
  <c r="JJ16" i="4" s="1"/>
  <c r="JJ21" i="4" s="1"/>
  <c r="CD91" i="1" s="1"/>
  <c r="AT7" i="6" s="1"/>
  <c r="CF34" i="1"/>
  <c r="BY27" i="1"/>
  <c r="AJ7" i="6" s="1"/>
  <c r="CD28" i="1"/>
  <c r="Q7" i="6" s="1"/>
  <c r="CC61" i="1"/>
  <c r="CA22" i="1"/>
  <c r="CA245" i="1" s="1"/>
  <c r="CF60" i="1"/>
  <c r="CB23" i="1"/>
  <c r="BZ39" i="1"/>
  <c r="CE27" i="1"/>
  <c r="CB22" i="1"/>
  <c r="CB245" i="1" s="1"/>
  <c r="BZ23" i="1"/>
  <c r="CC60" i="1"/>
  <c r="X7" i="6" s="1"/>
  <c r="F7" i="6" s="1"/>
  <c r="CA29" i="1"/>
  <c r="JK9" i="4" s="1"/>
  <c r="BZ59" i="1"/>
  <c r="AU7" i="6" s="1"/>
  <c r="BZ27" i="1"/>
  <c r="AQ7" i="6" s="1"/>
  <c r="AM7" i="6" s="1"/>
  <c r="CC53" i="1"/>
  <c r="CD23" i="1"/>
  <c r="CD24" i="1" s="1"/>
  <c r="BZ53" i="1"/>
  <c r="JM16" i="4" s="1"/>
  <c r="CC65" i="1"/>
  <c r="CD34" i="1"/>
  <c r="AA7" i="6" s="1"/>
  <c r="BZ28" i="1"/>
  <c r="CD35" i="1"/>
  <c r="JK16" i="4" s="1"/>
  <c r="JK21" i="4" s="1"/>
  <c r="CE91" i="1" s="1"/>
  <c r="BL23" i="1"/>
  <c r="BZ36" i="1"/>
  <c r="BZ34" i="1"/>
  <c r="AX7" i="6" s="1"/>
  <c r="R7" i="6" s="1"/>
  <c r="AB7" i="6" s="1"/>
  <c r="CE35" i="1"/>
  <c r="CE36" i="1"/>
  <c r="CD50" i="1"/>
  <c r="CE23" i="1"/>
  <c r="D7" i="6" s="1"/>
  <c r="CE29" i="1"/>
  <c r="AE7" i="6" s="1"/>
  <c r="CE22" i="1"/>
  <c r="BZ37" i="1"/>
  <c r="CE61" i="1"/>
  <c r="BL49" i="1"/>
  <c r="BL27" i="1"/>
  <c r="Z7" i="6" s="1"/>
  <c r="CF38" i="1"/>
  <c r="BL59" i="1"/>
  <c r="AF7" i="6" s="1"/>
  <c r="N7" i="6" s="1"/>
  <c r="CA49" i="1"/>
  <c r="CE28" i="1"/>
  <c r="CC36" i="1"/>
  <c r="E7" i="6" s="1"/>
  <c r="CB53" i="1"/>
  <c r="BL61" i="1"/>
  <c r="BL53" i="1"/>
  <c r="CD39" i="1"/>
  <c r="CB28" i="1"/>
  <c r="BY22" i="1"/>
  <c r="CC39" i="1"/>
  <c r="BY35" i="1"/>
  <c r="BL22" i="1"/>
  <c r="CF39" i="1"/>
  <c r="CF46" i="1"/>
  <c r="CF208" i="1" s="1"/>
  <c r="CA28" i="1"/>
  <c r="V7" i="6" s="1"/>
  <c r="CD27" i="1"/>
  <c r="P7" i="6" s="1"/>
  <c r="CC37" i="1"/>
  <c r="CE37" i="1"/>
  <c r="AD7" i="6" s="1"/>
  <c r="BZ65" i="1"/>
  <c r="AL7" i="6" s="1"/>
  <c r="CC50" i="1"/>
  <c r="CB50" i="1"/>
  <c r="AC7" i="6" s="1"/>
  <c r="AR7" i="6" s="1"/>
  <c r="CD61" i="1"/>
  <c r="BL29" i="1"/>
  <c r="CE46" i="1"/>
  <c r="CE208" i="1" s="1"/>
  <c r="CF65" i="1"/>
  <c r="AG7" i="6" s="1"/>
  <c r="AO7" i="6" s="1"/>
  <c r="S7" i="6" s="1"/>
  <c r="CA35" i="1"/>
  <c r="CF35" i="1"/>
  <c r="BL39" i="1"/>
  <c r="BY50" i="1"/>
  <c r="Y7" i="6" s="1"/>
  <c r="CE50" i="1"/>
  <c r="CD46" i="1"/>
  <c r="CE59" i="1"/>
  <c r="CA27" i="1"/>
  <c r="BL38" i="1"/>
  <c r="T7" i="6" s="1"/>
  <c r="JK8" i="4" s="1"/>
  <c r="BY39" i="1"/>
  <c r="CD29" i="1"/>
  <c r="BZ49" i="1"/>
  <c r="JL7" i="4" s="1"/>
  <c r="CB29" i="1"/>
  <c r="BY34" i="1"/>
  <c r="CE38" i="1"/>
  <c r="CD53" i="1"/>
  <c r="CF37" i="1"/>
  <c r="CB35" i="1"/>
  <c r="BL60" i="1"/>
  <c r="CD37" i="1"/>
  <c r="BZ29" i="1"/>
  <c r="U7" i="6" s="1"/>
  <c r="BY38" i="1"/>
  <c r="G7" i="6" s="1"/>
  <c r="BL28" i="1"/>
  <c r="AS7" i="6" s="1"/>
  <c r="CD59" i="1"/>
  <c r="CA23" i="1"/>
  <c r="CD60" i="1"/>
  <c r="CC29" i="1"/>
  <c r="CE39" i="1"/>
  <c r="BL50" i="1"/>
  <c r="CC49" i="1"/>
  <c r="CC28" i="1"/>
  <c r="CF50" i="1"/>
  <c r="JJ9" i="4" s="1"/>
  <c r="CC27" i="1"/>
  <c r="CA59" i="1"/>
  <c r="JM9" i="4" s="1"/>
  <c r="C7" i="6" s="1"/>
  <c r="CA36" i="1"/>
  <c r="BY46" i="1"/>
  <c r="BY208" i="1" s="1"/>
  <c r="BZ35" i="1"/>
  <c r="CE49" i="1"/>
  <c r="CD65" i="1"/>
  <c r="CA37" i="1"/>
  <c r="BY60" i="1"/>
  <c r="CA39" i="1"/>
  <c r="BY53" i="1"/>
  <c r="CD38" i="1"/>
  <c r="JL16" i="4" s="1"/>
  <c r="CB34" i="1"/>
  <c r="AW7" i="6" s="1"/>
  <c r="CB49" i="1"/>
  <c r="W7" i="6" s="1"/>
  <c r="CB46" i="1"/>
  <c r="CB208" i="1" s="1"/>
  <c r="O7" i="6" s="1"/>
  <c r="AK7" i="6" s="1"/>
  <c r="CA65" i="1"/>
  <c r="CA61" i="1"/>
  <c r="K7" i="6" s="1"/>
  <c r="CC22" i="1"/>
  <c r="CC245" i="1" s="1"/>
  <c r="CF53" i="1"/>
  <c r="BL36" i="1"/>
  <c r="AP7" i="6" s="1"/>
  <c r="L7" i="6" s="1"/>
  <c r="CC38" i="1"/>
  <c r="AN7" i="6" s="1"/>
  <c r="BZ50" i="1"/>
  <c r="CB38" i="1"/>
  <c r="CF36" i="1"/>
  <c r="CF59" i="1"/>
  <c r="CD36" i="1"/>
  <c r="BY37" i="1"/>
  <c r="BZ22" i="1"/>
  <c r="BZ245" i="1" s="1"/>
  <c r="I7" i="6" s="1"/>
  <c r="BZ46" i="1"/>
  <c r="BZ208" i="1" s="1"/>
  <c r="BL35" i="1"/>
  <c r="CE34" i="1"/>
  <c r="CA53" i="1"/>
  <c r="CA34" i="1"/>
  <c r="CC46" i="1"/>
  <c r="CC208" i="1" s="1"/>
  <c r="BY49" i="1"/>
  <c r="CC34" i="1"/>
  <c r="BL34" i="1"/>
  <c r="CB61" i="1"/>
  <c r="J7" i="6" s="1"/>
  <c r="CA46" i="1"/>
  <c r="CA208" i="1" s="1"/>
  <c r="CB60" i="1"/>
  <c r="CC23" i="1"/>
  <c r="CB65" i="1"/>
  <c r="BL65" i="1"/>
  <c r="M7" i="6" s="1"/>
  <c r="BY61" i="1"/>
  <c r="BY23" i="1"/>
  <c r="CF22" i="1"/>
  <c r="CE65" i="1"/>
  <c r="AY7" i="6" s="1"/>
  <c r="JL9" i="4" s="1"/>
  <c r="JL21" i="4" s="1"/>
  <c r="CF91" i="1" s="1"/>
  <c r="BY36" i="1"/>
  <c r="BZ38" i="1"/>
  <c r="CB37" i="1"/>
  <c r="BL37" i="1"/>
  <c r="H7" i="6" s="1"/>
  <c r="CK80" i="1"/>
  <c r="CK66" i="1"/>
  <c r="CK83" i="1"/>
  <c r="CK99" i="1" s="1"/>
  <c r="CP199" i="1"/>
  <c r="CQ198" i="1"/>
  <c r="CO196" i="1"/>
  <c r="CO200" i="1" s="1"/>
  <c r="CP195" i="1"/>
  <c r="CR139" i="1"/>
  <c r="CQ142" i="1"/>
  <c r="CQ263" i="1" s="1"/>
  <c r="CP220" i="1"/>
  <c r="BZ139" i="1"/>
  <c r="CA139" i="1" s="1"/>
  <c r="BL87" i="1"/>
  <c r="CF88" i="1"/>
  <c r="CB160" i="1"/>
  <c r="CC160" i="1" s="1"/>
  <c r="CD167" i="1"/>
  <c r="CB178" i="1"/>
  <c r="CC178" i="1" s="1"/>
  <c r="BL138" i="1"/>
  <c r="BM138" i="1" s="1"/>
  <c r="CD147" i="1"/>
  <c r="CD138" i="1"/>
  <c r="CE138" i="1" s="1"/>
  <c r="CF141" i="1"/>
  <c r="CG141" i="1" s="1"/>
  <c r="CB141" i="1"/>
  <c r="CC141" i="1" s="1"/>
  <c r="CB166" i="1"/>
  <c r="CC166" i="1" s="1"/>
  <c r="CB158" i="1"/>
  <c r="BZ167" i="1"/>
  <c r="BZ178" i="1"/>
  <c r="CA178" i="1" s="1"/>
  <c r="BZ168" i="1"/>
  <c r="CA168" i="1" s="1"/>
  <c r="BZ174" i="1"/>
  <c r="BZ164" i="1"/>
  <c r="CA164" i="1" s="1"/>
  <c r="BZ146" i="1"/>
  <c r="BL159" i="1"/>
  <c r="BL167" i="1"/>
  <c r="BL136" i="1"/>
  <c r="BM136" i="1" s="1"/>
  <c r="CA87" i="1"/>
  <c r="CF87" i="1"/>
  <c r="CF160" i="1"/>
  <c r="CG160" i="1" s="1"/>
  <c r="CF147" i="1"/>
  <c r="CB88" i="1"/>
  <c r="CF158" i="1"/>
  <c r="CF136" i="1"/>
  <c r="CG136" i="1" s="1"/>
  <c r="CB163" i="1"/>
  <c r="CC163" i="1" s="1"/>
  <c r="CF178" i="1"/>
  <c r="CG178" i="1" s="1"/>
  <c r="CB139" i="1"/>
  <c r="CC139" i="1" s="1"/>
  <c r="CB177" i="1"/>
  <c r="CC177" i="1" s="1"/>
  <c r="CD88" i="1"/>
  <c r="CB173" i="1"/>
  <c r="CD159" i="1"/>
  <c r="CD136" i="1"/>
  <c r="CE136" i="1" s="1"/>
  <c r="BL139" i="1"/>
  <c r="CD145" i="1"/>
  <c r="CD165" i="1"/>
  <c r="CE165" i="1" s="1"/>
  <c r="CD173" i="1"/>
  <c r="CD156" i="1"/>
  <c r="CE156" i="1" s="1"/>
  <c r="CF154" i="1"/>
  <c r="CF140" i="1"/>
  <c r="CG140" i="1" s="1"/>
  <c r="CB156" i="1"/>
  <c r="CC156" i="1" s="1"/>
  <c r="BL168" i="1"/>
  <c r="BM168" i="1" s="1"/>
  <c r="BL177" i="1"/>
  <c r="BM177" i="1" s="1"/>
  <c r="BL178" i="1"/>
  <c r="CB140" i="1"/>
  <c r="CC140" i="1" s="1"/>
  <c r="CE88" i="1"/>
  <c r="BZ173" i="1"/>
  <c r="BZ177" i="1"/>
  <c r="CA177" i="1" s="1"/>
  <c r="BZ133" i="1"/>
  <c r="BZ141" i="1"/>
  <c r="CA141" i="1" s="1"/>
  <c r="CF159" i="1"/>
  <c r="CF146" i="1"/>
  <c r="CF163" i="1"/>
  <c r="CB133" i="1"/>
  <c r="CB159" i="1"/>
  <c r="CD174" i="1"/>
  <c r="CD166" i="1"/>
  <c r="CE166" i="1" s="1"/>
  <c r="CB87" i="1"/>
  <c r="BZ169" i="1"/>
  <c r="CA169" i="1" s="1"/>
  <c r="BZ147" i="1"/>
  <c r="BZ131" i="1"/>
  <c r="BZ161" i="1"/>
  <c r="CA161" i="1" s="1"/>
  <c r="BZ88" i="1"/>
  <c r="BZ138" i="1"/>
  <c r="CA138" i="1" s="1"/>
  <c r="BZ140" i="1"/>
  <c r="CA140" i="1" s="1"/>
  <c r="BZ156" i="1"/>
  <c r="CA156" i="1" s="1"/>
  <c r="BZ145" i="1"/>
  <c r="BL147" i="1"/>
  <c r="BL163" i="1"/>
  <c r="BM163" i="1" s="1"/>
  <c r="CF138" i="1"/>
  <c r="CF167" i="1"/>
  <c r="CD168" i="1"/>
  <c r="CE168" i="1" s="1"/>
  <c r="CF168" i="1"/>
  <c r="CG168" i="1" s="1"/>
  <c r="CB145" i="1"/>
  <c r="CB168" i="1"/>
  <c r="CC168" i="1" s="1"/>
  <c r="BY88" i="1"/>
  <c r="CD177" i="1"/>
  <c r="CE177" i="1" s="1"/>
  <c r="CD149" i="1"/>
  <c r="CE149" i="1" s="1"/>
  <c r="BL174" i="1"/>
  <c r="CB167" i="1"/>
  <c r="CB132" i="1"/>
  <c r="CC132" i="1" s="1"/>
  <c r="BL164" i="1"/>
  <c r="BM164" i="1" s="1"/>
  <c r="CD141" i="1"/>
  <c r="CE141" i="1" s="1"/>
  <c r="CD161" i="1"/>
  <c r="CE161" i="1" s="1"/>
  <c r="CD133" i="1"/>
  <c r="CD160" i="1"/>
  <c r="CE160" i="1" s="1"/>
  <c r="CD169" i="1"/>
  <c r="CE169" i="1" s="1"/>
  <c r="CD154" i="1"/>
  <c r="CE154" i="1" s="1"/>
  <c r="CF131" i="1"/>
  <c r="CF132" i="1"/>
  <c r="CG132" i="1" s="1"/>
  <c r="CF165" i="1"/>
  <c r="CG165" i="1" s="1"/>
  <c r="CF177" i="1"/>
  <c r="CG177" i="1" s="1"/>
  <c r="CB174" i="1"/>
  <c r="CB154" i="1"/>
  <c r="AI88" i="1"/>
  <c r="BL161" i="1"/>
  <c r="BM161" i="1" s="1"/>
  <c r="BL149" i="1"/>
  <c r="BM149" i="1" s="1"/>
  <c r="BL140" i="1"/>
  <c r="BM140" i="1" s="1"/>
  <c r="CB138" i="1"/>
  <c r="CC138" i="1" s="1"/>
  <c r="BL160" i="1"/>
  <c r="BM160" i="1" s="1"/>
  <c r="BZ149" i="1"/>
  <c r="CA149" i="1" s="1"/>
  <c r="BZ87" i="1"/>
  <c r="BL166" i="1"/>
  <c r="BM166" i="1" s="1"/>
  <c r="CB146" i="1"/>
  <c r="CF161" i="1"/>
  <c r="CG161" i="1" s="1"/>
  <c r="CB161" i="1"/>
  <c r="CC161" i="1" s="1"/>
  <c r="CD87" i="1"/>
  <c r="CC88" i="1"/>
  <c r="CD132" i="1"/>
  <c r="CE132" i="1" s="1"/>
  <c r="BL133" i="1"/>
  <c r="CD139" i="1"/>
  <c r="CE139" i="1" s="1"/>
  <c r="CF173" i="1"/>
  <c r="CF166" i="1"/>
  <c r="CG166" i="1" s="1"/>
  <c r="CE87" i="1"/>
  <c r="BZ159" i="1"/>
  <c r="BZ136" i="1"/>
  <c r="CA136" i="1" s="1"/>
  <c r="BZ158" i="1"/>
  <c r="BZ132" i="1"/>
  <c r="CA132" i="1" s="1"/>
  <c r="BZ163" i="1"/>
  <c r="BZ165" i="1"/>
  <c r="CA165" i="1" s="1"/>
  <c r="BZ160" i="1"/>
  <c r="CA160" i="1" s="1"/>
  <c r="BZ154" i="1"/>
  <c r="CA154" i="1" s="1"/>
  <c r="BZ166" i="1"/>
  <c r="CA166" i="1" s="1"/>
  <c r="BL169" i="1"/>
  <c r="BM169" i="1" s="1"/>
  <c r="BL158" i="1"/>
  <c r="BL145" i="1"/>
  <c r="BL146" i="1"/>
  <c r="CA88" i="1"/>
  <c r="CF169" i="1"/>
  <c r="CG169" i="1" s="1"/>
  <c r="CF164" i="1"/>
  <c r="CG164" i="1" s="1"/>
  <c r="CF174" i="1"/>
  <c r="CB131" i="1"/>
  <c r="CC131" i="1" s="1"/>
  <c r="CF145" i="1"/>
  <c r="CF133" i="1"/>
  <c r="CG133" i="1" s="1"/>
  <c r="CF139" i="1"/>
  <c r="CG139" i="1" s="1"/>
  <c r="CD140" i="1"/>
  <c r="CE140" i="1" s="1"/>
  <c r="CB169" i="1"/>
  <c r="CC169" i="1" s="1"/>
  <c r="CB149" i="1"/>
  <c r="CC149" i="1" s="1"/>
  <c r="CB165" i="1"/>
  <c r="CC165" i="1" s="1"/>
  <c r="CD131" i="1"/>
  <c r="BL154" i="1"/>
  <c r="CB147" i="1"/>
  <c r="BL141" i="1"/>
  <c r="BM141" i="1" s="1"/>
  <c r="CD146" i="1"/>
  <c r="CD158" i="1"/>
  <c r="CD164" i="1"/>
  <c r="CE164" i="1" s="1"/>
  <c r="CD163" i="1"/>
  <c r="CE163" i="1" s="1"/>
  <c r="CD178" i="1"/>
  <c r="CE178" i="1" s="1"/>
  <c r="CF149" i="1"/>
  <c r="CG149" i="1" s="1"/>
  <c r="CF156" i="1"/>
  <c r="CG156" i="1" s="1"/>
  <c r="CC87" i="1"/>
  <c r="CB164" i="1"/>
  <c r="CC164" i="1" s="1"/>
  <c r="CB136" i="1"/>
  <c r="CC136" i="1" s="1"/>
  <c r="BL173" i="1"/>
  <c r="BL131" i="1"/>
  <c r="BM131" i="1" s="1"/>
  <c r="BL165" i="1"/>
  <c r="BM165" i="1" s="1"/>
  <c r="BL156" i="1"/>
  <c r="BM156" i="1" s="1"/>
  <c r="BL132" i="1"/>
  <c r="BM132" i="1" s="1"/>
  <c r="CB151" i="1"/>
  <c r="CC151" i="1" s="1"/>
  <c r="CF151" i="1"/>
  <c r="CG151" i="1" s="1"/>
  <c r="CD151" i="1"/>
  <c r="CE151" i="1" s="1"/>
  <c r="BL151" i="1"/>
  <c r="BM151" i="1" s="1"/>
  <c r="BZ151" i="1"/>
  <c r="CA151" i="1" s="1"/>
  <c r="BL157" i="1"/>
  <c r="CD157" i="1"/>
  <c r="CB157" i="1"/>
  <c r="CF157" i="1"/>
  <c r="BZ157" i="1"/>
  <c r="Z224" i="1"/>
  <c r="Z225" i="1" s="1"/>
  <c r="JL14" i="4"/>
  <c r="CQ54" i="1"/>
  <c r="CR54" i="1" s="1"/>
  <c r="CR31" i="1"/>
  <c r="CS31" i="1" s="1"/>
  <c r="CV41" i="1"/>
  <c r="CS194" i="1"/>
  <c r="CS197" i="1"/>
  <c r="CS154" i="1"/>
  <c r="CS216" i="1" s="1"/>
  <c r="CS193" i="1"/>
  <c r="CT138" i="1"/>
  <c r="AD60" i="1"/>
  <c r="CZ60" i="1"/>
  <c r="DA60" i="1" s="1"/>
  <c r="DB60" i="1" s="1"/>
  <c r="AE49" i="1"/>
  <c r="U22" i="1"/>
  <c r="V22" i="1"/>
  <c r="W22" i="1"/>
  <c r="CD267" i="1" l="1"/>
  <c r="AH7" i="6" s="1"/>
  <c r="CD197" i="1"/>
  <c r="CE197" i="1" s="1"/>
  <c r="Y66" i="1"/>
  <c r="Y68" i="1"/>
  <c r="Y221" i="1"/>
  <c r="Y219" i="1" s="1"/>
  <c r="Y207" i="1"/>
  <c r="Y209" i="1" s="1"/>
  <c r="Y213" i="1" s="1"/>
  <c r="Y227" i="1" s="1"/>
  <c r="CD266" i="1"/>
  <c r="CF193" i="1"/>
  <c r="CG193" i="1" s="1"/>
  <c r="CG158" i="1" s="1"/>
  <c r="CD194" i="1"/>
  <c r="CE194" i="1" s="1"/>
  <c r="CF197" i="1"/>
  <c r="CG197" i="1" s="1"/>
  <c r="CG167" i="1" s="1"/>
  <c r="CI112" i="1"/>
  <c r="CI113" i="1" s="1"/>
  <c r="CI116" i="1" s="1"/>
  <c r="CF245" i="1"/>
  <c r="CD193" i="1"/>
  <c r="CE193" i="1" s="1"/>
  <c r="CL83" i="1"/>
  <c r="JM14" i="4"/>
  <c r="CJ100" i="1"/>
  <c r="CJ101" i="1"/>
  <c r="JJ7" i="4"/>
  <c r="CQ145" i="1"/>
  <c r="CR145" i="1" s="1"/>
  <c r="CS145" i="1" s="1"/>
  <c r="CT145" i="1" s="1"/>
  <c r="AB145" i="1"/>
  <c r="JL8" i="4"/>
  <c r="JM15" i="4"/>
  <c r="JJ15" i="4"/>
  <c r="JJ20" i="4" s="1"/>
  <c r="CD93" i="1" s="1"/>
  <c r="CD122" i="1" s="1"/>
  <c r="CE267" i="1"/>
  <c r="BZ267" i="1"/>
  <c r="CJ221" i="1"/>
  <c r="CJ219" i="1" s="1"/>
  <c r="CI221" i="1"/>
  <c r="CI219" i="1" s="1"/>
  <c r="CI106" i="1"/>
  <c r="CI143" i="1"/>
  <c r="CE40" i="1"/>
  <c r="CH112" i="1"/>
  <c r="CH113" i="1" s="1"/>
  <c r="CF266" i="1"/>
  <c r="BZ197" i="1"/>
  <c r="CA197" i="1" s="1"/>
  <c r="CB266" i="1"/>
  <c r="BZ194" i="1"/>
  <c r="CA194" i="1" s="1"/>
  <c r="BZ193" i="1"/>
  <c r="CA193" i="1" s="1"/>
  <c r="CF24" i="1"/>
  <c r="BZ24" i="1"/>
  <c r="CD25" i="1" s="1"/>
  <c r="BL40" i="1"/>
  <c r="CA267" i="1"/>
  <c r="CD30" i="1"/>
  <c r="CH32" i="1" s="1"/>
  <c r="CB112" i="1"/>
  <c r="CB113" i="1" s="1"/>
  <c r="CB40" i="1"/>
  <c r="CD40" i="1"/>
  <c r="CD41" i="1" s="1"/>
  <c r="CC40" i="1"/>
  <c r="CE266" i="1"/>
  <c r="BY267" i="1"/>
  <c r="BL267" i="1"/>
  <c r="CF194" i="1"/>
  <c r="CG194" i="1" s="1"/>
  <c r="CG159" i="1" s="1"/>
  <c r="BY40" i="1"/>
  <c r="JJ14" i="4"/>
  <c r="CE24" i="1"/>
  <c r="BL24" i="1"/>
  <c r="BL30" i="1" s="1"/>
  <c r="CF40" i="1"/>
  <c r="CE245" i="1"/>
  <c r="CB194" i="1"/>
  <c r="CC194" i="1" s="1"/>
  <c r="BL266" i="1"/>
  <c r="JK14" i="4"/>
  <c r="JM7" i="4"/>
  <c r="JK7" i="4"/>
  <c r="CC112" i="1"/>
  <c r="CC113" i="1" s="1"/>
  <c r="CB197" i="1"/>
  <c r="CC197" i="1" s="1"/>
  <c r="CB24" i="1"/>
  <c r="CB30" i="1" s="1"/>
  <c r="CB31" i="1" s="1"/>
  <c r="CG112" i="1"/>
  <c r="CG113" i="1" s="1"/>
  <c r="CB267" i="1"/>
  <c r="BL194" i="1"/>
  <c r="BM194" i="1" s="1"/>
  <c r="CA40" i="1"/>
  <c r="BZ266" i="1"/>
  <c r="JK15" i="4"/>
  <c r="JJ8" i="4"/>
  <c r="JM8" i="4"/>
  <c r="BZ40" i="1"/>
  <c r="JM21" i="4"/>
  <c r="CG91" i="1" s="1"/>
  <c r="JL15" i="4"/>
  <c r="CA266" i="1"/>
  <c r="CF267" i="1"/>
  <c r="CD208" i="1"/>
  <c r="CC24" i="1"/>
  <c r="CC30" i="1" s="1"/>
  <c r="CC33" i="1" s="1"/>
  <c r="CB193" i="1"/>
  <c r="CC193" i="1" s="1"/>
  <c r="BY24" i="1"/>
  <c r="BY30" i="1" s="1"/>
  <c r="CF112" i="1"/>
  <c r="CF113" i="1" s="1"/>
  <c r="CF116" i="1" s="1"/>
  <c r="CD112" i="1"/>
  <c r="CD113" i="1" s="1"/>
  <c r="CD116" i="1" s="1"/>
  <c r="CC266" i="1"/>
  <c r="BY266" i="1"/>
  <c r="CE112" i="1"/>
  <c r="CE113" i="1" s="1"/>
  <c r="CE116" i="1" s="1"/>
  <c r="CC267" i="1"/>
  <c r="CA24" i="1"/>
  <c r="CA30" i="1" s="1"/>
  <c r="CA31" i="1" s="1"/>
  <c r="BL193" i="1"/>
  <c r="BM193" i="1" s="1"/>
  <c r="BL197" i="1"/>
  <c r="BM197" i="1" s="1"/>
  <c r="CK101" i="1"/>
  <c r="CK100" i="1"/>
  <c r="CR198" i="1"/>
  <c r="CQ199" i="1"/>
  <c r="CP196" i="1"/>
  <c r="CP200" i="1" s="1"/>
  <c r="CQ195" i="1"/>
  <c r="CS139" i="1"/>
  <c r="CR142" i="1"/>
  <c r="CR263" i="1" s="1"/>
  <c r="CQ220" i="1"/>
  <c r="BZ175" i="1"/>
  <c r="BL175" i="1"/>
  <c r="CB216" i="1"/>
  <c r="CA131" i="1"/>
  <c r="BZ134" i="1"/>
  <c r="BZ106" i="1" s="1"/>
  <c r="BL134" i="1"/>
  <c r="BL106" i="1" s="1"/>
  <c r="CB175" i="1"/>
  <c r="CC223" i="1" s="1"/>
  <c r="CG138" i="1"/>
  <c r="CG142" i="1" s="1"/>
  <c r="CF142" i="1"/>
  <c r="CD148" i="1"/>
  <c r="CE47" i="1" s="1"/>
  <c r="CC154" i="1"/>
  <c r="CE131" i="1"/>
  <c r="CD134" i="1"/>
  <c r="CD106" i="1" s="1"/>
  <c r="CD108" i="1" s="1"/>
  <c r="BM154" i="1"/>
  <c r="BM216" i="1" s="1"/>
  <c r="CD175" i="1"/>
  <c r="CF216" i="1"/>
  <c r="CE142" i="1"/>
  <c r="BM139" i="1"/>
  <c r="BM142" i="1" s="1"/>
  <c r="BL142" i="1"/>
  <c r="CG154" i="1"/>
  <c r="CG163" i="1"/>
  <c r="CG170" i="1" s="1"/>
  <c r="CF170" i="1"/>
  <c r="CF199" i="1" s="1"/>
  <c r="CG131" i="1"/>
  <c r="CG134" i="1" s="1"/>
  <c r="CF134" i="1"/>
  <c r="CF106" i="1" s="1"/>
  <c r="CF108" i="1" s="1"/>
  <c r="CA163" i="1"/>
  <c r="BZ170" i="1"/>
  <c r="BZ199" i="1" s="1"/>
  <c r="BZ148" i="1"/>
  <c r="BZ152" i="1" s="1"/>
  <c r="CA142" i="1"/>
  <c r="CB148" i="1"/>
  <c r="CF175" i="1"/>
  <c r="BL148" i="1"/>
  <c r="CF148" i="1"/>
  <c r="CF152" i="1" s="1"/>
  <c r="CC142" i="1"/>
  <c r="CB142" i="1"/>
  <c r="CE216" i="1"/>
  <c r="BZ142" i="1"/>
  <c r="CB170" i="1"/>
  <c r="CB199" i="1" s="1"/>
  <c r="BL170" i="1"/>
  <c r="BL199" i="1" s="1"/>
  <c r="CD170" i="1"/>
  <c r="CD199" i="1" s="1"/>
  <c r="CB134" i="1"/>
  <c r="CD142" i="1"/>
  <c r="BM157" i="1"/>
  <c r="BL162" i="1"/>
  <c r="CE157" i="1"/>
  <c r="CD162" i="1"/>
  <c r="CC157" i="1"/>
  <c r="CB162" i="1"/>
  <c r="CG157" i="1"/>
  <c r="CF162" i="1"/>
  <c r="CA157" i="1"/>
  <c r="BZ162" i="1"/>
  <c r="JL19" i="4"/>
  <c r="CF92" i="1" s="1"/>
  <c r="CH25" i="1"/>
  <c r="CA216" i="1"/>
  <c r="CS54" i="1"/>
  <c r="CT31" i="1"/>
  <c r="CU31" i="1" s="1"/>
  <c r="CW41" i="1"/>
  <c r="CX41" i="1" s="1"/>
  <c r="CT154" i="1"/>
  <c r="CT216" i="1" s="1"/>
  <c r="CT193" i="1"/>
  <c r="CT197" i="1"/>
  <c r="CU138" i="1"/>
  <c r="CT194" i="1"/>
  <c r="AE60" i="1"/>
  <c r="V245" i="1"/>
  <c r="W245" i="1"/>
  <c r="U245" i="1"/>
  <c r="JM19" i="4" l="1"/>
  <c r="CG92" i="1" s="1"/>
  <c r="CL99" i="1"/>
  <c r="CL100" i="1"/>
  <c r="CL101" i="1"/>
  <c r="CF198" i="1"/>
  <c r="CD198" i="1"/>
  <c r="CH117" i="1"/>
  <c r="CH118" i="1"/>
  <c r="CI239" i="1"/>
  <c r="BZ30" i="1"/>
  <c r="CD32" i="1" s="1"/>
  <c r="CI117" i="1"/>
  <c r="CD31" i="1"/>
  <c r="CI118" i="1"/>
  <c r="Y224" i="1"/>
  <c r="Y225" i="1" s="1"/>
  <c r="CI25" i="1"/>
  <c r="CH116" i="1"/>
  <c r="JK19" i="4"/>
  <c r="CE92" i="1" s="1"/>
  <c r="JK20" i="4"/>
  <c r="CE93" i="1" s="1"/>
  <c r="CE122" i="1" s="1"/>
  <c r="CD26" i="1"/>
  <c r="CF30" i="1"/>
  <c r="AA73" i="1" s="1"/>
  <c r="AA72" i="1"/>
  <c r="CH239" i="1"/>
  <c r="CF25" i="1"/>
  <c r="JM20" i="4"/>
  <c r="CG93" i="1" s="1"/>
  <c r="CG118" i="1" s="1"/>
  <c r="CJ25" i="1"/>
  <c r="CH258" i="1"/>
  <c r="CG26" i="1"/>
  <c r="JJ19" i="4"/>
  <c r="CD92" i="1" s="1"/>
  <c r="CD121" i="1" s="1"/>
  <c r="CJ202" i="1"/>
  <c r="JL20" i="4"/>
  <c r="CF93" i="1" s="1"/>
  <c r="CF118" i="1" s="1"/>
  <c r="CI110" i="1"/>
  <c r="CI108" i="1"/>
  <c r="CI109" i="1"/>
  <c r="CC26" i="1"/>
  <c r="CG202" i="1"/>
  <c r="BZ41" i="1"/>
  <c r="CE30" i="1"/>
  <c r="CE33" i="1" s="1"/>
  <c r="CI202" i="1"/>
  <c r="CE159" i="1"/>
  <c r="CE239" i="1"/>
  <c r="CH202" i="1"/>
  <c r="CF26" i="1"/>
  <c r="BZ198" i="1"/>
  <c r="AC145" i="1"/>
  <c r="CU145" i="1"/>
  <c r="CV145" i="1" s="1"/>
  <c r="CW145" i="1" s="1"/>
  <c r="CX145" i="1" s="1"/>
  <c r="CE167" i="1"/>
  <c r="CE170" i="1" s="1"/>
  <c r="CE199" i="1" s="1"/>
  <c r="CE198" i="1" s="1"/>
  <c r="CF41" i="1"/>
  <c r="CE41" i="1"/>
  <c r="BL42" i="1"/>
  <c r="BL48" i="1" s="1"/>
  <c r="BL52" i="1" s="1"/>
  <c r="CB198" i="1"/>
  <c r="BL198" i="1"/>
  <c r="CD216" i="1"/>
  <c r="CC216" i="1"/>
  <c r="BY41" i="1"/>
  <c r="CG116" i="1"/>
  <c r="CA41" i="1"/>
  <c r="BY42" i="1"/>
  <c r="BY48" i="1" s="1"/>
  <c r="BY52" i="1" s="1"/>
  <c r="BY31" i="1"/>
  <c r="CF202" i="1"/>
  <c r="CE202" i="1"/>
  <c r="CA26" i="1"/>
  <c r="CD42" i="1"/>
  <c r="CD48" i="1" s="1"/>
  <c r="CD52" i="1" s="1"/>
  <c r="CD55" i="1" s="1"/>
  <c r="CD248" i="1" s="1"/>
  <c r="CE158" i="1"/>
  <c r="CE162" i="1" s="1"/>
  <c r="Z72" i="1"/>
  <c r="BL41" i="1"/>
  <c r="CG239" i="1"/>
  <c r="BL31" i="1"/>
  <c r="CE25" i="1"/>
  <c r="CB42" i="1"/>
  <c r="CE26" i="1"/>
  <c r="CD202" i="1"/>
  <c r="CB33" i="1"/>
  <c r="CB41" i="1"/>
  <c r="CB26" i="1"/>
  <c r="CA42" i="1"/>
  <c r="CG162" i="1"/>
  <c r="CG196" i="1" s="1"/>
  <c r="CG195" i="1" s="1"/>
  <c r="CF239" i="1"/>
  <c r="CC25" i="1"/>
  <c r="CG25" i="1"/>
  <c r="CC41" i="1"/>
  <c r="CD239" i="1"/>
  <c r="BZ26" i="1"/>
  <c r="CC239" i="1"/>
  <c r="Y72" i="1"/>
  <c r="CS198" i="1"/>
  <c r="CR199" i="1"/>
  <c r="CG263" i="1"/>
  <c r="CQ196" i="1"/>
  <c r="CQ200" i="1" s="1"/>
  <c r="CR195" i="1"/>
  <c r="CH216" i="1"/>
  <c r="CG216" i="1"/>
  <c r="CA223" i="1"/>
  <c r="BZ262" i="1"/>
  <c r="CT139" i="1"/>
  <c r="CS142" i="1"/>
  <c r="CS263" i="1" s="1"/>
  <c r="CD220" i="1"/>
  <c r="CF263" i="1"/>
  <c r="BM223" i="1"/>
  <c r="BL262" i="1"/>
  <c r="CF220" i="1"/>
  <c r="CF143" i="1"/>
  <c r="CR220" i="1"/>
  <c r="BL143" i="1"/>
  <c r="BL182" i="1"/>
  <c r="BL123" i="1" s="1"/>
  <c r="CA47" i="1"/>
  <c r="CA148" i="1"/>
  <c r="CB152" i="1"/>
  <c r="CC47" i="1"/>
  <c r="CC148" i="1"/>
  <c r="BZ182" i="1"/>
  <c r="BZ143" i="1"/>
  <c r="CF109" i="1"/>
  <c r="CD152" i="1"/>
  <c r="CE148" i="1"/>
  <c r="CE223" i="1"/>
  <c r="CD262" i="1"/>
  <c r="CA263" i="1"/>
  <c r="CA220" i="1"/>
  <c r="BM220" i="1"/>
  <c r="BM263" i="1"/>
  <c r="CH221" i="1"/>
  <c r="CG106" i="1"/>
  <c r="CG221" i="1"/>
  <c r="CG223" i="1"/>
  <c r="CF182" i="1"/>
  <c r="CF262" i="1"/>
  <c r="BM148" i="1"/>
  <c r="BM152" i="1" s="1"/>
  <c r="BL152" i="1"/>
  <c r="BL260" i="1" s="1"/>
  <c r="CG47" i="1"/>
  <c r="CG148" i="1"/>
  <c r="CH263" i="1"/>
  <c r="CH265" i="1" s="1"/>
  <c r="CH220" i="1"/>
  <c r="CG143" i="1"/>
  <c r="CG220" i="1"/>
  <c r="CB263" i="1"/>
  <c r="CB143" i="1"/>
  <c r="CB182" i="1"/>
  <c r="CB220" i="1"/>
  <c r="CB106" i="1"/>
  <c r="CB262" i="1"/>
  <c r="CC263" i="1"/>
  <c r="CC220" i="1"/>
  <c r="CE220" i="1"/>
  <c r="CD263" i="1"/>
  <c r="CD143" i="1"/>
  <c r="CD182" i="1"/>
  <c r="CE263" i="1"/>
  <c r="BL196" i="1"/>
  <c r="BL171" i="1"/>
  <c r="CD196" i="1"/>
  <c r="CD171" i="1"/>
  <c r="CB196" i="1"/>
  <c r="CB171" i="1"/>
  <c r="CF196" i="1"/>
  <c r="CF171" i="1"/>
  <c r="CF179" i="1" s="1"/>
  <c r="BZ196" i="1"/>
  <c r="BZ171" i="1"/>
  <c r="BZ179" i="1" s="1"/>
  <c r="BZ33" i="1"/>
  <c r="CG199" i="1"/>
  <c r="CH211" i="1"/>
  <c r="CG211" i="1"/>
  <c r="CF32" i="1"/>
  <c r="BZ260" i="1"/>
  <c r="CF260" i="1"/>
  <c r="CF258" i="1"/>
  <c r="CF121" i="1"/>
  <c r="CF117" i="1"/>
  <c r="CG32" i="1"/>
  <c r="CC31" i="1"/>
  <c r="Y73" i="1"/>
  <c r="CC42" i="1"/>
  <c r="CC48" i="1" s="1"/>
  <c r="CC52" i="1" s="1"/>
  <c r="CD33" i="1"/>
  <c r="CC32" i="1"/>
  <c r="CD110" i="1"/>
  <c r="CD118" i="1"/>
  <c r="CE32" i="1"/>
  <c r="CT54" i="1"/>
  <c r="CV31" i="1"/>
  <c r="CY41" i="1"/>
  <c r="CZ41" i="1" s="1"/>
  <c r="CU193" i="1"/>
  <c r="CV138" i="1"/>
  <c r="CU194" i="1"/>
  <c r="CU197" i="1"/>
  <c r="CU154" i="1"/>
  <c r="AB164" i="1"/>
  <c r="A1" i="1"/>
  <c r="CE211" i="1" l="1"/>
  <c r="CF42" i="1"/>
  <c r="CG109" i="1"/>
  <c r="CF211" i="1"/>
  <c r="BZ42" i="1"/>
  <c r="BZ31" i="1"/>
  <c r="CA33" i="1"/>
  <c r="CJ32" i="1"/>
  <c r="CF31" i="1"/>
  <c r="CG33" i="1"/>
  <c r="CG121" i="1"/>
  <c r="CG117" i="1"/>
  <c r="CF110" i="1"/>
  <c r="CG122" i="1"/>
  <c r="CI126" i="1"/>
  <c r="CI240" i="1"/>
  <c r="CE117" i="1"/>
  <c r="CE121" i="1"/>
  <c r="CG45" i="1"/>
  <c r="CE118" i="1"/>
  <c r="CF43" i="1"/>
  <c r="CE42" i="1"/>
  <c r="CG240" i="1" s="1"/>
  <c r="CG264" i="1"/>
  <c r="Z73" i="1"/>
  <c r="CF122" i="1"/>
  <c r="CI32" i="1"/>
  <c r="CD117" i="1"/>
  <c r="CD109" i="1"/>
  <c r="CF33" i="1"/>
  <c r="CD246" i="1"/>
  <c r="CD247" i="1" s="1"/>
  <c r="BL43" i="1"/>
  <c r="BY43" i="1"/>
  <c r="CY145" i="1"/>
  <c r="CZ145" i="1" s="1"/>
  <c r="DA145" i="1" s="1"/>
  <c r="DB145" i="1" s="1"/>
  <c r="AE145" i="1" s="1"/>
  <c r="AD145" i="1"/>
  <c r="CE31" i="1"/>
  <c r="CH44" i="1"/>
  <c r="CD43" i="1"/>
  <c r="CF44" i="1"/>
  <c r="CB264" i="1"/>
  <c r="CB265" i="1" s="1"/>
  <c r="CA43" i="1"/>
  <c r="CB45" i="1"/>
  <c r="CA246" i="1"/>
  <c r="CA247" i="1" s="1"/>
  <c r="CA48" i="1"/>
  <c r="CH210" i="1"/>
  <c r="CB48" i="1"/>
  <c r="CB52" i="1" s="1"/>
  <c r="CG171" i="1"/>
  <c r="CB43" i="1"/>
  <c r="CB246" i="1"/>
  <c r="CB247" i="1" s="1"/>
  <c r="CG210" i="1"/>
  <c r="CG212" i="1" s="1"/>
  <c r="CG213" i="1" s="1"/>
  <c r="CS199" i="1"/>
  <c r="CT198" i="1"/>
  <c r="CF180" i="1"/>
  <c r="CR196" i="1"/>
  <c r="CR200" i="1" s="1"/>
  <c r="CS195" i="1"/>
  <c r="CA152" i="1"/>
  <c r="CB47" i="1"/>
  <c r="CB179" i="1"/>
  <c r="CB180" i="1" s="1"/>
  <c r="CD179" i="1"/>
  <c r="CD180" i="1" s="1"/>
  <c r="CU139" i="1"/>
  <c r="CT142" i="1"/>
  <c r="CT263" i="1" s="1"/>
  <c r="CB260" i="1"/>
  <c r="CB258" i="1"/>
  <c r="CE152" i="1"/>
  <c r="CF47" i="1"/>
  <c r="CS220" i="1"/>
  <c r="CG219" i="1"/>
  <c r="BZ180" i="1"/>
  <c r="CD47" i="1"/>
  <c r="CC152" i="1"/>
  <c r="BZ123" i="1"/>
  <c r="CA51" i="1"/>
  <c r="CD258" i="1"/>
  <c r="CD260" i="1"/>
  <c r="CH219" i="1"/>
  <c r="CG108" i="1"/>
  <c r="CG110" i="1"/>
  <c r="CF123" i="1"/>
  <c r="CG51" i="1"/>
  <c r="CH47" i="1"/>
  <c r="CG152" i="1"/>
  <c r="CB123" i="1"/>
  <c r="CC51" i="1"/>
  <c r="CD123" i="1"/>
  <c r="CE51" i="1"/>
  <c r="CF195" i="1"/>
  <c r="CF200" i="1"/>
  <c r="CJ203" i="1" s="1"/>
  <c r="BL200" i="1"/>
  <c r="BL195" i="1"/>
  <c r="CD200" i="1"/>
  <c r="CD195" i="1"/>
  <c r="CB200" i="1"/>
  <c r="CB195" i="1"/>
  <c r="BZ195" i="1"/>
  <c r="BZ200" i="1"/>
  <c r="BZ45" i="1"/>
  <c r="CB126" i="1"/>
  <c r="CD126" i="1"/>
  <c r="CC264" i="1"/>
  <c r="CC265" i="1" s="1"/>
  <c r="CE210" i="1"/>
  <c r="CE171" i="1"/>
  <c r="CG198" i="1"/>
  <c r="CG200" i="1"/>
  <c r="CC246" i="1"/>
  <c r="CC247" i="1" s="1"/>
  <c r="CG44" i="1"/>
  <c r="Y74" i="1"/>
  <c r="CC43" i="1"/>
  <c r="CD264" i="1"/>
  <c r="CD265" i="1" s="1"/>
  <c r="CD240" i="1"/>
  <c r="CC45" i="1"/>
  <c r="CD45" i="1"/>
  <c r="CC44" i="1"/>
  <c r="CC55" i="1"/>
  <c r="CC54" i="1"/>
  <c r="CE196" i="1"/>
  <c r="CF210" i="1"/>
  <c r="CH57" i="1"/>
  <c r="CD54" i="1"/>
  <c r="CD56" i="1"/>
  <c r="CD259" i="1" s="1"/>
  <c r="CF126" i="1"/>
  <c r="CD62" i="1"/>
  <c r="CD66" i="1" s="1"/>
  <c r="CE45" i="1"/>
  <c r="CE126" i="1"/>
  <c r="CE240" i="1"/>
  <c r="CE44" i="1"/>
  <c r="CG126" i="1"/>
  <c r="CF240" i="1"/>
  <c r="BL55" i="1"/>
  <c r="BL54" i="1"/>
  <c r="BY54" i="1"/>
  <c r="BY55" i="1"/>
  <c r="CU54" i="1"/>
  <c r="CV54" i="1" s="1"/>
  <c r="DA41" i="1"/>
  <c r="DB41" i="1" s="1"/>
  <c r="CW31" i="1"/>
  <c r="CX31" i="1" s="1"/>
  <c r="CV154" i="1"/>
  <c r="CW138" i="1"/>
  <c r="CV193" i="1"/>
  <c r="CV197" i="1"/>
  <c r="CU216" i="1"/>
  <c r="CV194" i="1"/>
  <c r="AC164" i="1"/>
  <c r="CF48" i="1" l="1"/>
  <c r="CJ44" i="1"/>
  <c r="CF246" i="1"/>
  <c r="CF247" i="1" s="1"/>
  <c r="AA74" i="1"/>
  <c r="CG265" i="1"/>
  <c r="BZ43" i="1"/>
  <c r="BZ48" i="1"/>
  <c r="CA264" i="1"/>
  <c r="CA265" i="1" s="1"/>
  <c r="CA45" i="1"/>
  <c r="BZ246" i="1"/>
  <c r="BZ247" i="1" s="1"/>
  <c r="CD44" i="1"/>
  <c r="BZ264" i="1"/>
  <c r="CH212" i="1"/>
  <c r="CH213" i="1" s="1"/>
  <c r="CE212" i="1"/>
  <c r="CC240" i="1"/>
  <c r="CC126" i="1"/>
  <c r="CF212" i="1"/>
  <c r="CE264" i="1"/>
  <c r="CE265" i="1" s="1"/>
  <c r="CF264" i="1"/>
  <c r="CF265" i="1" s="1"/>
  <c r="CE246" i="1"/>
  <c r="CE247" i="1" s="1"/>
  <c r="Z74" i="1"/>
  <c r="CH126" i="1"/>
  <c r="CE43" i="1"/>
  <c r="CE48" i="1"/>
  <c r="CH240" i="1"/>
  <c r="CF45" i="1"/>
  <c r="CI44" i="1"/>
  <c r="CA52" i="1"/>
  <c r="CD69" i="1"/>
  <c r="CB54" i="1"/>
  <c r="CB55" i="1"/>
  <c r="CC58" i="1" s="1"/>
  <c r="CU198" i="1"/>
  <c r="CT199" i="1"/>
  <c r="CD125" i="1"/>
  <c r="CD128" i="1" s="1"/>
  <c r="CD124" i="1"/>
  <c r="CD127" i="1" s="1"/>
  <c r="CS196" i="1"/>
  <c r="CS200" i="1" s="1"/>
  <c r="CT195" i="1"/>
  <c r="CA217" i="1"/>
  <c r="CA215" i="1" s="1"/>
  <c r="CB217" i="1"/>
  <c r="CB215" i="1" s="1"/>
  <c r="CE217" i="1"/>
  <c r="CE215" i="1" s="1"/>
  <c r="CF217" i="1"/>
  <c r="CF215" i="1" s="1"/>
  <c r="CH217" i="1"/>
  <c r="CH215" i="1" s="1"/>
  <c r="CG217" i="1"/>
  <c r="CG215" i="1" s="1"/>
  <c r="CG227" i="1" s="1"/>
  <c r="CV139" i="1"/>
  <c r="CU142" i="1"/>
  <c r="CU263" i="1" s="1"/>
  <c r="CT220" i="1"/>
  <c r="CD217" i="1"/>
  <c r="CD215" i="1" s="1"/>
  <c r="CC217" i="1"/>
  <c r="CC215" i="1" s="1"/>
  <c r="CF203" i="1"/>
  <c r="CF124" i="1"/>
  <c r="CF127" i="1" s="1"/>
  <c r="CF125" i="1"/>
  <c r="CF128" i="1" s="1"/>
  <c r="CD203" i="1"/>
  <c r="CH203" i="1"/>
  <c r="CB69" i="1"/>
  <c r="CC57" i="1"/>
  <c r="CG57" i="1"/>
  <c r="CC248" i="1"/>
  <c r="CC62" i="1"/>
  <c r="CC56" i="1"/>
  <c r="CC259" i="1" s="1"/>
  <c r="CD58" i="1"/>
  <c r="CE195" i="1"/>
  <c r="CE200" i="1"/>
  <c r="CD207" i="1"/>
  <c r="CD209" i="1" s="1"/>
  <c r="CD80" i="1"/>
  <c r="CF69" i="1"/>
  <c r="CG69" i="1"/>
  <c r="BL62" i="1"/>
  <c r="BL56" i="1"/>
  <c r="BL259" i="1" s="1"/>
  <c r="CM78" i="1"/>
  <c r="CN78" i="1" s="1"/>
  <c r="CO78" i="1" s="1"/>
  <c r="CP78" i="1" s="1"/>
  <c r="CQ78" i="1" s="1"/>
  <c r="CR78" i="1" s="1"/>
  <c r="CS78" i="1" s="1"/>
  <c r="CT78" i="1" s="1"/>
  <c r="CU78" i="1" s="1"/>
  <c r="CV78" i="1" s="1"/>
  <c r="CW78" i="1" s="1"/>
  <c r="CX78" i="1" s="1"/>
  <c r="CY78" i="1" s="1"/>
  <c r="CZ78" i="1" s="1"/>
  <c r="DA78" i="1" s="1"/>
  <c r="DB78" i="1" s="1"/>
  <c r="BY56" i="1"/>
  <c r="BY259" i="1" s="1"/>
  <c r="BY62" i="1"/>
  <c r="CW54" i="1"/>
  <c r="CX54" i="1" s="1"/>
  <c r="CY31" i="1"/>
  <c r="CZ31" i="1" s="1"/>
  <c r="CX138" i="1"/>
  <c r="CW194" i="1"/>
  <c r="CW193" i="1"/>
  <c r="CW154" i="1"/>
  <c r="CW197" i="1"/>
  <c r="CV216" i="1"/>
  <c r="AE164" i="1"/>
  <c r="AD164" i="1"/>
  <c r="CI69" i="1" l="1"/>
  <c r="CF52" i="1"/>
  <c r="CH227" i="1"/>
  <c r="BZ52" i="1"/>
  <c r="CE52" i="1"/>
  <c r="CH127" i="1"/>
  <c r="CH128" i="1"/>
  <c r="CH69" i="1"/>
  <c r="CA55" i="1"/>
  <c r="CA54" i="1"/>
  <c r="CB62" i="1"/>
  <c r="CB58" i="1"/>
  <c r="CB248" i="1"/>
  <c r="CB56" i="1"/>
  <c r="CB259" i="1" s="1"/>
  <c r="CG224" i="1"/>
  <c r="CG174" i="1" s="1"/>
  <c r="CG175" i="1" s="1"/>
  <c r="CG225" i="1" s="1"/>
  <c r="CV198" i="1"/>
  <c r="CU199" i="1"/>
  <c r="CT196" i="1"/>
  <c r="CT200" i="1" s="1"/>
  <c r="CU195" i="1"/>
  <c r="CW139" i="1"/>
  <c r="CV142" i="1"/>
  <c r="CV263" i="1" s="1"/>
  <c r="CU220" i="1"/>
  <c r="CM22" i="1"/>
  <c r="CN25" i="1"/>
  <c r="CF57" i="1"/>
  <c r="BZ55" i="1"/>
  <c r="BZ54" i="1"/>
  <c r="CC66" i="1"/>
  <c r="CC133" i="1"/>
  <c r="CC134" i="1" s="1"/>
  <c r="CC80" i="1"/>
  <c r="CC207" i="1"/>
  <c r="CC209" i="1" s="1"/>
  <c r="CB66" i="1"/>
  <c r="CB207" i="1"/>
  <c r="CB209" i="1" s="1"/>
  <c r="CE55" i="1"/>
  <c r="CE54" i="1"/>
  <c r="BY207" i="1"/>
  <c r="BY209" i="1" s="1"/>
  <c r="BY66" i="1"/>
  <c r="BY80" i="1"/>
  <c r="BL207" i="1"/>
  <c r="BL209" i="1" s="1"/>
  <c r="BL80" i="1"/>
  <c r="BL66" i="1"/>
  <c r="CY54" i="1"/>
  <c r="CZ54" i="1" s="1"/>
  <c r="DA31" i="1"/>
  <c r="DB31" i="1" s="1"/>
  <c r="CX197" i="1"/>
  <c r="CX194" i="1"/>
  <c r="CX193" i="1"/>
  <c r="CX154" i="1"/>
  <c r="CY138" i="1"/>
  <c r="CW216" i="1"/>
  <c r="AB140" i="1"/>
  <c r="AB150" i="1"/>
  <c r="AB149" i="1"/>
  <c r="AB141" i="1"/>
  <c r="AB136" i="1"/>
  <c r="AB165" i="1"/>
  <c r="AB157" i="1"/>
  <c r="AB132" i="1"/>
  <c r="CF54" i="1" l="1"/>
  <c r="CF55" i="1"/>
  <c r="CB80" i="1"/>
  <c r="CD241" i="1"/>
  <c r="Y75" i="1"/>
  <c r="CA248" i="1"/>
  <c r="CA56" i="1"/>
  <c r="CA259" i="1" s="1"/>
  <c r="CA62" i="1"/>
  <c r="CD68" i="1" s="1"/>
  <c r="CV199" i="1"/>
  <c r="CW198" i="1"/>
  <c r="CU196" i="1"/>
  <c r="CU200" i="1" s="1"/>
  <c r="CV195" i="1"/>
  <c r="CX139" i="1"/>
  <c r="CW142" i="1"/>
  <c r="CW263" i="1" s="1"/>
  <c r="CV220" i="1"/>
  <c r="CN22" i="1"/>
  <c r="CO25" i="1"/>
  <c r="BZ56" i="1"/>
  <c r="BZ259" i="1" s="1"/>
  <c r="BZ58" i="1"/>
  <c r="CC241" i="1"/>
  <c r="BZ62" i="1"/>
  <c r="CC68" i="1" s="1"/>
  <c r="BZ248" i="1"/>
  <c r="CD57" i="1"/>
  <c r="CA58" i="1"/>
  <c r="CG262" i="1"/>
  <c r="CH223" i="1"/>
  <c r="CH224" i="1" s="1"/>
  <c r="CH225" i="1" s="1"/>
  <c r="CG258" i="1"/>
  <c r="CG260" i="1"/>
  <c r="CG179" i="1"/>
  <c r="CG180" i="1" s="1"/>
  <c r="CG182" i="1"/>
  <c r="CC106" i="1"/>
  <c r="CC143" i="1"/>
  <c r="CC69" i="1" s="1"/>
  <c r="CC221" i="1"/>
  <c r="CC219" i="1" s="1"/>
  <c r="CD221" i="1"/>
  <c r="CD219" i="1" s="1"/>
  <c r="CG241" i="1"/>
  <c r="CI57" i="1"/>
  <c r="CH241" i="1"/>
  <c r="CE58" i="1"/>
  <c r="CE56" i="1"/>
  <c r="CE259" i="1" s="1"/>
  <c r="CE57" i="1"/>
  <c r="CF58" i="1"/>
  <c r="CE62" i="1"/>
  <c r="CF241" i="1"/>
  <c r="CE241" i="1"/>
  <c r="Z75" i="1"/>
  <c r="CE248" i="1"/>
  <c r="DA54" i="1"/>
  <c r="DB54" i="1" s="1"/>
  <c r="CY194" i="1"/>
  <c r="CZ138" i="1"/>
  <c r="CY193" i="1"/>
  <c r="CY154" i="1"/>
  <c r="CY216" i="1" s="1"/>
  <c r="CX216" i="1"/>
  <c r="CY197" i="1"/>
  <c r="AC150" i="1"/>
  <c r="AC140" i="1"/>
  <c r="AB178" i="1"/>
  <c r="AC136" i="1"/>
  <c r="AC165" i="1"/>
  <c r="AB161" i="1"/>
  <c r="AB168" i="1"/>
  <c r="AC157" i="1"/>
  <c r="AC141" i="1"/>
  <c r="AB169" i="1"/>
  <c r="AC132" i="1"/>
  <c r="AC149" i="1"/>
  <c r="CG58" i="1" l="1"/>
  <c r="CJ57" i="1"/>
  <c r="AA75" i="1"/>
  <c r="CF248" i="1"/>
  <c r="CF56" i="1"/>
  <c r="CF259" i="1" s="1"/>
  <c r="CF62" i="1"/>
  <c r="CI241" i="1"/>
  <c r="CA133" i="1"/>
  <c r="CA134" i="1" s="1"/>
  <c r="CA66" i="1"/>
  <c r="CA80" i="1"/>
  <c r="CD83" i="1" s="1"/>
  <c r="CD100" i="1" s="1"/>
  <c r="CA207" i="1"/>
  <c r="CA209" i="1" s="1"/>
  <c r="CX198" i="1"/>
  <c r="CW199" i="1"/>
  <c r="CV196" i="1"/>
  <c r="CV200" i="1" s="1"/>
  <c r="CW195" i="1"/>
  <c r="CY139" i="1"/>
  <c r="CX142" i="1"/>
  <c r="CX263" i="1" s="1"/>
  <c r="CW220" i="1"/>
  <c r="CP25" i="1"/>
  <c r="CQ25" i="1" s="1"/>
  <c r="CR25" i="1" s="1"/>
  <c r="CS25" i="1" s="1"/>
  <c r="CB68" i="1"/>
  <c r="BZ80" i="1"/>
  <c r="BZ66" i="1"/>
  <c r="BZ207" i="1"/>
  <c r="BZ209" i="1" s="1"/>
  <c r="CH51" i="1"/>
  <c r="CG123" i="1"/>
  <c r="CE66" i="1"/>
  <c r="CE133" i="1"/>
  <c r="CE134" i="1" s="1"/>
  <c r="CE68" i="1" s="1"/>
  <c r="CE207" i="1"/>
  <c r="CE209" i="1" s="1"/>
  <c r="CE213" i="1" s="1"/>
  <c r="CE227" i="1" s="1"/>
  <c r="CE80" i="1"/>
  <c r="CF68" i="1"/>
  <c r="CG68" i="1"/>
  <c r="CH68" i="1"/>
  <c r="DA138" i="1"/>
  <c r="CZ154" i="1"/>
  <c r="CZ216" i="1" s="1"/>
  <c r="CZ197" i="1"/>
  <c r="CZ194" i="1"/>
  <c r="CZ193" i="1"/>
  <c r="AE150" i="1"/>
  <c r="AD150" i="1"/>
  <c r="AE140" i="1"/>
  <c r="AD140" i="1"/>
  <c r="AC178" i="1"/>
  <c r="AE165" i="1"/>
  <c r="AD165" i="1"/>
  <c r="AE157" i="1"/>
  <c r="AD157" i="1"/>
  <c r="AD132" i="1"/>
  <c r="AE132" i="1"/>
  <c r="AC168" i="1"/>
  <c r="AE141" i="1"/>
  <c r="AD141" i="1"/>
  <c r="AE149" i="1"/>
  <c r="AD149" i="1"/>
  <c r="AC169" i="1"/>
  <c r="AC161" i="1"/>
  <c r="AE136" i="1"/>
  <c r="AD136" i="1"/>
  <c r="CF66" i="1" l="1"/>
  <c r="CF207" i="1"/>
  <c r="CF209" i="1" s="1"/>
  <c r="CF213" i="1" s="1"/>
  <c r="CF227" i="1" s="1"/>
  <c r="CI68" i="1"/>
  <c r="CF80" i="1"/>
  <c r="CI83" i="1" s="1"/>
  <c r="CD101" i="1"/>
  <c r="CD99" i="1"/>
  <c r="CB221" i="1"/>
  <c r="CB219" i="1" s="1"/>
  <c r="CA221" i="1"/>
  <c r="CA219" i="1" s="1"/>
  <c r="CA143" i="1"/>
  <c r="CA106" i="1"/>
  <c r="CY198" i="1"/>
  <c r="CX199" i="1"/>
  <c r="CW196" i="1"/>
  <c r="CW200" i="1" s="1"/>
  <c r="CX195" i="1"/>
  <c r="CZ139" i="1"/>
  <c r="CY142" i="1"/>
  <c r="CY263" i="1" s="1"/>
  <c r="CX220" i="1"/>
  <c r="CC83" i="1"/>
  <c r="CB83" i="1"/>
  <c r="CG125" i="1"/>
  <c r="CG128" i="1" s="1"/>
  <c r="CG124" i="1"/>
  <c r="CG127" i="1" s="1"/>
  <c r="CF83" i="1"/>
  <c r="CH83" i="1"/>
  <c r="CL84" i="1" s="1"/>
  <c r="CG83" i="1"/>
  <c r="CK84" i="1" s="1"/>
  <c r="CE83" i="1"/>
  <c r="CE106" i="1"/>
  <c r="CF221" i="1"/>
  <c r="CF219" i="1" s="1"/>
  <c r="CE143" i="1"/>
  <c r="CE69" i="1" s="1"/>
  <c r="CE221" i="1"/>
  <c r="CE219" i="1" s="1"/>
  <c r="CE224" i="1" s="1"/>
  <c r="CE174" i="1" s="1"/>
  <c r="CE175" i="1" s="1"/>
  <c r="CE179" i="1" s="1"/>
  <c r="CT25" i="1"/>
  <c r="DA193" i="1"/>
  <c r="DA194" i="1"/>
  <c r="DA154" i="1"/>
  <c r="DB154" i="1" s="1"/>
  <c r="DB216" i="1" s="1"/>
  <c r="DA197" i="1"/>
  <c r="DB138" i="1"/>
  <c r="AE178" i="1"/>
  <c r="AD178" i="1"/>
  <c r="AE168" i="1"/>
  <c r="AD168" i="1"/>
  <c r="AE169" i="1"/>
  <c r="AD169" i="1"/>
  <c r="AE161" i="1"/>
  <c r="AD161" i="1"/>
  <c r="BY245" i="1"/>
  <c r="CI100" i="1" l="1"/>
  <c r="CL104" i="1" s="1"/>
  <c r="CI99" i="1"/>
  <c r="CI101" i="1"/>
  <c r="CZ198" i="1"/>
  <c r="CY199" i="1"/>
  <c r="DA139" i="1"/>
  <c r="CZ142" i="1"/>
  <c r="CX196" i="1"/>
  <c r="CX200" i="1" s="1"/>
  <c r="CY195" i="1"/>
  <c r="CY220" i="1"/>
  <c r="CE108" i="1"/>
  <c r="CE109" i="1"/>
  <c r="CE110" i="1"/>
  <c r="CE258" i="1"/>
  <c r="CE99" i="1"/>
  <c r="CE100" i="1"/>
  <c r="CI84" i="1"/>
  <c r="CE101" i="1"/>
  <c r="CE262" i="1"/>
  <c r="CG84" i="1"/>
  <c r="CG99" i="1"/>
  <c r="CG101" i="1"/>
  <c r="CG100" i="1"/>
  <c r="CE182" i="1"/>
  <c r="CE123" i="1" s="1"/>
  <c r="CE125" i="1" s="1"/>
  <c r="CE128" i="1" s="1"/>
  <c r="CF223" i="1"/>
  <c r="CF224" i="1" s="1"/>
  <c r="CF225" i="1" s="1"/>
  <c r="CE260" i="1"/>
  <c r="CH84" i="1"/>
  <c r="CH100" i="1"/>
  <c r="CK104" i="1" s="1"/>
  <c r="CH99" i="1"/>
  <c r="CH101" i="1"/>
  <c r="CE225" i="1"/>
  <c r="CF84" i="1"/>
  <c r="CJ84" i="1"/>
  <c r="CF101" i="1"/>
  <c r="CF99" i="1"/>
  <c r="CF100" i="1"/>
  <c r="CU25" i="1"/>
  <c r="CV25" i="1" s="1"/>
  <c r="DA216" i="1"/>
  <c r="DB194" i="1"/>
  <c r="DB193" i="1"/>
  <c r="DB197" i="1"/>
  <c r="CE180" i="1"/>
  <c r="AB34" i="1"/>
  <c r="DA198" i="1" l="1"/>
  <c r="CZ199" i="1"/>
  <c r="DA142" i="1"/>
  <c r="DB139" i="1"/>
  <c r="DB142" i="1" s="1"/>
  <c r="CZ220" i="1"/>
  <c r="CZ263" i="1"/>
  <c r="CY196" i="1"/>
  <c r="CY200" i="1" s="1"/>
  <c r="CZ195" i="1"/>
  <c r="CJ104" i="1"/>
  <c r="CH104" i="1"/>
  <c r="CF51" i="1"/>
  <c r="CI104" i="1"/>
  <c r="CG104" i="1"/>
  <c r="CW25" i="1"/>
  <c r="CE124" i="1"/>
  <c r="CE127" i="1" s="1"/>
  <c r="AC34" i="1"/>
  <c r="BY246" i="1"/>
  <c r="BY247" i="1" s="1"/>
  <c r="DB198" i="1" l="1"/>
  <c r="DB199" i="1" s="1"/>
  <c r="DA199" i="1"/>
  <c r="DA220" i="1"/>
  <c r="DA263" i="1"/>
  <c r="DB220" i="1"/>
  <c r="DB263" i="1"/>
  <c r="CZ196" i="1"/>
  <c r="CZ200" i="1" s="1"/>
  <c r="DA195" i="1"/>
  <c r="CX25" i="1"/>
  <c r="CY25" i="1" s="1"/>
  <c r="CZ25" i="1" s="1"/>
  <c r="AD34" i="1"/>
  <c r="BY248" i="1"/>
  <c r="DA196" i="1" l="1"/>
  <c r="DA200" i="1" s="1"/>
  <c r="DB195" i="1"/>
  <c r="DB196" i="1" s="1"/>
  <c r="DB200" i="1" s="1"/>
  <c r="DA25" i="1"/>
  <c r="DB25" i="1" s="1"/>
  <c r="AE34" i="1"/>
  <c r="BI79" i="1" l="1"/>
  <c r="AT79" i="1"/>
  <c r="BT79" i="1"/>
  <c r="AV79" i="1"/>
  <c r="AX79" i="1"/>
  <c r="AR79" i="1"/>
  <c r="AO79" i="1" l="1"/>
  <c r="BK79" i="1"/>
  <c r="AN79" i="1"/>
  <c r="AW79" i="1"/>
  <c r="BB79" i="1"/>
  <c r="BM79" i="1"/>
  <c r="BQ79" i="1"/>
  <c r="AJ79" i="1"/>
  <c r="BS79" i="1"/>
  <c r="BR79" i="1"/>
  <c r="BO79" i="1"/>
  <c r="AM79" i="1"/>
  <c r="AI79" i="1"/>
  <c r="AP79" i="1"/>
  <c r="AZ79" i="1"/>
  <c r="AS79" i="1"/>
  <c r="BN79" i="1"/>
  <c r="BU79" i="1"/>
  <c r="BA79" i="1"/>
  <c r="BC79" i="1"/>
  <c r="AU79" i="1"/>
  <c r="BW79" i="1"/>
  <c r="BP79" i="1"/>
  <c r="BJ79" i="1"/>
  <c r="BH79" i="1"/>
  <c r="BX79" i="1"/>
  <c r="BG79" i="1"/>
  <c r="AQ79" i="1"/>
  <c r="AY79" i="1"/>
  <c r="AK79" i="1"/>
  <c r="BE79" i="1"/>
  <c r="BD79" i="1"/>
  <c r="BV79" i="1"/>
  <c r="BF79" i="1"/>
  <c r="BL245" i="1" l="1"/>
  <c r="AB154" i="1" l="1"/>
  <c r="CN91" i="1" l="1"/>
  <c r="AB216" i="1"/>
  <c r="CO91" i="1" l="1"/>
  <c r="CM77" i="1"/>
  <c r="CP91" i="1" l="1"/>
  <c r="CN77" i="1"/>
  <c r="CM79" i="1"/>
  <c r="CM46" i="1" l="1"/>
  <c r="AB91" i="1"/>
  <c r="CQ91" i="1"/>
  <c r="AC154" i="1"/>
  <c r="CN79" i="1"/>
  <c r="CO77" i="1"/>
  <c r="E11" i="3"/>
  <c r="AU16" i="4" a="1"/>
  <c r="DQ15" i="4" a="1"/>
  <c r="K29" i="2"/>
  <c r="E15" i="2"/>
  <c r="U5" i="4" a="1"/>
  <c r="AN7" i="4" a="1"/>
  <c r="BG8" i="4" a="1"/>
  <c r="M13" i="4" a="1"/>
  <c r="BJ15" i="4" a="1"/>
  <c r="DC15" i="4" a="1"/>
  <c r="DT5" i="4" a="1"/>
  <c r="O13" i="4" a="1"/>
  <c r="AP6" i="4" a="1"/>
  <c r="BM9" i="4" a="1"/>
  <c r="G15" i="4" a="1"/>
  <c r="CD6" i="4" a="1"/>
  <c r="T5" i="4" a="1"/>
  <c r="AC15" i="4" a="1"/>
  <c r="J27" i="2"/>
  <c r="F42" i="3"/>
  <c r="X45" i="3"/>
  <c r="AH45" i="3"/>
  <c r="DP9" i="4" a="1"/>
  <c r="D15" i="2"/>
  <c r="R10" i="2"/>
  <c r="H27" i="2"/>
  <c r="R11" i="4" a="1"/>
  <c r="X36" i="2"/>
  <c r="N35" i="2"/>
  <c r="CB14" i="4" a="1"/>
  <c r="BS8" i="4" a="1"/>
  <c r="G32" i="2"/>
  <c r="DU5" i="4" a="1"/>
  <c r="CP5" i="4" a="1"/>
  <c r="EI16" i="4" a="1"/>
  <c r="AR14" i="4" a="1"/>
  <c r="W8" i="2"/>
  <c r="BU6" i="4" a="1"/>
  <c r="S31" i="2"/>
  <c r="W26" i="2"/>
  <c r="H32" i="2"/>
  <c r="F32" i="3"/>
  <c r="Z15" i="4" a="1"/>
  <c r="F10" i="2"/>
  <c r="I8" i="4" a="1"/>
  <c r="E12" i="2"/>
  <c r="G20" i="3"/>
  <c r="P6" i="2"/>
  <c r="CP6" i="4" a="1"/>
  <c r="BW6" i="4" a="1"/>
  <c r="CZ13" i="4" a="1"/>
  <c r="DP14" i="4" a="1"/>
  <c r="CS7" i="4" a="1"/>
  <c r="DR15" i="4" a="1"/>
  <c r="CJ15" i="4" a="1"/>
  <c r="EJ8" i="4" a="1"/>
  <c r="D10" i="3"/>
  <c r="J29" i="2"/>
  <c r="X31" i="2"/>
  <c r="H16" i="2"/>
  <c r="EG14" i="4" a="1"/>
  <c r="P69" i="2"/>
  <c r="J33" i="2"/>
  <c r="CL6" i="4" a="1"/>
  <c r="DX15" i="4" a="1"/>
  <c r="AQ5" i="4" a="1"/>
  <c r="CO5" i="4" a="1"/>
  <c r="F16" i="3"/>
  <c r="BR9" i="4" a="1"/>
  <c r="DR9" i="4" a="1"/>
  <c r="ED11" i="4" a="1"/>
  <c r="AR30" i="3"/>
  <c r="AR61" i="3"/>
  <c r="M8" i="2"/>
  <c r="D13" i="4" a="1"/>
  <c r="K9" i="2"/>
  <c r="BM14" i="4" a="1"/>
  <c r="J26" i="2"/>
  <c r="AR14" i="3"/>
  <c r="D7" i="2"/>
  <c r="DH13" i="4" a="1"/>
  <c r="F36" i="3"/>
  <c r="X14" i="2"/>
  <c r="S11" i="4" a="1"/>
  <c r="DA7" i="4" a="1"/>
  <c r="EB6" i="4" a="1"/>
  <c r="DN9" i="4" a="1"/>
  <c r="BH7" i="4" a="1"/>
  <c r="CO7" i="4" a="1"/>
  <c r="H9" i="4" a="1"/>
  <c r="C11" i="4" a="1"/>
  <c r="J8" i="2"/>
  <c r="CG8" i="4" a="1"/>
  <c r="M45" i="3"/>
  <c r="L45" i="3"/>
  <c r="AM6" i="4" a="1"/>
  <c r="AO6" i="3"/>
  <c r="BS15" i="4" a="1"/>
  <c r="AR78" i="3"/>
  <c r="T13" i="2"/>
  <c r="EK14" i="4" a="1"/>
  <c r="H11" i="2"/>
  <c r="AA7" i="4" a="1"/>
  <c r="S25" i="2"/>
  <c r="BC16" i="4" a="1"/>
  <c r="BA8" i="4" a="1"/>
  <c r="H26" i="2"/>
  <c r="CC11" i="4" a="1"/>
  <c r="AB46" i="3"/>
  <c r="T24" i="2"/>
  <c r="CC5" i="4" a="1"/>
  <c r="DZ6" i="4" a="1"/>
  <c r="BF15" i="4" a="1"/>
  <c r="E22" i="2"/>
  <c r="CR12" i="4" a="1"/>
  <c r="CI9" i="4" a="1"/>
  <c r="Q17" i="2"/>
  <c r="T7" i="2"/>
  <c r="S17" i="2"/>
  <c r="DY14" i="4" a="1"/>
  <c r="C65" i="2"/>
  <c r="AX5" i="4" a="1"/>
  <c r="AY7" i="4" a="1"/>
  <c r="BB8" i="4" a="1"/>
  <c r="BP13" i="4" a="1"/>
  <c r="AT7" i="4" a="1"/>
  <c r="K24" i="2"/>
  <c r="C14" i="2"/>
  <c r="BJ11" i="4" a="1"/>
  <c r="F38" i="3"/>
  <c r="Q20" i="2"/>
  <c r="CI14" i="4" a="1"/>
  <c r="AN46" i="3"/>
  <c r="BW7" i="4" a="1"/>
  <c r="P9" i="2"/>
  <c r="E29" i="2"/>
  <c r="K19" i="2"/>
  <c r="AN15" i="4" a="1"/>
  <c r="AK7" i="4" a="1"/>
  <c r="AZ8" i="4" a="1"/>
  <c r="P7" i="2"/>
  <c r="DX9" i="4" a="1"/>
  <c r="AH12" i="4" a="1"/>
  <c r="AD6" i="4" a="1"/>
  <c r="R45" i="3"/>
  <c r="AV7" i="4" a="1"/>
  <c r="DN8" i="4" a="1"/>
  <c r="BH5" i="4" a="1"/>
  <c r="BN6" i="4" a="1"/>
  <c r="DD7" i="4" a="1"/>
  <c r="AR8" i="4" a="1"/>
  <c r="V14" i="2"/>
  <c r="Q46" i="3"/>
  <c r="F23" i="3"/>
  <c r="D8" i="4" a="1"/>
  <c r="AG9" i="4" a="1"/>
  <c r="AR71" i="3"/>
  <c r="V34" i="2"/>
  <c r="W13" i="2"/>
  <c r="AI5" i="4" a="1"/>
  <c r="G21" i="3"/>
  <c r="P25" i="2"/>
  <c r="CT9" i="4" a="1"/>
  <c r="DA5" i="4" a="1"/>
  <c r="BL9" i="4" a="1"/>
  <c r="DC14" i="4" a="1"/>
  <c r="CC9" i="4" a="1"/>
  <c r="DJ6" i="4" a="1"/>
  <c r="K18" i="2"/>
  <c r="BT7" i="4" a="1"/>
  <c r="DM12" i="4" a="1"/>
  <c r="AR70" i="3"/>
  <c r="L25" i="2"/>
  <c r="C13" i="2"/>
  <c r="AL45" i="3"/>
  <c r="BM15" i="4" a="1"/>
  <c r="K7" i="2"/>
  <c r="Q8" i="4" a="1"/>
  <c r="E41" i="3"/>
  <c r="Q46" i="2"/>
  <c r="C23" i="2"/>
  <c r="I26" i="2"/>
  <c r="CI5" i="4" a="1"/>
  <c r="EI15" i="4" a="1"/>
  <c r="AT6" i="4" a="1"/>
  <c r="DO8" i="4" a="1"/>
  <c r="BA16" i="4" a="1"/>
  <c r="AP12" i="4" a="1"/>
  <c r="DN16" i="4" a="1"/>
  <c r="BZ8" i="4" a="1"/>
  <c r="E10" i="3"/>
  <c r="V27" i="2"/>
  <c r="P31" i="2"/>
  <c r="DZ12" i="4" a="1"/>
  <c r="AR94" i="3"/>
  <c r="Q9" i="2"/>
  <c r="CP7" i="4" a="1"/>
  <c r="O22" i="2"/>
  <c r="AE13" i="4" a="1"/>
  <c r="AR7" i="4" a="1"/>
  <c r="X9" i="4" a="1"/>
  <c r="DW11" i="4" a="1"/>
  <c r="DB15" i="4" a="1"/>
  <c r="EG8" i="4" a="1"/>
  <c r="H20" i="2"/>
  <c r="G24" i="3"/>
  <c r="L22" i="2"/>
  <c r="H22" i="2"/>
  <c r="W45" i="3"/>
  <c r="S12" i="2"/>
  <c r="M7" i="2"/>
  <c r="CX6" i="4" a="1"/>
  <c r="AQ13" i="4" a="1"/>
  <c r="DN5" i="4" a="1"/>
  <c r="EH5" i="4" a="1"/>
  <c r="J6" i="2"/>
  <c r="V29" i="2"/>
  <c r="EH13" i="4" a="1"/>
  <c r="DA12" i="4" a="1"/>
  <c r="DB8" i="4" a="1"/>
  <c r="CI12" i="4" a="1"/>
  <c r="AF12" i="4" a="1"/>
  <c r="DW12" i="4" a="1"/>
  <c r="CY11" i="4" a="1"/>
  <c r="D36" i="3"/>
  <c r="H29" i="2"/>
  <c r="CZ12" i="4" a="1"/>
  <c r="CC8" i="4" a="1"/>
  <c r="AO9" i="4" a="1"/>
  <c r="D6" i="2"/>
  <c r="DW14" i="4" a="1"/>
  <c r="AR39" i="3"/>
  <c r="AR57" i="3"/>
  <c r="C6" i="2"/>
  <c r="P14" i="2"/>
  <c r="BN13" i="4" a="1"/>
  <c r="T14" i="2"/>
  <c r="X11" i="4" a="1"/>
  <c r="E5" i="2"/>
  <c r="BY5" i="4" a="1"/>
  <c r="BZ11" i="4" a="1"/>
  <c r="L34" i="2"/>
  <c r="AR35" i="3"/>
  <c r="K59" i="2"/>
  <c r="CE11" i="4" a="1"/>
  <c r="CT15" i="4" a="1"/>
  <c r="DS5" i="4" a="1"/>
  <c r="CI6" i="4" a="1"/>
  <c r="CN16" i="4" a="1"/>
  <c r="AR74" i="3"/>
  <c r="Q34" i="2"/>
  <c r="O25" i="2"/>
  <c r="AW12" i="4" a="1"/>
  <c r="L9" i="4" a="1"/>
  <c r="DS13" i="4" a="1"/>
  <c r="CS6" i="4" a="1"/>
  <c r="BU14" i="4" a="1"/>
  <c r="CZ6" i="4" a="1"/>
  <c r="AF8" i="4" a="1"/>
  <c r="AE46" i="3"/>
  <c r="F8" i="2"/>
  <c r="K16" i="4" a="1"/>
  <c r="BZ9" i="4" a="1"/>
  <c r="F36" i="2"/>
  <c r="L7" i="2"/>
  <c r="R12" i="2"/>
  <c r="C9" i="2"/>
  <c r="C35" i="2"/>
  <c r="AI46" i="3"/>
  <c r="AX14" i="4" a="1"/>
  <c r="V16" i="4" a="1"/>
  <c r="AR13" i="4" a="1"/>
  <c r="V18" i="2"/>
  <c r="BN8" i="4" a="1"/>
  <c r="R5" i="4" a="1"/>
  <c r="AD13" i="3"/>
  <c r="W8" i="4" a="1"/>
  <c r="Q6" i="4" a="1"/>
  <c r="CY7" i="4" a="1"/>
  <c r="Z5" i="4" a="1"/>
  <c r="Y14" i="4" a="1"/>
  <c r="AF6" i="4" a="1"/>
  <c r="M19" i="2"/>
  <c r="D21" i="2"/>
  <c r="AG12" i="4" a="1"/>
  <c r="CR13" i="4" a="1"/>
  <c r="AC14" i="4" a="1"/>
  <c r="U23" i="2"/>
  <c r="D39" i="3"/>
  <c r="H6" i="2"/>
  <c r="L26" i="2"/>
  <c r="AJ13" i="4" a="1"/>
  <c r="BD6" i="4" a="1"/>
  <c r="L46" i="3"/>
  <c r="DJ11" i="4" a="1"/>
  <c r="BH9" i="4" a="1"/>
  <c r="Z7" i="4" a="1"/>
  <c r="DB6" i="4" a="1"/>
  <c r="DY13" i="4" a="1"/>
  <c r="AI15" i="4" a="1"/>
  <c r="BS7" i="4" a="1"/>
  <c r="Q10" i="2"/>
  <c r="W13" i="4" a="1"/>
  <c r="I13" i="2"/>
  <c r="G12" i="2"/>
  <c r="AR42" i="3"/>
  <c r="DL9" i="4" a="1"/>
  <c r="M16" i="2"/>
  <c r="I14" i="2"/>
  <c r="T12" i="2"/>
  <c r="BK8" i="4" a="1"/>
  <c r="R8" i="2"/>
  <c r="X19" i="2"/>
  <c r="DP16" i="4" a="1"/>
  <c r="BX7" i="4" a="1"/>
  <c r="AM13" i="4" a="1"/>
  <c r="AR28" i="3"/>
  <c r="BY9" i="4" a="1"/>
  <c r="Z11" i="4" a="1"/>
  <c r="DV13" i="4" a="1"/>
  <c r="ED6" i="4" a="1"/>
  <c r="F21" i="2"/>
  <c r="O46" i="3"/>
  <c r="W16" i="2"/>
  <c r="DW5" i="4" a="1"/>
  <c r="AL46" i="3"/>
  <c r="M15" i="2"/>
  <c r="CA16" i="4" a="1"/>
  <c r="N24" i="2"/>
  <c r="DV8" i="4" a="1"/>
  <c r="S9" i="2"/>
  <c r="CM14" i="4" a="1"/>
  <c r="AW16" i="4" a="1"/>
  <c r="AD11" i="3"/>
  <c r="DB11" i="4" a="1"/>
  <c r="D36" i="2"/>
  <c r="CQ6" i="4" a="1"/>
  <c r="AR47" i="3"/>
  <c r="R16" i="2"/>
  <c r="CN11" i="4" a="1"/>
  <c r="O23" i="2"/>
  <c r="D38" i="3"/>
  <c r="DP7" i="4" a="1"/>
  <c r="CA6" i="4" a="1"/>
  <c r="ED14" i="4" a="1"/>
  <c r="AP9" i="4" a="1"/>
  <c r="H21" i="2"/>
  <c r="Q21" i="2"/>
  <c r="BJ7" i="4" a="1"/>
  <c r="T35" i="2"/>
  <c r="DX5" i="4" a="1"/>
  <c r="AE9" i="4" a="1"/>
  <c r="CY6" i="4" a="1"/>
  <c r="X12" i="4" a="1"/>
  <c r="BL6" i="4" a="1"/>
  <c r="DT7" i="4" a="1"/>
  <c r="R24" i="2"/>
  <c r="F24" i="2"/>
  <c r="BM16" i="4" a="1"/>
  <c r="BW13" i="4" a="1"/>
  <c r="K25" i="2"/>
  <c r="D26" i="2"/>
  <c r="BC12" i="4" a="1"/>
  <c r="AR37" i="3"/>
  <c r="E24" i="2"/>
  <c r="E18" i="2"/>
  <c r="J19" i="2"/>
  <c r="G5" i="3"/>
  <c r="G58" i="3" s="1"/>
  <c r="DE6" i="4" a="1"/>
  <c r="DB16" i="4" a="1"/>
  <c r="M31" i="2"/>
  <c r="H19" i="2"/>
  <c r="H54" i="2"/>
  <c r="AV15" i="4" a="1"/>
  <c r="AQ45" i="3"/>
  <c r="BY16" i="4" a="1"/>
  <c r="V13" i="4" a="1"/>
  <c r="EC13" i="4" a="1"/>
  <c r="J11" i="2"/>
  <c r="EA9" i="4" a="1"/>
  <c r="G65" i="3"/>
  <c r="BV14" i="4" a="1"/>
  <c r="K45" i="3"/>
  <c r="H10" i="2"/>
  <c r="AD15" i="4" a="1"/>
  <c r="BE5" i="4" a="1"/>
  <c r="R17" i="2"/>
  <c r="G29" i="3"/>
  <c r="AW15" i="4" a="1"/>
  <c r="BX11" i="4" a="1"/>
  <c r="X16" i="2"/>
  <c r="G22" i="2"/>
  <c r="T27" i="2"/>
  <c r="AR68" i="3"/>
  <c r="F27" i="3"/>
  <c r="EA14" i="4" a="1"/>
  <c r="AN9" i="4" a="1"/>
  <c r="P22" i="2"/>
  <c r="AR54" i="3"/>
  <c r="O8" i="2"/>
  <c r="AH7" i="4" a="1"/>
  <c r="BK12" i="4" a="1"/>
  <c r="CB15" i="4" a="1"/>
  <c r="AL14" i="4" a="1"/>
  <c r="AD16" i="3"/>
  <c r="AB16" i="4" a="1"/>
  <c r="DV11" i="4" a="1"/>
  <c r="BT11" i="4" a="1"/>
  <c r="M23" i="2"/>
  <c r="I33" i="2"/>
  <c r="AA12" i="4" a="1"/>
  <c r="DG13" i="4" a="1"/>
  <c r="AK5" i="4" a="1"/>
  <c r="Q12" i="2"/>
  <c r="DE11" i="4" a="1"/>
  <c r="AR49" i="3"/>
  <c r="N22" i="2"/>
  <c r="EH8" i="4" a="1"/>
  <c r="CM13" i="4" a="1"/>
  <c r="CF7" i="4" a="1"/>
  <c r="EA12" i="4" a="1"/>
  <c r="CE16" i="4" a="1"/>
  <c r="Y7" i="4" a="1"/>
  <c r="E23" i="3"/>
  <c r="E5" i="4" a="1"/>
  <c r="F26" i="2"/>
  <c r="DK14" i="4" a="1"/>
  <c r="AR56" i="3"/>
  <c r="L13" i="2"/>
  <c r="E21" i="3"/>
  <c r="D17" i="3"/>
  <c r="D18" i="3"/>
  <c r="BB13" i="4" a="1"/>
  <c r="N17" i="2"/>
  <c r="N36" i="2"/>
  <c r="D33" i="2"/>
  <c r="CN14" i="4" a="1"/>
  <c r="R22" i="2"/>
  <c r="C22" i="2"/>
  <c r="L16" i="4" a="1"/>
  <c r="CL14" i="4" a="1"/>
  <c r="P35" i="2"/>
  <c r="BV15" i="4" a="1"/>
  <c r="BO7" i="4" a="1"/>
  <c r="BD15" i="4" a="1"/>
  <c r="DW9" i="4" a="1"/>
  <c r="Q22" i="2"/>
  <c r="G26" i="2"/>
  <c r="BS6" i="4" a="1"/>
  <c r="Q11" i="2"/>
  <c r="S33" i="2"/>
  <c r="DH14" i="4" a="1"/>
  <c r="M21" i="2"/>
  <c r="I35" i="2"/>
  <c r="I7" i="2"/>
  <c r="O12" i="2"/>
  <c r="H5" i="2"/>
  <c r="CR11" i="4" a="1"/>
  <c r="CY16" i="4" a="1"/>
  <c r="DP13" i="4" a="1"/>
  <c r="DC16" i="4" a="1"/>
  <c r="Q25" i="2"/>
  <c r="DW6" i="4" a="1"/>
  <c r="AR25" i="3"/>
  <c r="G30" i="3"/>
  <c r="DS6" i="4" a="1"/>
  <c r="Z45" i="3"/>
  <c r="X7" i="4" a="1"/>
  <c r="F13" i="4" a="1"/>
  <c r="Y9" i="4" a="1"/>
  <c r="DT11" i="4" a="1"/>
  <c r="EF5" i="4" a="1"/>
  <c r="J30" i="2"/>
  <c r="W11" i="2"/>
  <c r="CY9" i="4" a="1"/>
  <c r="D10" i="2"/>
  <c r="S12" i="4" a="1"/>
  <c r="F14" i="4" a="1"/>
  <c r="BY14" i="4" a="1"/>
  <c r="BI12" i="4" a="1"/>
  <c r="AY15" i="4" a="1"/>
  <c r="EE14" i="4" a="1"/>
  <c r="C32" i="2"/>
  <c r="J21" i="2"/>
  <c r="DX12" i="4" a="1"/>
  <c r="T5" i="2"/>
  <c r="Q15" i="2"/>
  <c r="I29" i="2"/>
  <c r="X8" i="4" a="1"/>
  <c r="F30" i="3"/>
  <c r="K87" i="2"/>
  <c r="F35" i="3"/>
  <c r="L27" i="2"/>
  <c r="J7" i="2"/>
  <c r="CG15" i="4" a="1"/>
  <c r="U8" i="4" a="1"/>
  <c r="D7" i="4" a="1"/>
  <c r="N34" i="2"/>
  <c r="H14" i="2"/>
  <c r="CQ12" i="4" a="1"/>
  <c r="S14" i="2"/>
  <c r="X6" i="4" a="1"/>
  <c r="ED9" i="4" a="1"/>
  <c r="X41" i="2"/>
  <c r="N10" i="2"/>
  <c r="C8" i="4" a="1"/>
  <c r="AN45" i="3"/>
  <c r="E12" i="3"/>
  <c r="CM9" i="4" a="1"/>
  <c r="AC6" i="4" a="1"/>
  <c r="AI13" i="4" a="1"/>
  <c r="DH11" i="4" a="1"/>
  <c r="DV14" i="4" a="1"/>
  <c r="DD8" i="4" a="1"/>
  <c r="AY9" i="4" a="1"/>
  <c r="BS9" i="4" a="1"/>
  <c r="BA5" i="4" a="1"/>
  <c r="DB13" i="4" a="1"/>
  <c r="D28" i="3"/>
  <c r="F8" i="3"/>
  <c r="N32" i="2"/>
  <c r="AR73" i="3"/>
  <c r="AP45" i="3"/>
  <c r="X13" i="4" a="1"/>
  <c r="M22" i="2"/>
  <c r="G23" i="2"/>
  <c r="F6" i="2"/>
  <c r="DO14" i="4" a="1"/>
  <c r="R20" i="2"/>
  <c r="G18" i="3"/>
  <c r="DG11" i="4" a="1"/>
  <c r="CS16" i="4" a="1"/>
  <c r="AW11" i="4" a="1"/>
  <c r="G10" i="3"/>
  <c r="EJ6" i="4" a="1"/>
  <c r="BD7" i="4" a="1"/>
  <c r="BF6" i="4" a="1"/>
  <c r="S34" i="2"/>
  <c r="AD7" i="3"/>
  <c r="F5" i="2"/>
  <c r="M25" i="2"/>
  <c r="R15" i="2"/>
  <c r="K22" i="2"/>
  <c r="AR31" i="3"/>
  <c r="P5" i="4" a="1"/>
  <c r="AS5" i="4" a="1"/>
  <c r="W35" i="2"/>
  <c r="H35" i="2"/>
  <c r="G16" i="2"/>
  <c r="CV7" i="4" a="1"/>
  <c r="CF6" i="4" a="1"/>
  <c r="CV13" i="4" a="1"/>
  <c r="C59" i="2"/>
  <c r="CM12" i="4" a="1"/>
  <c r="EC12" i="4" a="1"/>
  <c r="AG5" i="4" a="1"/>
  <c r="CV8" i="4" a="1"/>
  <c r="AF50" i="3"/>
  <c r="P16" i="2"/>
  <c r="R28" i="2"/>
  <c r="J13" i="2"/>
  <c r="E16" i="3"/>
  <c r="U22" i="2"/>
  <c r="DC7" i="4" a="1"/>
  <c r="BC8" i="4" a="1"/>
  <c r="EK16" i="4" a="1"/>
  <c r="AY12" i="4" a="1"/>
  <c r="AX13" i="4" a="1"/>
  <c r="CH12" i="4" a="1"/>
  <c r="S13" i="4" a="1"/>
  <c r="EE9" i="4" a="1"/>
  <c r="CM7" i="4" a="1"/>
  <c r="V30" i="2"/>
  <c r="C36" i="2"/>
  <c r="J24" i="2"/>
  <c r="BU12" i="4" a="1"/>
  <c r="U12" i="2"/>
  <c r="CV9" i="4" a="1"/>
  <c r="J45" i="3"/>
  <c r="M24" i="2"/>
  <c r="AU9" i="4" a="1"/>
  <c r="DY12" i="4" a="1"/>
  <c r="AR97" i="3"/>
  <c r="CR5" i="4" a="1"/>
  <c r="E24" i="3"/>
  <c r="U46" i="3"/>
  <c r="DP5" i="4" a="1"/>
  <c r="P46" i="3"/>
  <c r="DO12" i="4" a="1"/>
  <c r="EE6" i="4" a="1"/>
  <c r="DI15" i="4" a="1"/>
  <c r="CJ12" i="4" a="1"/>
  <c r="P19" i="2"/>
  <c r="EH16" i="4" a="1"/>
  <c r="E9" i="2"/>
  <c r="E27" i="2"/>
  <c r="T16" i="4" a="1"/>
  <c r="C10" i="2"/>
  <c r="Q14" i="4" a="1"/>
  <c r="K6" i="2"/>
  <c r="U18" i="2"/>
  <c r="AZ5" i="4" a="1"/>
  <c r="G17" i="2"/>
  <c r="AR16" i="4" a="1"/>
  <c r="CQ7" i="4" a="1"/>
  <c r="C15" i="4" a="1"/>
  <c r="CZ7" i="4" a="1"/>
  <c r="AV6" i="4" a="1"/>
  <c r="I6" i="2"/>
  <c r="AR50" i="3"/>
  <c r="N27" i="2"/>
  <c r="CF8" i="4" a="1"/>
  <c r="DG8" i="4" a="1"/>
  <c r="DU12" i="4" a="1"/>
  <c r="BO9" i="4" a="1"/>
  <c r="D11" i="4" a="1"/>
  <c r="CF5" i="4" a="1"/>
  <c r="T23" i="2"/>
  <c r="BP8" i="4" a="1"/>
  <c r="CM11" i="4" a="1"/>
  <c r="CM16" i="4" a="1"/>
  <c r="N11" i="2"/>
  <c r="Q15" i="4" a="1"/>
  <c r="O11" i="4" a="1"/>
  <c r="H16" i="4" a="1"/>
  <c r="CK16" i="4" a="1"/>
  <c r="G85" i="3"/>
  <c r="C27" i="2"/>
  <c r="DF9" i="4" a="1"/>
  <c r="W22" i="2"/>
  <c r="P12" i="2"/>
  <c r="BL11" i="4" a="1"/>
  <c r="E8" i="2"/>
  <c r="D15" i="4" a="1"/>
  <c r="DE7" i="4" a="1"/>
  <c r="G14" i="3"/>
  <c r="DV5" i="4" a="1"/>
  <c r="AR26" i="3"/>
  <c r="CT8" i="4" a="1"/>
  <c r="N21" i="2"/>
  <c r="AD12" i="4" a="1"/>
  <c r="C46" i="3"/>
  <c r="BJ8" i="4" a="1"/>
  <c r="EI9" i="4" a="1"/>
  <c r="S14" i="4" a="1"/>
  <c r="DE5" i="4" a="1"/>
  <c r="U32" i="2"/>
  <c r="X34" i="2"/>
  <c r="C31" i="2"/>
  <c r="W29" i="2"/>
  <c r="F23" i="2"/>
  <c r="BQ11" i="4" a="1"/>
  <c r="CI8" i="4" a="1"/>
  <c r="X26" i="2"/>
  <c r="CL11" i="4" a="1"/>
  <c r="F6" i="4" a="1"/>
  <c r="M5" i="4" a="1"/>
  <c r="AL16" i="4" a="1"/>
  <c r="AR63" i="3"/>
  <c r="DM6" i="4" a="1"/>
  <c r="C25" i="2"/>
  <c r="AZ6" i="4" a="1"/>
  <c r="C12" i="2"/>
  <c r="AC45" i="3"/>
  <c r="F9" i="4" a="1"/>
  <c r="AC13" i="4" a="1"/>
  <c r="CW11" i="4" a="1"/>
  <c r="DJ16" i="4" a="1"/>
  <c r="EK9" i="4" a="1"/>
  <c r="AD6" i="3"/>
  <c r="CB9" i="4" a="1"/>
  <c r="S21" i="2"/>
  <c r="W33" i="2"/>
  <c r="M28" i="2"/>
  <c r="EI14" i="4" a="1"/>
  <c r="BO13" i="4" a="1"/>
  <c r="AJ7" i="4" a="1"/>
  <c r="AM9" i="4" a="1"/>
  <c r="R25" i="2"/>
  <c r="Q24" i="2"/>
  <c r="DZ9" i="4" a="1"/>
  <c r="T8" i="2"/>
  <c r="CJ14" i="4" a="1"/>
  <c r="Q26" i="2"/>
  <c r="D45" i="3"/>
  <c r="H49" i="2"/>
  <c r="K14" i="4" a="1"/>
  <c r="AA46" i="3"/>
  <c r="DC13" i="4" a="1"/>
  <c r="R30" i="2"/>
  <c r="AB13" i="4" a="1"/>
  <c r="DJ8" i="4" a="1"/>
  <c r="CL16" i="4" a="1"/>
  <c r="DE14" i="4" a="1"/>
  <c r="P9" i="4" a="1"/>
  <c r="CG6" i="4" a="1"/>
  <c r="DE12" i="4" a="1"/>
  <c r="L5" i="4" a="1"/>
  <c r="DP6" i="4" a="1"/>
  <c r="BU13" i="4" a="1"/>
  <c r="AX16" i="4" a="1"/>
  <c r="EK8" i="4" a="1"/>
  <c r="AT16" i="4" a="1"/>
  <c r="BE7" i="4" a="1"/>
  <c r="U7" i="4" a="1"/>
  <c r="CJ11" i="4" a="1"/>
  <c r="CX15" i="4" a="1"/>
  <c r="X21" i="2"/>
  <c r="CO8" i="4" a="1"/>
  <c r="BT16" i="4" a="1"/>
  <c r="Z46" i="3"/>
  <c r="G93" i="3"/>
  <c r="G90" i="3"/>
  <c r="F29" i="2"/>
  <c r="W10" i="2"/>
  <c r="N6" i="4" a="1"/>
  <c r="G13" i="4" a="1"/>
  <c r="CL13" i="4" a="1"/>
  <c r="CP13" i="4" a="1"/>
  <c r="AA8" i="4" a="1"/>
  <c r="D7" i="3"/>
  <c r="BX16" i="4" a="1"/>
  <c r="BE15" i="4" a="1"/>
  <c r="X7" i="2"/>
  <c r="AC5" i="4" a="1"/>
  <c r="EA7" i="4" a="1"/>
  <c r="W12" i="2"/>
  <c r="H15" i="4" a="1"/>
  <c r="CF13" i="4" a="1"/>
  <c r="AO6" i="4" a="1"/>
  <c r="AN6" i="4" a="1"/>
  <c r="E6" i="3"/>
  <c r="E25" i="2"/>
  <c r="I32" i="2"/>
  <c r="D13" i="2"/>
  <c r="C28" i="2"/>
  <c r="Q14" i="2"/>
  <c r="EC14" i="4" a="1"/>
  <c r="EB9" i="4" a="1"/>
  <c r="ED8" i="4" a="1"/>
  <c r="K11" i="4" a="1"/>
  <c r="BV11" i="4" a="1"/>
  <c r="AC8" i="4" a="1"/>
  <c r="AQ46" i="3"/>
  <c r="P7" i="4" a="1"/>
  <c r="J7" i="4" a="1"/>
  <c r="D12" i="4" a="1"/>
  <c r="D46" i="3"/>
  <c r="CD5" i="4" a="1"/>
  <c r="AV5" i="4" a="1"/>
  <c r="EF12" i="4" a="1"/>
  <c r="E31" i="3"/>
  <c r="BJ16" i="4" a="1"/>
  <c r="J11" i="4" a="1"/>
  <c r="G12" i="4" a="1"/>
  <c r="N5" i="2"/>
  <c r="G17" i="3"/>
  <c r="AS47" i="3"/>
  <c r="O11" i="2"/>
  <c r="Q59" i="2"/>
  <c r="V8" i="4" a="1"/>
  <c r="DQ12" i="4" a="1"/>
  <c r="BP6" i="4" a="1"/>
  <c r="H31" i="2"/>
  <c r="Q32" i="2"/>
  <c r="DL7" i="4" a="1"/>
  <c r="AU7" i="4" a="1"/>
  <c r="F5" i="4" a="1"/>
  <c r="E13" i="2"/>
  <c r="I14" i="4" a="1"/>
  <c r="D5" i="2"/>
  <c r="DT9" i="4" a="1"/>
  <c r="U34" i="2"/>
  <c r="G28" i="2"/>
  <c r="AK46" i="3"/>
  <c r="F16" i="4" a="1"/>
  <c r="L23" i="2"/>
  <c r="K13" i="2"/>
  <c r="CH8" i="4" a="1"/>
  <c r="D35" i="2"/>
  <c r="Y8" i="4" a="1"/>
  <c r="EI12" i="4" a="1"/>
  <c r="EK12" i="4" a="1"/>
  <c r="AR69" i="3"/>
  <c r="O30" i="2"/>
  <c r="I17" i="2"/>
  <c r="DZ13" i="4" a="1"/>
  <c r="X29" i="2"/>
  <c r="CK13" i="4" a="1"/>
  <c r="G86" i="3"/>
  <c r="S36" i="2"/>
  <c r="U16" i="2"/>
  <c r="AL12" i="4" a="1"/>
  <c r="BW14" i="4" a="1"/>
  <c r="CH16" i="4" a="1"/>
  <c r="I5" i="4" a="1"/>
  <c r="R7" i="2"/>
  <c r="E9" i="3"/>
  <c r="R34" i="2"/>
  <c r="H15" i="2"/>
  <c r="P11" i="4" a="1"/>
  <c r="BZ7" i="4" a="1"/>
  <c r="CB6" i="4" a="1"/>
  <c r="CB5" i="4" a="1"/>
  <c r="G78" i="3"/>
  <c r="D19" i="3"/>
  <c r="BW11" i="4" a="1"/>
  <c r="BL13" i="4" a="1"/>
  <c r="J23" i="2"/>
  <c r="Q69" i="2"/>
  <c r="DX7" i="4" a="1"/>
  <c r="J46" i="3"/>
  <c r="AK9" i="4" a="1"/>
  <c r="AI6" i="4" a="1"/>
  <c r="L18" i="2"/>
  <c r="H34" i="2"/>
  <c r="P27" i="2"/>
  <c r="O35" i="2"/>
  <c r="AR87" i="3"/>
  <c r="BM13" i="4" a="1"/>
  <c r="BI8" i="4" a="1"/>
  <c r="CL15" i="4" a="1"/>
  <c r="EA11" i="4" a="1"/>
  <c r="AD8" i="4" a="1"/>
  <c r="AH14" i="4" a="1"/>
  <c r="I11" i="4" a="1"/>
  <c r="BP7" i="4" a="1"/>
  <c r="G6" i="2"/>
  <c r="E14" i="4" a="1"/>
  <c r="CO13" i="4" a="1"/>
  <c r="BV13" i="4" a="1"/>
  <c r="U21" i="2"/>
  <c r="DC9" i="4" a="1"/>
  <c r="DH7" i="4" a="1"/>
  <c r="CG14" i="4" a="1"/>
  <c r="BD12" i="4" a="1"/>
  <c r="I9" i="4" a="1"/>
  <c r="CW8" i="4" a="1"/>
  <c r="G30" i="2"/>
  <c r="F7" i="2"/>
  <c r="AD11" i="4" a="1"/>
  <c r="W32" i="2"/>
  <c r="AK16" i="4" a="1"/>
  <c r="CV5" i="4" a="1"/>
  <c r="E23" i="2"/>
  <c r="AM8" i="4" a="1"/>
  <c r="BF13" i="4" a="1"/>
  <c r="BM7" i="4" a="1"/>
  <c r="CP16" i="4" a="1"/>
  <c r="CJ5" i="4" a="1"/>
  <c r="E36" i="2"/>
  <c r="P26" i="2"/>
  <c r="AR48" i="3"/>
  <c r="AH46" i="3"/>
  <c r="X30" i="2"/>
  <c r="DA9" i="4" a="1"/>
  <c r="AX12" i="4" a="1"/>
  <c r="BV12" i="4" a="1"/>
  <c r="AZ15" i="4" a="1"/>
  <c r="E8" i="4" a="1"/>
  <c r="F15" i="2"/>
  <c r="O13" i="2"/>
  <c r="BE6" i="4" a="1"/>
  <c r="I28" i="2"/>
  <c r="AC9" i="4" a="1"/>
  <c r="U16" i="4" a="1"/>
  <c r="DN12" i="4" a="1"/>
  <c r="J13" i="4" a="1"/>
  <c r="BI13" i="4" a="1"/>
  <c r="CQ8" i="4" a="1"/>
  <c r="C13" i="4" a="1"/>
  <c r="EK11" i="4" a="1"/>
  <c r="K12" i="2"/>
  <c r="Q28" i="2"/>
  <c r="G5" i="2"/>
  <c r="AB45" i="3"/>
  <c r="E45" i="2"/>
  <c r="E13" i="3"/>
  <c r="DC8" i="4" a="1"/>
  <c r="Y5" i="4" a="1"/>
  <c r="CW7" i="4" a="1"/>
  <c r="S27" i="2"/>
  <c r="H25" i="2"/>
  <c r="S15" i="2"/>
  <c r="BB11" i="4" a="1"/>
  <c r="Y13" i="4" a="1"/>
  <c r="AD45" i="3"/>
  <c r="CU8" i="4" a="1"/>
  <c r="O32" i="2"/>
  <c r="U30" i="2"/>
  <c r="R26" i="2"/>
  <c r="DQ8" i="4" a="1"/>
  <c r="O33" i="2"/>
  <c r="V12" i="2"/>
  <c r="M13" i="2"/>
  <c r="F30" i="2"/>
  <c r="V7" i="2"/>
  <c r="F14" i="2"/>
  <c r="V6" i="4" a="1"/>
  <c r="DM16" i="4" a="1"/>
  <c r="CE14" i="4" a="1"/>
  <c r="BB6" i="4" a="1"/>
  <c r="E27" i="3"/>
  <c r="BJ12" i="4" a="1"/>
  <c r="CL8" i="4" a="1"/>
  <c r="AT15" i="4" a="1"/>
  <c r="E35" i="3"/>
  <c r="G75" i="3"/>
  <c r="T25" i="2"/>
  <c r="Q12" i="4" a="1"/>
  <c r="T9" i="2"/>
  <c r="DM5" i="4" a="1"/>
  <c r="AD10" i="3"/>
  <c r="H5" i="4" a="1"/>
  <c r="G82" i="3"/>
  <c r="T6" i="4" a="1"/>
  <c r="EC15" i="4" a="1"/>
  <c r="S16" i="2"/>
  <c r="AO12" i="4" a="1"/>
  <c r="EJ15" i="4" a="1"/>
  <c r="CB16" i="4" a="1"/>
  <c r="DR13" i="4" a="1"/>
  <c r="DZ7" i="4" a="1"/>
  <c r="W9" i="2"/>
  <c r="AK12" i="4" a="1"/>
  <c r="L8" i="2"/>
  <c r="AK13" i="4" a="1"/>
  <c r="I25" i="2"/>
  <c r="BR7" i="4" a="1"/>
  <c r="CZ8" i="4" a="1"/>
  <c r="G14" i="4" a="1"/>
  <c r="DH5" i="4" a="1"/>
  <c r="EJ7" i="4" a="1"/>
  <c r="G76" i="3"/>
  <c r="DQ16" i="4" a="1"/>
  <c r="M29" i="2"/>
  <c r="D33" i="3"/>
  <c r="DV7" i="4" a="1"/>
  <c r="DC11" i="4" a="1"/>
  <c r="N5" i="4" a="1"/>
  <c r="BG14" i="4" a="1"/>
  <c r="H11" i="4" a="1"/>
  <c r="BB15" i="4" a="1"/>
  <c r="CU16" i="4" a="1"/>
  <c r="G80" i="3"/>
  <c r="L10" i="2"/>
  <c r="D34" i="2"/>
  <c r="AM46" i="3"/>
  <c r="DH6" i="4" a="1"/>
  <c r="R18" i="2"/>
  <c r="T22" i="2"/>
  <c r="G27" i="3"/>
  <c r="F15" i="4" a="1"/>
  <c r="DS11" i="4" a="1"/>
  <c r="E15" i="4" a="1"/>
  <c r="CX8" i="4" a="1"/>
  <c r="AX6" i="4" a="1"/>
  <c r="CB11" i="4" a="1"/>
  <c r="AX9" i="4" a="1"/>
  <c r="T20" i="2"/>
  <c r="DY15" i="4" a="1"/>
  <c r="E12" i="4" a="1"/>
  <c r="M46" i="3"/>
  <c r="G36" i="2"/>
  <c r="E6" i="2"/>
  <c r="DF13" i="4" a="1"/>
  <c r="E34" i="2"/>
  <c r="K33" i="2"/>
  <c r="AJ45" i="3"/>
  <c r="E26" i="3"/>
  <c r="DD14" i="4" a="1"/>
  <c r="AY11" i="4" a="1"/>
  <c r="O16" i="4" a="1"/>
  <c r="U5" i="2"/>
  <c r="W36" i="2"/>
  <c r="AP15" i="4" a="1"/>
  <c r="L30" i="2"/>
  <c r="AD17" i="3"/>
  <c r="DU7" i="4" a="1"/>
  <c r="S46" i="3"/>
  <c r="Q58" i="2"/>
  <c r="M15" i="4" a="1"/>
  <c r="BH8" i="4" a="1"/>
  <c r="DQ5" i="4" a="1"/>
  <c r="EH6" i="4" a="1"/>
  <c r="T45" i="3"/>
  <c r="X66" i="2"/>
  <c r="X33" i="2"/>
  <c r="I15" i="2"/>
  <c r="D16" i="2"/>
  <c r="CN15" i="4" a="1"/>
  <c r="CL12" i="4" a="1"/>
  <c r="BN12" i="4" a="1"/>
  <c r="CJ13" i="4" a="1"/>
  <c r="CV14" i="4" a="1"/>
  <c r="V19" i="2"/>
  <c r="BZ15" i="4" a="1"/>
  <c r="N25" i="2"/>
  <c r="K43" i="2"/>
  <c r="DG12" i="4" a="1"/>
  <c r="BC9" i="4" a="1"/>
  <c r="O19" i="2"/>
  <c r="J6" i="4" a="1"/>
  <c r="DB7" i="4" a="1"/>
  <c r="BG15" i="4" a="1"/>
  <c r="S62" i="2"/>
  <c r="D32" i="3"/>
  <c r="U35" i="2"/>
  <c r="G9" i="4" a="1"/>
  <c r="DI11" i="4" a="1"/>
  <c r="X9" i="2"/>
  <c r="T36" i="2"/>
  <c r="R14" i="2"/>
  <c r="V11" i="2"/>
  <c r="E34" i="3"/>
  <c r="P6" i="4" a="1"/>
  <c r="CR9" i="4" a="1"/>
  <c r="N16" i="2"/>
  <c r="O7" i="2"/>
  <c r="D42" i="3"/>
  <c r="D22" i="2"/>
  <c r="DO5" i="4" a="1"/>
  <c r="P36" i="2"/>
  <c r="AR95" i="3"/>
  <c r="DI12" i="4" a="1"/>
  <c r="DL16" i="4" a="1"/>
  <c r="BT13" i="4" a="1"/>
  <c r="DI13" i="4" a="1"/>
  <c r="AR9" i="4" a="1"/>
  <c r="BP11" i="4" a="1"/>
  <c r="EJ12" i="4" a="1"/>
  <c r="I12" i="2"/>
  <c r="D30" i="2"/>
  <c r="AR96" i="3"/>
  <c r="D12" i="3"/>
  <c r="G24" i="2"/>
  <c r="K11" i="2"/>
  <c r="AJ12" i="4" a="1"/>
  <c r="CK12" i="4" a="1"/>
  <c r="G45" i="3"/>
  <c r="CZ11" i="4" a="1"/>
  <c r="EG16" i="4" a="1"/>
  <c r="F11" i="2"/>
  <c r="DO9" i="4" a="1"/>
  <c r="W34" i="2"/>
  <c r="F9" i="3"/>
  <c r="BR13" i="4" a="1"/>
  <c r="DW13" i="4" a="1"/>
  <c r="P28" i="2"/>
  <c r="G15" i="3"/>
  <c r="DB9" i="4" a="1"/>
  <c r="CD16" i="4" a="1"/>
  <c r="CJ16" i="4" a="1"/>
  <c r="D14" i="3"/>
  <c r="F40" i="3"/>
  <c r="F27" i="2"/>
  <c r="P33" i="2"/>
  <c r="Q8" i="2"/>
  <c r="N12" i="4" a="1"/>
  <c r="CY8" i="4" a="1"/>
  <c r="O15" i="4" a="1"/>
  <c r="T7" i="4" a="1"/>
  <c r="K8" i="4" a="1"/>
  <c r="CH7" i="4" a="1"/>
  <c r="N29" i="2"/>
  <c r="L24" i="2"/>
  <c r="AR66" i="3"/>
  <c r="AD14" i="3"/>
  <c r="DP12" i="4" a="1"/>
  <c r="V9" i="2"/>
  <c r="CU5" i="4" a="1"/>
  <c r="EH9" i="4" a="1"/>
  <c r="T34" i="2"/>
  <c r="F33" i="2"/>
  <c r="V12" i="4" a="1"/>
  <c r="Q7" i="2"/>
  <c r="R9" i="4" a="1"/>
  <c r="BN14" i="4" a="1"/>
  <c r="O5" i="2"/>
  <c r="X10" i="2"/>
  <c r="Q18" i="2"/>
  <c r="CC7" i="4" a="1"/>
  <c r="DZ16" i="4" a="1"/>
  <c r="CU7" i="4" a="1"/>
  <c r="AS9" i="4" a="1"/>
  <c r="AR89" i="3"/>
  <c r="W21" i="2"/>
  <c r="K21" i="2"/>
  <c r="V26" i="2"/>
  <c r="CM6" i="4" a="1"/>
  <c r="U33" i="2"/>
  <c r="F26" i="3"/>
  <c r="DK8" i="4" a="1"/>
  <c r="H12" i="2"/>
  <c r="V13" i="2"/>
  <c r="J31" i="2"/>
  <c r="G22" i="3"/>
  <c r="S24" i="2"/>
  <c r="DD6" i="4" a="1"/>
  <c r="N13" i="4" a="1"/>
  <c r="AF7" i="4" a="1"/>
  <c r="EA8" i="4" a="1"/>
  <c r="CT5" i="4" a="1"/>
  <c r="CN13" i="4" a="1"/>
  <c r="DL13" i="4" a="1"/>
  <c r="D6" i="4" a="1"/>
  <c r="O36" i="2"/>
  <c r="CK15" i="4" a="1"/>
  <c r="EF7" i="4" a="1"/>
  <c r="AI16" i="4" a="1"/>
  <c r="W46" i="3"/>
  <c r="DZ8" i="4" a="1"/>
  <c r="AJ11" i="4" a="1"/>
  <c r="AR19" i="3"/>
  <c r="AR85" i="3"/>
  <c r="C11" i="2"/>
  <c r="ED7" i="4" a="1"/>
  <c r="E28" i="2"/>
  <c r="BG12" i="4" a="1"/>
  <c r="AG6" i="4" a="1"/>
  <c r="AD12" i="3"/>
  <c r="CS12" i="4" a="1"/>
  <c r="AG13" i="4" a="1"/>
  <c r="I5" i="2"/>
  <c r="AR21" i="3"/>
  <c r="F31" i="3"/>
  <c r="J9" i="4" a="1"/>
  <c r="C20" i="2"/>
  <c r="G14" i="2"/>
  <c r="BN15" i="4" a="1"/>
  <c r="AP5" i="4" a="1"/>
  <c r="DQ11" i="4" a="1"/>
  <c r="DA6" i="4" a="1"/>
  <c r="AA6" i="4" a="1"/>
  <c r="D17" i="2"/>
  <c r="CD9" i="4" a="1"/>
  <c r="D9" i="2"/>
  <c r="CF16" i="4" a="1"/>
  <c r="CH6" i="4" a="1"/>
  <c r="DX16" i="4" a="1"/>
  <c r="D11" i="2"/>
  <c r="EE12" i="4" a="1"/>
  <c r="EG15" i="4" a="1"/>
  <c r="CQ16" i="4" a="1"/>
  <c r="W16" i="4" a="1"/>
  <c r="DI8" i="4" a="1"/>
  <c r="AN8" i="4" a="1"/>
  <c r="J9" i="2"/>
  <c r="W14" i="2"/>
  <c r="U28" i="2"/>
  <c r="BA7" i="4" a="1"/>
  <c r="BP14" i="4" a="1"/>
  <c r="BK16" i="4" a="1"/>
  <c r="AJ9" i="4" a="1"/>
  <c r="DL8" i="4" a="1"/>
  <c r="G11" i="4" a="1"/>
  <c r="G20" i="2"/>
  <c r="J35" i="2"/>
  <c r="N12" i="2"/>
  <c r="AD5" i="3"/>
  <c r="Y16" i="4" a="1"/>
  <c r="I7" i="4" a="1"/>
  <c r="N45" i="3"/>
  <c r="DF8" i="4" a="1"/>
  <c r="DH8" i="4" a="1"/>
  <c r="T33" i="2"/>
  <c r="C16" i="2"/>
  <c r="U12" i="4" a="1"/>
  <c r="D9" i="3"/>
  <c r="X20" i="2"/>
  <c r="BA11" i="4" a="1"/>
  <c r="U11" i="4" a="1"/>
  <c r="O10" i="2"/>
  <c r="M18" i="2"/>
  <c r="W31" i="2"/>
  <c r="D9" i="4" a="1"/>
  <c r="AZ13" i="4" a="1"/>
  <c r="L16" i="2"/>
  <c r="E31" i="2"/>
  <c r="I22" i="2"/>
  <c r="M35" i="2"/>
  <c r="L9" i="2"/>
  <c r="AW7" i="4" a="1"/>
  <c r="E29" i="3"/>
  <c r="BL8" i="4" a="1"/>
  <c r="BU16" i="4" a="1"/>
  <c r="N23" i="2"/>
  <c r="W11" i="4" a="1"/>
  <c r="F33" i="3"/>
  <c r="CZ9" i="4" a="1"/>
  <c r="L6" i="4" a="1"/>
  <c r="AU8" i="4" a="1"/>
  <c r="M5" i="2"/>
  <c r="AB5" i="4" a="1"/>
  <c r="BO15" i="4" a="1"/>
  <c r="Y15" i="4" a="1"/>
  <c r="CK7" i="4" a="1"/>
  <c r="CH13" i="4" a="1"/>
  <c r="G67" i="3"/>
  <c r="O26" i="2"/>
  <c r="AR84" i="3"/>
  <c r="U14" i="4" a="1"/>
  <c r="S9" i="4" a="1"/>
  <c r="AT5" i="4" a="1"/>
  <c r="N31" i="2"/>
  <c r="AI9" i="4" a="1"/>
  <c r="C12" i="4" a="1"/>
  <c r="G19" i="2"/>
  <c r="CZ16" i="4" a="1"/>
  <c r="F11" i="4" a="1"/>
  <c r="L6" i="2"/>
  <c r="AX8" i="4" a="1"/>
  <c r="CA5" i="4" a="1"/>
  <c r="AI8" i="4" a="1"/>
  <c r="CK5" i="4" a="1"/>
  <c r="EE15" i="4" a="1"/>
  <c r="AM16" i="4" a="1"/>
  <c r="G89" i="3"/>
  <c r="F18" i="2"/>
  <c r="S35" i="2"/>
  <c r="BE13" i="4" a="1"/>
  <c r="R14" i="4" a="1"/>
  <c r="K17" i="2"/>
  <c r="AT11" i="4" a="1"/>
  <c r="K15" i="2"/>
  <c r="AH16" i="4" a="1"/>
  <c r="DN11" i="4" a="1"/>
  <c r="O20" i="2"/>
  <c r="EK15" i="4" a="1"/>
  <c r="DG7" i="4" a="1"/>
  <c r="D14" i="2"/>
  <c r="K8" i="2"/>
  <c r="CA15" i="4" a="1"/>
  <c r="BT5" i="4" a="1"/>
  <c r="U31" i="2"/>
  <c r="AR91" i="3"/>
  <c r="U15" i="4" a="1"/>
  <c r="DD9" i="4" a="1"/>
  <c r="EB14" i="4" a="1"/>
  <c r="P15" i="4" a="1"/>
  <c r="D16" i="3"/>
  <c r="DJ7" i="4" a="1"/>
  <c r="DE13" i="4" a="1"/>
  <c r="P29" i="2"/>
  <c r="R16" i="4" a="1"/>
  <c r="S6" i="2"/>
  <c r="V20" i="2"/>
  <c r="BZ13" i="4" a="1"/>
  <c r="AQ11" i="4" a="1"/>
  <c r="L35" i="2"/>
  <c r="R13" i="4" a="1"/>
  <c r="K32" i="2"/>
  <c r="DB12" i="4" a="1"/>
  <c r="R9" i="2"/>
  <c r="DQ14" i="4" a="1"/>
  <c r="BF7" i="4" a="1"/>
  <c r="F6" i="3"/>
  <c r="BB12" i="4" a="1"/>
  <c r="I12" i="4" a="1"/>
  <c r="DT13" i="4" a="1"/>
  <c r="AR82" i="3"/>
  <c r="K7" i="4" a="1"/>
  <c r="V46" i="3"/>
  <c r="AQ12" i="4" a="1"/>
  <c r="O29" i="2"/>
  <c r="BN9" i="4" a="1"/>
  <c r="J34" i="2"/>
  <c r="C24" i="2"/>
  <c r="V22" i="2"/>
  <c r="BT6" i="4" a="1"/>
  <c r="S30" i="2"/>
  <c r="D26" i="3"/>
  <c r="T31" i="2"/>
  <c r="AM5" i="4" a="1"/>
  <c r="AN12" i="4" a="1"/>
  <c r="Q13" i="4" a="1"/>
  <c r="R12" i="4" a="1"/>
  <c r="DA15" i="4" a="1"/>
  <c r="H24" i="2"/>
  <c r="AM11" i="4" a="1"/>
  <c r="M14" i="4" a="1"/>
  <c r="ED15" i="4" a="1"/>
  <c r="DZ15" i="4" a="1"/>
  <c r="AR58" i="3"/>
  <c r="AI14" i="4" a="1"/>
  <c r="DR14" i="4" a="1"/>
  <c r="AO14" i="4" a="1"/>
  <c r="U6" i="4" a="1"/>
  <c r="AI7" i="4" a="1"/>
  <c r="F25" i="2"/>
  <c r="G10" i="2"/>
  <c r="BC14" i="4" a="1"/>
  <c r="BB9" i="4" a="1"/>
  <c r="BQ13" i="4" a="1"/>
  <c r="Q16" i="4" a="1"/>
  <c r="G92" i="3"/>
  <c r="N26" i="2"/>
  <c r="EI6" i="4" a="1"/>
  <c r="AY16" i="4" a="1"/>
  <c r="F9" i="2"/>
  <c r="CH11" i="4" a="1"/>
  <c r="BT15" i="4" a="1"/>
  <c r="CT13" i="4" a="1"/>
  <c r="G55" i="3"/>
  <c r="M12" i="2"/>
  <c r="CD8" i="4" a="1"/>
  <c r="BP9" i="4" a="1"/>
  <c r="M20" i="2"/>
  <c r="BI6" i="4" a="1"/>
  <c r="CD11" i="4" a="1"/>
  <c r="BT12" i="4" a="1"/>
  <c r="T15" i="4" a="1"/>
  <c r="AG16" i="4" a="1"/>
  <c r="BE12" i="4" a="1"/>
  <c r="BS13" i="4" a="1"/>
  <c r="DS15" i="4" a="1"/>
  <c r="G84" i="3"/>
  <c r="DR6" i="4" a="1"/>
  <c r="DF11" i="4" a="1"/>
  <c r="DP15" i="4" a="1"/>
  <c r="AC11" i="4" a="1"/>
  <c r="W24" i="2"/>
  <c r="D13" i="3"/>
  <c r="BP16" i="4" a="1"/>
  <c r="DR8" i="4" a="1"/>
  <c r="EJ9" i="4" a="1"/>
  <c r="W30" i="2"/>
  <c r="AN5" i="4" a="1"/>
  <c r="W5" i="2"/>
  <c r="E7" i="3"/>
  <c r="G11" i="3"/>
  <c r="CF12" i="4" a="1"/>
  <c r="BQ14" i="4" a="1"/>
  <c r="AR88" i="3"/>
  <c r="AV12" i="4" a="1"/>
  <c r="EA15" i="4" a="1"/>
  <c r="CF14" i="4" a="1"/>
  <c r="AB14" i="4" a="1"/>
  <c r="E15" i="3"/>
  <c r="AD18" i="3"/>
  <c r="BK15" i="4" a="1"/>
  <c r="EI7" i="4" a="1"/>
  <c r="CX11" i="4" a="1"/>
  <c r="DE8" i="4" a="1"/>
  <c r="BU8" i="4" a="1"/>
  <c r="AE6" i="4" a="1"/>
  <c r="R33" i="2"/>
  <c r="AR60" i="3"/>
  <c r="AJ15" i="4" a="1"/>
  <c r="E32" i="2"/>
  <c r="BO5" i="4" a="1"/>
  <c r="CX13" i="4" a="1"/>
  <c r="DX11" i="4" a="1"/>
  <c r="CT12" i="4" a="1"/>
  <c r="DK13" i="4" a="1"/>
  <c r="G27" i="2"/>
  <c r="BU9" i="4" a="1"/>
  <c r="CC15" i="4" a="1"/>
  <c r="F34" i="2"/>
  <c r="X8" i="2"/>
  <c r="BQ5" i="4" a="1"/>
  <c r="AA14" i="4" a="1"/>
  <c r="G33" i="2"/>
  <c r="BS11" i="4" a="1"/>
  <c r="AD88" i="3"/>
  <c r="AD95" i="3"/>
  <c r="G95" i="3"/>
  <c r="CD12" i="4" a="1"/>
  <c r="DH9" i="4" a="1"/>
  <c r="DO7" i="4" a="1"/>
  <c r="AH13" i="4" a="1"/>
  <c r="CU11" i="4" a="1"/>
  <c r="AD55" i="3"/>
  <c r="G71" i="3"/>
  <c r="F10" i="3"/>
  <c r="AI11" i="4" a="1"/>
  <c r="DD16" i="4" a="1"/>
  <c r="AF14" i="4" a="1"/>
  <c r="AD91" i="3"/>
  <c r="EI13" i="4" a="1"/>
  <c r="D37" i="3"/>
  <c r="U19" i="2"/>
  <c r="W9" i="4" a="1"/>
  <c r="Q36" i="2"/>
  <c r="D29" i="3"/>
  <c r="V33" i="2"/>
  <c r="P13" i="2"/>
  <c r="AK11" i="4" a="1"/>
  <c r="AR90" i="3"/>
  <c r="AT14" i="4" a="1"/>
  <c r="D8" i="2"/>
  <c r="V11" i="4" a="1"/>
  <c r="E16" i="4" a="1"/>
  <c r="J22" i="2"/>
  <c r="AD78" i="3"/>
  <c r="H30" i="2"/>
  <c r="F7" i="4" a="1"/>
  <c r="G69" i="3"/>
  <c r="BX5" i="4" a="1"/>
  <c r="I6" i="4" a="1"/>
  <c r="R6" i="2"/>
  <c r="DE9" i="4" a="1"/>
  <c r="O24" i="2"/>
  <c r="K15" i="4" a="1"/>
  <c r="CL9" i="4" a="1"/>
  <c r="BR14" i="4" a="1"/>
  <c r="CR16" i="4" a="1"/>
  <c r="BI9" i="4" a="1"/>
  <c r="DP11" i="4" a="1"/>
  <c r="C17" i="2"/>
  <c r="AR36" i="3"/>
  <c r="T32" i="2"/>
  <c r="K20" i="2"/>
  <c r="C9" i="4" a="1"/>
  <c r="S10" i="2"/>
  <c r="DU8" i="4" a="1"/>
  <c r="CD14" i="4" a="1"/>
  <c r="CA14" i="4" a="1"/>
  <c r="N28" i="2"/>
  <c r="AK6" i="4" a="1"/>
  <c r="E10" i="2"/>
  <c r="CY13" i="4" a="1"/>
  <c r="AM7" i="4" a="1"/>
  <c r="U6" i="2"/>
  <c r="CS8" i="4" a="1"/>
  <c r="BO8" i="4" a="1"/>
  <c r="T11" i="2"/>
  <c r="BZ16" i="4" a="1"/>
  <c r="EG9" i="4" a="1"/>
  <c r="E36" i="3"/>
  <c r="BI16" i="4" a="1"/>
  <c r="CS14" i="4" a="1"/>
  <c r="AR5" i="4" a="1"/>
  <c r="AR22" i="3"/>
  <c r="DR7" i="4" a="1"/>
  <c r="U25" i="2"/>
  <c r="M27" i="2"/>
  <c r="D24" i="3"/>
  <c r="BM11" i="4" a="1"/>
  <c r="AR76" i="3"/>
  <c r="U13" i="2"/>
  <c r="T17" i="2"/>
  <c r="AA11" i="4" a="1"/>
  <c r="T21" i="2"/>
  <c r="BX13" i="4" a="1"/>
  <c r="AP8" i="4" a="1"/>
  <c r="DJ12" i="4" a="1"/>
  <c r="CI15" i="4" a="1"/>
  <c r="BG7" i="4" a="1"/>
  <c r="BE9" i="4" a="1"/>
  <c r="BD9" i="4" a="1"/>
  <c r="CT11" i="4" a="1"/>
  <c r="BW16" i="4" a="1"/>
  <c r="Q9" i="4" a="1"/>
  <c r="DJ13" i="4" a="1"/>
  <c r="DC5" i="4" a="1"/>
  <c r="I27" i="2"/>
  <c r="F17" i="3"/>
  <c r="N33" i="2"/>
  <c r="G8" i="4" a="1"/>
  <c r="EI8" i="4" a="1"/>
  <c r="DI6" i="4" a="1"/>
  <c r="BF8" i="4" a="1"/>
  <c r="AD96" i="3"/>
  <c r="AR13" i="3"/>
  <c r="AO7" i="4" a="1"/>
  <c r="Q6" i="2"/>
  <c r="DT16" i="4" a="1"/>
  <c r="AK14" i="4" a="1"/>
  <c r="AM12" i="4" a="1"/>
  <c r="AZ16" i="4" a="1"/>
  <c r="AD85" i="3"/>
  <c r="F29" i="3"/>
  <c r="EH7" i="4" a="1"/>
  <c r="L12" i="2"/>
  <c r="E14" i="3"/>
  <c r="CR6" i="4" a="1"/>
  <c r="Q30" i="2"/>
  <c r="T14" i="4" a="1"/>
  <c r="CR14" i="4" a="1"/>
  <c r="CS13" i="4" a="1"/>
  <c r="AE45" i="3"/>
  <c r="T13" i="4" a="1"/>
  <c r="T8" i="4" a="1"/>
  <c r="AJ5" i="4" a="1"/>
  <c r="CE8" i="4" a="1"/>
  <c r="N19" i="2"/>
  <c r="AL13" i="4" a="1"/>
  <c r="CZ15" i="4" a="1"/>
  <c r="CQ5" i="4" a="1"/>
  <c r="BC6" i="4" a="1"/>
  <c r="BP15" i="4" a="1"/>
  <c r="AD77" i="3"/>
  <c r="AA45" i="3"/>
  <c r="BB5" i="4" a="1"/>
  <c r="K28" i="2"/>
  <c r="AS8" i="4" a="1"/>
  <c r="P18" i="2"/>
  <c r="G8" i="3"/>
  <c r="Y12" i="4" a="1"/>
  <c r="AU6" i="4" a="1"/>
  <c r="M7" i="4" a="1"/>
  <c r="DS16" i="4" a="1"/>
  <c r="BL14" i="4" a="1"/>
  <c r="EF11" i="4" a="1"/>
  <c r="BL16" i="4" a="1"/>
  <c r="V17" i="2"/>
  <c r="DV16" i="4" a="1"/>
  <c r="T9" i="4" a="1"/>
  <c r="CR7" i="4" a="1"/>
  <c r="G46" i="3"/>
  <c r="DM8" i="4" a="1"/>
  <c r="BV8" i="4" a="1"/>
  <c r="AP11" i="4" a="1"/>
  <c r="D30" i="3"/>
  <c r="BN11" i="4" a="1"/>
  <c r="DO11" i="4" a="1"/>
  <c r="W7" i="4" a="1"/>
  <c r="EF13" i="4" a="1"/>
  <c r="BA14" i="4" a="1"/>
  <c r="EB12" i="4" a="1"/>
  <c r="X16" i="4" a="1"/>
  <c r="DM7" i="4" a="1"/>
  <c r="BR8" i="4" a="1"/>
  <c r="CV16" i="4" a="1"/>
  <c r="DY16" i="4" a="1"/>
  <c r="I24" i="2"/>
  <c r="AG7" i="4" a="1"/>
  <c r="AD64" i="3"/>
  <c r="G59" i="3"/>
  <c r="EH12" i="4" a="1"/>
  <c r="DX6" i="4" a="1"/>
  <c r="CU13" i="4" a="1"/>
  <c r="D21" i="3"/>
  <c r="P21" i="2"/>
  <c r="AR6" i="4" a="1"/>
  <c r="CM15" i="4" a="1"/>
  <c r="I30" i="2"/>
  <c r="AE15" i="4" a="1"/>
  <c r="CY15" i="4" a="1"/>
  <c r="BK14" i="4" a="1"/>
  <c r="DF6" i="4" a="1"/>
  <c r="BW9" i="4" a="1"/>
  <c r="U8" i="2"/>
  <c r="CC14" i="4" a="1"/>
  <c r="BH13" i="4" a="1"/>
  <c r="F37" i="3"/>
  <c r="AS13" i="4" a="1"/>
  <c r="E38" i="3"/>
  <c r="Q57" i="2"/>
  <c r="CH15" i="4" a="1"/>
  <c r="AE14" i="4" a="1"/>
  <c r="AD71" i="3"/>
  <c r="D25" i="3"/>
  <c r="CZ14" i="4" a="1"/>
  <c r="AD60" i="3"/>
  <c r="I19" i="2"/>
  <c r="AR15" i="3"/>
  <c r="BO14" i="4" a="1"/>
  <c r="BY8" i="4" a="1"/>
  <c r="EH15" i="4" a="1"/>
  <c r="U20" i="2"/>
  <c r="DB5" i="4" a="1"/>
  <c r="U15" i="2"/>
  <c r="CX7" i="4" a="1"/>
  <c r="P17" i="2"/>
  <c r="J17" i="2"/>
  <c r="DU16" i="4" a="1"/>
  <c r="S19" i="2"/>
  <c r="DV9" i="4" a="1"/>
  <c r="W28" i="2"/>
  <c r="I36" i="2"/>
  <c r="AR10" i="3"/>
  <c r="CN7" i="4" a="1"/>
  <c r="Z14" i="4" a="1"/>
  <c r="U24" i="2"/>
  <c r="AR92" i="3"/>
  <c r="J25" i="2"/>
  <c r="BQ16" i="4" a="1"/>
  <c r="EG5" i="4" a="1"/>
  <c r="AJ14" i="4" a="1"/>
  <c r="O9" i="4" a="1"/>
  <c r="U27" i="2"/>
  <c r="DG6" i="4" a="1"/>
  <c r="Y46" i="3"/>
  <c r="CP12" i="4" a="1"/>
  <c r="S20" i="2"/>
  <c r="K13" i="4" a="1"/>
  <c r="E30" i="2"/>
  <c r="K14" i="2"/>
  <c r="EE7" i="4" a="1"/>
  <c r="AR9" i="3"/>
  <c r="V35" i="2"/>
  <c r="W27" i="2"/>
  <c r="DF7" i="4" a="1"/>
  <c r="DA13" i="4" a="1"/>
  <c r="DO15" i="4" a="1"/>
  <c r="BI15" i="4" a="1"/>
  <c r="AD76" i="3"/>
  <c r="L32" i="2"/>
  <c r="Q45" i="3"/>
  <c r="DK12" i="4" a="1"/>
  <c r="C33" i="2"/>
  <c r="P34" i="2"/>
  <c r="D24" i="2"/>
  <c r="S23" i="2"/>
  <c r="P20" i="2"/>
  <c r="R19" i="2"/>
  <c r="AQ7" i="4" a="1"/>
  <c r="DI7" i="4" a="1"/>
  <c r="BJ5" i="4" a="1"/>
  <c r="BG11" i="4" a="1"/>
  <c r="BF11" i="4" a="1"/>
  <c r="O6" i="4" a="1"/>
  <c r="D47" i="2"/>
  <c r="U9" i="2"/>
  <c r="BC13" i="4" a="1"/>
  <c r="W23" i="2"/>
  <c r="H46" i="3"/>
  <c r="CW13" i="4" a="1"/>
  <c r="D12" i="2"/>
  <c r="DG5" i="4" a="1"/>
  <c r="AR55" i="3"/>
  <c r="BK9" i="4" a="1"/>
  <c r="F89" i="2"/>
  <c r="AD70" i="3"/>
  <c r="S18" i="2"/>
  <c r="CU6" i="4" a="1"/>
  <c r="O34" i="2"/>
  <c r="DT6" i="4" a="1"/>
  <c r="AR12" i="3"/>
  <c r="K30" i="2"/>
  <c r="X25" i="2"/>
  <c r="EE16" i="4" a="1"/>
  <c r="I11" i="2"/>
  <c r="DY6" i="4" a="1"/>
  <c r="I16" i="4" a="1"/>
  <c r="X32" i="2"/>
  <c r="BY15" i="4" a="1"/>
  <c r="BD5" i="4" a="1"/>
  <c r="D15" i="3"/>
  <c r="DY9" i="4" a="1"/>
  <c r="V8" i="2"/>
  <c r="DY11" i="4" a="1"/>
  <c r="J18" i="2"/>
  <c r="CP8" i="4" a="1"/>
  <c r="CX5" i="4" a="1"/>
  <c r="G12" i="3"/>
  <c r="H8" i="2"/>
  <c r="K6" i="4" a="1"/>
  <c r="AR64" i="3"/>
  <c r="CF9" i="4" a="1"/>
  <c r="EJ11" i="4" a="1"/>
  <c r="E5" i="3"/>
  <c r="F31" i="2"/>
  <c r="AR8" i="3"/>
  <c r="BM8" i="4" a="1"/>
  <c r="BQ9" i="4" a="1"/>
  <c r="D29" i="2"/>
  <c r="ED13" i="4" a="1"/>
  <c r="DT14" i="4" a="1"/>
  <c r="O31" i="2"/>
  <c r="F20" i="2"/>
  <c r="O14" i="4" a="1"/>
  <c r="EH11" i="4" a="1"/>
  <c r="E88" i="3"/>
  <c r="EJ13" i="4" a="1"/>
  <c r="L31" i="2"/>
  <c r="AA15" i="4" a="1"/>
  <c r="AA9" i="4" a="1"/>
  <c r="BA12" i="4" a="1"/>
  <c r="U36" i="2"/>
  <c r="J8" i="4" a="1"/>
  <c r="BC15" i="4" a="1"/>
  <c r="C18" i="2"/>
  <c r="AA5" i="4" a="1"/>
  <c r="BQ6" i="4" a="1"/>
  <c r="I15" i="4" a="1"/>
  <c r="E94" i="3"/>
  <c r="CW14" i="4" a="1"/>
  <c r="M14" i="2"/>
  <c r="R11" i="2"/>
  <c r="R7" i="4" a="1"/>
  <c r="AD16" i="4" a="1"/>
  <c r="EK7" i="4" a="1"/>
  <c r="R15" i="4" a="1"/>
  <c r="E40" i="3"/>
  <c r="DG15" i="4" a="1"/>
  <c r="CV15" i="4" a="1"/>
  <c r="CQ13" i="4" a="1"/>
  <c r="N9" i="2"/>
  <c r="X63" i="2"/>
  <c r="BK6" i="4" a="1"/>
  <c r="G8" i="2"/>
  <c r="H7" i="4" a="1"/>
  <c r="AH5" i="4" a="1"/>
  <c r="BD13" i="4" a="1"/>
  <c r="EB5" i="4" a="1"/>
  <c r="X12" i="2"/>
  <c r="DF16" i="4" a="1"/>
  <c r="BZ12" i="4" a="1"/>
  <c r="V5" i="2"/>
  <c r="CK11" i="4" a="1"/>
  <c r="DK7" i="4" a="1"/>
  <c r="I45" i="3"/>
  <c r="J15" i="2"/>
  <c r="S22" i="2"/>
  <c r="AF11" i="4" a="1"/>
  <c r="CA9" i="4" a="1"/>
  <c r="W17" i="2"/>
  <c r="EI5" i="4" a="1"/>
  <c r="CX16" i="4" a="1"/>
  <c r="DK15" i="4" a="1"/>
  <c r="U9" i="4" a="1"/>
  <c r="BV6" i="4" a="1"/>
  <c r="E91" i="3"/>
  <c r="AD93" i="3"/>
  <c r="G54" i="3"/>
  <c r="K23" i="2"/>
  <c r="E82" i="3"/>
  <c r="G94" i="3"/>
  <c r="EJ14" i="4" a="1"/>
  <c r="AU12" i="4" a="1"/>
  <c r="BM5" i="4" a="1"/>
  <c r="L28" i="2"/>
  <c r="T12" i="4" a="1"/>
  <c r="E64" i="3"/>
  <c r="F12" i="3"/>
  <c r="W12" i="4" a="1"/>
  <c r="AD59" i="3"/>
  <c r="AL15" i="4" a="1"/>
  <c r="F22" i="2"/>
  <c r="BF9" i="4" a="1"/>
  <c r="Q13" i="2"/>
  <c r="E11" i="2"/>
  <c r="BL12" i="4" a="1"/>
  <c r="G21" i="2"/>
  <c r="DH15" i="4" a="1"/>
  <c r="DU9" i="4" a="1"/>
  <c r="DR5" i="4" a="1"/>
  <c r="AQ9" i="4" a="1"/>
  <c r="CV11" i="4" a="1"/>
  <c r="BY13" i="4" a="1"/>
  <c r="X13" i="2"/>
  <c r="AW8" i="4" a="1"/>
  <c r="P16" i="4" a="1"/>
  <c r="E46" i="3"/>
  <c r="Q11" i="4" a="1"/>
  <c r="DD11" i="4" a="1"/>
  <c r="N14" i="2"/>
  <c r="AR62" i="3"/>
  <c r="X27" i="2"/>
  <c r="DU14" i="4" a="1"/>
  <c r="DW8" i="4" a="1"/>
  <c r="H12" i="4" a="1"/>
  <c r="EC9" i="4" a="1"/>
  <c r="BS14" i="4" a="1"/>
  <c r="CT7" i="4" a="1"/>
  <c r="N20" i="2"/>
  <c r="X23" i="2"/>
  <c r="E25" i="3"/>
  <c r="H13" i="2"/>
  <c r="AS49" i="3"/>
  <c r="CV12" i="4" a="1"/>
  <c r="AJ8" i="4" a="1"/>
  <c r="X35" i="2"/>
  <c r="U14" i="2"/>
  <c r="AG45" i="3"/>
  <c r="BY11" i="4" a="1"/>
  <c r="BK11" i="4" a="1"/>
  <c r="G26" i="3"/>
  <c r="L14" i="2"/>
  <c r="DN6" i="4" a="1"/>
  <c r="G19" i="3"/>
  <c r="AU14" i="4" a="1"/>
  <c r="AQ16" i="4" a="1"/>
  <c r="R31" i="2"/>
  <c r="O16" i="2"/>
  <c r="BB14" i="4" a="1"/>
  <c r="DL15" i="4" a="1"/>
  <c r="CD15" i="4" a="1"/>
  <c r="AV16" i="4" a="1"/>
  <c r="DX13" i="4" a="1"/>
  <c r="CK14" i="4" a="1"/>
  <c r="X11" i="2"/>
  <c r="AF5" i="4" a="1"/>
  <c r="V15" i="4" a="1"/>
  <c r="G35" i="2"/>
  <c r="AT9" i="4" a="1"/>
  <c r="AQ6" i="3"/>
  <c r="F28" i="2"/>
  <c r="CW12" i="4" a="1"/>
  <c r="D5" i="3"/>
  <c r="X24" i="2"/>
  <c r="DF15" i="4" a="1"/>
  <c r="R13" i="2"/>
  <c r="CF11" i="4" a="1"/>
  <c r="D28" i="2"/>
  <c r="AR16" i="3"/>
  <c r="DM9" i="4" a="1"/>
  <c r="BY7" i="4" a="1"/>
  <c r="F7" i="3"/>
  <c r="AL9" i="4" a="1"/>
  <c r="AV13" i="4" a="1"/>
  <c r="AV9" i="4" a="1"/>
  <c r="R32" i="2"/>
  <c r="BV5" i="4" a="1"/>
  <c r="DY5" i="4" a="1"/>
  <c r="AH11" i="4" a="1"/>
  <c r="AJ6" i="4" a="1"/>
  <c r="CD7" i="4" a="1"/>
  <c r="DE16" i="4" a="1"/>
  <c r="D18" i="2"/>
  <c r="Q56" i="2"/>
  <c r="CT6" i="4" a="1"/>
  <c r="BB7" i="4" a="1"/>
  <c r="CH9" i="4" a="1"/>
  <c r="AR59" i="3"/>
  <c r="E28" i="3"/>
  <c r="H23" i="2"/>
  <c r="BQ7" i="4" a="1"/>
  <c r="DD13" i="4" a="1"/>
  <c r="D16" i="4" a="1"/>
  <c r="D6" i="3"/>
  <c r="E70" i="3"/>
  <c r="P11" i="2"/>
  <c r="G29" i="2"/>
  <c r="CI13" i="4" a="1"/>
  <c r="N30" i="2"/>
  <c r="Q33" i="2"/>
  <c r="CU9" i="4" a="1"/>
  <c r="E42" i="3"/>
  <c r="AF13" i="4" a="1"/>
  <c r="L15" i="4" a="1"/>
  <c r="CO16" i="4" a="1"/>
  <c r="AD80" i="3"/>
  <c r="G31" i="2"/>
  <c r="DK6" i="4" a="1"/>
  <c r="D31" i="3"/>
  <c r="E55" i="3"/>
  <c r="K12" i="4" a="1"/>
  <c r="CG11" i="4" a="1"/>
  <c r="BM12" i="4" a="1"/>
  <c r="BT9" i="4" a="1"/>
  <c r="AR93" i="3"/>
  <c r="AD46" i="3"/>
  <c r="EG7" i="4" a="1"/>
  <c r="AB7" i="4" a="1"/>
  <c r="D72" i="3"/>
  <c r="BC11" i="4" a="1"/>
  <c r="M36" i="2"/>
  <c r="AR86" i="3"/>
  <c r="W15" i="4" a="1"/>
  <c r="CB7" i="4" a="1"/>
  <c r="V36" i="2"/>
  <c r="AS14" i="4" a="1"/>
  <c r="AB9" i="4" a="1"/>
  <c r="BY6" i="4" a="1"/>
  <c r="BT8" i="4" a="1"/>
  <c r="DN15" i="4" a="1"/>
  <c r="BX6" i="4" a="1"/>
  <c r="CI11" i="4" a="1"/>
  <c r="CT14" i="4" a="1"/>
  <c r="V31" i="2"/>
  <c r="DU6" i="4" a="1"/>
  <c r="K46" i="3"/>
  <c r="AW9" i="4" a="1"/>
  <c r="CE6" i="4" a="1"/>
  <c r="K16" i="2"/>
  <c r="L20" i="2"/>
  <c r="DU11" i="4" a="1"/>
  <c r="DL14" i="4" a="1"/>
  <c r="CK8" i="4" a="1"/>
  <c r="M34" i="2"/>
  <c r="X5" i="4" a="1"/>
  <c r="DQ6" i="4" a="1"/>
  <c r="CQ14" i="4" a="1"/>
  <c r="DS14" i="4" a="1"/>
  <c r="D55" i="3"/>
  <c r="E57" i="3"/>
  <c r="G9" i="2"/>
  <c r="AL6" i="4" a="1"/>
  <c r="EJ5" i="4" a="1"/>
  <c r="AY13" i="4" a="1"/>
  <c r="CO15" i="4" a="1"/>
  <c r="EF15" i="4" a="1"/>
  <c r="AD84" i="3"/>
  <c r="E71" i="3"/>
  <c r="D95" i="3"/>
  <c r="G64" i="3"/>
  <c r="AR41" i="3"/>
  <c r="G7" i="2"/>
  <c r="AR12" i="4" a="1"/>
  <c r="BS5" i="4" a="1"/>
  <c r="DJ14" i="4" a="1"/>
  <c r="CC16" i="4" a="1"/>
  <c r="F35" i="2"/>
  <c r="P13" i="4" a="1"/>
  <c r="DV6" i="4" a="1"/>
  <c r="AR11" i="3"/>
  <c r="H13" i="4" a="1"/>
  <c r="E86" i="3"/>
  <c r="D83" i="3"/>
  <c r="D81" i="3"/>
  <c r="AT8" i="4" a="1"/>
  <c r="CA7" i="4" a="1"/>
  <c r="AH9" i="4" a="1"/>
  <c r="AO11" i="4" a="1"/>
  <c r="C45" i="3"/>
  <c r="DU13" i="4" a="1"/>
  <c r="AY8" i="4" a="1"/>
  <c r="N6" i="2"/>
  <c r="CG16" i="4" a="1"/>
  <c r="S8" i="2"/>
  <c r="D8" i="3"/>
  <c r="EF16" i="4" a="1"/>
  <c r="CS15" i="4" a="1"/>
  <c r="P24" i="2"/>
  <c r="BR11" i="4" a="1"/>
  <c r="AS12" i="4" a="1"/>
  <c r="AZ9" i="4" a="1"/>
  <c r="BX15" i="4" a="1"/>
  <c r="R46" i="3"/>
  <c r="AR11" i="4" a="1"/>
  <c r="C29" i="2"/>
  <c r="D27" i="2"/>
  <c r="CT16" i="4" a="1"/>
  <c r="DG9" i="4" a="1"/>
  <c r="N9" i="4" a="1"/>
  <c r="K5" i="4" a="1"/>
  <c r="E80" i="3"/>
  <c r="V32" i="2"/>
  <c r="N14" i="4" a="1"/>
  <c r="BE11" i="4" a="1"/>
  <c r="G97" i="3"/>
  <c r="AR79" i="3"/>
  <c r="F16" i="2"/>
  <c r="CJ9" i="4" a="1"/>
  <c r="G9" i="3"/>
  <c r="EF8" i="4" a="1"/>
  <c r="AD74" i="3"/>
  <c r="AR65" i="3"/>
  <c r="AF48" i="3"/>
  <c r="AV14" i="4" a="1"/>
  <c r="AK8" i="4" a="1"/>
  <c r="X18" i="2"/>
  <c r="E59" i="3"/>
  <c r="DP8" i="4" a="1"/>
  <c r="V9" i="4" a="1"/>
  <c r="R6" i="4" a="1"/>
  <c r="AB8" i="4" a="1"/>
  <c r="I8" i="2"/>
  <c r="BP5" i="4" a="1"/>
  <c r="AZ11" i="4" a="1"/>
  <c r="H28" i="2"/>
  <c r="Y11" i="4" a="1"/>
  <c r="Q7" i="4" a="1"/>
  <c r="AD68" i="3"/>
  <c r="DA8" i="4" a="1"/>
  <c r="D69" i="3"/>
  <c r="EG12" i="4" a="1"/>
  <c r="BH14" i="4" a="1"/>
  <c r="T19" i="2"/>
  <c r="D23" i="2"/>
  <c r="D25" i="2"/>
  <c r="BH6" i="4" a="1"/>
  <c r="AZ14" i="4" a="1"/>
  <c r="M26" i="2"/>
  <c r="T6" i="2"/>
  <c r="AW13" i="4" a="1"/>
  <c r="D65" i="3"/>
  <c r="DJ9" i="4" a="1"/>
  <c r="G25" i="2"/>
  <c r="EB15" i="4" a="1"/>
  <c r="CG13" i="4" a="1"/>
  <c r="V24" i="2"/>
  <c r="BS12" i="4" a="1"/>
  <c r="EC11" i="4" a="1"/>
  <c r="AD56" i="3"/>
  <c r="AI45" i="3"/>
  <c r="S13" i="2"/>
  <c r="G25" i="3"/>
  <c r="N15" i="4" a="1"/>
  <c r="DQ7" i="4" a="1"/>
  <c r="I18" i="2"/>
  <c r="AU11" i="4" a="1"/>
  <c r="AE11" i="4" a="1"/>
  <c r="W46" i="2"/>
  <c r="DZ14" i="4" a="1"/>
  <c r="AS16" i="4" a="1"/>
  <c r="I10" i="2"/>
  <c r="S26" i="2"/>
  <c r="R5" i="2"/>
  <c r="AD7" i="4" a="1"/>
  <c r="DK11" i="4" a="1"/>
  <c r="AS15" i="4" a="1"/>
  <c r="DM13" i="4" a="1"/>
  <c r="K5" i="2"/>
  <c r="Q31" i="2"/>
  <c r="BQ15" i="4" a="1"/>
  <c r="BC5" i="4" a="1"/>
  <c r="F13" i="2"/>
  <c r="E19" i="3"/>
  <c r="AM45" i="3"/>
  <c r="L5" i="2"/>
  <c r="M32" i="2"/>
  <c r="AR77" i="3"/>
  <c r="G28" i="3"/>
  <c r="I23" i="2"/>
  <c r="AR80" i="3"/>
  <c r="CB8" i="4" a="1"/>
  <c r="E26" i="2"/>
  <c r="BM6" i="4" a="1"/>
  <c r="AI12" i="4" a="1"/>
  <c r="Q19" i="2"/>
  <c r="O12" i="4" a="1"/>
  <c r="H45" i="3"/>
  <c r="CR15" i="4" a="1"/>
  <c r="H18" i="2"/>
  <c r="DV15" i="4" a="1"/>
  <c r="DZ11" i="4" a="1"/>
  <c r="CY12" i="4" a="1"/>
  <c r="AG11" i="4" a="1"/>
  <c r="C34" i="2"/>
  <c r="S28" i="2"/>
  <c r="CR8" i="4" a="1"/>
  <c r="I21" i="2"/>
  <c r="DU15" i="4" a="1"/>
  <c r="CN8" i="4" a="1"/>
  <c r="EB13" i="4" a="1"/>
  <c r="BG5" i="4" a="1"/>
  <c r="S15" i="4" a="1"/>
  <c r="N8" i="2"/>
  <c r="E17" i="2"/>
  <c r="CO14" i="4" a="1"/>
  <c r="AF16" i="4" a="1"/>
  <c r="CG7" i="4" a="1"/>
  <c r="G81" i="3"/>
  <c r="AD8" i="3"/>
  <c r="L36" i="2"/>
  <c r="U29" i="2"/>
  <c r="E33" i="3"/>
  <c r="S7" i="2"/>
  <c r="Q78" i="2"/>
  <c r="AP16" i="4" a="1"/>
  <c r="CS5" i="4" a="1"/>
  <c r="T11" i="4" a="1"/>
  <c r="BQ12" i="4" a="1"/>
  <c r="AD90" i="3"/>
  <c r="M16" i="4" a="1"/>
  <c r="E30" i="3"/>
  <c r="BR15" i="4" a="1"/>
  <c r="BU7" i="4" a="1"/>
  <c r="R36" i="2"/>
  <c r="D62" i="3"/>
  <c r="O45" i="3"/>
  <c r="T18" i="2"/>
  <c r="CQ11" i="4" a="1"/>
  <c r="X15" i="4" a="1"/>
  <c r="AR23" i="3"/>
  <c r="AD92" i="3"/>
  <c r="BE14" i="4" a="1"/>
  <c r="AW5" i="4" a="1"/>
  <c r="EF14" i="4" a="1"/>
  <c r="T30" i="2"/>
  <c r="AQ14" i="4" a="1"/>
  <c r="CN12" i="4" a="1"/>
  <c r="CE12" i="4" a="1"/>
  <c r="P12" i="4" a="1"/>
  <c r="AY14" i="4" a="1"/>
  <c r="D94" i="3"/>
  <c r="DN13" i="4" a="1"/>
  <c r="E9" i="4" a="1"/>
  <c r="P8" i="2"/>
  <c r="BW8" i="4" a="1"/>
  <c r="CF15" i="4" a="1"/>
  <c r="BO6" i="4" a="1"/>
  <c r="AR40" i="3"/>
  <c r="CW9" i="4" a="1"/>
  <c r="AV11" i="4" a="1"/>
  <c r="U26" i="2"/>
  <c r="AR18" i="3"/>
  <c r="CW15" i="4" a="1"/>
  <c r="Z9" i="4" a="1"/>
  <c r="D5" i="4" a="1"/>
  <c r="J10" i="2"/>
  <c r="S5" i="4" a="1"/>
  <c r="DH16" i="4" a="1"/>
  <c r="DD5" i="4" a="1"/>
  <c r="Z16" i="4" a="1"/>
  <c r="BE8" i="4" a="1"/>
  <c r="AK45" i="3"/>
  <c r="DT8" i="4" a="1"/>
  <c r="N15" i="2"/>
  <c r="L33" i="2"/>
  <c r="BA15" i="4" a="1"/>
  <c r="AO5" i="4" a="1"/>
  <c r="Z13" i="4" a="1"/>
  <c r="EG6" i="4" a="1"/>
  <c r="AD67" i="3"/>
  <c r="E85" i="3"/>
  <c r="D77" i="3"/>
  <c r="G62" i="3"/>
  <c r="V7" i="4" a="1"/>
  <c r="AD79" i="3"/>
  <c r="D73" i="3"/>
  <c r="J16" i="2"/>
  <c r="AD61" i="3"/>
  <c r="DR16" i="4" a="1"/>
  <c r="AR24" i="3"/>
  <c r="DF14" i="4" a="1"/>
  <c r="C8" i="2"/>
  <c r="AD14" i="4" a="1"/>
  <c r="E65" i="3"/>
  <c r="AY5" i="4" a="1"/>
  <c r="L12" i="4" a="1"/>
  <c r="G23" i="3"/>
  <c r="D56" i="3"/>
  <c r="AB12" i="4" a="1"/>
  <c r="CS9" i="4" a="1"/>
  <c r="D79" i="3"/>
  <c r="BU11" i="4" a="1"/>
  <c r="BI7" i="4" a="1"/>
  <c r="G63" i="3"/>
  <c r="EA13" i="4" a="1"/>
  <c r="CA13" i="4" a="1"/>
  <c r="CH5" i="4" a="1"/>
  <c r="DW7" i="4" a="1"/>
  <c r="AD89" i="3"/>
  <c r="D85" i="3"/>
  <c r="BR12" i="4" a="1"/>
  <c r="BO11" i="4" a="1"/>
  <c r="CE5" i="4" a="1"/>
  <c r="G31" i="3"/>
  <c r="H8" i="4" a="1"/>
  <c r="CX12" i="4" a="1"/>
  <c r="J16" i="4" a="1"/>
  <c r="R21" i="2"/>
  <c r="AR81" i="3"/>
  <c r="J14" i="4" a="1"/>
  <c r="DM15" i="4" a="1"/>
  <c r="DS12" i="4" a="1"/>
  <c r="F12" i="2"/>
  <c r="Y6" i="4" a="1"/>
  <c r="EF6" i="4" a="1"/>
  <c r="BZ6" i="4" a="1"/>
  <c r="AD94" i="3"/>
  <c r="N46" i="3"/>
  <c r="N16" i="4" a="1"/>
  <c r="R29" i="2"/>
  <c r="BL15" i="4" a="1"/>
  <c r="G68" i="3"/>
  <c r="DL5" i="4" a="1"/>
  <c r="L29" i="2"/>
  <c r="CI7" i="4" a="1"/>
  <c r="D14" i="4" a="1"/>
  <c r="AZ7" i="4" a="1"/>
  <c r="BF12" i="4" a="1"/>
  <c r="G13" i="2"/>
  <c r="F21" i="3"/>
  <c r="F12" i="4" a="1"/>
  <c r="AE16" i="4" a="1"/>
  <c r="BR16" i="4" a="1"/>
  <c r="BD14" i="4" a="1"/>
  <c r="T16" i="2"/>
  <c r="V21" i="2"/>
  <c r="E13" i="4" a="1"/>
  <c r="DF12" i="4" a="1"/>
  <c r="AN11" i="4" a="1"/>
  <c r="CO11" i="4" a="1"/>
  <c r="S5" i="2"/>
  <c r="O28" i="2"/>
  <c r="Q29" i="2"/>
  <c r="H6" i="4" a="1"/>
  <c r="L7" i="4" a="1"/>
  <c r="X14" i="4" a="1"/>
  <c r="R35" i="2"/>
  <c r="K36" i="2"/>
  <c r="AR27" i="3"/>
  <c r="DO13" i="4" a="1"/>
  <c r="AB15" i="4" a="1"/>
  <c r="BD11" i="4" a="1"/>
  <c r="AV8" i="4" a="1"/>
  <c r="CM8" i="4" a="1"/>
  <c r="F34" i="3"/>
  <c r="CA8" i="4" a="1"/>
  <c r="G13" i="3"/>
  <c r="AQ15" i="4" a="1"/>
  <c r="DB14" i="4" a="1"/>
  <c r="E8" i="3"/>
  <c r="AO16" i="4" a="1"/>
  <c r="Z8" i="4" a="1"/>
  <c r="DS9" i="4" a="1"/>
  <c r="AH6" i="4" a="1"/>
  <c r="U7" i="2"/>
  <c r="N7" i="2"/>
  <c r="CJ8" i="4" a="1"/>
  <c r="DD15" i="4" a="1"/>
  <c r="BV7" i="4" a="1"/>
  <c r="F41" i="3"/>
  <c r="BJ14" i="4" a="1"/>
  <c r="I34" i="2"/>
  <c r="CG9" i="4" a="1"/>
  <c r="G57" i="3"/>
  <c r="AG15" i="4" a="1"/>
  <c r="V25" i="2"/>
  <c r="BW12" i="4" a="1"/>
  <c r="BK13" i="4" a="1"/>
  <c r="L14" i="4" a="1"/>
  <c r="E6" i="4" a="1"/>
  <c r="E11" i="4" a="1"/>
  <c r="S11" i="2"/>
  <c r="J36" i="2"/>
  <c r="CO9" i="4" a="1"/>
  <c r="BX9" i="4" a="1"/>
  <c r="CG5" i="4" a="1"/>
  <c r="R8" i="4" a="1"/>
  <c r="AS11" i="4" a="1"/>
  <c r="DY8" i="4" a="1"/>
  <c r="E18" i="3"/>
  <c r="AD5" i="4" a="1"/>
  <c r="O7" i="4" a="1"/>
  <c r="D40" i="3"/>
  <c r="C7" i="4" a="1"/>
  <c r="EB16" i="4" a="1"/>
  <c r="H33" i="2"/>
  <c r="E20" i="2"/>
  <c r="G16" i="3"/>
  <c r="AD63" i="3"/>
  <c r="Q27" i="2"/>
  <c r="AL11" i="4" a="1"/>
  <c r="EC8" i="4" a="1"/>
  <c r="U45" i="3"/>
  <c r="AC7" i="4" a="1"/>
  <c r="BJ13" i="4" a="1"/>
  <c r="G72" i="3"/>
  <c r="CC12" i="4" a="1"/>
  <c r="H14" i="4" a="1"/>
  <c r="AR38" i="3"/>
  <c r="W14" i="4" a="1"/>
  <c r="BK5" i="4" a="1"/>
  <c r="DI16" i="4" a="1"/>
  <c r="AD82" i="3"/>
  <c r="C26" i="2"/>
  <c r="F15" i="3"/>
  <c r="N7" i="4" a="1"/>
  <c r="R27" i="2"/>
  <c r="AN14" i="4" a="1"/>
  <c r="E7" i="4" a="1"/>
  <c r="CG12" i="4" a="1"/>
  <c r="BH11" i="4" a="1"/>
  <c r="AO45" i="3"/>
  <c r="D87" i="3"/>
  <c r="S16" i="4" a="1"/>
  <c r="EA6" i="4" a="1"/>
  <c r="K27" i="2"/>
  <c r="BI11" i="4" a="1"/>
  <c r="EH14" i="4" a="1"/>
  <c r="G77" i="3"/>
  <c r="E90" i="3"/>
  <c r="BD8" i="4" a="1"/>
  <c r="BU15" i="4" a="1"/>
  <c r="U11" i="2"/>
  <c r="DH12" i="4" a="1"/>
  <c r="CM5" i="4" a="1"/>
  <c r="CQ9" i="4" a="1"/>
  <c r="DQ13" i="4" a="1"/>
  <c r="V10" i="2"/>
  <c r="F20" i="3"/>
  <c r="BG13" i="4" a="1"/>
  <c r="BG9" i="4" a="1"/>
  <c r="L19" i="2"/>
  <c r="H36" i="2"/>
  <c r="CN5" i="4" a="1"/>
  <c r="E56" i="3"/>
  <c r="D35" i="3"/>
  <c r="DW16" i="4" a="1"/>
  <c r="AS7" i="4" a="1"/>
  <c r="G83" i="3"/>
  <c r="E83" i="3"/>
  <c r="G73" i="3"/>
  <c r="AL7" i="4" a="1"/>
  <c r="Q5" i="2"/>
  <c r="BS16" i="4" a="1"/>
  <c r="BV9" i="4" a="1"/>
  <c r="CJ6" i="4" a="1"/>
  <c r="D71" i="3"/>
  <c r="H99" i="2"/>
  <c r="F32" i="2"/>
  <c r="AD15" i="3"/>
  <c r="CP11" i="4" a="1"/>
  <c r="CW5" i="4" a="1"/>
  <c r="S32" i="2"/>
  <c r="AN13" i="4" a="1"/>
  <c r="E39" i="3"/>
  <c r="BF14" i="4" a="1"/>
  <c r="DL12" i="4" a="1"/>
  <c r="EE5" i="4" a="1"/>
  <c r="DG14" i="4" a="1"/>
  <c r="D84" i="3"/>
  <c r="G7" i="4" a="1"/>
  <c r="CC13" i="4" a="1"/>
  <c r="S6" i="4" a="1"/>
  <c r="BL7" i="4" a="1"/>
  <c r="G15" i="2"/>
  <c r="AQ8" i="4" a="1"/>
  <c r="C16" i="4" a="1"/>
  <c r="D59" i="3"/>
  <c r="DJ5" i="4" a="1"/>
  <c r="G87" i="3"/>
  <c r="CX9" i="4" a="1"/>
  <c r="X92" i="2"/>
  <c r="DW15" i="4" a="1"/>
  <c r="W15" i="2"/>
  <c r="D41" i="3"/>
  <c r="D67" i="3"/>
  <c r="V15" i="2"/>
  <c r="EK6" i="4" a="1"/>
  <c r="DF5" i="4" a="1"/>
  <c r="AT13" i="4" a="1"/>
  <c r="BL5" i="4" a="1"/>
  <c r="J32" i="2"/>
  <c r="BA6" i="4" a="1"/>
  <c r="DT15" i="4" a="1"/>
  <c r="DV12" i="4" a="1"/>
  <c r="P8" i="4" a="1"/>
  <c r="CH14" i="4" a="1"/>
  <c r="AD72" i="3"/>
  <c r="BK7" i="4" a="1"/>
  <c r="D93" i="3"/>
  <c r="L11" i="4" a="1"/>
  <c r="Q55" i="2"/>
  <c r="O8" i="4" a="1"/>
  <c r="DS8" i="4" a="1"/>
  <c r="M11" i="2"/>
  <c r="EC16" i="4" a="1"/>
  <c r="CS11" i="4" a="1"/>
  <c r="AP13" i="4" a="1"/>
  <c r="T46" i="3"/>
  <c r="G7" i="3"/>
  <c r="AE5" i="4" a="1"/>
  <c r="G6" i="3"/>
  <c r="I20" i="2"/>
  <c r="E32" i="3"/>
  <c r="F8" i="4" a="1"/>
  <c r="AR33" i="3"/>
  <c r="BB16" i="4" a="1"/>
  <c r="BF5" i="4" a="1"/>
  <c r="AR15" i="4" a="1"/>
  <c r="V45" i="3"/>
  <c r="D57" i="3"/>
  <c r="DT12" i="4" a="1"/>
  <c r="BO12" i="4" a="1"/>
  <c r="EC5" i="4" a="1"/>
  <c r="AG8" i="4" a="1"/>
  <c r="AD65" i="3"/>
  <c r="P5" i="2"/>
  <c r="DR11" i="4" a="1"/>
  <c r="DM14" i="4" a="1"/>
  <c r="C21" i="2"/>
  <c r="D19" i="2"/>
  <c r="V5" i="4" a="1"/>
  <c r="EC7" i="4" a="1"/>
  <c r="AP14" i="4" a="1"/>
  <c r="AX7" i="4" a="1"/>
  <c r="AG14" i="4" a="1"/>
  <c r="AC46" i="3"/>
  <c r="I9" i="2"/>
  <c r="AD57" i="3"/>
  <c r="CY5" i="4" a="1"/>
  <c r="E76" i="3"/>
  <c r="CB13" i="4" a="1"/>
  <c r="F25" i="3"/>
  <c r="F17" i="2"/>
  <c r="D27" i="3"/>
  <c r="CQ15" i="4" a="1"/>
  <c r="AR72" i="3"/>
  <c r="P23" i="2"/>
  <c r="AT12" i="4" a="1"/>
  <c r="X46" i="3"/>
  <c r="BR5" i="4" a="1"/>
  <c r="J5" i="2"/>
  <c r="AY6" i="4" a="1"/>
  <c r="K10" i="2"/>
  <c r="T28" i="2"/>
  <c r="Y45" i="3"/>
  <c r="M33" i="2"/>
  <c r="CU12" i="4" a="1"/>
  <c r="BT14" i="4" a="1"/>
  <c r="W19" i="2"/>
  <c r="AE7" i="4" a="1"/>
  <c r="BP12" i="4" a="1"/>
  <c r="F19" i="3"/>
  <c r="AR20" i="3"/>
  <c r="BG16" i="4" a="1"/>
  <c r="E7" i="2"/>
  <c r="N8" i="4" a="1"/>
  <c r="S8" i="4" a="1"/>
  <c r="L15" i="2"/>
  <c r="E14" i="2"/>
  <c r="BI14" i="4" a="1"/>
  <c r="BI5" i="4" a="1"/>
  <c r="BY12" i="4" a="1"/>
  <c r="DA16" i="4" a="1"/>
  <c r="DL6" i="4" a="1"/>
  <c r="AR83" i="3"/>
  <c r="AL8" i="4" a="1"/>
  <c r="DI9" i="4" a="1"/>
  <c r="AN16" i="4" a="1"/>
  <c r="X17" i="2"/>
  <c r="F14" i="3"/>
  <c r="BH12" i="4" a="1"/>
  <c r="AB11" i="4" a="1"/>
  <c r="AX15" i="4" a="1"/>
  <c r="AP46" i="3"/>
  <c r="DI14" i="4" a="1"/>
  <c r="BA13" i="4" a="1"/>
  <c r="C15" i="2"/>
  <c r="W70" i="2"/>
  <c r="DS7" i="4" a="1"/>
  <c r="C7" i="2"/>
  <c r="W74" i="2"/>
  <c r="I16" i="2"/>
  <c r="DX8" i="4" a="1"/>
  <c r="G34" i="2"/>
  <c r="AH15" i="4" a="1"/>
  <c r="CY14" i="4" a="1"/>
  <c r="G70" i="3"/>
  <c r="EG13" i="4" a="1"/>
  <c r="E61" i="3"/>
  <c r="G18" i="2"/>
  <c r="H7" i="2"/>
  <c r="EI11" i="4" a="1"/>
  <c r="P45" i="3"/>
  <c r="R54" i="2"/>
  <c r="BJ6" i="4" a="1"/>
  <c r="BN5" i="4" a="1"/>
  <c r="D11" i="3"/>
  <c r="BD16" i="4" a="1"/>
  <c r="D58" i="3"/>
  <c r="DQ9" i="4" a="1"/>
  <c r="V23" i="2"/>
  <c r="J12" i="2"/>
  <c r="DA14" i="4" a="1"/>
  <c r="CO12" i="4" a="1"/>
  <c r="AR67" i="3"/>
  <c r="P15" i="2"/>
  <c r="T10" i="2"/>
  <c r="AB6" i="4" a="1"/>
  <c r="P10" i="2"/>
  <c r="EE8" i="4" a="1"/>
  <c r="E20" i="3"/>
  <c r="EB7" i="4" a="1"/>
  <c r="L21" i="2"/>
  <c r="G79" i="3"/>
  <c r="CZ5" i="4" a="1"/>
  <c r="G6" i="4" a="1"/>
  <c r="C30" i="2"/>
  <c r="AR29" i="3"/>
  <c r="AR46" i="3"/>
  <c r="W25" i="2"/>
  <c r="AD62" i="3"/>
  <c r="AR75" i="3"/>
  <c r="L13" i="4" a="1"/>
  <c r="DN14" i="4" a="1"/>
  <c r="P30" i="2"/>
  <c r="F22" i="3"/>
  <c r="AD13" i="4" a="1"/>
  <c r="CB12" i="4" a="1"/>
  <c r="AD73" i="3"/>
  <c r="DY7" i="4" a="1"/>
  <c r="E93" i="3"/>
  <c r="ED5" i="4" a="1"/>
  <c r="E66" i="3"/>
  <c r="CO6" i="4" a="1"/>
  <c r="AD97" i="3"/>
  <c r="U17" i="2"/>
  <c r="K26" i="2"/>
  <c r="G88" i="3"/>
  <c r="E78" i="3"/>
  <c r="X28" i="2"/>
  <c r="J20" i="2"/>
  <c r="D22" i="3"/>
  <c r="BX14" i="4" a="1"/>
  <c r="E35" i="2"/>
  <c r="AE12" i="4" a="1"/>
  <c r="J14" i="2"/>
  <c r="J12" i="4" a="1"/>
  <c r="CL7" i="4" a="1"/>
  <c r="BX12" i="4" a="1"/>
  <c r="AR17" i="3"/>
  <c r="BW15" i="4" a="1"/>
  <c r="AR45" i="3"/>
  <c r="CP15" i="4" a="1"/>
  <c r="D31" i="2"/>
  <c r="DM11" i="4" a="1"/>
  <c r="V16" i="2"/>
  <c r="AQ6" i="4" a="1"/>
  <c r="X22" i="2"/>
  <c r="D34" i="3"/>
  <c r="DC6" i="4" a="1"/>
  <c r="AD9" i="4" a="1"/>
  <c r="CU15" i="4" a="1"/>
  <c r="ED16" i="4" a="1"/>
  <c r="DZ5" i="4" a="1"/>
  <c r="CI16" i="4" a="1"/>
  <c r="DR12" i="4" a="1"/>
  <c r="M30" i="2"/>
  <c r="H9" i="2"/>
  <c r="EE13" i="4" a="1"/>
  <c r="AL5" i="4" a="1"/>
  <c r="BA9" i="4" a="1"/>
  <c r="T26" i="2"/>
  <c r="DK5" i="4" a="1"/>
  <c r="AW6" i="4" a="1"/>
  <c r="BQ8" i="4" a="1"/>
  <c r="S29" i="2"/>
  <c r="J28" i="2"/>
  <c r="DX14" i="4" a="1"/>
  <c r="DO16" i="4" a="1"/>
  <c r="AS6" i="4" a="1"/>
  <c r="DN7" i="4" a="1"/>
  <c r="CK6" i="4" a="1"/>
  <c r="O21" i="2"/>
  <c r="DI5" i="4" a="1"/>
  <c r="F5" i="3"/>
  <c r="AO8" i="4" a="1"/>
  <c r="K34" i="2"/>
  <c r="E16" i="2"/>
  <c r="M17" i="2"/>
  <c r="I31" i="2"/>
  <c r="EK5" i="4" a="1"/>
  <c r="AC12" i="4" a="1"/>
  <c r="AP7" i="4" a="1"/>
  <c r="DC12" i="4" a="1"/>
  <c r="E21" i="2"/>
  <c r="T15" i="2"/>
  <c r="J5" i="4" a="1"/>
  <c r="F24" i="3"/>
  <c r="DA11" i="4" a="1"/>
  <c r="F11" i="3"/>
  <c r="BZ14" i="4" a="1"/>
  <c r="EJ16" i="4" a="1"/>
  <c r="M9" i="4" a="1"/>
  <c r="AO15" i="4" a="1"/>
  <c r="D60" i="3"/>
  <c r="AA13" i="4" a="1"/>
  <c r="DG16" i="4" a="1"/>
  <c r="M12" i="4" a="1"/>
  <c r="D82" i="3"/>
  <c r="AU5" i="4" a="1"/>
  <c r="W7" i="2"/>
  <c r="D32" i="2"/>
  <c r="BE16" i="4" a="1"/>
  <c r="AU13" i="4" a="1"/>
  <c r="O27" i="2"/>
  <c r="C19" i="2"/>
  <c r="M6" i="2"/>
  <c r="K9" i="4" a="1"/>
  <c r="O5" i="4" a="1"/>
  <c r="BV16" i="4" a="1"/>
  <c r="M6" i="4" a="1"/>
  <c r="F47" i="3"/>
  <c r="O18" i="2"/>
  <c r="N18" i="2"/>
  <c r="E33" i="2"/>
  <c r="AJ46" i="3"/>
  <c r="BR6" i="4" a="1"/>
  <c r="AJ16" i="4" a="1"/>
  <c r="DD12" i="4" a="1"/>
  <c r="G74" i="3"/>
  <c r="E22" i="3"/>
  <c r="J15" i="4" a="1"/>
  <c r="F75" i="2"/>
  <c r="D23" i="3"/>
  <c r="C14" i="4" a="1"/>
  <c r="V28" i="2"/>
  <c r="CE7" i="4" a="1"/>
  <c r="F28" i="3"/>
  <c r="CE9" i="4" a="1"/>
  <c r="CW16" i="4" a="1"/>
  <c r="K31" i="2"/>
  <c r="AR34" i="3"/>
  <c r="V14" i="4" a="1"/>
  <c r="E37" i="3"/>
  <c r="Q16" i="2"/>
  <c r="DJ15" i="4" a="1"/>
  <c r="L8" i="4" a="1"/>
  <c r="EA16" i="4" a="1"/>
  <c r="AD83" i="3"/>
  <c r="I46" i="3"/>
  <c r="M11" i="4" a="1"/>
  <c r="CE15" i="4" a="1"/>
  <c r="G56" i="3"/>
  <c r="S7" i="4" a="1"/>
  <c r="AD87" i="3"/>
  <c r="R23" i="2"/>
  <c r="CE13" i="4" a="1"/>
  <c r="AD9" i="3"/>
  <c r="N11" i="4" a="1"/>
  <c r="CP14" i="4" a="1"/>
  <c r="G16" i="4" a="1"/>
  <c r="AD75" i="3"/>
  <c r="F39" i="3"/>
  <c r="BF16" i="4" a="1"/>
  <c r="AA16" i="4" a="1"/>
  <c r="AC16" i="4" a="1"/>
  <c r="BN7" i="4" a="1"/>
  <c r="BG6" i="4" a="1"/>
  <c r="Q5" i="4" a="1"/>
  <c r="AM15" i="4" a="1"/>
  <c r="E60" i="3"/>
  <c r="F13" i="3"/>
  <c r="L11" i="2"/>
  <c r="F82" i="3"/>
  <c r="AF9" i="4" a="1"/>
  <c r="EB11" i="4" a="1"/>
  <c r="AK15" i="4" a="1"/>
  <c r="Z6" i="4" a="1"/>
  <c r="F66" i="3"/>
  <c r="E19" i="2"/>
  <c r="CA11" i="4" a="1"/>
  <c r="AH8" i="4" a="1"/>
  <c r="E92" i="3"/>
  <c r="CK9" i="4" a="1"/>
  <c r="EK13" i="4" a="1"/>
  <c r="D20" i="3"/>
  <c r="AW14" i="4" a="1"/>
  <c r="O9" i="2"/>
  <c r="EE11" i="4" a="1"/>
  <c r="BW5" i="4" a="1"/>
  <c r="CC6" i="4" a="1"/>
  <c r="E75" i="3"/>
  <c r="D20" i="2"/>
  <c r="F49" i="3"/>
  <c r="AD86" i="3"/>
  <c r="E63" i="3"/>
  <c r="D89" i="3"/>
  <c r="M10" i="2"/>
  <c r="O6" i="2"/>
  <c r="DL11" i="4" a="1"/>
  <c r="AO13" i="4" a="1"/>
  <c r="S45" i="3"/>
  <c r="AU15" i="4" a="1"/>
  <c r="AM14" i="4" a="1"/>
  <c r="AG46" i="3"/>
  <c r="EF9" i="4" a="1"/>
  <c r="BU5" i="4" a="1"/>
  <c r="ED12" i="4" a="1"/>
  <c r="K35" i="2"/>
  <c r="E17" i="3"/>
  <c r="AO46" i="3"/>
  <c r="G11" i="2"/>
  <c r="W6" i="4" a="1"/>
  <c r="BZ5" i="4" a="1"/>
  <c r="X15" i="2"/>
  <c r="DK9" i="4" a="1"/>
  <c r="M9" i="2"/>
  <c r="AD58" i="3"/>
  <c r="CV6" i="4" a="1"/>
  <c r="G5" i="4" a="1"/>
  <c r="CN6" i="4" a="1"/>
  <c r="U10" i="2"/>
  <c r="L17" i="2"/>
  <c r="O17" i="2"/>
  <c r="AZ12" i="4" a="1"/>
  <c r="EG11" i="4" a="1"/>
  <c r="BH16" i="4" a="1"/>
  <c r="AF15" i="4" a="1"/>
  <c r="E62" i="3"/>
  <c r="X5" i="2"/>
  <c r="CA12" i="4" a="1"/>
  <c r="AE8" i="4" a="1"/>
  <c r="F88" i="3"/>
  <c r="CU14" i="4" a="1"/>
  <c r="N13" i="2"/>
  <c r="DK16" i="4" a="1"/>
  <c r="U13" i="4" a="1"/>
  <c r="BH15" i="4" a="1"/>
  <c r="BJ9" i="4" a="1"/>
  <c r="H17" i="2"/>
  <c r="O15" i="2"/>
  <c r="Q35" i="2"/>
  <c r="W5" i="4" a="1"/>
  <c r="BX8" i="4" a="1"/>
  <c r="DE15" i="4" a="1"/>
  <c r="F18" i="3"/>
  <c r="G91" i="3"/>
  <c r="BO16" i="4" a="1"/>
  <c r="AX11" i="4" a="1"/>
  <c r="Z12" i="4" a="1"/>
  <c r="G60" i="3"/>
  <c r="F90" i="3"/>
  <c r="EB8" i="4" a="1"/>
  <c r="DO6" i="4" a="1"/>
  <c r="CW6" i="4" a="1"/>
  <c r="O14" i="2"/>
  <c r="W20" i="2"/>
  <c r="P14" i="4" a="1"/>
  <c r="D64" i="3"/>
  <c r="I13" i="4" a="1"/>
  <c r="BC7" i="4" a="1"/>
  <c r="E95" i="3"/>
  <c r="EC6" i="4" a="1"/>
  <c r="CL5" i="4" a="1"/>
  <c r="CP9" i="4" a="1"/>
  <c r="E45" i="3"/>
  <c r="BN16" i="4" a="1"/>
  <c r="EA5" i="4" a="1"/>
  <c r="P32" i="2"/>
  <c r="W18" i="2"/>
  <c r="G96" i="3"/>
  <c r="Q54" i="2"/>
  <c r="Q23" i="2"/>
  <c r="AR32" i="3"/>
  <c r="CX14" i="4" a="1"/>
  <c r="CN9" i="4" a="1"/>
  <c r="T29" i="2"/>
  <c r="M8" i="4" a="1"/>
  <c r="G61" i="3"/>
  <c r="CD13" i="4" a="1"/>
  <c r="CJ7" i="4" a="1"/>
  <c r="F19" i="2"/>
  <c r="G66" i="3"/>
  <c r="AD81" i="3"/>
  <c r="AD54" i="3"/>
  <c r="AD69" i="3"/>
  <c r="AD66" i="3"/>
  <c r="E69" i="3"/>
  <c r="E77" i="3"/>
  <c r="E84" i="3"/>
  <c r="E79" i="3"/>
  <c r="E74" i="3"/>
  <c r="E96" i="3"/>
  <c r="E58" i="3"/>
  <c r="E97" i="3"/>
  <c r="E54" i="3"/>
  <c r="E89" i="3"/>
  <c r="E72" i="3"/>
  <c r="E87" i="3"/>
  <c r="E68" i="3"/>
  <c r="E73" i="3"/>
  <c r="E81" i="3"/>
  <c r="E67" i="3"/>
  <c r="D78" i="3"/>
  <c r="D66" i="3"/>
  <c r="D76" i="3"/>
  <c r="D92" i="3"/>
  <c r="D54" i="3"/>
  <c r="D96" i="3"/>
  <c r="D63" i="3"/>
  <c r="D90" i="3"/>
  <c r="D80" i="3"/>
  <c r="D91" i="3"/>
  <c r="D88" i="3"/>
  <c r="D75" i="3"/>
  <c r="D86" i="3"/>
  <c r="D97" i="3"/>
  <c r="D74" i="3"/>
  <c r="D61" i="3"/>
  <c r="D70" i="3"/>
  <c r="D68" i="3"/>
  <c r="F48" i="3"/>
  <c r="F89" i="3"/>
  <c r="F93" i="3"/>
  <c r="F86" i="3"/>
  <c r="F72" i="3"/>
  <c r="F60" i="3"/>
  <c r="F94" i="3"/>
  <c r="F97" i="3"/>
  <c r="F96" i="3"/>
  <c r="F64" i="3"/>
  <c r="F77" i="3"/>
  <c r="F68" i="3"/>
  <c r="F76" i="3"/>
  <c r="F91" i="3"/>
  <c r="F75" i="3"/>
  <c r="F56" i="3"/>
  <c r="F57" i="3"/>
  <c r="F63" i="3"/>
  <c r="F81" i="3"/>
  <c r="F73" i="3"/>
  <c r="F92" i="3"/>
  <c r="F83" i="3"/>
  <c r="F80" i="3"/>
  <c r="F65" i="3"/>
  <c r="F58" i="3"/>
  <c r="F85" i="3"/>
  <c r="F67" i="3"/>
  <c r="F55" i="3"/>
  <c r="F79" i="3"/>
  <c r="F59" i="3"/>
  <c r="F69" i="3"/>
  <c r="F74" i="3"/>
  <c r="F70" i="3"/>
  <c r="F54" i="3"/>
  <c r="F61" i="3"/>
  <c r="F87" i="3"/>
  <c r="F71" i="3"/>
  <c r="F78" i="3"/>
  <c r="F95" i="3"/>
  <c r="F62" i="3"/>
  <c r="F50" i="3"/>
  <c r="F84" i="3"/>
  <c r="AL160" i="1" l="1"/>
  <c r="AM160" i="1" s="1"/>
  <c r="AL88" i="1"/>
  <c r="AL138" i="1"/>
  <c r="AM138" i="1" s="1"/>
  <c r="AL178" i="1"/>
  <c r="AM178" i="1" s="1"/>
  <c r="AL156" i="1"/>
  <c r="AM156" i="1" s="1"/>
  <c r="AL166" i="1"/>
  <c r="AM166" i="1" s="1"/>
  <c r="AL147" i="1"/>
  <c r="AL151" i="1"/>
  <c r="AM151" i="1" s="1"/>
  <c r="AL146" i="1"/>
  <c r="AL157" i="1"/>
  <c r="AM157" i="1" s="1"/>
  <c r="AL161" i="1"/>
  <c r="AM161" i="1" s="1"/>
  <c r="AL133" i="1"/>
  <c r="AL164" i="1"/>
  <c r="AM164" i="1" s="1"/>
  <c r="AL173" i="1"/>
  <c r="AL174" i="1"/>
  <c r="AL169" i="1"/>
  <c r="AM169" i="1" s="1"/>
  <c r="AL158" i="1"/>
  <c r="AL139" i="1"/>
  <c r="AM139" i="1" s="1"/>
  <c r="AL132" i="1"/>
  <c r="AM132" i="1" s="1"/>
  <c r="AL131" i="1"/>
  <c r="AM131" i="1" s="1"/>
  <c r="AL168" i="1"/>
  <c r="AM168" i="1" s="1"/>
  <c r="AL145" i="1"/>
  <c r="AL154" i="1"/>
  <c r="AM154" i="1" s="1"/>
  <c r="AM216" i="1" s="1"/>
  <c r="AL163" i="1"/>
  <c r="AM163" i="1" s="1"/>
  <c r="AL177" i="1"/>
  <c r="AM177" i="1" s="1"/>
  <c r="AL136" i="1"/>
  <c r="AM136" i="1" s="1"/>
  <c r="AL149" i="1"/>
  <c r="AM149" i="1" s="1"/>
  <c r="AL167" i="1"/>
  <c r="AJ145" i="1"/>
  <c r="AJ147" i="1"/>
  <c r="AJ151" i="1"/>
  <c r="AK151" i="1" s="1"/>
  <c r="AJ141" i="1"/>
  <c r="AK141" i="1" s="1"/>
  <c r="AJ168" i="1"/>
  <c r="AK168" i="1" s="1"/>
  <c r="AJ173" i="1"/>
  <c r="AJ140" i="1"/>
  <c r="AK140" i="1" s="1"/>
  <c r="AJ139" i="1"/>
  <c r="AK139" i="1" s="1"/>
  <c r="AJ177" i="1"/>
  <c r="AK177" i="1" s="1"/>
  <c r="AJ169" i="1"/>
  <c r="AK169" i="1" s="1"/>
  <c r="AJ165" i="1"/>
  <c r="AK165" i="1" s="1"/>
  <c r="AJ156" i="1"/>
  <c r="AK156" i="1" s="1"/>
  <c r="BJ165" i="1"/>
  <c r="BK165" i="1" s="1"/>
  <c r="BJ146" i="1"/>
  <c r="BJ158" i="1"/>
  <c r="E36" i="1"/>
  <c r="S61" i="1"/>
  <c r="P49" i="1"/>
  <c r="P167" i="1"/>
  <c r="V39" i="1"/>
  <c r="O59" i="1"/>
  <c r="IJ16" i="4" s="1"/>
  <c r="AJ163" i="1"/>
  <c r="AK163" i="1" s="1"/>
  <c r="N34" i="1"/>
  <c r="AL140" i="1"/>
  <c r="AM140" i="1" s="1"/>
  <c r="AL39" i="1"/>
  <c r="P65" i="1"/>
  <c r="N37" i="1"/>
  <c r="G35" i="1"/>
  <c r="M38" i="1"/>
  <c r="AL141" i="1"/>
  <c r="AM141" i="1" s="1"/>
  <c r="IH16" i="4" s="1"/>
  <c r="N35" i="1"/>
  <c r="K35" i="1"/>
  <c r="BJ133" i="1"/>
  <c r="W37" i="1"/>
  <c r="F27" i="1"/>
  <c r="AK35" i="1"/>
  <c r="J65" i="1"/>
  <c r="N22" i="1"/>
  <c r="N245" i="1" s="1"/>
  <c r="AJ167" i="1"/>
  <c r="AL87" i="1"/>
  <c r="AJ23" i="1"/>
  <c r="D36" i="1"/>
  <c r="AL165" i="1"/>
  <c r="AM165" i="1" s="1"/>
  <c r="AL159" i="1"/>
  <c r="K27" i="1"/>
  <c r="HW16" i="4" s="1"/>
  <c r="Q49" i="1"/>
  <c r="BJ166" i="1"/>
  <c r="BK166" i="1" s="1"/>
  <c r="BJ174" i="1"/>
  <c r="HV14" i="4" s="1"/>
  <c r="BX59" i="1"/>
  <c r="AL46" i="1"/>
  <c r="AL208" i="1" s="1"/>
  <c r="AJ49" i="1"/>
  <c r="E173" i="1"/>
  <c r="HZ16" i="4" s="1"/>
  <c r="D60" i="1"/>
  <c r="M39" i="1"/>
  <c r="N39" i="1"/>
  <c r="L22" i="1"/>
  <c r="B36" i="1"/>
  <c r="N46" i="1"/>
  <c r="N208" i="1" s="1"/>
  <c r="IG16" i="4" s="1"/>
  <c r="IG21" i="4" s="1"/>
  <c r="BA91" i="1" s="1"/>
  <c r="C59" i="1"/>
  <c r="V23" i="1"/>
  <c r="V24" i="1" s="1"/>
  <c r="V112" i="1" s="1"/>
  <c r="AJ159" i="1"/>
  <c r="IY16" i="4" s="1"/>
  <c r="AJ136" i="1"/>
  <c r="AK136" i="1" s="1"/>
  <c r="AL29" i="1"/>
  <c r="S37" i="1"/>
  <c r="L35" i="1"/>
  <c r="JE14" i="4" s="1"/>
  <c r="R61" i="1"/>
  <c r="L53" i="1"/>
  <c r="IQ16" i="4" s="1"/>
  <c r="HX9" i="4" s="1"/>
  <c r="AJ59" i="1"/>
  <c r="BX35" i="1"/>
  <c r="I34" i="1"/>
  <c r="D65" i="1"/>
  <c r="T35" i="1"/>
  <c r="O53" i="1"/>
  <c r="BJ138" i="1"/>
  <c r="V50" i="1"/>
  <c r="V266" i="1" s="1"/>
  <c r="BX53" i="1"/>
  <c r="B53" i="1"/>
  <c r="AK23" i="1"/>
  <c r="O37" i="1"/>
  <c r="I29" i="1"/>
  <c r="U49" i="1"/>
  <c r="AJ133" i="1"/>
  <c r="AJ29" i="1"/>
  <c r="Q167" i="1"/>
  <c r="G23" i="1"/>
  <c r="F39" i="1"/>
  <c r="B23" i="1"/>
  <c r="JC7" i="4" s="1"/>
  <c r="B37" i="1"/>
  <c r="AL37" i="1"/>
  <c r="W35" i="1"/>
  <c r="BX174" i="1"/>
  <c r="D34" i="1"/>
  <c r="K37" i="1"/>
  <c r="D23" i="1"/>
  <c r="BX23" i="1"/>
  <c r="V36" i="1"/>
  <c r="L60" i="1"/>
  <c r="O49" i="1"/>
  <c r="BX149" i="1"/>
  <c r="BY149" i="1" s="1"/>
  <c r="E35" i="1"/>
  <c r="AL50" i="1"/>
  <c r="BJ132" i="1"/>
  <c r="BK132" i="1" s="1"/>
  <c r="C36" i="1"/>
  <c r="BJ164" i="1"/>
  <c r="BK164" i="1" s="1"/>
  <c r="AJ132" i="1"/>
  <c r="AK132" i="1" s="1"/>
  <c r="IF16" i="4" s="1"/>
  <c r="AM22" i="1"/>
  <c r="AM245" i="1" s="1"/>
  <c r="L27" i="1"/>
  <c r="BJ149" i="1"/>
  <c r="BK149" i="1" s="1"/>
  <c r="I59" i="1"/>
  <c r="U37" i="1"/>
  <c r="V37" i="1"/>
  <c r="IV9" i="4" s="1"/>
  <c r="F37" i="1"/>
  <c r="AJ160" i="1"/>
  <c r="AK160" i="1" s="1"/>
  <c r="R59" i="1"/>
  <c r="BJ38" i="1"/>
  <c r="E59" i="1"/>
  <c r="AJ60" i="1"/>
  <c r="K36" i="1"/>
  <c r="AL23" i="1"/>
  <c r="T27" i="1"/>
  <c r="J46" i="1"/>
  <c r="AJ166" i="1"/>
  <c r="AK166" i="1" s="1"/>
  <c r="Q46" i="1"/>
  <c r="AL38" i="1"/>
  <c r="BJ159" i="1"/>
  <c r="BJ194" i="1" s="1"/>
  <c r="BK194" i="1" s="1"/>
  <c r="P46" i="1"/>
  <c r="BJ139" i="1"/>
  <c r="BK139" i="1" s="1"/>
  <c r="AM34" i="1"/>
  <c r="G60" i="1"/>
  <c r="JF16" i="4" s="1"/>
  <c r="AK39" i="1"/>
  <c r="IS9" i="4" s="1"/>
  <c r="R27" i="1"/>
  <c r="U50" i="1"/>
  <c r="U266" i="1" s="1"/>
  <c r="M23" i="1"/>
  <c r="T23" i="1"/>
  <c r="JC9" i="4" s="1"/>
  <c r="IX14" i="4" s="1"/>
  <c r="IC15" i="4" s="1"/>
  <c r="AL59" i="1"/>
  <c r="Q65" i="1"/>
  <c r="P61" i="1"/>
  <c r="AL36" i="1"/>
  <c r="F38" i="1"/>
  <c r="K61" i="1"/>
  <c r="Q61" i="1"/>
  <c r="E29" i="1"/>
  <c r="BX158" i="1"/>
  <c r="AJ161" i="1"/>
  <c r="AK161" i="1" s="1"/>
  <c r="BJ167" i="1"/>
  <c r="BJ197" i="1" s="1"/>
  <c r="BK197" i="1" s="1"/>
  <c r="AJ157" i="1"/>
  <c r="AK157" i="1" s="1"/>
  <c r="AJ131" i="1"/>
  <c r="AK131" i="1" s="1"/>
  <c r="AM49" i="1"/>
  <c r="BJ157" i="1"/>
  <c r="BK157" i="1" s="1"/>
  <c r="AJ154" i="1"/>
  <c r="K60" i="1"/>
  <c r="M37" i="1"/>
  <c r="BX39" i="1"/>
  <c r="IM8" i="4" s="1"/>
  <c r="S53" i="1"/>
  <c r="BJ169" i="1"/>
  <c r="BK169" i="1" s="1"/>
  <c r="BX49" i="1"/>
  <c r="S39" i="1"/>
  <c r="AJ138" i="1"/>
  <c r="AK138" i="1" s="1"/>
  <c r="BJ140" i="1"/>
  <c r="BK140" i="1" s="1"/>
  <c r="IB16" i="4" s="1"/>
  <c r="P174" i="1"/>
  <c r="R23" i="1"/>
  <c r="T61" i="1"/>
  <c r="D35" i="1"/>
  <c r="JD15" i="4" s="1"/>
  <c r="G39" i="1"/>
  <c r="IT15" i="4" s="1"/>
  <c r="P36" i="1"/>
  <c r="BX173" i="1"/>
  <c r="H49" i="1"/>
  <c r="AM46" i="1"/>
  <c r="AM208" i="1" s="1"/>
  <c r="BX154" i="1"/>
  <c r="L59" i="1"/>
  <c r="E38" i="1"/>
  <c r="IC16" i="4" s="1"/>
  <c r="H39" i="1"/>
  <c r="AM50" i="1"/>
  <c r="R38" i="1"/>
  <c r="BJ131" i="1"/>
  <c r="BK131" i="1" s="1"/>
  <c r="F50" i="1"/>
  <c r="IZ9" i="4" s="1"/>
  <c r="AJ164" i="1"/>
  <c r="AK164" i="1" s="1"/>
  <c r="S22" i="1"/>
  <c r="S245" i="1" s="1"/>
  <c r="C50" i="1"/>
  <c r="C49" i="1"/>
  <c r="S36" i="1"/>
  <c r="AJ146" i="1"/>
  <c r="BJ145" i="1"/>
  <c r="W39" i="1"/>
  <c r="BX164" i="1"/>
  <c r="BY164" i="1" s="1"/>
  <c r="BJ151" i="1"/>
  <c r="BK151" i="1" s="1"/>
  <c r="JH8" i="4" s="1"/>
  <c r="BX157" i="1"/>
  <c r="BY157" i="1" s="1"/>
  <c r="U59" i="1"/>
  <c r="IY9" i="4" s="1"/>
  <c r="C46" i="1"/>
  <c r="C208" i="1" s="1"/>
  <c r="B61" i="1"/>
  <c r="M22" i="1"/>
  <c r="M245" i="1" s="1"/>
  <c r="AJ158" i="1"/>
  <c r="AJ174" i="1"/>
  <c r="AJ175" i="1" s="1"/>
  <c r="AK223" i="1" s="1"/>
  <c r="BX29" i="1"/>
  <c r="E65" i="1"/>
  <c r="IO16" i="4" s="1"/>
  <c r="F23" i="1"/>
  <c r="AJ178" i="1"/>
  <c r="BJ160" i="1"/>
  <c r="BK160" i="1" s="1"/>
  <c r="AJ149" i="1"/>
  <c r="AK149" i="1" s="1"/>
  <c r="IL9" i="4" s="1"/>
  <c r="BJ173" i="1"/>
  <c r="BJ175" i="1" s="1"/>
  <c r="BK223" i="1" s="1"/>
  <c r="IS16" i="4" s="1"/>
  <c r="IS21" i="4" s="1"/>
  <c r="BM91" i="1" s="1"/>
  <c r="AK65" i="1"/>
  <c r="IU9" i="4" s="1"/>
  <c r="P60" i="1"/>
  <c r="M53" i="1"/>
  <c r="F61" i="1"/>
  <c r="O27" i="1"/>
  <c r="AJ22" i="1"/>
  <c r="AJ245" i="1" s="1"/>
  <c r="G49" i="1"/>
  <c r="AK46" i="1"/>
  <c r="AK208" i="1" s="1"/>
  <c r="P141" i="1"/>
  <c r="C39" i="1"/>
  <c r="Q59" i="1"/>
  <c r="ID9" i="4" s="1"/>
  <c r="JA9" i="4" s="1"/>
  <c r="BX34" i="1"/>
  <c r="Q38" i="1"/>
  <c r="F65" i="1"/>
  <c r="W27" i="1"/>
  <c r="ID16" i="4" s="1"/>
  <c r="ID21" i="4" s="1"/>
  <c r="AX91" i="1" s="1"/>
  <c r="IF14" i="4" s="1"/>
  <c r="K34" i="1"/>
  <c r="T34" i="1"/>
  <c r="W65" i="1"/>
  <c r="HZ8" i="4" s="1"/>
  <c r="BY87" i="1"/>
  <c r="G38" i="1"/>
  <c r="AK50" i="1"/>
  <c r="W49" i="1"/>
  <c r="W46" i="1"/>
  <c r="W267" i="1" s="1"/>
  <c r="BX138" i="1"/>
  <c r="BY138" i="1" s="1"/>
  <c r="M34" i="1"/>
  <c r="W38" i="1"/>
  <c r="D27" i="1"/>
  <c r="P38" i="1"/>
  <c r="AL28" i="1"/>
  <c r="J49" i="1"/>
  <c r="HU9" i="4" s="1"/>
  <c r="IV16" i="4" s="1"/>
  <c r="V35" i="1"/>
  <c r="I37" i="1"/>
  <c r="W29" i="1"/>
  <c r="W146" i="1"/>
  <c r="IV15" i="4" s="1"/>
  <c r="IV20" i="4" s="1"/>
  <c r="BP93" i="1" s="1"/>
  <c r="BP122" i="1" s="1"/>
  <c r="HX16" i="4" s="1"/>
  <c r="HX21" i="4" s="1"/>
  <c r="AR91" i="1" s="1"/>
  <c r="Q27" i="1"/>
  <c r="L34" i="1"/>
  <c r="B39" i="1"/>
  <c r="HW9" i="4" s="1"/>
  <c r="C61" i="1"/>
  <c r="IK9" i="4" s="1"/>
  <c r="BX22" i="1"/>
  <c r="BX163" i="1"/>
  <c r="BY163" i="1" s="1"/>
  <c r="AM28" i="1"/>
  <c r="I39" i="1"/>
  <c r="JE9" i="4" s="1"/>
  <c r="AJ38" i="1"/>
  <c r="W59" i="1"/>
  <c r="HQ16" i="4" s="1"/>
  <c r="H27" i="1"/>
  <c r="JG16" i="4" s="1"/>
  <c r="W50" i="1"/>
  <c r="W266" i="1" s="1"/>
  <c r="J53" i="1"/>
  <c r="BX28" i="1"/>
  <c r="R39" i="1"/>
  <c r="BJ147" i="1"/>
  <c r="II9" i="4" s="1"/>
  <c r="C29" i="1"/>
  <c r="V49" i="1"/>
  <c r="C138" i="1"/>
  <c r="IC7" i="4" s="1"/>
  <c r="Q36" i="1"/>
  <c r="R49" i="1"/>
  <c r="B60" i="1"/>
  <c r="K59" i="1"/>
  <c r="II15" i="4" s="1"/>
  <c r="V46" i="1"/>
  <c r="V208" i="1" s="1"/>
  <c r="U65" i="1"/>
  <c r="J34" i="1"/>
  <c r="D53" i="1"/>
  <c r="T46" i="1"/>
  <c r="T208" i="1" s="1"/>
  <c r="HS9" i="4" s="1"/>
  <c r="IK16" i="4" s="1"/>
  <c r="I50" i="1"/>
  <c r="BX169" i="1"/>
  <c r="BY169" i="1" s="1"/>
  <c r="BX27" i="1"/>
  <c r="JD9" i="4" s="1"/>
  <c r="R36" i="1"/>
  <c r="I35" i="1"/>
  <c r="O35" i="1"/>
  <c r="T37" i="1"/>
  <c r="JH15" i="4" s="1"/>
  <c r="BX38" i="1"/>
  <c r="H36" i="1"/>
  <c r="BJ136" i="1"/>
  <c r="BK136" i="1" s="1"/>
  <c r="AJ50" i="1"/>
  <c r="HY14" i="4" s="1"/>
  <c r="P169" i="1"/>
  <c r="IM9" i="4" s="1"/>
  <c r="H53" i="1"/>
  <c r="AJ36" i="1"/>
  <c r="BJ163" i="1"/>
  <c r="BK163" i="1" s="1"/>
  <c r="JE16" i="4" s="1"/>
  <c r="HV16" i="4" s="1"/>
  <c r="HV21" i="4" s="1"/>
  <c r="AP91" i="1" s="1"/>
  <c r="JD16" i="4" s="1"/>
  <c r="U35" i="1"/>
  <c r="IJ14" i="4" s="1"/>
  <c r="JC16" i="4" s="1"/>
  <c r="O39" i="1"/>
  <c r="BJ154" i="1"/>
  <c r="BK154" i="1" s="1"/>
  <c r="BL216" i="1" s="1"/>
  <c r="M36" i="1"/>
  <c r="IT14" i="4" s="1"/>
  <c r="P53" i="1"/>
  <c r="AK37" i="1"/>
  <c r="K29" i="1"/>
  <c r="AL53" i="1"/>
  <c r="BJ161" i="1"/>
  <c r="BK161" i="1" s="1"/>
  <c r="P22" i="1"/>
  <c r="P245" i="1" s="1"/>
  <c r="BJ177" i="1"/>
  <c r="BK177" i="1" s="1"/>
  <c r="M60" i="1"/>
  <c r="AL35" i="1"/>
  <c r="H46" i="1"/>
  <c r="H208" i="1" s="1"/>
  <c r="IM16" i="4" s="1"/>
  <c r="IM21" i="4" s="1"/>
  <c r="BG91" i="1" s="1"/>
  <c r="IG9" i="4" s="1"/>
  <c r="S35" i="1"/>
  <c r="T38" i="1"/>
  <c r="L46" i="1"/>
  <c r="T50" i="1"/>
  <c r="S27" i="1"/>
  <c r="IK8" i="4" s="1"/>
  <c r="T22" i="1"/>
  <c r="T245" i="1" s="1"/>
  <c r="S59" i="1"/>
  <c r="B35" i="1"/>
  <c r="IT16" i="4" s="1"/>
  <c r="IT21" i="4" s="1"/>
  <c r="BN91" i="1" s="1"/>
  <c r="IR9" i="4" s="1"/>
  <c r="IR21" i="4" s="1"/>
  <c r="BL91" i="1" s="1"/>
  <c r="BL108" i="1" s="1"/>
  <c r="Q22" i="1"/>
  <c r="Q245" i="1" s="1"/>
  <c r="G53" i="1"/>
  <c r="BJ156" i="1"/>
  <c r="BK156" i="1" s="1"/>
  <c r="BX140" i="1"/>
  <c r="BY140" i="1" s="1"/>
  <c r="O38" i="1"/>
  <c r="U60" i="1"/>
  <c r="AJ53" i="1"/>
  <c r="T36" i="1"/>
  <c r="BJ168" i="1"/>
  <c r="BK168" i="1" s="1"/>
  <c r="IX16" i="4" s="1"/>
  <c r="IX21" i="4" s="1"/>
  <c r="BR91" i="1" s="1"/>
  <c r="AL27" i="1"/>
  <c r="BJ178" i="1"/>
  <c r="BJ141" i="1"/>
  <c r="BK141" i="1" s="1"/>
  <c r="F60" i="1"/>
  <c r="F46" i="1"/>
  <c r="D59" i="1"/>
  <c r="BX136" i="1"/>
  <c r="BY136" i="1" s="1"/>
  <c r="Q60" i="1"/>
  <c r="BJ39" i="1"/>
  <c r="AK38" i="1"/>
  <c r="HX14" i="4" s="1"/>
  <c r="JF15" i="4" s="1"/>
  <c r="BX141" i="1"/>
  <c r="BY141" i="1" s="1"/>
  <c r="AM29" i="1"/>
  <c r="V53" i="1"/>
  <c r="HY16" i="4" s="1"/>
  <c r="L29" i="1"/>
  <c r="IE16" i="4" s="1"/>
  <c r="IF9" i="4" s="1"/>
  <c r="IF21" i="4" s="1"/>
  <c r="AZ91" i="1" s="1"/>
  <c r="IG14" i="4" s="1"/>
  <c r="E50" i="1"/>
  <c r="BX133" i="1"/>
  <c r="BY133" i="1" s="1"/>
  <c r="AJ61" i="1"/>
  <c r="R53" i="1"/>
  <c r="IJ9" i="4" s="1"/>
  <c r="N61" i="1"/>
  <c r="BX159" i="1"/>
  <c r="AL22" i="1"/>
  <c r="AL245" i="1" s="1"/>
  <c r="J59" i="1"/>
  <c r="K65" i="1"/>
  <c r="R22" i="1"/>
  <c r="R245" i="1" s="1"/>
  <c r="HT16" i="4" s="1"/>
  <c r="HT21" i="4" s="1"/>
  <c r="AN91" i="1" s="1"/>
  <c r="O61" i="1"/>
  <c r="AJ34" i="1"/>
  <c r="IX9" i="4" s="1"/>
  <c r="BX168" i="1"/>
  <c r="BY168" i="1" s="1"/>
  <c r="C34" i="1"/>
  <c r="J37" i="1"/>
  <c r="J35" i="1"/>
  <c r="HT14" i="4" s="1"/>
  <c r="HT19" i="4" s="1"/>
  <c r="AN92" i="1" s="1"/>
  <c r="AN121" i="1" s="1"/>
  <c r="R65" i="1"/>
  <c r="E39" i="1"/>
  <c r="IA16" i="4" s="1"/>
  <c r="IA21" i="4" s="1"/>
  <c r="AU91" i="1" s="1"/>
  <c r="JG15" i="4" s="1"/>
  <c r="K22" i="1"/>
  <c r="F36" i="1"/>
  <c r="BX160" i="1"/>
  <c r="BY160" i="1" s="1"/>
  <c r="M49" i="1"/>
  <c r="AK53" i="1"/>
  <c r="L65" i="1"/>
  <c r="L39" i="1"/>
  <c r="S60" i="1"/>
  <c r="M29" i="1"/>
  <c r="I65" i="1"/>
  <c r="HZ9" i="4" s="1"/>
  <c r="II16" i="4" s="1"/>
  <c r="IK14" i="4" s="1"/>
  <c r="V34" i="1"/>
  <c r="V40" i="1" s="1"/>
  <c r="C27" i="1"/>
  <c r="IP16" i="4" s="1"/>
  <c r="C35" i="1"/>
  <c r="F34" i="1"/>
  <c r="BX36" i="1"/>
  <c r="BJ28" i="1"/>
  <c r="B27" i="1"/>
  <c r="BX161" i="1"/>
  <c r="BY161" i="1" s="1"/>
  <c r="JH7" i="4" s="1"/>
  <c r="U38" i="1"/>
  <c r="G29" i="1"/>
  <c r="JA8" i="4" s="1"/>
  <c r="AL61" i="1"/>
  <c r="T60" i="1"/>
  <c r="BX167" i="1"/>
  <c r="IC9" i="4" s="1"/>
  <c r="P39" i="1"/>
  <c r="HT9" i="4" s="1"/>
  <c r="P23" i="1"/>
  <c r="E60" i="1"/>
  <c r="JH9" i="4" s="1"/>
  <c r="BJ37" i="1"/>
  <c r="BX165" i="1"/>
  <c r="BY165" i="1" s="1"/>
  <c r="M61" i="1"/>
  <c r="O60" i="1"/>
  <c r="E46" i="1"/>
  <c r="E208" i="1" s="1"/>
  <c r="AJ37" i="1"/>
  <c r="AM38" i="1"/>
  <c r="E27" i="1"/>
  <c r="J27" i="1"/>
  <c r="AJ28" i="1"/>
  <c r="BX177" i="1"/>
  <c r="BY177" i="1" s="1"/>
  <c r="C53" i="1"/>
  <c r="H29" i="1"/>
  <c r="BX178" i="1"/>
  <c r="BY178" i="1" s="1"/>
  <c r="AJ65" i="1"/>
  <c r="N23" i="1"/>
  <c r="IT9" i="4" s="1"/>
  <c r="AK59" i="1"/>
  <c r="U27" i="1"/>
  <c r="Q34" i="1"/>
  <c r="T65" i="1"/>
  <c r="N36" i="1"/>
  <c r="J133" i="1"/>
  <c r="M50" i="1"/>
  <c r="U36" i="1"/>
  <c r="IV14" i="4" s="1"/>
  <c r="H37" i="1"/>
  <c r="W60" i="1"/>
  <c r="BJ35" i="1"/>
  <c r="K53" i="1"/>
  <c r="HS16" i="4" s="1"/>
  <c r="AK61" i="1"/>
  <c r="J60" i="1"/>
  <c r="D22" i="1"/>
  <c r="D245" i="1" s="1"/>
  <c r="Q39" i="1"/>
  <c r="IU16" i="4" s="1"/>
  <c r="IU21" i="4" s="1"/>
  <c r="BO91" i="1" s="1"/>
  <c r="L61" i="1"/>
  <c r="HQ14" i="4" s="1"/>
  <c r="IW8" i="4" s="1"/>
  <c r="IL7" i="4" s="1"/>
  <c r="H50" i="1"/>
  <c r="BJ27" i="1"/>
  <c r="S50" i="1"/>
  <c r="AK60" i="1"/>
  <c r="JA16" i="4" s="1"/>
  <c r="JA21" i="4" s="1"/>
  <c r="BU91" i="1" s="1"/>
  <c r="E34" i="1"/>
  <c r="E40" i="1" s="1"/>
  <c r="U23" i="1"/>
  <c r="U24" i="1" s="1"/>
  <c r="E53" i="1"/>
  <c r="L38" i="1"/>
  <c r="U29" i="1"/>
  <c r="N60" i="1"/>
  <c r="T53" i="1"/>
  <c r="N59" i="1"/>
  <c r="R37" i="1"/>
  <c r="G50" i="1"/>
  <c r="R46" i="1"/>
  <c r="R208" i="1" s="1"/>
  <c r="D136" i="1"/>
  <c r="J29" i="1"/>
  <c r="HU16" i="4" s="1"/>
  <c r="HU21" i="4" s="1"/>
  <c r="AO91" i="1" s="1"/>
  <c r="N38" i="1"/>
  <c r="E37" i="1"/>
  <c r="IW9" i="4" s="1"/>
  <c r="W53" i="1"/>
  <c r="D49" i="1"/>
  <c r="V59" i="1"/>
  <c r="E23" i="1"/>
  <c r="F53" i="1"/>
  <c r="HQ9" i="4" s="1"/>
  <c r="F22" i="1"/>
  <c r="F245" i="1" s="1"/>
  <c r="BX166" i="1"/>
  <c r="BY166" i="1" s="1"/>
  <c r="N65" i="1"/>
  <c r="O46" i="1"/>
  <c r="O208" i="1" s="1"/>
  <c r="K39" i="1"/>
  <c r="I49" i="1"/>
  <c r="G37" i="1"/>
  <c r="Q23" i="1"/>
  <c r="W61" i="1"/>
  <c r="H35" i="1"/>
  <c r="H40" i="1" s="1"/>
  <c r="N53" i="1"/>
  <c r="BX146" i="1"/>
  <c r="HW8" i="4" s="1"/>
  <c r="C65" i="1"/>
  <c r="IQ8" i="4" s="1"/>
  <c r="J38" i="1"/>
  <c r="K49" i="1"/>
  <c r="HP16" i="4" s="1"/>
  <c r="D38" i="1"/>
  <c r="P59" i="1"/>
  <c r="HV8" i="4" s="1"/>
  <c r="N27" i="1"/>
  <c r="AM35" i="1"/>
  <c r="HR7" i="4" s="1"/>
  <c r="JF9" i="4" s="1"/>
  <c r="P34" i="1"/>
  <c r="C38" i="1"/>
  <c r="H59" i="1"/>
  <c r="D50" i="1"/>
  <c r="AK22" i="1"/>
  <c r="V29" i="1"/>
  <c r="W23" i="1"/>
  <c r="W24" i="1" s="1"/>
  <c r="X202" i="1" s="1"/>
  <c r="E61" i="1"/>
  <c r="IL16" i="4" s="1"/>
  <c r="IL21" i="4" s="1"/>
  <c r="BF91" i="1" s="1"/>
  <c r="HU7" i="4" s="1"/>
  <c r="IR16" i="4" s="1"/>
  <c r="Q53" i="1"/>
  <c r="G177" i="1"/>
  <c r="Q50" i="1"/>
  <c r="IA9" i="4" s="1"/>
  <c r="V60" i="1"/>
  <c r="BJ22" i="1"/>
  <c r="BJ245" i="1" s="1"/>
  <c r="JI9" i="4" s="1"/>
  <c r="IZ16" i="4" s="1"/>
  <c r="HP9" i="4" s="1"/>
  <c r="B29" i="1"/>
  <c r="B50" i="1"/>
  <c r="BX139" i="1"/>
  <c r="BY139" i="1" s="1"/>
  <c r="E49" i="1"/>
  <c r="V61" i="1"/>
  <c r="T59" i="1"/>
  <c r="IU8" i="4" s="1"/>
  <c r="BX61" i="1"/>
  <c r="AM37" i="1"/>
  <c r="O29" i="1"/>
  <c r="B46" i="1"/>
  <c r="M27" i="1"/>
  <c r="S49" i="1"/>
  <c r="IY8" i="4" s="1"/>
  <c r="M46" i="1"/>
  <c r="BX88" i="1"/>
  <c r="H22" i="1"/>
  <c r="H245" i="1" s="1"/>
  <c r="F35" i="1"/>
  <c r="T39" i="1"/>
  <c r="J22" i="1"/>
  <c r="J245" i="1" s="1"/>
  <c r="D46" i="1"/>
  <c r="D208" i="1" s="1"/>
  <c r="JH16" i="4" s="1"/>
  <c r="O36" i="1"/>
  <c r="T29" i="1"/>
  <c r="U53" i="1"/>
  <c r="JG9" i="4" s="1"/>
  <c r="JI16" i="4" s="1"/>
  <c r="JI21" i="4" s="1"/>
  <c r="CC91" i="1" s="1"/>
  <c r="CC99" i="1" s="1"/>
  <c r="AK34" i="1"/>
  <c r="I38" i="1"/>
  <c r="BL88" i="1"/>
  <c r="IV8" i="4" s="1"/>
  <c r="IV7" i="4" s="1"/>
  <c r="G65" i="1"/>
  <c r="V65" i="1"/>
  <c r="Q37" i="1"/>
  <c r="L50" i="1"/>
  <c r="AM27" i="1"/>
  <c r="AM39" i="1"/>
  <c r="E22" i="1"/>
  <c r="E245" i="1" s="1"/>
  <c r="F49" i="1"/>
  <c r="M59" i="1"/>
  <c r="AJ46" i="1"/>
  <c r="IE9" i="4" s="1"/>
  <c r="AK28" i="1"/>
  <c r="W131" i="1"/>
  <c r="R34" i="1"/>
  <c r="R40" i="1" s="1"/>
  <c r="G34" i="1"/>
  <c r="HU8" i="4" s="1"/>
  <c r="I23" i="1"/>
  <c r="K46" i="1"/>
  <c r="K208" i="1" s="1"/>
  <c r="AL60" i="1"/>
  <c r="H61" i="1"/>
  <c r="P37" i="1"/>
  <c r="B59" i="1"/>
  <c r="HP14" i="4" s="1"/>
  <c r="V27" i="1"/>
  <c r="I53" i="1"/>
  <c r="BX50" i="1"/>
  <c r="P50" i="1"/>
  <c r="N29" i="1"/>
  <c r="H23" i="1"/>
  <c r="H65" i="1"/>
  <c r="R60" i="1"/>
  <c r="P27" i="1"/>
  <c r="O65" i="1"/>
  <c r="IR14" i="4" s="1"/>
  <c r="HR16" i="4" s="1"/>
  <c r="C60" i="1"/>
  <c r="M35" i="1"/>
  <c r="AJ39" i="1"/>
  <c r="AJ35" i="1"/>
  <c r="AK36" i="1"/>
  <c r="K38" i="1"/>
  <c r="BX131" i="1"/>
  <c r="BY131" i="1" s="1"/>
  <c r="AK49" i="1"/>
  <c r="BX87" i="1"/>
  <c r="P29" i="1"/>
  <c r="H60" i="1"/>
  <c r="L49" i="1"/>
  <c r="BJ34" i="1"/>
  <c r="BX145" i="1"/>
  <c r="S46" i="1"/>
  <c r="AM53" i="1"/>
  <c r="Q35" i="1"/>
  <c r="I27" i="1"/>
  <c r="G167" i="1"/>
  <c r="G36" i="1"/>
  <c r="I36" i="1"/>
  <c r="D39" i="1"/>
  <c r="J50" i="1"/>
  <c r="J266" i="1" s="1"/>
  <c r="S65" i="1"/>
  <c r="IB9" i="4" s="1"/>
  <c r="N49" i="1"/>
  <c r="BJ29" i="1"/>
  <c r="IS14" i="4" s="1"/>
  <c r="L37" i="1"/>
  <c r="BX46" i="1"/>
  <c r="BX208" i="1" s="1"/>
  <c r="IN7" i="4" s="1"/>
  <c r="JB16" i="4" s="1"/>
  <c r="JB21" i="4" s="1"/>
  <c r="BV91" i="1" s="1"/>
  <c r="W36" i="1"/>
  <c r="S29" i="1"/>
  <c r="H34" i="1"/>
  <c r="BX65" i="1"/>
  <c r="F29" i="1"/>
  <c r="H38" i="1"/>
  <c r="HZ15" i="4" s="1"/>
  <c r="HZ20" i="4" s="1"/>
  <c r="AT93" i="1" s="1"/>
  <c r="AT122" i="1" s="1"/>
  <c r="IH9" i="4" s="1"/>
  <c r="G22" i="1"/>
  <c r="G245" i="1" s="1"/>
  <c r="T49" i="1"/>
  <c r="L36" i="1"/>
  <c r="U39" i="1"/>
  <c r="IE14" i="4" s="1"/>
  <c r="B65" i="1"/>
  <c r="Q29" i="1"/>
  <c r="K23" i="1"/>
  <c r="K24" i="1" s="1"/>
  <c r="IN9" i="4" s="1"/>
  <c r="HY8" i="4" s="1"/>
  <c r="HR9" i="4" s="1"/>
  <c r="N50" i="1"/>
  <c r="N266" i="1" s="1"/>
  <c r="BX151" i="1"/>
  <c r="BY151" i="1" s="1"/>
  <c r="IU15" i="4" s="1"/>
  <c r="BX60" i="1"/>
  <c r="S34" i="1"/>
  <c r="O34" i="1"/>
  <c r="B22" i="1"/>
  <c r="B245" i="1" s="1"/>
  <c r="BX132" i="1"/>
  <c r="BY132" i="1" s="1"/>
  <c r="C22" i="1"/>
  <c r="C245" i="1" s="1"/>
  <c r="G61" i="1"/>
  <c r="IX8" i="4" s="1"/>
  <c r="U61" i="1"/>
  <c r="I22" i="1"/>
  <c r="I245" i="1" s="1"/>
  <c r="L23" i="1"/>
  <c r="L24" i="1" s="1"/>
  <c r="R29" i="1"/>
  <c r="IX15" i="4" s="1"/>
  <c r="HV9" i="4" s="1"/>
  <c r="U46" i="1"/>
  <c r="AK27" i="1"/>
  <c r="IN8" i="4" s="1"/>
  <c r="B49" i="1"/>
  <c r="J23" i="1"/>
  <c r="IJ15" i="4" s="1"/>
  <c r="B38" i="1"/>
  <c r="K50" i="1"/>
  <c r="BX147" i="1"/>
  <c r="J39" i="1"/>
  <c r="IO9" i="4" s="1"/>
  <c r="O50" i="1"/>
  <c r="AM36" i="1"/>
  <c r="V38" i="1"/>
  <c r="HY9" i="4" s="1"/>
  <c r="AL49" i="1"/>
  <c r="U34" i="1"/>
  <c r="IX7" i="4" s="1"/>
  <c r="JB8" i="4" s="1"/>
  <c r="O23" i="1"/>
  <c r="IB15" i="4" s="1"/>
  <c r="J36" i="1"/>
  <c r="D61" i="1"/>
  <c r="IQ14" i="4" s="1"/>
  <c r="B34" i="1"/>
  <c r="R35" i="1"/>
  <c r="S23" i="1"/>
  <c r="P35" i="1"/>
  <c r="IQ9" i="4" s="1"/>
  <c r="R50" i="1"/>
  <c r="G27" i="1"/>
  <c r="S38" i="1"/>
  <c r="BX156" i="1"/>
  <c r="BY156" i="1" s="1"/>
  <c r="IH7" i="4" s="1"/>
  <c r="IW7" i="4" s="1"/>
  <c r="W34" i="1"/>
  <c r="W40" i="1" s="1"/>
  <c r="C23" i="1"/>
  <c r="BX37" i="1"/>
  <c r="AL34" i="1"/>
  <c r="I60" i="1"/>
  <c r="I61" i="1"/>
  <c r="AJ27" i="1"/>
  <c r="JC15" i="4" s="1"/>
  <c r="JB14" i="4" s="1"/>
  <c r="O22" i="1"/>
  <c r="O245" i="1" s="1"/>
  <c r="AM23" i="1"/>
  <c r="D29" i="1"/>
  <c r="G59" i="1"/>
  <c r="F59" i="1"/>
  <c r="M65" i="1"/>
  <c r="G46" i="1"/>
  <c r="G208" i="1" s="1"/>
  <c r="C37" i="1"/>
  <c r="JB9" i="4" s="1"/>
  <c r="AL65" i="1"/>
  <c r="I46" i="1"/>
  <c r="I208" i="1" s="1"/>
  <c r="HX15" i="4" s="1"/>
  <c r="HQ15" i="4" s="1"/>
  <c r="IB7" i="4" s="1"/>
  <c r="D37" i="1"/>
  <c r="J61" i="1"/>
  <c r="AK29" i="1"/>
  <c r="AL40" i="1"/>
  <c r="N40" i="1"/>
  <c r="AL175" i="1"/>
  <c r="AM223" i="1" s="1"/>
  <c r="JE8" i="4"/>
  <c r="Q40" i="1"/>
  <c r="HW15" i="4"/>
  <c r="IE8" i="4"/>
  <c r="IK15" i="4"/>
  <c r="J208" i="1"/>
  <c r="IO14" i="4"/>
  <c r="JC14" i="4"/>
  <c r="IR8" i="4"/>
  <c r="HT15" i="4"/>
  <c r="U267" i="1"/>
  <c r="U208" i="1"/>
  <c r="K245" i="1"/>
  <c r="HX7" i="4"/>
  <c r="IJ7" i="4"/>
  <c r="IJ21" i="4"/>
  <c r="BD91" i="1" s="1"/>
  <c r="HP15" i="4"/>
  <c r="HV15" i="4"/>
  <c r="JB7" i="4"/>
  <c r="HT7" i="4"/>
  <c r="JA15" i="4"/>
  <c r="IB14" i="4"/>
  <c r="IP15" i="4"/>
  <c r="M208" i="1"/>
  <c r="IY7" i="4"/>
  <c r="JF14" i="4"/>
  <c r="S24" i="1"/>
  <c r="L245" i="1"/>
  <c r="HQ7" i="4"/>
  <c r="HR15" i="4"/>
  <c r="AM40" i="1"/>
  <c r="N267" i="1"/>
  <c r="IJ8" i="4"/>
  <c r="IE15" i="4"/>
  <c r="JF21" i="4"/>
  <c r="BZ91" i="1" s="1"/>
  <c r="BZ108" i="1" s="1"/>
  <c r="CM117" i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CM118" i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M208" i="1"/>
  <c r="CM146" i="1"/>
  <c r="CM148" i="1" s="1"/>
  <c r="CM152" i="1" s="1"/>
  <c r="CM217" i="1" s="1"/>
  <c r="CM215" i="1" s="1"/>
  <c r="CR91" i="1"/>
  <c r="AC216" i="1"/>
  <c r="AB163" i="1"/>
  <c r="AB131" i="1"/>
  <c r="CO79" i="1"/>
  <c r="CP77" i="1"/>
  <c r="BX175" i="1" l="1"/>
  <c r="IW16" i="4" s="1"/>
  <c r="BX24" i="1"/>
  <c r="BY26" i="1" s="1"/>
  <c r="IV21" i="4"/>
  <c r="BP91" i="1" s="1"/>
  <c r="BX194" i="1"/>
  <c r="BY194" i="1" s="1"/>
  <c r="HQ21" i="4"/>
  <c r="AK91" i="1" s="1"/>
  <c r="Q24" i="1"/>
  <c r="Q112" i="1" s="1"/>
  <c r="BX245" i="1"/>
  <c r="D266" i="1"/>
  <c r="AK24" i="1"/>
  <c r="BY142" i="1"/>
  <c r="IB21" i="4"/>
  <c r="AV91" i="1" s="1"/>
  <c r="L40" i="1"/>
  <c r="JC21" i="4"/>
  <c r="BW91" i="1" s="1"/>
  <c r="IJ19" i="4"/>
  <c r="BD92" i="1" s="1"/>
  <c r="BD121" i="1" s="1"/>
  <c r="Q266" i="1"/>
  <c r="BX197" i="1"/>
  <c r="BY197" i="1" s="1"/>
  <c r="JD21" i="4"/>
  <c r="BX91" i="1" s="1"/>
  <c r="Q267" i="1"/>
  <c r="BX266" i="1"/>
  <c r="IP9" i="4" s="1"/>
  <c r="T266" i="1"/>
  <c r="IN16" i="4" s="1"/>
  <c r="IN21" i="4" s="1"/>
  <c r="BH91" i="1" s="1"/>
  <c r="V41" i="1"/>
  <c r="M266" i="1"/>
  <c r="L266" i="1"/>
  <c r="IE21" i="4"/>
  <c r="AY91" i="1" s="1"/>
  <c r="I24" i="1"/>
  <c r="BY134" i="1"/>
  <c r="BY106" i="1" s="1"/>
  <c r="I40" i="1"/>
  <c r="K266" i="1"/>
  <c r="O266" i="1"/>
  <c r="C24" i="1"/>
  <c r="C30" i="1" s="1"/>
  <c r="T24" i="1"/>
  <c r="T112" i="1" s="1"/>
  <c r="N24" i="1"/>
  <c r="N112" i="1" s="1"/>
  <c r="AJ51" i="1"/>
  <c r="C267" i="1"/>
  <c r="G267" i="1"/>
  <c r="O40" i="1"/>
  <c r="AJ197" i="1"/>
  <c r="G24" i="1"/>
  <c r="S208" i="1"/>
  <c r="HP21" i="4"/>
  <c r="AJ91" i="1" s="1"/>
  <c r="M24" i="1"/>
  <c r="F208" i="1"/>
  <c r="M267" i="1"/>
  <c r="AJ24" i="1"/>
  <c r="AJ30" i="1" s="1"/>
  <c r="D24" i="1"/>
  <c r="AJ193" i="1"/>
  <c r="G197" i="1"/>
  <c r="F266" i="1"/>
  <c r="IG7" i="4"/>
  <c r="HX19" i="4"/>
  <c r="AR92" i="1" s="1"/>
  <c r="AR121" i="1" s="1"/>
  <c r="AL197" i="1"/>
  <c r="AM197" i="1" s="1"/>
  <c r="IH15" i="4"/>
  <c r="B40" i="1"/>
  <c r="HZ7" i="4"/>
  <c r="P40" i="1"/>
  <c r="JE7" i="4"/>
  <c r="JE19" i="4" s="1"/>
  <c r="BY92" i="1" s="1"/>
  <c r="HZ14" i="4"/>
  <c r="G266" i="1"/>
  <c r="U25" i="1"/>
  <c r="H266" i="1"/>
  <c r="JD7" i="4"/>
  <c r="I266" i="1"/>
  <c r="JI7" i="4"/>
  <c r="M40" i="1"/>
  <c r="AJ162" i="1"/>
  <c r="AJ196" i="1" s="1"/>
  <c r="HX8" i="4"/>
  <c r="C266" i="1"/>
  <c r="HR14" i="4"/>
  <c r="IQ7" i="4"/>
  <c r="IC8" i="4"/>
  <c r="IC20" i="4" s="1"/>
  <c r="AW93" i="1" s="1"/>
  <c r="AW122" i="1" s="1"/>
  <c r="Q197" i="1"/>
  <c r="AK26" i="1"/>
  <c r="IP21" i="4"/>
  <c r="BJ91" i="1" s="1"/>
  <c r="IP8" i="4"/>
  <c r="HR8" i="4"/>
  <c r="IP7" i="4"/>
  <c r="ID8" i="4"/>
  <c r="IO8" i="4"/>
  <c r="IG8" i="4"/>
  <c r="AL266" i="1"/>
  <c r="AL194" i="1"/>
  <c r="AM194" i="1" s="1"/>
  <c r="F40" i="1"/>
  <c r="E24" i="1"/>
  <c r="E202" i="1" s="1"/>
  <c r="II21" i="4"/>
  <c r="BC91" i="1" s="1"/>
  <c r="U40" i="1"/>
  <c r="AJ40" i="1"/>
  <c r="AJ42" i="1" s="1"/>
  <c r="BX40" i="1"/>
  <c r="BX41" i="1" s="1"/>
  <c r="IO7" i="4"/>
  <c r="IN15" i="4"/>
  <c r="AM266" i="1"/>
  <c r="HU15" i="4"/>
  <c r="IM15" i="4"/>
  <c r="IH14" i="4"/>
  <c r="K40" i="1"/>
  <c r="IR7" i="4"/>
  <c r="IR19" i="4" s="1"/>
  <c r="BL92" i="1" s="1"/>
  <c r="W30" i="1"/>
  <c r="CA112" i="1"/>
  <c r="CA113" i="1" s="1"/>
  <c r="W202" i="1"/>
  <c r="P266" i="1"/>
  <c r="G40" i="1"/>
  <c r="IA14" i="4"/>
  <c r="T40" i="1"/>
  <c r="JE15" i="4"/>
  <c r="JE20" i="4" s="1"/>
  <c r="BY93" i="1" s="1"/>
  <c r="BY122" i="1" s="1"/>
  <c r="AK40" i="1"/>
  <c r="JF8" i="4"/>
  <c r="JF20" i="4" s="1"/>
  <c r="BZ93" i="1" s="1"/>
  <c r="BZ110" i="1" s="1"/>
  <c r="BJ193" i="1"/>
  <c r="BK193" i="1" s="1"/>
  <c r="AM142" i="1"/>
  <c r="D267" i="1"/>
  <c r="H24" i="1"/>
  <c r="R266" i="1"/>
  <c r="IT7" i="4"/>
  <c r="IT19" i="4" s="1"/>
  <c r="BN92" i="1" s="1"/>
  <c r="BN121" i="1" s="1"/>
  <c r="IN14" i="4"/>
  <c r="IN19" i="4" s="1"/>
  <c r="BH92" i="1" s="1"/>
  <c r="BH121" i="1" s="1"/>
  <c r="IQ15" i="4"/>
  <c r="JG14" i="4"/>
  <c r="J40" i="1"/>
  <c r="IW15" i="4"/>
  <c r="IW20" i="4" s="1"/>
  <c r="BQ93" i="1" s="1"/>
  <c r="BQ122" i="1" s="1"/>
  <c r="JH20" i="4"/>
  <c r="CB93" i="1" s="1"/>
  <c r="CB118" i="1" s="1"/>
  <c r="II8" i="4"/>
  <c r="II20" i="4" s="1"/>
  <c r="BC93" i="1" s="1"/>
  <c r="BC122" i="1" s="1"/>
  <c r="IP14" i="4"/>
  <c r="AL193" i="1"/>
  <c r="AM193" i="1" s="1"/>
  <c r="IK20" i="4"/>
  <c r="BE93" i="1" s="1"/>
  <c r="BE122" i="1" s="1"/>
  <c r="IU20" i="4"/>
  <c r="BO93" i="1" s="1"/>
  <c r="BO122" i="1" s="1"/>
  <c r="HP7" i="4"/>
  <c r="B267" i="1"/>
  <c r="D40" i="1"/>
  <c r="AL267" i="1"/>
  <c r="AM112" i="1"/>
  <c r="AM113" i="1" s="1"/>
  <c r="HY21" i="4"/>
  <c r="AS91" i="1" s="1"/>
  <c r="IX20" i="4"/>
  <c r="BR93" i="1" s="1"/>
  <c r="BR122" i="1" s="1"/>
  <c r="BX170" i="1"/>
  <c r="BX199" i="1" s="1"/>
  <c r="BX198" i="1" s="1"/>
  <c r="BX148" i="1"/>
  <c r="HW7" i="4"/>
  <c r="BJ148" i="1"/>
  <c r="BJ152" i="1" s="1"/>
  <c r="AJ170" i="1"/>
  <c r="AJ199" i="1" s="1"/>
  <c r="W41" i="1"/>
  <c r="C40" i="1"/>
  <c r="C41" i="1" s="1"/>
  <c r="IH19" i="4"/>
  <c r="BB92" i="1" s="1"/>
  <c r="BB121" i="1" s="1"/>
  <c r="AJ31" i="1"/>
  <c r="O267" i="1"/>
  <c r="IL8" i="4"/>
  <c r="IF8" i="4"/>
  <c r="AJ142" i="1"/>
  <c r="AJ182" i="1" s="1"/>
  <c r="AK51" i="1" s="1"/>
  <c r="BX134" i="1"/>
  <c r="CC202" i="1"/>
  <c r="AJ148" i="1"/>
  <c r="CA239" i="1"/>
  <c r="AL142" i="1"/>
  <c r="AM220" i="1" s="1"/>
  <c r="AJ134" i="1"/>
  <c r="JF19" i="4"/>
  <c r="BZ92" i="1" s="1"/>
  <c r="BZ103" i="1" s="1"/>
  <c r="HY20" i="4"/>
  <c r="AS93" i="1" s="1"/>
  <c r="AS122" i="1" s="1"/>
  <c r="JA20" i="4"/>
  <c r="BU93" i="1" s="1"/>
  <c r="BU122" i="1" s="1"/>
  <c r="IZ8" i="4"/>
  <c r="HU14" i="4"/>
  <c r="HU19" i="4" s="1"/>
  <c r="AO92" i="1" s="1"/>
  <c r="AO121" i="1" s="1"/>
  <c r="IO15" i="4"/>
  <c r="IO20" i="4" s="1"/>
  <c r="BI93" i="1" s="1"/>
  <c r="BI122" i="1" s="1"/>
  <c r="BX193" i="1"/>
  <c r="BY193" i="1" s="1"/>
  <c r="AJ194" i="1"/>
  <c r="AK194" i="1" s="1"/>
  <c r="AK142" i="1"/>
  <c r="L208" i="1"/>
  <c r="L267" i="1"/>
  <c r="JA14" i="4"/>
  <c r="AK178" i="1"/>
  <c r="AJ210" i="1" s="1"/>
  <c r="AI210" i="1"/>
  <c r="AI212" i="1" s="1"/>
  <c r="N30" i="1"/>
  <c r="V202" i="1"/>
  <c r="ID7" i="4"/>
  <c r="IM14" i="4"/>
  <c r="IK21" i="4"/>
  <c r="BE91" i="1" s="1"/>
  <c r="P208" i="1"/>
  <c r="P267" i="1"/>
  <c r="IW21" i="4"/>
  <c r="BQ91" i="1" s="1"/>
  <c r="IQ21" i="4"/>
  <c r="BK91" i="1" s="1"/>
  <c r="IF7" i="4"/>
  <c r="IF19" i="4" s="1"/>
  <c r="AZ92" i="1" s="1"/>
  <c r="AZ121" i="1" s="1"/>
  <c r="T25" i="1"/>
  <c r="AJ208" i="1"/>
  <c r="AJ47" i="1"/>
  <c r="JI14" i="4"/>
  <c r="JI19" i="4" s="1"/>
  <c r="CC92" i="1" s="1"/>
  <c r="CC117" i="1" s="1"/>
  <c r="P24" i="1"/>
  <c r="Q202" i="1" s="1"/>
  <c r="HT8" i="4"/>
  <c r="B266" i="1"/>
  <c r="JA7" i="4"/>
  <c r="HR20" i="4"/>
  <c r="AL93" i="1" s="1"/>
  <c r="AL122" i="1" s="1"/>
  <c r="S267" i="1"/>
  <c r="IZ15" i="4"/>
  <c r="IZ20" i="4" s="1"/>
  <c r="BT93" i="1" s="1"/>
  <c r="BT122" i="1" s="1"/>
  <c r="HZ21" i="4"/>
  <c r="AT91" i="1" s="1"/>
  <c r="AL148" i="1"/>
  <c r="AL170" i="1"/>
  <c r="AL199" i="1" s="1"/>
  <c r="AL198" i="1" s="1"/>
  <c r="V267" i="1"/>
  <c r="Q25" i="1"/>
  <c r="IY14" i="4"/>
  <c r="IY19" i="4" s="1"/>
  <c r="BS92" i="1" s="1"/>
  <c r="BS121" i="1" s="1"/>
  <c r="X25" i="1"/>
  <c r="W25" i="1"/>
  <c r="W112" i="1"/>
  <c r="IF15" i="4"/>
  <c r="HS14" i="4"/>
  <c r="IM7" i="4"/>
  <c r="U202" i="1"/>
  <c r="IH8" i="4"/>
  <c r="I267" i="1"/>
  <c r="AL24" i="1"/>
  <c r="AL41" i="1" s="1"/>
  <c r="IG15" i="4"/>
  <c r="HP19" i="4"/>
  <c r="AJ92" i="1" s="1"/>
  <c r="IC14" i="4"/>
  <c r="IC19" i="4" s="1"/>
  <c r="AW92" i="1" s="1"/>
  <c r="AW121" i="1" s="1"/>
  <c r="K267" i="1"/>
  <c r="BJ162" i="1"/>
  <c r="BJ196" i="1" s="1"/>
  <c r="BJ195" i="1" s="1"/>
  <c r="IR15" i="4"/>
  <c r="IR20" i="4" s="1"/>
  <c r="BL93" i="1" s="1"/>
  <c r="IT8" i="4"/>
  <c r="IT20" i="4" s="1"/>
  <c r="BN93" i="1" s="1"/>
  <c r="BN122" i="1" s="1"/>
  <c r="JD14" i="4"/>
  <c r="JD19" i="4" s="1"/>
  <c r="BX92" i="1" s="1"/>
  <c r="ID14" i="4"/>
  <c r="BY154" i="1"/>
  <c r="BZ216" i="1" s="1"/>
  <c r="JG7" i="4"/>
  <c r="HW21" i="4"/>
  <c r="AQ91" i="1" s="1"/>
  <c r="IH21" i="4"/>
  <c r="BB91" i="1" s="1"/>
  <c r="BX267" i="1"/>
  <c r="AK245" i="1"/>
  <c r="CB25" i="1"/>
  <c r="BJ134" i="1"/>
  <c r="BJ106" i="1" s="1"/>
  <c r="F267" i="1"/>
  <c r="BX142" i="1"/>
  <c r="BY263" i="1" s="1"/>
  <c r="AL134" i="1"/>
  <c r="Q208" i="1"/>
  <c r="V25" i="1"/>
  <c r="T267" i="1"/>
  <c r="P197" i="1"/>
  <c r="JI8" i="4"/>
  <c r="IS7" i="4"/>
  <c r="IS19" i="4" s="1"/>
  <c r="BM92" i="1" s="1"/>
  <c r="BM121" i="1" s="1"/>
  <c r="IO21" i="4"/>
  <c r="BI91" i="1" s="1"/>
  <c r="JH21" i="4"/>
  <c r="CB91" i="1" s="1"/>
  <c r="IS8" i="4"/>
  <c r="JC8" i="4"/>
  <c r="JC20" i="4" s="1"/>
  <c r="BW93" i="1" s="1"/>
  <c r="BW122" i="1" s="1"/>
  <c r="IS15" i="4"/>
  <c r="IS20" i="4" s="1"/>
  <c r="BM93" i="1" s="1"/>
  <c r="BM122" i="1" s="1"/>
  <c r="JD8" i="4"/>
  <c r="JD20" i="4" s="1"/>
  <c r="BX93" i="1" s="1"/>
  <c r="BX122" i="1" s="1"/>
  <c r="JE21" i="4"/>
  <c r="BY91" i="1" s="1"/>
  <c r="BY108" i="1" s="1"/>
  <c r="JG21" i="4"/>
  <c r="CA91" i="1" s="1"/>
  <c r="CA108" i="1" s="1"/>
  <c r="IL14" i="4"/>
  <c r="IL19" i="4" s="1"/>
  <c r="BF92" i="1" s="1"/>
  <c r="BF121" i="1" s="1"/>
  <c r="IA8" i="4"/>
  <c r="HS7" i="4"/>
  <c r="IW14" i="4"/>
  <c r="IW19" i="4" s="1"/>
  <c r="BQ92" i="1" s="1"/>
  <c r="BQ121" i="1" s="1"/>
  <c r="HY15" i="4"/>
  <c r="IK7" i="4"/>
  <c r="IK19" i="4" s="1"/>
  <c r="BE92" i="1" s="1"/>
  <c r="BE121" i="1" s="1"/>
  <c r="J24" i="1"/>
  <c r="J25" i="1" s="1"/>
  <c r="HP20" i="4"/>
  <c r="AJ93" i="1" s="1"/>
  <c r="R267" i="1"/>
  <c r="V30" i="1"/>
  <c r="V31" i="1" s="1"/>
  <c r="IZ14" i="4"/>
  <c r="IE7" i="4"/>
  <c r="IE19" i="4" s="1"/>
  <c r="AY92" i="1" s="1"/>
  <c r="AY121" i="1" s="1"/>
  <c r="IU14" i="4"/>
  <c r="IU19" i="4" s="1"/>
  <c r="BO92" i="1" s="1"/>
  <c r="BO121" i="1" s="1"/>
  <c r="IA15" i="4"/>
  <c r="IU7" i="4"/>
  <c r="AK154" i="1"/>
  <c r="AL216" i="1" s="1"/>
  <c r="AJ216" i="1"/>
  <c r="HQ8" i="4"/>
  <c r="HQ20" i="4" s="1"/>
  <c r="AK93" i="1" s="1"/>
  <c r="HS8" i="4"/>
  <c r="HS15" i="4"/>
  <c r="U112" i="1"/>
  <c r="JB15" i="4"/>
  <c r="JB20" i="4" s="1"/>
  <c r="BV93" i="1" s="1"/>
  <c r="BV122" i="1" s="1"/>
  <c r="IA7" i="4"/>
  <c r="IA19" i="4" s="1"/>
  <c r="AU92" i="1" s="1"/>
  <c r="AU121" i="1" s="1"/>
  <c r="AM267" i="1"/>
  <c r="BX162" i="1"/>
  <c r="BX196" i="1" s="1"/>
  <c r="F24" i="1"/>
  <c r="G202" i="1" s="1"/>
  <c r="U30" i="1"/>
  <c r="JI15" i="4"/>
  <c r="JG8" i="4"/>
  <c r="JG20" i="4" s="1"/>
  <c r="CA93" i="1" s="1"/>
  <c r="IZ7" i="4"/>
  <c r="CC116" i="1"/>
  <c r="H267" i="1"/>
  <c r="W208" i="1"/>
  <c r="B24" i="1"/>
  <c r="Q30" i="1"/>
  <c r="Q31" i="1" s="1"/>
  <c r="BJ170" i="1"/>
  <c r="BJ199" i="1" s="1"/>
  <c r="BJ198" i="1" s="1"/>
  <c r="O24" i="1"/>
  <c r="HP8" i="4"/>
  <c r="JF7" i="4"/>
  <c r="IC21" i="4"/>
  <c r="AW91" i="1" s="1"/>
  <c r="HV7" i="4"/>
  <c r="HV19" i="4" s="1"/>
  <c r="AP92" i="1" s="1"/>
  <c r="AP121" i="1" s="1"/>
  <c r="BK138" i="1"/>
  <c r="BK142" i="1" s="1"/>
  <c r="BJ142" i="1"/>
  <c r="IY21" i="4"/>
  <c r="BS91" i="1" s="1"/>
  <c r="HT20" i="4"/>
  <c r="AN93" i="1" s="1"/>
  <c r="AN122" i="1" s="1"/>
  <c r="CC108" i="1"/>
  <c r="AL162" i="1"/>
  <c r="AL196" i="1" s="1"/>
  <c r="BK216" i="1"/>
  <c r="HS21" i="4"/>
  <c r="AM91" i="1" s="1"/>
  <c r="HY7" i="4"/>
  <c r="HY19" i="4" s="1"/>
  <c r="AS92" i="1" s="1"/>
  <c r="AS121" i="1" s="1"/>
  <c r="R24" i="1"/>
  <c r="S25" i="1" s="1"/>
  <c r="BX30" i="1"/>
  <c r="BY33" i="1" s="1"/>
  <c r="J267" i="1"/>
  <c r="AM24" i="1"/>
  <c r="AM30" i="1" s="1"/>
  <c r="AM42" i="1" s="1"/>
  <c r="JH14" i="4"/>
  <c r="JH19" i="4" s="1"/>
  <c r="CB92" i="1" s="1"/>
  <c r="HR21" i="4"/>
  <c r="AL91" i="1" s="1"/>
  <c r="IZ21" i="4"/>
  <c r="BT91" i="1" s="1"/>
  <c r="S266" i="1"/>
  <c r="IB8" i="4"/>
  <c r="IB20" i="4" s="1"/>
  <c r="AV93" i="1" s="1"/>
  <c r="AV122" i="1" s="1"/>
  <c r="IL15" i="4"/>
  <c r="HW14" i="4"/>
  <c r="HW19" i="4" s="1"/>
  <c r="AQ92" i="1" s="1"/>
  <c r="AQ121" i="1" s="1"/>
  <c r="S40" i="1"/>
  <c r="II7" i="4"/>
  <c r="II14" i="4"/>
  <c r="ID15" i="4"/>
  <c r="IY15" i="4"/>
  <c r="IY20" i="4" s="1"/>
  <c r="BS93" i="1" s="1"/>
  <c r="BS122" i="1" s="1"/>
  <c r="B30" i="1"/>
  <c r="B42" i="1" s="1"/>
  <c r="C202" i="1"/>
  <c r="C31" i="1"/>
  <c r="BZ221" i="1"/>
  <c r="IV19" i="4"/>
  <c r="BP92" i="1" s="1"/>
  <c r="BP121" i="1" s="1"/>
  <c r="JC19" i="4"/>
  <c r="BW92" i="1" s="1"/>
  <c r="BW121" i="1" s="1"/>
  <c r="IE20" i="4"/>
  <c r="AY93" i="1" s="1"/>
  <c r="AY122" i="1" s="1"/>
  <c r="IG19" i="4"/>
  <c r="BA92" i="1" s="1"/>
  <c r="BA121" i="1" s="1"/>
  <c r="HU20" i="4"/>
  <c r="AO93" i="1" s="1"/>
  <c r="AO122" i="1" s="1"/>
  <c r="HX20" i="4"/>
  <c r="AR93" i="1" s="1"/>
  <c r="AR122" i="1" s="1"/>
  <c r="HR19" i="4"/>
  <c r="AL92" i="1" s="1"/>
  <c r="AL121" i="1" s="1"/>
  <c r="HZ19" i="4"/>
  <c r="AT92" i="1" s="1"/>
  <c r="AT121" i="1" s="1"/>
  <c r="IX19" i="4"/>
  <c r="BR92" i="1" s="1"/>
  <c r="BR121" i="1" s="1"/>
  <c r="E30" i="1"/>
  <c r="E25" i="1"/>
  <c r="K112" i="1"/>
  <c r="K30" i="1"/>
  <c r="HQ19" i="4"/>
  <c r="AK92" i="1" s="1"/>
  <c r="X32" i="1"/>
  <c r="W31" i="1"/>
  <c r="W42" i="1"/>
  <c r="IO19" i="4"/>
  <c r="BI92" i="1" s="1"/>
  <c r="BI121" i="1" s="1"/>
  <c r="D202" i="1"/>
  <c r="D30" i="1"/>
  <c r="D25" i="1"/>
  <c r="L30" i="1"/>
  <c r="L202" i="1"/>
  <c r="L112" i="1"/>
  <c r="L25" i="1"/>
  <c r="IP20" i="4"/>
  <c r="BJ93" i="1" s="1"/>
  <c r="BJ122" i="1" s="1"/>
  <c r="G112" i="1"/>
  <c r="G30" i="1"/>
  <c r="IN20" i="4"/>
  <c r="BH93" i="1" s="1"/>
  <c r="BH122" i="1" s="1"/>
  <c r="JB19" i="4"/>
  <c r="BV92" i="1" s="1"/>
  <c r="BV121" i="1" s="1"/>
  <c r="BY223" i="1"/>
  <c r="AK30" i="1"/>
  <c r="BX182" i="1"/>
  <c r="IQ19" i="4"/>
  <c r="BK92" i="1" s="1"/>
  <c r="BK121" i="1" s="1"/>
  <c r="M30" i="1"/>
  <c r="N202" i="1"/>
  <c r="M112" i="1"/>
  <c r="M202" i="1"/>
  <c r="M25" i="1"/>
  <c r="N25" i="1"/>
  <c r="BY110" i="1"/>
  <c r="S112" i="1"/>
  <c r="S30" i="1"/>
  <c r="IJ20" i="4"/>
  <c r="BD93" i="1" s="1"/>
  <c r="BD122" i="1" s="1"/>
  <c r="AJ41" i="1"/>
  <c r="AK41" i="1"/>
  <c r="H202" i="1"/>
  <c r="BY220" i="1"/>
  <c r="F202" i="1"/>
  <c r="BZ220" i="1"/>
  <c r="BZ219" i="1" s="1"/>
  <c r="BZ263" i="1"/>
  <c r="BZ265" i="1" s="1"/>
  <c r="BY143" i="1"/>
  <c r="HW20" i="4"/>
  <c r="AQ93" i="1" s="1"/>
  <c r="AQ122" i="1" s="1"/>
  <c r="T202" i="1"/>
  <c r="IM20" i="4"/>
  <c r="BG93" i="1" s="1"/>
  <c r="BG122" i="1" s="1"/>
  <c r="IB19" i="4"/>
  <c r="AV92" i="1" s="1"/>
  <c r="AV121" i="1" s="1"/>
  <c r="I112" i="1"/>
  <c r="I30" i="1"/>
  <c r="HV20" i="4"/>
  <c r="AP93" i="1" s="1"/>
  <c r="AP122" i="1" s="1"/>
  <c r="BJ108" i="1"/>
  <c r="CN46" i="1"/>
  <c r="CS91" i="1"/>
  <c r="AB177" i="1"/>
  <c r="CP79" i="1"/>
  <c r="CQ77" i="1"/>
  <c r="AC131" i="1"/>
  <c r="AC163" i="1"/>
  <c r="CB239" i="1"/>
  <c r="BQ1" i="1"/>
  <c r="BR1" i="1" s="1"/>
  <c r="BS1" i="1" s="1"/>
  <c r="BT1" i="1" s="1"/>
  <c r="BX195" i="1" l="1"/>
  <c r="AL182" i="1"/>
  <c r="AL123" i="1" s="1"/>
  <c r="BX106" i="1"/>
  <c r="BY148" i="1"/>
  <c r="BX152" i="1"/>
  <c r="AJ152" i="1"/>
  <c r="AJ217" i="1" s="1"/>
  <c r="AJ215" i="1" s="1"/>
  <c r="C25" i="1"/>
  <c r="T30" i="1"/>
  <c r="AL195" i="1"/>
  <c r="H30" i="1"/>
  <c r="H31" i="1" s="1"/>
  <c r="AM116" i="1"/>
  <c r="BK148" i="1"/>
  <c r="BL47" i="1" s="1"/>
  <c r="D41" i="1"/>
  <c r="AJ211" i="1"/>
  <c r="C42" i="1"/>
  <c r="C43" i="1" s="1"/>
  <c r="AJ143" i="1"/>
  <c r="IQ20" i="4"/>
  <c r="BK93" i="1" s="1"/>
  <c r="BK122" i="1" s="1"/>
  <c r="N31" i="1"/>
  <c r="I202" i="1"/>
  <c r="I25" i="1"/>
  <c r="BY221" i="1"/>
  <c r="BY47" i="1"/>
  <c r="BX262" i="1"/>
  <c r="AL263" i="1"/>
  <c r="AM41" i="1"/>
  <c r="B41" i="1"/>
  <c r="AM263" i="1"/>
  <c r="AJ220" i="1"/>
  <c r="K25" i="1"/>
  <c r="G25" i="1"/>
  <c r="BL121" i="1"/>
  <c r="BL124" i="1" s="1"/>
  <c r="BL109" i="1"/>
  <c r="BY103" i="1"/>
  <c r="BY121" i="1"/>
  <c r="BY109" i="1"/>
  <c r="AJ43" i="1"/>
  <c r="AJ246" i="1"/>
  <c r="AJ247" i="1" s="1"/>
  <c r="AJ48" i="1"/>
  <c r="AJ52" i="1" s="1"/>
  <c r="R25" i="1"/>
  <c r="AK216" i="1"/>
  <c r="JA19" i="4"/>
  <c r="BU92" i="1" s="1"/>
  <c r="BU121" i="1" s="1"/>
  <c r="U31" i="1"/>
  <c r="BJ262" i="1"/>
  <c r="K202" i="1"/>
  <c r="BZ122" i="1"/>
  <c r="BZ125" i="1" s="1"/>
  <c r="IM19" i="4"/>
  <c r="BG92" i="1" s="1"/>
  <c r="BG121" i="1" s="1"/>
  <c r="BZ109" i="1"/>
  <c r="S202" i="1"/>
  <c r="CB122" i="1"/>
  <c r="CB125" i="1" s="1"/>
  <c r="CB128" i="1" s="1"/>
  <c r="F25" i="1"/>
  <c r="IG20" i="4"/>
  <c r="BA93" i="1" s="1"/>
  <c r="BA122" i="1" s="1"/>
  <c r="II19" i="4"/>
  <c r="BC92" i="1" s="1"/>
  <c r="BC121" i="1" s="1"/>
  <c r="IF20" i="4"/>
  <c r="AZ93" i="1" s="1"/>
  <c r="AZ122" i="1" s="1"/>
  <c r="CB110" i="1"/>
  <c r="E41" i="1"/>
  <c r="JG19" i="4"/>
  <c r="CA92" i="1" s="1"/>
  <c r="E112" i="1"/>
  <c r="CB101" i="1"/>
  <c r="CB32" i="1"/>
  <c r="BJ143" i="1"/>
  <c r="H112" i="1"/>
  <c r="H25" i="1"/>
  <c r="BJ200" i="1"/>
  <c r="ID20" i="4"/>
  <c r="AX93" i="1" s="1"/>
  <c r="AX122" i="1" s="1"/>
  <c r="ID19" i="4"/>
  <c r="AX92" i="1" s="1"/>
  <c r="AX121" i="1" s="1"/>
  <c r="IH20" i="4"/>
  <c r="BB93" i="1" s="1"/>
  <c r="BB122" i="1" s="1"/>
  <c r="IP19" i="4"/>
  <c r="BJ92" i="1" s="1"/>
  <c r="BL110" i="1"/>
  <c r="BL122" i="1"/>
  <c r="BL125" i="1" s="1"/>
  <c r="AK220" i="1"/>
  <c r="BX171" i="1"/>
  <c r="V32" i="1"/>
  <c r="AM31" i="1"/>
  <c r="BX260" i="1"/>
  <c r="AL171" i="1"/>
  <c r="AK47" i="1"/>
  <c r="AK148" i="1"/>
  <c r="AJ212" i="1"/>
  <c r="AL220" i="1"/>
  <c r="BJ171" i="1"/>
  <c r="CC100" i="1"/>
  <c r="CF104" i="1" s="1"/>
  <c r="AL200" i="1"/>
  <c r="AL143" i="1"/>
  <c r="AJ171" i="1"/>
  <c r="AJ179" i="1" s="1"/>
  <c r="AJ180" i="1" s="1"/>
  <c r="IL20" i="4"/>
  <c r="BF93" i="1" s="1"/>
  <c r="BF122" i="1" s="1"/>
  <c r="BJ260" i="1"/>
  <c r="BX103" i="1"/>
  <c r="BX121" i="1"/>
  <c r="CA122" i="1"/>
  <c r="CA118" i="1"/>
  <c r="CA110" i="1"/>
  <c r="CB121" i="1"/>
  <c r="CB124" i="1" s="1"/>
  <c r="CB127" i="1" s="1"/>
  <c r="CB100" i="1"/>
  <c r="CE104" i="1" s="1"/>
  <c r="CB117" i="1"/>
  <c r="CB109" i="1"/>
  <c r="BX143" i="1"/>
  <c r="R112" i="1"/>
  <c r="BZ121" i="1"/>
  <c r="BZ124" i="1" s="1"/>
  <c r="BX31" i="1"/>
  <c r="R30" i="1"/>
  <c r="R31" i="1" s="1"/>
  <c r="CA116" i="1"/>
  <c r="IZ19" i="4"/>
  <c r="BT92" i="1" s="1"/>
  <c r="BT121" i="1" s="1"/>
  <c r="BK263" i="1"/>
  <c r="BJ182" i="1"/>
  <c r="BJ123" i="1" s="1"/>
  <c r="BK220" i="1"/>
  <c r="BL220" i="1"/>
  <c r="BL263" i="1"/>
  <c r="HS20" i="4"/>
  <c r="AM93" i="1" s="1"/>
  <c r="BY216" i="1"/>
  <c r="AM239" i="1"/>
  <c r="J30" i="1"/>
  <c r="J31" i="1" s="1"/>
  <c r="J112" i="1"/>
  <c r="CC121" i="1"/>
  <c r="AM26" i="1"/>
  <c r="CC109" i="1"/>
  <c r="AL262" i="1"/>
  <c r="O30" i="1"/>
  <c r="O112" i="1"/>
  <c r="O25" i="1"/>
  <c r="O202" i="1"/>
  <c r="CB116" i="1"/>
  <c r="CB108" i="1"/>
  <c r="CB99" i="1"/>
  <c r="J202" i="1"/>
  <c r="JI20" i="4"/>
  <c r="CC93" i="1" s="1"/>
  <c r="AM148" i="1"/>
  <c r="AM152" i="1" s="1"/>
  <c r="AL152" i="1"/>
  <c r="AM47" i="1"/>
  <c r="BX42" i="1"/>
  <c r="BX43" i="1" s="1"/>
  <c r="AL106" i="1"/>
  <c r="F112" i="1"/>
  <c r="F30" i="1"/>
  <c r="F31" i="1" s="1"/>
  <c r="P112" i="1"/>
  <c r="P30" i="1"/>
  <c r="P202" i="1"/>
  <c r="P25" i="1"/>
  <c r="W32" i="1"/>
  <c r="R202" i="1"/>
  <c r="V42" i="1"/>
  <c r="W264" i="1" s="1"/>
  <c r="BK152" i="1"/>
  <c r="BL217" i="1" s="1"/>
  <c r="BL215" i="1" s="1"/>
  <c r="AL30" i="1"/>
  <c r="AL42" i="1" s="1"/>
  <c r="AM264" i="1" s="1"/>
  <c r="AL26" i="1"/>
  <c r="IA20" i="4"/>
  <c r="AU93" i="1" s="1"/>
  <c r="AU122" i="1" s="1"/>
  <c r="HS19" i="4"/>
  <c r="AM92" i="1" s="1"/>
  <c r="C32" i="1"/>
  <c r="B31" i="1"/>
  <c r="C264" i="1"/>
  <c r="C44" i="1"/>
  <c r="BX109" i="1"/>
  <c r="BX110" i="1"/>
  <c r="BX108" i="1"/>
  <c r="BJ110" i="1"/>
  <c r="AL125" i="1"/>
  <c r="AL124" i="1"/>
  <c r="W246" i="1"/>
  <c r="W247" i="1" s="1"/>
  <c r="W126" i="1"/>
  <c r="W43" i="1"/>
  <c r="X44" i="1"/>
  <c r="X264" i="1"/>
  <c r="W48" i="1"/>
  <c r="W52" i="1" s="1"/>
  <c r="S31" i="1"/>
  <c r="T32" i="1"/>
  <c r="L31" i="1"/>
  <c r="M32" i="1"/>
  <c r="D31" i="1"/>
  <c r="D42" i="1"/>
  <c r="D32" i="1"/>
  <c r="E32" i="1"/>
  <c r="E42" i="1"/>
  <c r="E43" i="1" s="1"/>
  <c r="E31" i="1"/>
  <c r="BX123" i="1"/>
  <c r="BY51" i="1"/>
  <c r="G32" i="1"/>
  <c r="G31" i="1"/>
  <c r="H32" i="1"/>
  <c r="K31" i="1"/>
  <c r="L32" i="1"/>
  <c r="AK42" i="1"/>
  <c r="AK33" i="1"/>
  <c r="AK31" i="1"/>
  <c r="M31" i="1"/>
  <c r="N32" i="1"/>
  <c r="I31" i="1"/>
  <c r="I32" i="1"/>
  <c r="AM51" i="1"/>
  <c r="BY152" i="1"/>
  <c r="BZ217" i="1" s="1"/>
  <c r="BZ215" i="1" s="1"/>
  <c r="BZ47" i="1"/>
  <c r="BX200" i="1"/>
  <c r="CB203" i="1" s="1"/>
  <c r="B43" i="1"/>
  <c r="B126" i="1"/>
  <c r="AM246" i="1"/>
  <c r="AM247" i="1" s="1"/>
  <c r="AM43" i="1"/>
  <c r="AM48" i="1"/>
  <c r="AM52" i="1" s="1"/>
  <c r="CN146" i="1"/>
  <c r="CN148" i="1" s="1"/>
  <c r="CO46" i="1" s="1"/>
  <c r="CT91" i="1"/>
  <c r="AB151" i="1"/>
  <c r="AD163" i="1"/>
  <c r="AE163" i="1"/>
  <c r="AD131" i="1"/>
  <c r="AE131" i="1"/>
  <c r="CQ79" i="1"/>
  <c r="CR77" i="1"/>
  <c r="AC177" i="1"/>
  <c r="BU1" i="1"/>
  <c r="Q41" i="1"/>
  <c r="P41" i="1"/>
  <c r="O41" i="1"/>
  <c r="I41" i="1"/>
  <c r="H41" i="1"/>
  <c r="G41" i="1"/>
  <c r="U41" i="1"/>
  <c r="T41" i="1"/>
  <c r="S41" i="1"/>
  <c r="R41" i="1"/>
  <c r="N41" i="1"/>
  <c r="M41" i="1"/>
  <c r="L41" i="1"/>
  <c r="K41" i="1"/>
  <c r="J41" i="1"/>
  <c r="F41" i="1"/>
  <c r="U32" i="1" l="1"/>
  <c r="T31" i="1"/>
  <c r="BY219" i="1"/>
  <c r="AL109" i="1"/>
  <c r="CA121" i="1"/>
  <c r="CA109" i="1"/>
  <c r="CA117" i="1"/>
  <c r="AM265" i="1"/>
  <c r="AJ55" i="1"/>
  <c r="AJ62" i="1" s="1"/>
  <c r="AJ54" i="1"/>
  <c r="BX179" i="1"/>
  <c r="V48" i="1"/>
  <c r="V52" i="1" s="1"/>
  <c r="F32" i="1"/>
  <c r="S32" i="1"/>
  <c r="BJ121" i="1"/>
  <c r="BJ124" i="1" s="1"/>
  <c r="BJ109" i="1"/>
  <c r="AK152" i="1"/>
  <c r="AK217" i="1" s="1"/>
  <c r="AK215" i="1" s="1"/>
  <c r="AL47" i="1"/>
  <c r="BX180" i="1"/>
  <c r="CA126" i="1"/>
  <c r="V126" i="1"/>
  <c r="AJ56" i="1"/>
  <c r="V43" i="1"/>
  <c r="K32" i="1"/>
  <c r="CB44" i="1"/>
  <c r="BX48" i="1"/>
  <c r="O31" i="1"/>
  <c r="P32" i="1"/>
  <c r="AL33" i="1"/>
  <c r="AM217" i="1"/>
  <c r="AM215" i="1" s="1"/>
  <c r="AL260" i="1"/>
  <c r="AL179" i="1"/>
  <c r="AL180" i="1" s="1"/>
  <c r="W44" i="1"/>
  <c r="O32" i="1"/>
  <c r="BJ125" i="1"/>
  <c r="P31" i="1"/>
  <c r="Q32" i="1"/>
  <c r="AM33" i="1"/>
  <c r="BY264" i="1"/>
  <c r="BY265" i="1" s="1"/>
  <c r="AJ248" i="1"/>
  <c r="J32" i="1"/>
  <c r="AL31" i="1"/>
  <c r="BY45" i="1"/>
  <c r="AL217" i="1"/>
  <c r="AL215" i="1" s="1"/>
  <c r="V246" i="1"/>
  <c r="V247" i="1" s="1"/>
  <c r="CC122" i="1"/>
  <c r="CC101" i="1"/>
  <c r="CC110" i="1"/>
  <c r="CC118" i="1"/>
  <c r="AM121" i="1"/>
  <c r="AM117" i="1"/>
  <c r="R32" i="1"/>
  <c r="BX246" i="1"/>
  <c r="BX247" i="1" s="1"/>
  <c r="AL110" i="1"/>
  <c r="AL108" i="1"/>
  <c r="AM122" i="1"/>
  <c r="AM118" i="1"/>
  <c r="BY217" i="1"/>
  <c r="BY215" i="1" s="1"/>
  <c r="D43" i="1"/>
  <c r="D44" i="1"/>
  <c r="D48" i="1"/>
  <c r="D52" i="1" s="1"/>
  <c r="D246" i="1"/>
  <c r="D247" i="1" s="1"/>
  <c r="D264" i="1"/>
  <c r="D126" i="1"/>
  <c r="E44" i="1"/>
  <c r="BX124" i="1"/>
  <c r="BX125" i="1"/>
  <c r="AM240" i="1"/>
  <c r="AK246" i="1"/>
  <c r="AK247" i="1" s="1"/>
  <c r="AM126" i="1"/>
  <c r="AL45" i="1"/>
  <c r="AK43" i="1"/>
  <c r="AK48" i="1"/>
  <c r="AK52" i="1" s="1"/>
  <c r="AK45" i="1"/>
  <c r="AM55" i="1"/>
  <c r="AM56" i="1" s="1"/>
  <c r="AM259" i="1" s="1"/>
  <c r="AM54" i="1"/>
  <c r="W55" i="1"/>
  <c r="W54" i="1"/>
  <c r="AM45" i="1"/>
  <c r="AL48" i="1"/>
  <c r="AL52" i="1" s="1"/>
  <c r="AL43" i="1"/>
  <c r="AL246" i="1"/>
  <c r="AL247" i="1" s="1"/>
  <c r="AL264" i="1"/>
  <c r="AL265" i="1" s="1"/>
  <c r="CO208" i="1"/>
  <c r="CO146" i="1"/>
  <c r="CN152" i="1"/>
  <c r="CN208" i="1"/>
  <c r="AC91" i="1"/>
  <c r="CU91" i="1"/>
  <c r="AD177" i="1"/>
  <c r="AE177" i="1"/>
  <c r="AD154" i="1"/>
  <c r="CR79" i="1"/>
  <c r="CS77" i="1"/>
  <c r="AC151" i="1"/>
  <c r="BV1" i="1"/>
  <c r="BW1" i="1" s="1"/>
  <c r="BX1" i="1" s="1"/>
  <c r="B246" i="1"/>
  <c r="B247" i="1" s="1"/>
  <c r="BL246" i="1"/>
  <c r="BL247" i="1" s="1"/>
  <c r="G42" i="1"/>
  <c r="O42" i="1"/>
  <c r="H42" i="1"/>
  <c r="P42" i="1"/>
  <c r="I42" i="1"/>
  <c r="Q42" i="1"/>
  <c r="J42" i="1"/>
  <c r="R42" i="1"/>
  <c r="K42" i="1"/>
  <c r="S42" i="1"/>
  <c r="L42" i="1"/>
  <c r="T42" i="1"/>
  <c r="M42" i="1"/>
  <c r="U42" i="1"/>
  <c r="F42" i="1"/>
  <c r="F264" i="1" s="1"/>
  <c r="N42" i="1"/>
  <c r="V54" i="1" l="1"/>
  <c r="V55" i="1"/>
  <c r="AJ207" i="1"/>
  <c r="AJ209" i="1" s="1"/>
  <c r="AJ213" i="1" s="1"/>
  <c r="AJ227" i="1" s="1"/>
  <c r="AJ221" i="1"/>
  <c r="AJ219" i="1" s="1"/>
  <c r="AJ66" i="1"/>
  <c r="AJ80" i="1"/>
  <c r="BX52" i="1"/>
  <c r="CA69" i="1"/>
  <c r="AL55" i="1"/>
  <c r="AL54" i="1"/>
  <c r="AM248" i="1"/>
  <c r="AK55" i="1"/>
  <c r="AK54" i="1"/>
  <c r="W248" i="1"/>
  <c r="W62" i="1"/>
  <c r="W66" i="1" s="1"/>
  <c r="W56" i="1"/>
  <c r="W259" i="1" s="1"/>
  <c r="X57" i="1"/>
  <c r="V56" i="1"/>
  <c r="V259" i="1" s="1"/>
  <c r="V62" i="1"/>
  <c r="W57" i="1"/>
  <c r="D55" i="1"/>
  <c r="D54" i="1"/>
  <c r="AJ224" i="1"/>
  <c r="AJ225" i="1" s="1"/>
  <c r="T264" i="1"/>
  <c r="P264" i="1"/>
  <c r="M264" i="1"/>
  <c r="R264" i="1"/>
  <c r="I264" i="1"/>
  <c r="K264" i="1"/>
  <c r="G264" i="1"/>
  <c r="H264" i="1"/>
  <c r="L264" i="1"/>
  <c r="S264" i="1"/>
  <c r="O264" i="1"/>
  <c r="J264" i="1"/>
  <c r="N264" i="1"/>
  <c r="U264" i="1"/>
  <c r="V264" i="1"/>
  <c r="Q264" i="1"/>
  <c r="R126" i="1"/>
  <c r="S44" i="1"/>
  <c r="T126" i="1"/>
  <c r="U44" i="1"/>
  <c r="U126" i="1"/>
  <c r="V44" i="1"/>
  <c r="P126" i="1"/>
  <c r="Q44" i="1"/>
  <c r="Q126" i="1"/>
  <c r="R44" i="1"/>
  <c r="I126" i="1"/>
  <c r="J44" i="1"/>
  <c r="S126" i="1"/>
  <c r="T44" i="1"/>
  <c r="H126" i="1"/>
  <c r="I44" i="1"/>
  <c r="E126" i="1"/>
  <c r="F44" i="1"/>
  <c r="L126" i="1"/>
  <c r="M44" i="1"/>
  <c r="O126" i="1"/>
  <c r="P44" i="1"/>
  <c r="N126" i="1"/>
  <c r="O44" i="1"/>
  <c r="K126" i="1"/>
  <c r="L44" i="1"/>
  <c r="F126" i="1"/>
  <c r="G44" i="1"/>
  <c r="G126" i="1"/>
  <c r="H44" i="1"/>
  <c r="M126" i="1"/>
  <c r="N44" i="1"/>
  <c r="J126" i="1"/>
  <c r="K44" i="1"/>
  <c r="CN217" i="1"/>
  <c r="CN215" i="1" s="1"/>
  <c r="CO148" i="1"/>
  <c r="CV91" i="1"/>
  <c r="AD216" i="1"/>
  <c r="AB156" i="1"/>
  <c r="AE151" i="1"/>
  <c r="AD151" i="1"/>
  <c r="CT77" i="1"/>
  <c r="CS79" i="1"/>
  <c r="C126" i="1"/>
  <c r="BY1" i="1"/>
  <c r="L43" i="1"/>
  <c r="N43" i="1"/>
  <c r="F43" i="1"/>
  <c r="O43" i="1"/>
  <c r="U48" i="1"/>
  <c r="U52" i="1" s="1"/>
  <c r="U43" i="1"/>
  <c r="G43" i="1"/>
  <c r="S43" i="1"/>
  <c r="M43" i="1"/>
  <c r="R43" i="1"/>
  <c r="J43" i="1"/>
  <c r="I43" i="1"/>
  <c r="P43" i="1"/>
  <c r="H43" i="1"/>
  <c r="K43" i="1"/>
  <c r="T43" i="1"/>
  <c r="Q43" i="1"/>
  <c r="T246" i="1"/>
  <c r="T247" i="1" s="1"/>
  <c r="Q246" i="1"/>
  <c r="Q247" i="1" s="1"/>
  <c r="K246" i="1"/>
  <c r="K247" i="1" s="1"/>
  <c r="O246" i="1"/>
  <c r="O247" i="1" s="1"/>
  <c r="U246" i="1"/>
  <c r="U247" i="1" s="1"/>
  <c r="L246" i="1"/>
  <c r="L247" i="1" s="1"/>
  <c r="C246" i="1"/>
  <c r="C247" i="1" s="1"/>
  <c r="I246" i="1"/>
  <c r="I247" i="1" s="1"/>
  <c r="G246" i="1"/>
  <c r="G247" i="1" s="1"/>
  <c r="R246" i="1"/>
  <c r="R247" i="1" s="1"/>
  <c r="P246" i="1"/>
  <c r="P247" i="1" s="1"/>
  <c r="F246" i="1"/>
  <c r="F247" i="1" s="1"/>
  <c r="M246" i="1"/>
  <c r="M247" i="1" s="1"/>
  <c r="N246" i="1"/>
  <c r="N247" i="1" s="1"/>
  <c r="E246" i="1"/>
  <c r="E247" i="1" s="1"/>
  <c r="S246" i="1"/>
  <c r="S247" i="1" s="1"/>
  <c r="J246" i="1"/>
  <c r="J247" i="1" s="1"/>
  <c r="H246" i="1"/>
  <c r="H247" i="1" s="1"/>
  <c r="B48" i="1"/>
  <c r="L48" i="1"/>
  <c r="Q48" i="1"/>
  <c r="T48" i="1"/>
  <c r="N48" i="1"/>
  <c r="S48" i="1"/>
  <c r="F48" i="1"/>
  <c r="K48" i="1"/>
  <c r="H48" i="1"/>
  <c r="I48" i="1"/>
  <c r="P48" i="1"/>
  <c r="C48" i="1"/>
  <c r="O48" i="1"/>
  <c r="R48" i="1"/>
  <c r="M48" i="1"/>
  <c r="G48" i="1"/>
  <c r="E48" i="1"/>
  <c r="J48" i="1"/>
  <c r="BX54" i="1" l="1"/>
  <c r="BX55" i="1"/>
  <c r="AL58" i="1"/>
  <c r="AM241" i="1"/>
  <c r="AK56" i="1"/>
  <c r="AK58" i="1"/>
  <c r="AK248" i="1"/>
  <c r="AK62" i="1"/>
  <c r="D62" i="1"/>
  <c r="D248" i="1"/>
  <c r="D56" i="1"/>
  <c r="AL248" i="1"/>
  <c r="AM58" i="1"/>
  <c r="AL62" i="1"/>
  <c r="AL56" i="1"/>
  <c r="AL259" i="1" s="1"/>
  <c r="BK178" i="1"/>
  <c r="BM178" i="1"/>
  <c r="CO152" i="1"/>
  <c r="CP46" i="1"/>
  <c r="CW91" i="1"/>
  <c r="AE154" i="1"/>
  <c r="AE216" i="1" s="1"/>
  <c r="CT79" i="1"/>
  <c r="CU77" i="1"/>
  <c r="BZ1" i="1"/>
  <c r="U55" i="1"/>
  <c r="V57" i="1" s="1"/>
  <c r="U54" i="1"/>
  <c r="P52" i="1"/>
  <c r="P55" i="1" s="1"/>
  <c r="R52" i="1"/>
  <c r="R55" i="1" s="1"/>
  <c r="E52" i="1"/>
  <c r="S52" i="1"/>
  <c r="S54" i="1" s="1"/>
  <c r="G52" i="1"/>
  <c r="G55" i="1" s="1"/>
  <c r="K52" i="1"/>
  <c r="K55" i="1" s="1"/>
  <c r="B52" i="1"/>
  <c r="O52" i="1"/>
  <c r="O55" i="1" s="1"/>
  <c r="H52" i="1"/>
  <c r="H55" i="1" s="1"/>
  <c r="N52" i="1"/>
  <c r="N55" i="1" s="1"/>
  <c r="L52" i="1"/>
  <c r="L54" i="1" s="1"/>
  <c r="C52" i="1"/>
  <c r="M52" i="1"/>
  <c r="M54" i="1" s="1"/>
  <c r="T52" i="1"/>
  <c r="T55" i="1" s="1"/>
  <c r="F52" i="1"/>
  <c r="F54" i="1" s="1"/>
  <c r="J52" i="1"/>
  <c r="J54" i="1" s="1"/>
  <c r="I52" i="1"/>
  <c r="I54" i="1" s="1"/>
  <c r="Q52" i="1"/>
  <c r="Q55" i="1" s="1"/>
  <c r="V248" i="1"/>
  <c r="CB57" i="1" l="1"/>
  <c r="BX248" i="1"/>
  <c r="BX62" i="1"/>
  <c r="BY58" i="1"/>
  <c r="BX56" i="1"/>
  <c r="BX259" i="1" s="1"/>
  <c r="D207" i="1"/>
  <c r="D209" i="1" s="1"/>
  <c r="D66" i="1"/>
  <c r="AL207" i="1"/>
  <c r="AL209" i="1" s="1"/>
  <c r="AL80" i="1"/>
  <c r="AL66" i="1"/>
  <c r="AK133" i="1"/>
  <c r="AK134" i="1" s="1"/>
  <c r="AL221" i="1" s="1"/>
  <c r="AL219" i="1" s="1"/>
  <c r="AK207" i="1"/>
  <c r="AK209" i="1" s="1"/>
  <c r="AK80" i="1"/>
  <c r="AK66" i="1"/>
  <c r="R57" i="1"/>
  <c r="U57" i="1"/>
  <c r="O57" i="1"/>
  <c r="AB46" i="1"/>
  <c r="B55" i="1"/>
  <c r="B54" i="1"/>
  <c r="C55" i="1"/>
  <c r="C54" i="1"/>
  <c r="E55" i="1"/>
  <c r="E62" i="1" s="1"/>
  <c r="E54" i="1"/>
  <c r="P57" i="1"/>
  <c r="H57" i="1"/>
  <c r="Q57" i="1"/>
  <c r="BJ179" i="1"/>
  <c r="BJ180" i="1" s="1"/>
  <c r="BL179" i="1"/>
  <c r="BL180" i="1" s="1"/>
  <c r="CP208" i="1"/>
  <c r="CP146" i="1"/>
  <c r="CO217" i="1"/>
  <c r="CO215" i="1" s="1"/>
  <c r="CX91" i="1"/>
  <c r="CV77" i="1"/>
  <c r="CU79" i="1"/>
  <c r="CA1" i="1"/>
  <c r="CB1" i="1" s="1"/>
  <c r="O54" i="1"/>
  <c r="BL248" i="1"/>
  <c r="S55" i="1"/>
  <c r="U56" i="1"/>
  <c r="U259" i="1" s="1"/>
  <c r="P56" i="1"/>
  <c r="P259" i="1" s="1"/>
  <c r="Q62" i="1"/>
  <c r="Q56" i="1"/>
  <c r="Q259" i="1" s="1"/>
  <c r="L55" i="1"/>
  <c r="P54" i="1"/>
  <c r="H56" i="1"/>
  <c r="H259" i="1" s="1"/>
  <c r="G56" i="1"/>
  <c r="G259" i="1" s="1"/>
  <c r="U62" i="1"/>
  <c r="N56" i="1"/>
  <c r="N259" i="1" s="1"/>
  <c r="R56" i="1"/>
  <c r="R259" i="1" s="1"/>
  <c r="K56" i="1"/>
  <c r="K259" i="1" s="1"/>
  <c r="O62" i="1"/>
  <c r="O56" i="1"/>
  <c r="O259" i="1" s="1"/>
  <c r="T62" i="1"/>
  <c r="T56" i="1"/>
  <c r="T259" i="1" s="1"/>
  <c r="R54" i="1"/>
  <c r="K54" i="1"/>
  <c r="N54" i="1"/>
  <c r="G54" i="1"/>
  <c r="H54" i="1"/>
  <c r="J55" i="1"/>
  <c r="K57" i="1" s="1"/>
  <c r="M55" i="1"/>
  <c r="N57" i="1" s="1"/>
  <c r="T54" i="1"/>
  <c r="F55" i="1"/>
  <c r="G57" i="1" s="1"/>
  <c r="I55" i="1"/>
  <c r="I57" i="1" s="1"/>
  <c r="O248" i="1"/>
  <c r="Q54" i="1"/>
  <c r="P248" i="1"/>
  <c r="P62" i="1"/>
  <c r="K248" i="1"/>
  <c r="K62" i="1"/>
  <c r="H248" i="1"/>
  <c r="H62" i="1"/>
  <c r="R62" i="1"/>
  <c r="N62" i="1"/>
  <c r="G62" i="1"/>
  <c r="G248" i="1"/>
  <c r="R248" i="1"/>
  <c r="N248" i="1"/>
  <c r="Q248" i="1"/>
  <c r="U248" i="1"/>
  <c r="T248" i="1"/>
  <c r="V66" i="1"/>
  <c r="V207" i="1"/>
  <c r="V209" i="1" s="1"/>
  <c r="CA68" i="1" l="1"/>
  <c r="BX80" i="1"/>
  <c r="CA83" i="1" s="1"/>
  <c r="BX207" i="1"/>
  <c r="BX209" i="1" s="1"/>
  <c r="BX66" i="1"/>
  <c r="AK143" i="1"/>
  <c r="AK221" i="1"/>
  <c r="AK219" i="1" s="1"/>
  <c r="E248" i="1"/>
  <c r="AB208" i="1"/>
  <c r="E56" i="1"/>
  <c r="E259" i="1" s="1"/>
  <c r="E57" i="1"/>
  <c r="D57" i="1"/>
  <c r="C56" i="1"/>
  <c r="B56" i="1"/>
  <c r="C57" i="1"/>
  <c r="F57" i="1"/>
  <c r="M57" i="1"/>
  <c r="S56" i="1"/>
  <c r="S259" i="1" s="1"/>
  <c r="T57" i="1"/>
  <c r="L57" i="1"/>
  <c r="J57" i="1"/>
  <c r="S57" i="1"/>
  <c r="AB146" i="1"/>
  <c r="AB148" i="1" s="1"/>
  <c r="AB47" i="1" s="1"/>
  <c r="CP148" i="1"/>
  <c r="AD91" i="1"/>
  <c r="CY91" i="1"/>
  <c r="CV79" i="1"/>
  <c r="CW77" i="1"/>
  <c r="CC1" i="1"/>
  <c r="K66" i="1"/>
  <c r="G66" i="1"/>
  <c r="E66" i="1"/>
  <c r="S62" i="1"/>
  <c r="S248" i="1"/>
  <c r="L248" i="1"/>
  <c r="L62" i="1"/>
  <c r="O207" i="1"/>
  <c r="O209" i="1" s="1"/>
  <c r="O66" i="1"/>
  <c r="B248" i="1"/>
  <c r="B62" i="1"/>
  <c r="M62" i="1"/>
  <c r="M56" i="1"/>
  <c r="M259" i="1" s="1"/>
  <c r="C248" i="1"/>
  <c r="I62" i="1"/>
  <c r="I56" i="1"/>
  <c r="I259" i="1" s="1"/>
  <c r="J62" i="1"/>
  <c r="J56" i="1"/>
  <c r="J259" i="1" s="1"/>
  <c r="F62" i="1"/>
  <c r="F56" i="1"/>
  <c r="F259" i="1" s="1"/>
  <c r="L56" i="1"/>
  <c r="L259" i="1" s="1"/>
  <c r="J248" i="1"/>
  <c r="E207" i="1"/>
  <c r="E209" i="1" s="1"/>
  <c r="R207" i="1"/>
  <c r="R209" i="1" s="1"/>
  <c r="M248" i="1"/>
  <c r="R66" i="1"/>
  <c r="I248" i="1"/>
  <c r="H66" i="1"/>
  <c r="H207" i="1"/>
  <c r="H209" i="1" s="1"/>
  <c r="F248" i="1"/>
  <c r="C62" i="1"/>
  <c r="N207" i="1"/>
  <c r="N209" i="1" s="1"/>
  <c r="N66" i="1"/>
  <c r="G207" i="1"/>
  <c r="G209" i="1" s="1"/>
  <c r="P66" i="1"/>
  <c r="K207" i="1"/>
  <c r="K209" i="1" s="1"/>
  <c r="P207" i="1"/>
  <c r="P209" i="1" s="1"/>
  <c r="U66" i="1"/>
  <c r="U207" i="1"/>
  <c r="U209" i="1" s="1"/>
  <c r="Q66" i="1"/>
  <c r="Q207" i="1"/>
  <c r="Q209" i="1" s="1"/>
  <c r="T66" i="1"/>
  <c r="T207" i="1"/>
  <c r="T209" i="1" s="1"/>
  <c r="CA100" i="1" l="1"/>
  <c r="CD104" i="1" s="1"/>
  <c r="CE84" i="1"/>
  <c r="CA101" i="1"/>
  <c r="BW103" i="1"/>
  <c r="CA99" i="1"/>
  <c r="CP152" i="1"/>
  <c r="CP217" i="1" s="1"/>
  <c r="CP215" i="1" s="1"/>
  <c r="CQ46" i="1"/>
  <c r="CZ91" i="1"/>
  <c r="AC156" i="1"/>
  <c r="CX77" i="1"/>
  <c r="CW79" i="1"/>
  <c r="CD1" i="1"/>
  <c r="CE1" i="1" s="1"/>
  <c r="CF1" i="1" s="1"/>
  <c r="CG1" i="1" s="1"/>
  <c r="CH1" i="1" s="1"/>
  <c r="CI1" i="1" s="1"/>
  <c r="CJ1" i="1" s="1"/>
  <c r="CK1" i="1" s="1"/>
  <c r="L207" i="1"/>
  <c r="L209" i="1" s="1"/>
  <c r="J207" i="1"/>
  <c r="J209" i="1" s="1"/>
  <c r="M207" i="1"/>
  <c r="M209" i="1" s="1"/>
  <c r="B66" i="1"/>
  <c r="F66" i="1"/>
  <c r="I66" i="1"/>
  <c r="C66" i="1"/>
  <c r="L66" i="1"/>
  <c r="S66" i="1"/>
  <c r="J66" i="1"/>
  <c r="S207" i="1"/>
  <c r="S209" i="1" s="1"/>
  <c r="M66" i="1"/>
  <c r="I207" i="1"/>
  <c r="I209" i="1" s="1"/>
  <c r="F207" i="1"/>
  <c r="F209" i="1" s="1"/>
  <c r="C207" i="1"/>
  <c r="C209" i="1" s="1"/>
  <c r="P44" i="2"/>
  <c r="D47" i="3"/>
  <c r="AP95" i="3"/>
  <c r="X40" i="2"/>
  <c r="U33" i="3"/>
  <c r="I111" i="2"/>
  <c r="T5" i="3"/>
  <c r="AP81" i="3"/>
  <c r="F79" i="2"/>
  <c r="L25" i="3"/>
  <c r="V20" i="3"/>
  <c r="M111" i="2"/>
  <c r="Q84" i="2"/>
  <c r="V33" i="3"/>
  <c r="S76" i="2"/>
  <c r="V5" i="3"/>
  <c r="R29" i="3"/>
  <c r="V96" i="2"/>
  <c r="O18" i="3"/>
  <c r="AP23" i="3"/>
  <c r="S80" i="2"/>
  <c r="O62" i="2"/>
  <c r="U76" i="2"/>
  <c r="AO24" i="3"/>
  <c r="R47" i="2"/>
  <c r="Y15" i="3"/>
  <c r="T8" i="3"/>
  <c r="O76" i="2"/>
  <c r="AH7" i="3"/>
  <c r="U31" i="3"/>
  <c r="V60" i="2"/>
  <c r="Q65" i="2"/>
  <c r="AQ36" i="3"/>
  <c r="P40" i="2"/>
  <c r="T37" i="3"/>
  <c r="V83" i="2"/>
  <c r="S60" i="2"/>
  <c r="R28" i="3"/>
  <c r="K70" i="2"/>
  <c r="W38" i="3"/>
  <c r="G47" i="3"/>
  <c r="R80" i="2"/>
  <c r="H45" i="2"/>
  <c r="H52" i="2"/>
  <c r="U50" i="2"/>
  <c r="N82" i="2"/>
  <c r="C94" i="2"/>
  <c r="H110" i="2"/>
  <c r="C27" i="3"/>
  <c r="X109" i="2"/>
  <c r="V21" i="3"/>
  <c r="G84" i="2"/>
  <c r="U27" i="3"/>
  <c r="M6" i="3"/>
  <c r="O54" i="2"/>
  <c r="Y41" i="3"/>
  <c r="N12" i="3"/>
  <c r="E113" i="2"/>
  <c r="L78" i="2"/>
  <c r="T88" i="2"/>
  <c r="AL35" i="3"/>
  <c r="E40" i="2"/>
  <c r="I59" i="2"/>
  <c r="W81" i="2"/>
  <c r="T53" i="2"/>
  <c r="I89" i="2"/>
  <c r="Q21" i="3"/>
  <c r="AJ33" i="3"/>
  <c r="H6" i="3"/>
  <c r="O10" i="3"/>
  <c r="G92" i="2"/>
  <c r="U13" i="3"/>
  <c r="R30" i="3"/>
  <c r="M66" i="2"/>
  <c r="F45" i="2"/>
  <c r="O88" i="2"/>
  <c r="R48" i="2"/>
  <c r="V77" i="2"/>
  <c r="J22" i="3"/>
  <c r="K112" i="2"/>
  <c r="E65" i="2"/>
  <c r="M96" i="2"/>
  <c r="U52" i="2"/>
  <c r="V26" i="3"/>
  <c r="AQ24" i="3"/>
  <c r="AK27" i="3"/>
  <c r="AB21" i="3"/>
  <c r="E78" i="2"/>
  <c r="P34" i="3"/>
  <c r="AE16" i="3"/>
  <c r="M42" i="3"/>
  <c r="S56" i="2"/>
  <c r="J47" i="2"/>
  <c r="X42" i="3"/>
  <c r="Q77" i="2"/>
  <c r="AA6" i="3"/>
  <c r="J75" i="2"/>
  <c r="AB63" i="3"/>
  <c r="D50" i="2"/>
  <c r="Y19" i="3"/>
  <c r="I41" i="3"/>
  <c r="AP37" i="3"/>
  <c r="AP61" i="3"/>
  <c r="I93" i="2"/>
  <c r="L66" i="2"/>
  <c r="V113" i="2"/>
  <c r="O65" i="2"/>
  <c r="X99" i="2"/>
  <c r="F105" i="2"/>
  <c r="N64" i="2"/>
  <c r="L64" i="2"/>
  <c r="E48" i="3"/>
  <c r="AJ40" i="3"/>
  <c r="J76" i="2"/>
  <c r="U108" i="2"/>
  <c r="E75" i="2"/>
  <c r="I8" i="3"/>
  <c r="AK22" i="3"/>
  <c r="H76" i="2"/>
  <c r="T60" i="2"/>
  <c r="V82" i="2"/>
  <c r="V7" i="3"/>
  <c r="Z11" i="3"/>
  <c r="X30" i="3"/>
  <c r="F98" i="2"/>
  <c r="H98" i="2"/>
  <c r="J110" i="2"/>
  <c r="E43" i="2"/>
  <c r="P104" i="2"/>
  <c r="M71" i="2"/>
  <c r="AG10" i="3"/>
  <c r="R21" i="3"/>
  <c r="L15" i="3"/>
  <c r="Q87" i="2"/>
  <c r="AI28" i="3"/>
  <c r="AP9" i="3"/>
  <c r="N88" i="2"/>
  <c r="AE34" i="3"/>
  <c r="G36" i="3"/>
  <c r="L50" i="2"/>
  <c r="T49" i="2"/>
  <c r="J99" i="2"/>
  <c r="W84" i="2"/>
  <c r="V87" i="2"/>
  <c r="X71" i="2"/>
  <c r="AB60" i="3"/>
  <c r="J8" i="3"/>
  <c r="AI30" i="3"/>
  <c r="L74" i="2"/>
  <c r="AJ5" i="3"/>
  <c r="K71" i="2"/>
  <c r="T39" i="3"/>
  <c r="S92" i="2"/>
  <c r="W40" i="3"/>
  <c r="R83" i="2"/>
  <c r="AO29" i="3"/>
  <c r="AE9" i="3"/>
  <c r="AG42" i="3"/>
  <c r="P40" i="3"/>
  <c r="Z28" i="3"/>
  <c r="AB85" i="3"/>
  <c r="I20" i="3"/>
  <c r="R19" i="3"/>
  <c r="X25" i="3"/>
  <c r="O112" i="2"/>
  <c r="U8" i="3"/>
  <c r="U84" i="2"/>
  <c r="AO16" i="3"/>
  <c r="T27" i="3"/>
  <c r="D61" i="2"/>
  <c r="O16" i="3"/>
  <c r="E59" i="2"/>
  <c r="AK19" i="3"/>
  <c r="I23" i="3"/>
  <c r="T85" i="2"/>
  <c r="AE28" i="3"/>
  <c r="P57" i="2"/>
  <c r="R8" i="3"/>
  <c r="AK37" i="3"/>
  <c r="E87" i="2"/>
  <c r="T105" i="2"/>
  <c r="Q88" i="2"/>
  <c r="AP64" i="3"/>
  <c r="L70" i="2"/>
  <c r="AG23" i="3"/>
  <c r="C68" i="2"/>
  <c r="V42" i="2"/>
  <c r="X7" i="3"/>
  <c r="P71" i="2"/>
  <c r="AQ12" i="3"/>
  <c r="Y16" i="3"/>
  <c r="J50" i="2"/>
  <c r="H34" i="3"/>
  <c r="R92" i="2"/>
  <c r="AB24" i="3"/>
  <c r="D64" i="2"/>
  <c r="F55" i="2"/>
  <c r="I9" i="3"/>
  <c r="N107" i="2"/>
  <c r="T26" i="3"/>
  <c r="P21" i="3"/>
  <c r="V75" i="2"/>
  <c r="L92" i="2"/>
  <c r="Q5" i="3"/>
  <c r="V84" i="2"/>
  <c r="AJ19" i="3"/>
  <c r="C21" i="3"/>
  <c r="U71" i="2"/>
  <c r="K24" i="3"/>
  <c r="D46" i="2"/>
  <c r="M48" i="2"/>
  <c r="K16" i="3"/>
  <c r="E80" i="2"/>
  <c r="AB82" i="3"/>
  <c r="C80" i="2"/>
  <c r="V104" i="2"/>
  <c r="C57" i="2"/>
  <c r="P67" i="2"/>
  <c r="W87" i="2"/>
  <c r="T78" i="2"/>
  <c r="AH30" i="3"/>
  <c r="Z27" i="3"/>
  <c r="X69" i="2"/>
  <c r="W63" i="2"/>
  <c r="Q14" i="3"/>
  <c r="F111" i="2"/>
  <c r="O37" i="3"/>
  <c r="L29" i="3"/>
  <c r="K31" i="3"/>
  <c r="H38" i="3"/>
  <c r="D63" i="2"/>
  <c r="AP89" i="3"/>
  <c r="G79" i="2"/>
  <c r="M107" i="2"/>
  <c r="F90" i="2"/>
  <c r="P81" i="2"/>
  <c r="D111" i="2"/>
  <c r="S51" i="2"/>
  <c r="X40" i="3"/>
  <c r="AB87" i="3"/>
  <c r="Y42" i="3"/>
  <c r="M99" i="2"/>
  <c r="Z41" i="3"/>
  <c r="AC23" i="3"/>
  <c r="G99" i="2"/>
  <c r="W8" i="3"/>
  <c r="X41" i="3"/>
  <c r="S54" i="2"/>
  <c r="AB81" i="3"/>
  <c r="N20" i="3"/>
  <c r="G52" i="2"/>
  <c r="W94" i="2"/>
  <c r="F94" i="2"/>
  <c r="M87" i="2"/>
  <c r="G43" i="2"/>
  <c r="AG41" i="3"/>
  <c r="P16" i="3"/>
  <c r="AB17" i="3"/>
  <c r="AE13" i="3"/>
  <c r="M20" i="3"/>
  <c r="AL41" i="3"/>
  <c r="AB31" i="3"/>
  <c r="AP96" i="3"/>
  <c r="AM41" i="3"/>
  <c r="Z18" i="3"/>
  <c r="Q93" i="2"/>
  <c r="AM13" i="3"/>
  <c r="T68" i="2"/>
  <c r="V29" i="3"/>
  <c r="N99" i="2"/>
  <c r="K99" i="2"/>
  <c r="F41" i="2"/>
  <c r="Z9" i="3"/>
  <c r="AI11" i="3"/>
  <c r="AP47" i="3"/>
  <c r="R59" i="2"/>
  <c r="I99" i="2"/>
  <c r="O47" i="2"/>
  <c r="E107" i="2"/>
  <c r="I113" i="2"/>
  <c r="AB62" i="3"/>
  <c r="I58" i="2"/>
  <c r="D99" i="2"/>
  <c r="I95" i="2"/>
  <c r="V81" i="2"/>
  <c r="V23" i="3"/>
  <c r="K62" i="2"/>
  <c r="U104" i="2"/>
  <c r="H7" i="3"/>
  <c r="O23" i="3"/>
  <c r="X74" i="2"/>
  <c r="R65" i="2"/>
  <c r="AD25" i="3"/>
  <c r="Y21" i="3"/>
  <c r="Z35" i="3"/>
  <c r="F67" i="2"/>
  <c r="Q80" i="2"/>
  <c r="Q64" i="2"/>
  <c r="W49" i="2"/>
  <c r="X49" i="2"/>
  <c r="O98" i="2"/>
  <c r="G66" i="2"/>
  <c r="L38" i="3"/>
  <c r="AD22" i="3"/>
  <c r="L44" i="2"/>
  <c r="AC10" i="3"/>
  <c r="AL21" i="3"/>
  <c r="F46" i="2"/>
  <c r="K41" i="2"/>
  <c r="R16" i="3"/>
  <c r="AM14" i="3"/>
  <c r="AB91" i="3"/>
  <c r="V112" i="2"/>
  <c r="H94" i="2"/>
  <c r="P112" i="2"/>
  <c r="D65" i="2"/>
  <c r="O42" i="3"/>
  <c r="W23" i="3"/>
  <c r="W10" i="3"/>
  <c r="T41" i="3"/>
  <c r="E109" i="2"/>
  <c r="C23" i="3"/>
  <c r="D75" i="2"/>
  <c r="D60" i="2"/>
  <c r="AB42" i="3"/>
  <c r="G62" i="2"/>
  <c r="D90" i="2"/>
  <c r="W39" i="3"/>
  <c r="M30" i="3"/>
  <c r="W30" i="3"/>
  <c r="P98" i="2"/>
  <c r="AI34" i="3"/>
  <c r="AJ7" i="3"/>
  <c r="W78" i="2"/>
  <c r="AC5" i="3"/>
  <c r="T73" i="2"/>
  <c r="L35" i="3"/>
  <c r="M79" i="2"/>
  <c r="J62" i="2"/>
  <c r="L59" i="2"/>
  <c r="G61" i="2"/>
  <c r="Q68" i="2"/>
  <c r="AL14" i="3"/>
  <c r="U59" i="2"/>
  <c r="V71" i="2"/>
  <c r="AE41" i="3"/>
  <c r="M113" i="2"/>
  <c r="Q32" i="3"/>
  <c r="W66" i="2"/>
  <c r="K85" i="2"/>
  <c r="P8" i="3"/>
  <c r="J9" i="3"/>
  <c r="L99" i="2"/>
  <c r="J27" i="3"/>
  <c r="AL16" i="3"/>
  <c r="O7" i="3"/>
  <c r="S83" i="2"/>
  <c r="AB19" i="3"/>
  <c r="L111" i="2"/>
  <c r="AL25" i="3"/>
  <c r="T97" i="2"/>
  <c r="U46" i="2"/>
  <c r="U30" i="3"/>
  <c r="O22" i="3"/>
  <c r="AP24" i="3"/>
  <c r="J33" i="3"/>
  <c r="S97" i="2"/>
  <c r="M26" i="3"/>
  <c r="O81" i="2"/>
  <c r="AB54" i="3"/>
  <c r="I112" i="2"/>
  <c r="AP70" i="3"/>
  <c r="H111" i="2"/>
  <c r="C12" i="3"/>
  <c r="W42" i="3"/>
  <c r="AP33" i="3"/>
  <c r="L67" i="2"/>
  <c r="N11" i="3"/>
  <c r="AB95" i="3"/>
  <c r="P33" i="3"/>
  <c r="J40" i="2"/>
  <c r="AE8" i="3"/>
  <c r="AO33" i="3"/>
  <c r="X29" i="3"/>
  <c r="S9" i="3"/>
  <c r="AK24" i="3"/>
  <c r="N40" i="2"/>
  <c r="AE31" i="3"/>
  <c r="Q49" i="2"/>
  <c r="R6" i="3"/>
  <c r="U86" i="2"/>
  <c r="W89" i="2"/>
  <c r="U29" i="3"/>
  <c r="L86" i="2"/>
  <c r="AQ27" i="3"/>
  <c r="AH40" i="3"/>
  <c r="K68" i="2"/>
  <c r="AA42" i="3"/>
  <c r="S27" i="3"/>
  <c r="X73" i="2"/>
  <c r="C74" i="2"/>
  <c r="I78" i="2"/>
  <c r="P88" i="2"/>
  <c r="T22" i="3"/>
  <c r="N91" i="2"/>
  <c r="L23" i="3"/>
  <c r="T24" i="3"/>
  <c r="T12" i="3"/>
  <c r="L56" i="2"/>
  <c r="D98" i="2"/>
  <c r="J73" i="2"/>
  <c r="D53" i="2"/>
  <c r="AP62" i="3"/>
  <c r="AB9" i="3"/>
  <c r="AK25" i="3"/>
  <c r="AG26" i="3"/>
  <c r="W68" i="2"/>
  <c r="O20" i="3"/>
  <c r="G83" i="2"/>
  <c r="O74" i="2"/>
  <c r="L106" i="2"/>
  <c r="F73" i="2"/>
  <c r="N5" i="3"/>
  <c r="Q48" i="2"/>
  <c r="AH26" i="3"/>
  <c r="W112" i="2"/>
  <c r="G40" i="2"/>
  <c r="AQ8" i="3"/>
  <c r="I22" i="3"/>
  <c r="AA14" i="3"/>
  <c r="K56" i="2"/>
  <c r="H28" i="3"/>
  <c r="F74" i="2"/>
  <c r="Z36" i="3"/>
  <c r="D73" i="2"/>
  <c r="O73" i="2"/>
  <c r="AJ16" i="3"/>
  <c r="W47" i="2"/>
  <c r="AL8" i="3"/>
  <c r="AC31" i="3"/>
  <c r="G41" i="2"/>
  <c r="AA34" i="3"/>
  <c r="S81" i="2"/>
  <c r="AJ32" i="3"/>
  <c r="D43" i="2"/>
  <c r="G90" i="2"/>
  <c r="AG15" i="3"/>
  <c r="C98" i="2"/>
  <c r="AK13" i="3"/>
  <c r="V32" i="3"/>
  <c r="G48" i="2"/>
  <c r="L91" i="2"/>
  <c r="AB33" i="3"/>
  <c r="D77" i="2"/>
  <c r="Q113" i="2"/>
  <c r="Q27" i="3"/>
  <c r="M44" i="2"/>
  <c r="J23" i="3"/>
  <c r="G63" i="2"/>
  <c r="W98" i="2"/>
  <c r="AE42" i="3"/>
  <c r="J81" i="2"/>
  <c r="G37" i="3"/>
  <c r="E42" i="2"/>
  <c r="V91" i="2"/>
  <c r="N86" i="2"/>
  <c r="W99" i="2"/>
  <c r="T87" i="2"/>
  <c r="L41" i="2"/>
  <c r="X65" i="2"/>
  <c r="AK18" i="3"/>
  <c r="X105" i="2"/>
  <c r="Z15" i="3"/>
  <c r="K34" i="3"/>
  <c r="C45" i="2"/>
  <c r="F56" i="2"/>
  <c r="U57" i="2"/>
  <c r="AJ38" i="3"/>
  <c r="M9" i="3"/>
  <c r="R71" i="2"/>
  <c r="K105" i="2"/>
  <c r="AN8" i="3"/>
  <c r="J88" i="2"/>
  <c r="J85" i="2"/>
  <c r="L53" i="2"/>
  <c r="W113" i="2"/>
  <c r="F49" i="2"/>
  <c r="C46" i="2"/>
  <c r="K25" i="3"/>
  <c r="Q18" i="3"/>
  <c r="E71" i="2"/>
  <c r="U75" i="2"/>
  <c r="AO18" i="3"/>
  <c r="P111" i="2"/>
  <c r="AQ18" i="3"/>
  <c r="AH14" i="3"/>
  <c r="AJ27" i="3"/>
  <c r="K40" i="3"/>
  <c r="T95" i="2"/>
  <c r="O11" i="3"/>
  <c r="W51" i="2"/>
  <c r="O85" i="2"/>
  <c r="Q97" i="2"/>
  <c r="H113" i="2"/>
  <c r="AE22" i="3"/>
  <c r="Y23" i="3"/>
  <c r="I40" i="2"/>
  <c r="AM42" i="3"/>
  <c r="AG6" i="3"/>
  <c r="J43" i="2"/>
  <c r="AG40" i="3"/>
  <c r="P41" i="3"/>
  <c r="L37" i="3"/>
  <c r="X34" i="3"/>
  <c r="J44" i="2"/>
  <c r="E46" i="2"/>
  <c r="V56" i="2"/>
  <c r="X8" i="3"/>
  <c r="X45" i="2"/>
  <c r="W52" i="2"/>
  <c r="N98" i="2"/>
  <c r="AE6" i="3"/>
  <c r="AN27" i="3"/>
  <c r="E47" i="3"/>
  <c r="AP54" i="3"/>
  <c r="K92" i="2"/>
  <c r="L33" i="3"/>
  <c r="G78" i="2"/>
  <c r="H87" i="2"/>
  <c r="AL36" i="3"/>
  <c r="Y22" i="3"/>
  <c r="I85" i="2"/>
  <c r="O50" i="2"/>
  <c r="P77" i="2"/>
  <c r="K78" i="2"/>
  <c r="O83" i="2"/>
  <c r="G73" i="2"/>
  <c r="Q12" i="3"/>
  <c r="W34" i="3"/>
  <c r="AA12" i="3"/>
  <c r="AP74" i="3"/>
  <c r="AH20" i="3"/>
  <c r="W48" i="2"/>
  <c r="S14" i="3"/>
  <c r="W28" i="3"/>
  <c r="L61" i="2"/>
  <c r="M90" i="2"/>
  <c r="N74" i="2"/>
  <c r="K80" i="2"/>
  <c r="K42" i="2"/>
  <c r="R106" i="2"/>
  <c r="E90" i="2"/>
  <c r="AK15" i="3"/>
  <c r="J68" i="2"/>
  <c r="X113" i="2"/>
  <c r="S29" i="3"/>
  <c r="W56" i="2"/>
  <c r="S25" i="3"/>
  <c r="I35" i="3"/>
  <c r="X51" i="2"/>
  <c r="AH42" i="3"/>
  <c r="C44" i="2"/>
  <c r="Q41" i="2"/>
  <c r="T104" i="2"/>
  <c r="S73" i="2"/>
  <c r="AI39" i="3"/>
  <c r="S57" i="2"/>
  <c r="U99" i="2"/>
  <c r="AP35" i="3"/>
  <c r="U92" i="2"/>
  <c r="U28" i="3"/>
  <c r="M25" i="3"/>
  <c r="J37" i="3"/>
  <c r="H30" i="3"/>
  <c r="AO10" i="3"/>
  <c r="W22" i="3"/>
  <c r="I83" i="2"/>
  <c r="AM15" i="3"/>
  <c r="L75" i="2"/>
  <c r="C28" i="3"/>
  <c r="Z42" i="3"/>
  <c r="Q28" i="3"/>
  <c r="K49" i="2"/>
  <c r="O68" i="2"/>
  <c r="AQ29" i="3"/>
  <c r="R43" i="2"/>
  <c r="K33" i="3"/>
  <c r="P97" i="2"/>
  <c r="G104" i="2"/>
  <c r="O99" i="2"/>
  <c r="V53" i="2"/>
  <c r="AE18" i="3"/>
  <c r="L81" i="2"/>
  <c r="O91" i="2"/>
  <c r="S19" i="3"/>
  <c r="C106" i="2"/>
  <c r="M81" i="2"/>
  <c r="V62" i="2"/>
  <c r="W19" i="3"/>
  <c r="T21" i="3"/>
  <c r="AN25" i="3"/>
  <c r="H41" i="3"/>
  <c r="N13" i="3"/>
  <c r="I5" i="3"/>
  <c r="V107" i="2"/>
  <c r="M85" i="2"/>
  <c r="C9" i="3"/>
  <c r="S7" i="3"/>
  <c r="D91" i="2"/>
  <c r="K73" i="2"/>
  <c r="AC39" i="3"/>
  <c r="W27" i="3"/>
  <c r="T28" i="3"/>
  <c r="O24" i="3"/>
  <c r="R56" i="2"/>
  <c r="N67" i="2"/>
  <c r="J93" i="2"/>
  <c r="H79" i="2"/>
  <c r="G35" i="3"/>
  <c r="X68" i="2"/>
  <c r="C34" i="3"/>
  <c r="H90" i="2"/>
  <c r="AJ28" i="3"/>
  <c r="D89" i="2"/>
  <c r="R67" i="2"/>
  <c r="P7" i="3"/>
  <c r="J80" i="2"/>
  <c r="J38" i="3"/>
  <c r="AB20" i="3"/>
  <c r="N24" i="3"/>
  <c r="M28" i="3"/>
  <c r="R26" i="3"/>
  <c r="O12" i="3"/>
  <c r="AA16" i="3"/>
  <c r="F71" i="2"/>
  <c r="R25" i="3"/>
  <c r="X20" i="3"/>
  <c r="S45" i="2"/>
  <c r="J65" i="2"/>
  <c r="J83" i="2"/>
  <c r="AD40" i="3"/>
  <c r="Q81" i="2"/>
  <c r="AH21" i="3"/>
  <c r="Z17" i="3"/>
  <c r="R32" i="3"/>
  <c r="Y9" i="3"/>
  <c r="AJ13" i="3"/>
  <c r="AA31" i="3"/>
  <c r="S39" i="3"/>
  <c r="AH10" i="3"/>
  <c r="AB40" i="3"/>
  <c r="T96" i="2"/>
  <c r="AA24" i="3"/>
  <c r="AO13" i="3"/>
  <c r="U35" i="3"/>
  <c r="L82" i="2"/>
  <c r="E84" i="2"/>
  <c r="F99" i="2"/>
  <c r="Q35" i="3"/>
  <c r="E56" i="2"/>
  <c r="X37" i="3"/>
  <c r="U80" i="2"/>
  <c r="I33" i="3"/>
  <c r="AN6" i="3"/>
  <c r="AP30" i="3"/>
  <c r="H65" i="2"/>
  <c r="W64" i="2"/>
  <c r="S70" i="2"/>
  <c r="AG38" i="3"/>
  <c r="H96" i="2"/>
  <c r="AI13" i="3"/>
  <c r="AJ17" i="3"/>
  <c r="R57" i="2"/>
  <c r="V11" i="3"/>
  <c r="N53" i="2"/>
  <c r="P73" i="2"/>
  <c r="W15" i="3"/>
  <c r="C78" i="2"/>
  <c r="O46" i="2"/>
  <c r="AI8" i="3"/>
  <c r="C95" i="2"/>
  <c r="D48" i="2"/>
  <c r="Z24" i="3"/>
  <c r="D55" i="2"/>
  <c r="AM6" i="3"/>
  <c r="K64" i="2"/>
  <c r="O86" i="2"/>
  <c r="R90" i="2"/>
  <c r="K66" i="2"/>
  <c r="K11" i="3"/>
  <c r="C108" i="2"/>
  <c r="G113" i="2"/>
  <c r="L16" i="3"/>
  <c r="J113" i="2"/>
  <c r="T15" i="3"/>
  <c r="H59" i="2"/>
  <c r="W69" i="2"/>
  <c r="V80" i="2"/>
  <c r="AE37" i="3"/>
  <c r="I44" i="2"/>
  <c r="F110" i="2"/>
  <c r="M22" i="3"/>
  <c r="O45" i="2"/>
  <c r="AA29" i="3"/>
  <c r="AP92" i="3"/>
  <c r="J112" i="2"/>
  <c r="O35" i="3"/>
  <c r="M11" i="3"/>
  <c r="Z39" i="3"/>
  <c r="H105" i="2"/>
  <c r="Q110" i="2"/>
  <c r="O34" i="3"/>
  <c r="R34" i="3"/>
  <c r="M37" i="3"/>
  <c r="X15" i="3"/>
  <c r="AH11" i="3"/>
  <c r="W104" i="2"/>
  <c r="AQ39" i="3"/>
  <c r="K10" i="3"/>
  <c r="U18" i="3"/>
  <c r="I81" i="2"/>
  <c r="K5" i="3"/>
  <c r="AP38" i="3"/>
  <c r="G89" i="2"/>
  <c r="AJ24" i="3"/>
  <c r="T90" i="2"/>
  <c r="D76" i="2"/>
  <c r="K79" i="2"/>
  <c r="N93" i="2"/>
  <c r="Q45" i="2"/>
  <c r="AQ5" i="3"/>
  <c r="H15" i="3"/>
  <c r="AK36" i="3"/>
  <c r="AH13" i="3"/>
  <c r="V40" i="3"/>
  <c r="AH39" i="3"/>
  <c r="X81" i="2"/>
  <c r="S71" i="2"/>
  <c r="N42" i="3"/>
  <c r="U61" i="2"/>
  <c r="AQ38" i="3"/>
  <c r="AL7" i="3"/>
  <c r="M53" i="2"/>
  <c r="S111" i="2"/>
  <c r="O41" i="2"/>
  <c r="R11" i="3"/>
  <c r="E83" i="2"/>
  <c r="J89" i="2"/>
  <c r="I42" i="3"/>
  <c r="C32" i="3"/>
  <c r="AP41" i="3"/>
  <c r="AB50" i="3"/>
  <c r="M58" i="2"/>
  <c r="S33" i="3"/>
  <c r="G86" i="2"/>
  <c r="R63" i="2"/>
  <c r="AN5" i="3"/>
  <c r="AG39" i="3"/>
  <c r="T69" i="2"/>
  <c r="E97" i="2"/>
  <c r="C51" i="2"/>
  <c r="T56" i="2"/>
  <c r="J82" i="2"/>
  <c r="P63" i="2"/>
  <c r="L13" i="3"/>
  <c r="M41" i="2"/>
  <c r="Z13" i="3"/>
  <c r="AN34" i="3"/>
  <c r="C86" i="2"/>
  <c r="F76" i="2"/>
  <c r="F83" i="2"/>
  <c r="J41" i="2"/>
  <c r="Q17" i="3"/>
  <c r="AO17" i="3"/>
  <c r="AB57" i="3"/>
  <c r="M18" i="3"/>
  <c r="G48" i="3"/>
  <c r="E110" i="2"/>
  <c r="AN13" i="3"/>
  <c r="AH17" i="3"/>
  <c r="P27" i="3"/>
  <c r="AC27" i="3"/>
  <c r="X56" i="2"/>
  <c r="D78" i="2"/>
  <c r="L104" i="2"/>
  <c r="V52" i="2"/>
  <c r="K97" i="2"/>
  <c r="W65" i="2"/>
  <c r="R93" i="2"/>
  <c r="AA40" i="3"/>
  <c r="P68" i="2"/>
  <c r="H78" i="2"/>
  <c r="G75" i="2"/>
  <c r="N16" i="3"/>
  <c r="AO28" i="3"/>
  <c r="X13" i="3"/>
  <c r="O17" i="3"/>
  <c r="AJ6" i="3"/>
  <c r="F106" i="2"/>
  <c r="AB58" i="3"/>
  <c r="AJ31" i="3"/>
  <c r="AC26" i="3"/>
  <c r="H69" i="2"/>
  <c r="AE30" i="3"/>
  <c r="C14" i="3"/>
  <c r="E64" i="2"/>
  <c r="U65" i="2"/>
  <c r="D108" i="2"/>
  <c r="T58" i="2"/>
  <c r="AG19" i="3"/>
  <c r="AB13" i="3"/>
  <c r="N21" i="3"/>
  <c r="AI21" i="3"/>
  <c r="AG9" i="3"/>
  <c r="U79" i="2"/>
  <c r="S24" i="3"/>
  <c r="N38" i="3"/>
  <c r="P23" i="3"/>
  <c r="K93" i="2"/>
  <c r="C62" i="2"/>
  <c r="R109" i="2"/>
  <c r="U49" i="2"/>
  <c r="P79" i="2"/>
  <c r="J18" i="3"/>
  <c r="I27" i="3"/>
  <c r="M97" i="2"/>
  <c r="T77" i="2"/>
  <c r="H22" i="3"/>
  <c r="K44" i="2"/>
  <c r="L26" i="3"/>
  <c r="C8" i="3"/>
  <c r="AI15" i="3"/>
  <c r="AK32" i="3"/>
  <c r="H29" i="3"/>
  <c r="E99" i="2"/>
  <c r="Q92" i="2"/>
  <c r="F81" i="2"/>
  <c r="R36" i="3"/>
  <c r="S63" i="2"/>
  <c r="AB90" i="3"/>
  <c r="J111" i="2"/>
  <c r="AD41" i="3"/>
  <c r="R72" i="2"/>
  <c r="AM34" i="3"/>
  <c r="C69" i="2"/>
  <c r="AB75" i="3"/>
  <c r="AC33" i="3"/>
  <c r="AI9" i="3"/>
  <c r="D67" i="2"/>
  <c r="AK10" i="3"/>
  <c r="R73" i="2"/>
  <c r="L24" i="3"/>
  <c r="U55" i="2"/>
  <c r="AC29" i="3"/>
  <c r="N59" i="2"/>
  <c r="U19" i="3"/>
  <c r="S107" i="2"/>
  <c r="S10" i="3"/>
  <c r="Z12" i="3"/>
  <c r="Z32" i="3"/>
  <c r="AE20" i="3"/>
  <c r="N34" i="3"/>
  <c r="AQ10" i="3"/>
  <c r="O79" i="2"/>
  <c r="J71" i="2"/>
  <c r="R44" i="2"/>
  <c r="F85" i="2"/>
  <c r="AN31" i="3"/>
  <c r="AK14" i="3"/>
  <c r="AH24" i="3"/>
  <c r="AK26" i="3"/>
  <c r="P85" i="2"/>
  <c r="L28" i="3"/>
  <c r="AQ26" i="3"/>
  <c r="AQ33" i="3"/>
  <c r="S74" i="2"/>
  <c r="P108" i="2"/>
  <c r="N43" i="2"/>
  <c r="P22" i="3"/>
  <c r="AM7" i="3"/>
  <c r="G69" i="2"/>
  <c r="S77" i="2"/>
  <c r="C42" i="2"/>
  <c r="I69" i="2"/>
  <c r="N45" i="2"/>
  <c r="T43" i="2"/>
  <c r="AM24" i="3"/>
  <c r="S6" i="3"/>
  <c r="E50" i="2"/>
  <c r="M67" i="2"/>
  <c r="K57" i="2"/>
  <c r="H112" i="2"/>
  <c r="X50" i="2"/>
  <c r="AL5" i="3"/>
  <c r="P45" i="2"/>
  <c r="G76" i="2"/>
  <c r="AK16" i="3"/>
  <c r="W110" i="2"/>
  <c r="Q9" i="3"/>
  <c r="X42" i="2"/>
  <c r="G45" i="2"/>
  <c r="AD34" i="3"/>
  <c r="C4" i="3"/>
  <c r="AK38" i="3"/>
  <c r="F87" i="2"/>
  <c r="M32" i="3"/>
  <c r="AB71" i="3"/>
  <c r="AK31" i="3"/>
  <c r="L14" i="3"/>
  <c r="L108" i="2"/>
  <c r="E67" i="2"/>
  <c r="AP80" i="3"/>
  <c r="H70" i="2"/>
  <c r="Q91" i="2"/>
  <c r="U25" i="3"/>
  <c r="U58" i="2"/>
  <c r="N8" i="3"/>
  <c r="S75" i="2"/>
  <c r="P105" i="2"/>
  <c r="AM25" i="3"/>
  <c r="G57" i="2"/>
  <c r="Z20" i="3"/>
  <c r="AD47" i="3"/>
  <c r="H23" i="3"/>
  <c r="J54" i="2"/>
  <c r="H8" i="3"/>
  <c r="J13" i="3"/>
  <c r="Z33" i="3"/>
  <c r="L43" i="2"/>
  <c r="J66" i="2"/>
  <c r="I57" i="2"/>
  <c r="J6" i="3"/>
  <c r="AE36" i="3"/>
  <c r="H11" i="3"/>
  <c r="AJ36" i="3"/>
  <c r="P110" i="2"/>
  <c r="C75" i="2"/>
  <c r="M49" i="2"/>
  <c r="T46" i="2"/>
  <c r="J107" i="2"/>
  <c r="W90" i="2"/>
  <c r="H26" i="3"/>
  <c r="N42" i="2"/>
  <c r="I90" i="2"/>
  <c r="V51" i="2"/>
  <c r="O107" i="2"/>
  <c r="R22" i="3"/>
  <c r="I30" i="3"/>
  <c r="W17" i="3"/>
  <c r="M70" i="2"/>
  <c r="O26" i="3"/>
  <c r="G44" i="2"/>
  <c r="R60" i="2"/>
  <c r="J11" i="3"/>
  <c r="K69" i="2"/>
  <c r="I80" i="2"/>
  <c r="P62" i="2"/>
  <c r="P76" i="2"/>
  <c r="T108" i="2"/>
  <c r="L112" i="2"/>
  <c r="AQ11" i="3"/>
  <c r="AG36" i="3"/>
  <c r="AC28" i="3"/>
  <c r="L68" i="2"/>
  <c r="AN9" i="3"/>
  <c r="R9" i="3"/>
  <c r="AH23" i="3"/>
  <c r="I29" i="3"/>
  <c r="AA30" i="3"/>
  <c r="I19" i="3"/>
  <c r="AB74" i="3"/>
  <c r="X76" i="2"/>
  <c r="R87" i="2"/>
  <c r="AB12" i="3"/>
  <c r="AI37" i="3"/>
  <c r="W50" i="2"/>
  <c r="V44" i="2"/>
  <c r="AL15" i="3"/>
  <c r="O60" i="2"/>
  <c r="V55" i="2"/>
  <c r="L41" i="3"/>
  <c r="AH34" i="3"/>
  <c r="C36" i="3"/>
  <c r="I10" i="3"/>
  <c r="P83" i="2"/>
  <c r="N50" i="2"/>
  <c r="H13" i="3"/>
  <c r="K9" i="3"/>
  <c r="Q52" i="2"/>
  <c r="S42" i="2"/>
  <c r="J30" i="3"/>
  <c r="W71" i="2"/>
  <c r="S5" i="3"/>
  <c r="T9" i="3"/>
  <c r="X106" i="2"/>
  <c r="P65" i="2"/>
  <c r="G33" i="3"/>
  <c r="P90" i="2"/>
  <c r="I72" i="2"/>
  <c r="P80" i="2"/>
  <c r="H75" i="2"/>
  <c r="L88" i="2"/>
  <c r="R31" i="3"/>
  <c r="AE23" i="3"/>
  <c r="J24" i="3"/>
  <c r="H27" i="3"/>
  <c r="D106" i="2"/>
  <c r="N44" i="2"/>
  <c r="G93" i="2"/>
  <c r="R77" i="2"/>
  <c r="W44" i="2"/>
  <c r="M89" i="2"/>
  <c r="V59" i="2"/>
  <c r="T61" i="2"/>
  <c r="S55" i="2"/>
  <c r="F86" i="2"/>
  <c r="K107" i="2"/>
  <c r="F52" i="2"/>
  <c r="AO25" i="3"/>
  <c r="T30" i="3"/>
  <c r="V22" i="3"/>
  <c r="D56" i="2"/>
  <c r="AC20" i="3"/>
  <c r="E108" i="2"/>
  <c r="V45" i="2"/>
  <c r="I75" i="2"/>
  <c r="U90" i="2"/>
  <c r="K40" i="2"/>
  <c r="Q40" i="2"/>
  <c r="P50" i="2"/>
  <c r="AN39" i="3"/>
  <c r="T94" i="2"/>
  <c r="AL24" i="3"/>
  <c r="H57" i="2"/>
  <c r="L31" i="3"/>
  <c r="F112" i="2"/>
  <c r="M5" i="3"/>
  <c r="U17" i="3"/>
  <c r="AC7" i="3"/>
  <c r="O40" i="3"/>
  <c r="AC22" i="3"/>
  <c r="O77" i="2"/>
  <c r="U66" i="2"/>
  <c r="U85" i="2"/>
  <c r="K76" i="2"/>
  <c r="N73" i="2"/>
  <c r="AB94" i="3"/>
  <c r="O56" i="2"/>
  <c r="O61" i="2"/>
  <c r="J42" i="3"/>
  <c r="M59" i="2"/>
  <c r="Y6" i="3"/>
  <c r="Q7" i="3"/>
  <c r="AP78" i="3"/>
  <c r="V74" i="2"/>
  <c r="R107" i="2"/>
  <c r="I67" i="2"/>
  <c r="AL12" i="3"/>
  <c r="H50" i="2"/>
  <c r="K15" i="3"/>
  <c r="C92" i="2"/>
  <c r="F66" i="2"/>
  <c r="M16" i="3"/>
  <c r="E54" i="2"/>
  <c r="AM21" i="3"/>
  <c r="J57" i="2"/>
  <c r="AG21" i="3"/>
  <c r="Y12" i="3"/>
  <c r="S41" i="3"/>
  <c r="C18" i="3"/>
  <c r="G111" i="2"/>
  <c r="N40" i="3"/>
  <c r="AP65" i="3"/>
  <c r="C63" i="2"/>
  <c r="V14" i="3"/>
  <c r="D113" i="2"/>
  <c r="R17" i="3"/>
  <c r="J48" i="2"/>
  <c r="U5" i="3"/>
  <c r="L65" i="2"/>
  <c r="C24" i="3"/>
  <c r="AE40" i="3"/>
  <c r="AC13" i="3"/>
  <c r="K54" i="2"/>
  <c r="L85" i="2"/>
  <c r="H55" i="2"/>
  <c r="AK11" i="3"/>
  <c r="D84" i="2"/>
  <c r="AP22" i="3"/>
  <c r="E55" i="2"/>
  <c r="R20" i="3"/>
  <c r="J39" i="3"/>
  <c r="K82" i="2"/>
  <c r="G70" i="2"/>
  <c r="K55" i="2"/>
  <c r="T81" i="2"/>
  <c r="N7" i="3"/>
  <c r="U96" i="2"/>
  <c r="T45" i="2"/>
  <c r="L62" i="2"/>
  <c r="V73" i="2"/>
  <c r="AC9" i="3"/>
  <c r="AJ37" i="3"/>
  <c r="AP12" i="3"/>
  <c r="P82" i="2"/>
  <c r="AG33" i="3"/>
  <c r="Z10" i="3"/>
  <c r="H42" i="3"/>
  <c r="N97" i="2"/>
  <c r="N112" i="2"/>
  <c r="K19" i="3"/>
  <c r="W96" i="2"/>
  <c r="M45" i="2"/>
  <c r="T76" i="2"/>
  <c r="N113" i="2"/>
  <c r="U14" i="3"/>
  <c r="V13" i="3"/>
  <c r="G58" i="2"/>
  <c r="Z6" i="3"/>
  <c r="W92" i="2"/>
  <c r="V109" i="2"/>
  <c r="X111" i="2"/>
  <c r="AK20" i="3"/>
  <c r="M105" i="2"/>
  <c r="T83" i="2"/>
  <c r="S84" i="2"/>
  <c r="W43" i="2"/>
  <c r="K61" i="2"/>
  <c r="AH36" i="3"/>
  <c r="AK17" i="3"/>
  <c r="X26" i="3"/>
  <c r="C26" i="3"/>
  <c r="N69" i="2"/>
  <c r="M47" i="2"/>
  <c r="F57" i="2"/>
  <c r="O111" i="2"/>
  <c r="R49" i="2"/>
  <c r="Q16" i="3"/>
  <c r="L52" i="2"/>
  <c r="K51" i="2"/>
  <c r="M8" i="3"/>
  <c r="U53" i="2"/>
  <c r="AG35" i="3"/>
  <c r="AN15" i="3"/>
  <c r="I51" i="2"/>
  <c r="I76" i="2"/>
  <c r="V98" i="2"/>
  <c r="O75" i="2"/>
  <c r="L107" i="2"/>
  <c r="I41" i="2"/>
  <c r="E61" i="2"/>
  <c r="Q89" i="2"/>
  <c r="D70" i="2"/>
  <c r="X55" i="2"/>
  <c r="K110" i="2"/>
  <c r="T72" i="2"/>
  <c r="G97" i="2"/>
  <c r="AO22" i="3"/>
  <c r="AG5" i="3"/>
  <c r="I36" i="3"/>
  <c r="I15" i="3"/>
  <c r="AB76" i="3"/>
  <c r="AP66" i="3"/>
  <c r="V70" i="2"/>
  <c r="H72" i="2"/>
  <c r="M109" i="2"/>
  <c r="E93" i="2"/>
  <c r="AB79" i="3"/>
  <c r="L46" i="2"/>
  <c r="P61" i="2"/>
  <c r="T47" i="2"/>
  <c r="D83" i="2"/>
  <c r="R64" i="2"/>
  <c r="E63" i="2"/>
  <c r="H37" i="3"/>
  <c r="M55" i="2"/>
  <c r="AB78" i="3"/>
  <c r="N36" i="3"/>
  <c r="J51" i="2"/>
  <c r="AH22" i="3"/>
  <c r="AB49" i="3"/>
  <c r="X84" i="2"/>
  <c r="R104" i="2"/>
  <c r="V105" i="2"/>
  <c r="G77" i="2"/>
  <c r="AP16" i="3"/>
  <c r="Q42" i="2"/>
  <c r="N56" i="2"/>
  <c r="AP90" i="3"/>
  <c r="J32" i="3"/>
  <c r="G51" i="2"/>
  <c r="K77" i="2"/>
  <c r="T109" i="2"/>
  <c r="AM31" i="3"/>
  <c r="J14" i="3"/>
  <c r="M41" i="3"/>
  <c r="R78" i="2"/>
  <c r="N81" i="2"/>
  <c r="AK21" i="3"/>
  <c r="J61" i="2"/>
  <c r="P89" i="2"/>
  <c r="O8" i="3"/>
  <c r="S40" i="2"/>
  <c r="I7" i="3"/>
  <c r="AM22" i="3"/>
  <c r="V38" i="3"/>
  <c r="C29" i="3"/>
  <c r="AE15" i="3"/>
  <c r="F40" i="2"/>
  <c r="J91" i="2"/>
  <c r="AB77" i="3"/>
  <c r="P74" i="2"/>
  <c r="W20" i="3"/>
  <c r="T91" i="2"/>
  <c r="AD30" i="3"/>
  <c r="I92" i="2"/>
  <c r="AB93" i="3"/>
  <c r="H19" i="3"/>
  <c r="M51" i="2"/>
  <c r="T42" i="2"/>
  <c r="J63" i="2"/>
  <c r="U91" i="2"/>
  <c r="D80" i="2"/>
  <c r="H84" i="2"/>
  <c r="S37" i="3"/>
  <c r="R42" i="2"/>
  <c r="Z31" i="3"/>
  <c r="AJ11" i="3"/>
  <c r="T64" i="2"/>
  <c r="I71" i="2"/>
  <c r="AP72" i="3"/>
  <c r="AG31" i="3"/>
  <c r="AB68" i="3"/>
  <c r="AM39" i="3"/>
  <c r="S36" i="3"/>
  <c r="C10" i="3"/>
  <c r="J53" i="2"/>
  <c r="P66" i="2"/>
  <c r="Q109" i="2"/>
  <c r="O106" i="2"/>
  <c r="O29" i="3"/>
  <c r="AD36" i="3"/>
  <c r="N111" i="2"/>
  <c r="I60" i="2"/>
  <c r="AB66" i="3"/>
  <c r="N25" i="3"/>
  <c r="S49" i="2"/>
  <c r="J7" i="3"/>
  <c r="AB11" i="3"/>
  <c r="AJ10" i="3"/>
  <c r="J59" i="2"/>
  <c r="T79" i="2"/>
  <c r="S113" i="2"/>
  <c r="J105" i="2"/>
  <c r="R94" i="2"/>
  <c r="AD42" i="3"/>
  <c r="AG27" i="3"/>
  <c r="E50" i="3"/>
  <c r="AJ20" i="3"/>
  <c r="S26" i="3"/>
  <c r="H63" i="2"/>
  <c r="S38" i="3"/>
  <c r="H64" i="2"/>
  <c r="P92" i="2"/>
  <c r="M35" i="3"/>
  <c r="L7" i="3"/>
  <c r="AE27" i="3"/>
  <c r="Q72" i="2"/>
  <c r="Q76" i="2"/>
  <c r="F77" i="2"/>
  <c r="AN10" i="3"/>
  <c r="D48" i="3"/>
  <c r="AJ15" i="3"/>
  <c r="T99" i="2"/>
  <c r="AQ9" i="3"/>
  <c r="Z16" i="3"/>
  <c r="G40" i="3"/>
  <c r="AQ16" i="3"/>
  <c r="L8" i="3"/>
  <c r="S112" i="2"/>
  <c r="S94" i="2"/>
  <c r="AA36" i="3"/>
  <c r="W109" i="2"/>
  <c r="X64" i="2"/>
  <c r="V92" i="2"/>
  <c r="J19" i="3"/>
  <c r="S32" i="3"/>
  <c r="AK6" i="3"/>
  <c r="E95" i="2"/>
  <c r="D96" i="2"/>
  <c r="U38" i="3"/>
  <c r="P9" i="3"/>
  <c r="AQ17" i="3"/>
  <c r="AJ9" i="3"/>
  <c r="R10" i="3"/>
  <c r="I63" i="2"/>
  <c r="C20" i="3"/>
  <c r="AN37" i="3"/>
  <c r="P51" i="2"/>
  <c r="D93" i="2"/>
  <c r="AB15" i="3"/>
  <c r="Y26" i="3"/>
  <c r="L95" i="2"/>
  <c r="K90" i="2"/>
  <c r="AK5" i="3"/>
  <c r="C70" i="2"/>
  <c r="D92" i="2"/>
  <c r="T51" i="2"/>
  <c r="D88" i="2"/>
  <c r="S78" i="2"/>
  <c r="G82" i="2"/>
  <c r="C49" i="2"/>
  <c r="E74" i="2"/>
  <c r="I46" i="2"/>
  <c r="W72" i="2"/>
  <c r="P72" i="2"/>
  <c r="AG24" i="3"/>
  <c r="M62" i="2"/>
  <c r="T23" i="3"/>
  <c r="AE33" i="3"/>
  <c r="K38" i="3"/>
  <c r="W26" i="3"/>
  <c r="F59" i="2"/>
  <c r="V63" i="2"/>
  <c r="X112" i="2"/>
  <c r="X97" i="2"/>
  <c r="AL27" i="3"/>
  <c r="AP88" i="3"/>
  <c r="K65" i="2"/>
  <c r="F64" i="2"/>
  <c r="L72" i="2"/>
  <c r="R76" i="2"/>
  <c r="P107" i="2"/>
  <c r="I24" i="3"/>
  <c r="C73" i="2"/>
  <c r="AE32" i="3"/>
  <c r="U36" i="3"/>
  <c r="K13" i="3"/>
  <c r="AG8" i="3"/>
  <c r="AE14" i="3"/>
  <c r="AK12" i="3"/>
  <c r="C49" i="3"/>
  <c r="F61" i="2"/>
  <c r="O105" i="2"/>
  <c r="U32" i="3"/>
  <c r="C41" i="3"/>
  <c r="S61" i="2"/>
  <c r="AJ25" i="3"/>
  <c r="C13" i="3"/>
  <c r="U15" i="3"/>
  <c r="N17" i="3"/>
  <c r="I18" i="3"/>
  <c r="M14" i="3"/>
  <c r="S110" i="2"/>
  <c r="W13" i="3"/>
  <c r="R81" i="2"/>
  <c r="V90" i="2"/>
  <c r="R62" i="2"/>
  <c r="R69" i="2"/>
  <c r="X80" i="2"/>
  <c r="K21" i="3"/>
  <c r="S99" i="2"/>
  <c r="AA7" i="3"/>
  <c r="U20" i="3"/>
  <c r="J15" i="3"/>
  <c r="K74" i="2"/>
  <c r="AL18" i="3"/>
  <c r="AP8" i="3"/>
  <c r="C64" i="2"/>
  <c r="L71" i="2"/>
  <c r="W58" i="2"/>
  <c r="R70" i="2"/>
  <c r="F48" i="2"/>
  <c r="AM8" i="3"/>
  <c r="J70" i="2"/>
  <c r="R15" i="3"/>
  <c r="E73" i="2"/>
  <c r="N46" i="2"/>
  <c r="S48" i="2"/>
  <c r="X82" i="2"/>
  <c r="S108" i="2"/>
  <c r="F47" i="2"/>
  <c r="P42" i="3"/>
  <c r="AL29" i="3"/>
  <c r="AL9" i="3"/>
  <c r="L30" i="3"/>
  <c r="U110" i="2"/>
  <c r="AL32" i="3"/>
  <c r="G91" i="2"/>
  <c r="C109" i="2"/>
  <c r="C97" i="2"/>
  <c r="AP69" i="3"/>
  <c r="U69" i="2"/>
  <c r="S30" i="3"/>
  <c r="AP56" i="3"/>
  <c r="Y28" i="3"/>
  <c r="AB67" i="3"/>
  <c r="AP84" i="3"/>
  <c r="D58" i="2"/>
  <c r="W55" i="2"/>
  <c r="O64" i="2"/>
  <c r="C48" i="2"/>
  <c r="AB32" i="3"/>
  <c r="AE35" i="3"/>
  <c r="O30" i="3"/>
  <c r="AP31" i="3"/>
  <c r="AP77" i="3"/>
  <c r="AA38" i="3"/>
  <c r="AP21" i="3"/>
  <c r="AJ39" i="3"/>
  <c r="M7" i="3"/>
  <c r="AQ32" i="3"/>
  <c r="AH33" i="3"/>
  <c r="T70" i="2"/>
  <c r="H9" i="3"/>
  <c r="N30" i="3"/>
  <c r="W97" i="2"/>
  <c r="H5" i="3"/>
  <c r="L12" i="3"/>
  <c r="G41" i="3"/>
  <c r="I11" i="3"/>
  <c r="AH29" i="3"/>
  <c r="S20" i="3"/>
  <c r="I55" i="2"/>
  <c r="N26" i="3"/>
  <c r="S89" i="2"/>
  <c r="L94" i="2"/>
  <c r="AI7" i="3"/>
  <c r="O71" i="2"/>
  <c r="AB41" i="3"/>
  <c r="Q24" i="3"/>
  <c r="V76" i="2"/>
  <c r="AN23" i="3"/>
  <c r="Q96" i="2"/>
  <c r="K27" i="3"/>
  <c r="O113" i="2"/>
  <c r="Q85" i="2"/>
  <c r="AG13" i="3"/>
  <c r="AK29" i="3"/>
  <c r="AQ41" i="3"/>
  <c r="AN19" i="3"/>
  <c r="U107" i="2"/>
  <c r="T10" i="3"/>
  <c r="D97" i="2"/>
  <c r="N54" i="2"/>
  <c r="N6" i="3"/>
  <c r="W67" i="2"/>
  <c r="E79" i="2"/>
  <c r="X90" i="2"/>
  <c r="M92" i="2"/>
  <c r="P37" i="3"/>
  <c r="AP94" i="3"/>
  <c r="Q8" i="3"/>
  <c r="C37" i="3"/>
  <c r="H31" i="3"/>
  <c r="AH5" i="3"/>
  <c r="E94" i="2"/>
  <c r="AM5" i="3"/>
  <c r="Q42" i="3"/>
  <c r="R41" i="3"/>
  <c r="AL40" i="3"/>
  <c r="AJ8" i="3"/>
  <c r="S40" i="3"/>
  <c r="M39" i="3"/>
  <c r="X11" i="3"/>
  <c r="D109" i="2"/>
  <c r="N80" i="2"/>
  <c r="AB29" i="3"/>
  <c r="P56" i="2"/>
  <c r="AB86" i="3"/>
  <c r="C76" i="2"/>
  <c r="N39" i="3"/>
  <c r="AG16" i="3"/>
  <c r="G68" i="2"/>
  <c r="AB6" i="3"/>
  <c r="R55" i="2"/>
  <c r="Q10" i="3"/>
  <c r="J109" i="2"/>
  <c r="W80" i="2"/>
  <c r="U105" i="2"/>
  <c r="R39" i="3"/>
  <c r="AQ40" i="3"/>
  <c r="I32" i="3"/>
  <c r="N109" i="2"/>
  <c r="AP28" i="3"/>
  <c r="H58" i="2"/>
  <c r="L55" i="2"/>
  <c r="N77" i="2"/>
  <c r="E92" i="2"/>
  <c r="I56" i="2"/>
  <c r="L96" i="2"/>
  <c r="I104" i="2"/>
  <c r="W91" i="2"/>
  <c r="Q75" i="2"/>
  <c r="X59" i="2"/>
  <c r="T44" i="2"/>
  <c r="V37" i="3"/>
  <c r="O78" i="2"/>
  <c r="U63" i="2"/>
  <c r="AP48" i="3"/>
  <c r="AB37" i="3"/>
  <c r="U83" i="2"/>
  <c r="I43" i="2"/>
  <c r="AP50" i="3"/>
  <c r="X54" i="2"/>
  <c r="V95" i="2"/>
  <c r="AG28" i="3"/>
  <c r="H93" i="2"/>
  <c r="AQ25" i="3"/>
  <c r="T19" i="3"/>
  <c r="Z26" i="3"/>
  <c r="U41" i="3"/>
  <c r="I16" i="3"/>
  <c r="F82" i="2"/>
  <c r="C77" i="2"/>
  <c r="AN33" i="3"/>
  <c r="O42" i="2"/>
  <c r="R41" i="2"/>
  <c r="O69" i="2"/>
  <c r="R27" i="3"/>
  <c r="Y8" i="3"/>
  <c r="X36" i="3"/>
  <c r="X5" i="3"/>
  <c r="S91" i="2"/>
  <c r="K22" i="3"/>
  <c r="Y33" i="3"/>
  <c r="AO38" i="3"/>
  <c r="AI5" i="3"/>
  <c r="J41" i="3"/>
  <c r="X33" i="3"/>
  <c r="X77" i="2"/>
  <c r="M52" i="2"/>
  <c r="AH35" i="3"/>
  <c r="AK8" i="3"/>
  <c r="P31" i="3"/>
  <c r="C47" i="3"/>
  <c r="H24" i="3"/>
  <c r="AA19" i="3"/>
  <c r="AA23" i="3"/>
  <c r="AJ29" i="3"/>
  <c r="D112" i="2"/>
  <c r="W45" i="2"/>
  <c r="AN7" i="3"/>
  <c r="X67" i="2"/>
  <c r="H25" i="3"/>
  <c r="R53" i="2"/>
  <c r="P52" i="2"/>
  <c r="D94" i="2"/>
  <c r="D87" i="2"/>
  <c r="I49" i="2"/>
  <c r="C53" i="2"/>
  <c r="L97" i="2"/>
  <c r="V6" i="3"/>
  <c r="N51" i="2"/>
  <c r="AH9" i="3"/>
  <c r="AA33" i="3"/>
  <c r="AP36" i="3"/>
  <c r="L40" i="3"/>
  <c r="D95" i="2"/>
  <c r="C38" i="3"/>
  <c r="K95" i="2"/>
  <c r="M108" i="2"/>
  <c r="W53" i="2"/>
  <c r="W41" i="2"/>
  <c r="W61" i="2"/>
  <c r="D62" i="2"/>
  <c r="M29" i="3"/>
  <c r="G34" i="3"/>
  <c r="K45" i="2"/>
  <c r="AC14" i="3"/>
  <c r="V64" i="2"/>
  <c r="N75" i="2"/>
  <c r="X32" i="3"/>
  <c r="T75" i="2"/>
  <c r="AP59" i="3"/>
  <c r="AI26" i="3"/>
  <c r="K17" i="3"/>
  <c r="I12" i="3"/>
  <c r="G65" i="2"/>
  <c r="Y31" i="3"/>
  <c r="P87" i="2"/>
  <c r="H108" i="2"/>
  <c r="J28" i="3"/>
  <c r="C17" i="3"/>
  <c r="AO27" i="3"/>
  <c r="V41" i="2"/>
  <c r="AN24" i="3"/>
  <c r="N65" i="2"/>
  <c r="U70" i="2"/>
  <c r="M13" i="3"/>
  <c r="N95" i="2"/>
  <c r="M104" i="2"/>
  <c r="S79" i="2"/>
  <c r="I34" i="3"/>
  <c r="W62" i="2"/>
  <c r="M110" i="2"/>
  <c r="AB16" i="3"/>
  <c r="O89" i="2"/>
  <c r="AP60" i="3"/>
  <c r="V69" i="2"/>
  <c r="R38" i="3"/>
  <c r="X35" i="3"/>
  <c r="S12" i="3"/>
  <c r="Q29" i="3"/>
  <c r="J25" i="3"/>
  <c r="AL22" i="3"/>
  <c r="C19" i="3"/>
  <c r="R7" i="3"/>
  <c r="I74" i="2"/>
  <c r="O25" i="3"/>
  <c r="AN38" i="3"/>
  <c r="AC37" i="3"/>
  <c r="W7" i="3"/>
  <c r="I105" i="2"/>
  <c r="AH38" i="3"/>
  <c r="J108" i="2"/>
  <c r="N89" i="2"/>
  <c r="I68" i="2"/>
  <c r="P109" i="2"/>
  <c r="P28" i="3"/>
  <c r="H16" i="3"/>
  <c r="AC11" i="3"/>
  <c r="I96" i="2"/>
  <c r="S87" i="2"/>
  <c r="S82" i="2"/>
  <c r="AK35" i="3"/>
  <c r="AJ35" i="3"/>
  <c r="AO20" i="3"/>
  <c r="U9" i="3"/>
  <c r="J72" i="2"/>
  <c r="P10" i="3"/>
  <c r="C39" i="3"/>
  <c r="E69" i="2"/>
  <c r="AC34" i="3"/>
  <c r="O82" i="2"/>
  <c r="N52" i="2"/>
  <c r="H77" i="2"/>
  <c r="X31" i="3"/>
  <c r="M19" i="3"/>
  <c r="T86" i="2"/>
  <c r="W11" i="3"/>
  <c r="Q70" i="2"/>
  <c r="T33" i="3"/>
  <c r="Z23" i="3"/>
  <c r="P53" i="2"/>
  <c r="F88" i="2"/>
  <c r="Q95" i="2"/>
  <c r="H42" i="2"/>
  <c r="T89" i="2"/>
  <c r="G112" i="2"/>
  <c r="G110" i="2"/>
  <c r="H104" i="2"/>
  <c r="AD24" i="3"/>
  <c r="N22" i="3"/>
  <c r="AE5" i="3"/>
  <c r="Q19" i="3"/>
  <c r="D44" i="2"/>
  <c r="C61" i="2"/>
  <c r="K14" i="3"/>
  <c r="T82" i="2"/>
  <c r="R23" i="3"/>
  <c r="G64" i="2"/>
  <c r="AK30" i="3"/>
  <c r="D82" i="2"/>
  <c r="N15" i="3"/>
  <c r="S69" i="2"/>
  <c r="L90" i="2"/>
  <c r="V79" i="2"/>
  <c r="Z38" i="3"/>
  <c r="Q71" i="2"/>
  <c r="P20" i="3"/>
  <c r="AQ35" i="3"/>
  <c r="AA32" i="3"/>
  <c r="K8" i="3"/>
  <c r="S42" i="3"/>
  <c r="G50" i="3"/>
  <c r="AC19" i="3"/>
  <c r="V27" i="3"/>
  <c r="P35" i="3"/>
  <c r="U37" i="3"/>
  <c r="H48" i="2"/>
  <c r="AO42" i="3"/>
  <c r="Y35" i="3"/>
  <c r="AA5" i="3"/>
  <c r="AG30" i="3"/>
  <c r="AP85" i="3"/>
  <c r="L21" i="3"/>
  <c r="O92" i="2"/>
  <c r="N94" i="2"/>
  <c r="E47" i="2"/>
  <c r="C84" i="2"/>
  <c r="AP32" i="3"/>
  <c r="K30" i="3"/>
  <c r="AJ41" i="3"/>
  <c r="G95" i="2"/>
  <c r="Q104" i="2"/>
  <c r="V88" i="2"/>
  <c r="AQ34" i="3"/>
  <c r="O31" i="3"/>
  <c r="AO11" i="3"/>
  <c r="AD29" i="3"/>
  <c r="I84" i="2"/>
  <c r="V9" i="3"/>
  <c r="T111" i="2"/>
  <c r="F107" i="2"/>
  <c r="AK42" i="3"/>
  <c r="F72" i="2"/>
  <c r="AP57" i="3"/>
  <c r="G107" i="2"/>
  <c r="R35" i="3"/>
  <c r="U87" i="2"/>
  <c r="L98" i="2"/>
  <c r="AP20" i="3"/>
  <c r="V47" i="2"/>
  <c r="AP14" i="3"/>
  <c r="H83" i="2"/>
  <c r="J60" i="2"/>
  <c r="AP40" i="3"/>
  <c r="S72" i="2"/>
  <c r="AN22" i="3"/>
  <c r="K83" i="2"/>
  <c r="Q98" i="2"/>
  <c r="M84" i="2"/>
  <c r="F42" i="2"/>
  <c r="J92" i="2"/>
  <c r="S22" i="3"/>
  <c r="D110" i="2"/>
  <c r="Z22" i="3"/>
  <c r="L76" i="2"/>
  <c r="AE21" i="3"/>
  <c r="D85" i="2"/>
  <c r="J16" i="3"/>
  <c r="AB8" i="3"/>
  <c r="V41" i="3"/>
  <c r="T11" i="3"/>
  <c r="J36" i="3"/>
  <c r="AN40" i="3"/>
  <c r="R85" i="2"/>
  <c r="U45" i="2"/>
  <c r="AM28" i="3"/>
  <c r="T98" i="2"/>
  <c r="M98" i="2"/>
  <c r="R42" i="3"/>
  <c r="K75" i="2"/>
  <c r="AM10" i="3"/>
  <c r="AJ14" i="3"/>
  <c r="AK34" i="3"/>
  <c r="O15" i="3"/>
  <c r="K12" i="3"/>
  <c r="AB69" i="3"/>
  <c r="M43" i="2"/>
  <c r="N110" i="2"/>
  <c r="AO41" i="3"/>
  <c r="I109" i="2"/>
  <c r="M54" i="2"/>
  <c r="P99" i="2"/>
  <c r="AC6" i="3"/>
  <c r="P96" i="2"/>
  <c r="Q73" i="2"/>
  <c r="Y38" i="3"/>
  <c r="L80" i="2"/>
  <c r="G42" i="3"/>
  <c r="K63" i="2"/>
  <c r="R68" i="2"/>
  <c r="H67" i="2"/>
  <c r="X79" i="2"/>
  <c r="N60" i="2"/>
  <c r="P94" i="2"/>
  <c r="R99" i="2"/>
  <c r="U6" i="3"/>
  <c r="T54" i="2"/>
  <c r="L113" i="2"/>
  <c r="R61" i="2"/>
  <c r="O44" i="2"/>
  <c r="AQ21" i="3"/>
  <c r="D57" i="2"/>
  <c r="S23" i="3"/>
  <c r="P70" i="2"/>
  <c r="F91" i="2"/>
  <c r="X89" i="2"/>
  <c r="V34" i="3"/>
  <c r="U7" i="3"/>
  <c r="X48" i="2"/>
  <c r="W83" i="2"/>
  <c r="U74" i="2"/>
  <c r="W76" i="2"/>
  <c r="P13" i="3"/>
  <c r="Q107" i="2"/>
  <c r="AB35" i="3"/>
  <c r="AB65" i="3"/>
  <c r="C93" i="2"/>
  <c r="J26" i="3"/>
  <c r="P113" i="2"/>
  <c r="T38" i="3"/>
  <c r="Z8" i="3"/>
  <c r="X18" i="3"/>
  <c r="Q36" i="3"/>
  <c r="T65" i="2"/>
  <c r="W59" i="2"/>
  <c r="N37" i="3"/>
  <c r="T42" i="3"/>
  <c r="AJ23" i="3"/>
  <c r="AD48" i="3"/>
  <c r="AC30" i="3"/>
  <c r="AQ31" i="3"/>
  <c r="AH41" i="3"/>
  <c r="AL28" i="3"/>
  <c r="V61" i="2"/>
  <c r="V57" i="2"/>
  <c r="R5" i="3"/>
  <c r="AJ12" i="3"/>
  <c r="AQ42" i="3"/>
  <c r="M34" i="3"/>
  <c r="Y18" i="3"/>
  <c r="U93" i="2"/>
  <c r="X58" i="2"/>
  <c r="R108" i="2"/>
  <c r="D81" i="2"/>
  <c r="M106" i="2"/>
  <c r="U72" i="2"/>
  <c r="N19" i="3"/>
  <c r="F44" i="2"/>
  <c r="O43" i="2"/>
  <c r="E49" i="2"/>
  <c r="T92" i="2"/>
  <c r="W14" i="3"/>
  <c r="W9" i="3"/>
  <c r="N92" i="2"/>
  <c r="C107" i="2"/>
  <c r="AQ19" i="3"/>
  <c r="Q108" i="2"/>
  <c r="T112" i="2"/>
  <c r="V97" i="2"/>
  <c r="R111" i="2"/>
  <c r="G72" i="2"/>
  <c r="W60" i="2"/>
  <c r="E48" i="2"/>
  <c r="AI36" i="3"/>
  <c r="P55" i="2"/>
  <c r="AG14" i="3"/>
  <c r="AP58" i="3"/>
  <c r="AQ14" i="3"/>
  <c r="C50" i="2"/>
  <c r="AP83" i="3"/>
  <c r="AK41" i="3"/>
  <c r="J90" i="2"/>
  <c r="AC36" i="3"/>
  <c r="AB84" i="3"/>
  <c r="U113" i="2"/>
  <c r="P48" i="2"/>
  <c r="E89" i="2"/>
  <c r="L93" i="2"/>
  <c r="AM35" i="3"/>
  <c r="X24" i="3"/>
  <c r="D49" i="3"/>
  <c r="R96" i="2"/>
  <c r="I13" i="3"/>
  <c r="V110" i="2"/>
  <c r="AO30" i="3"/>
  <c r="T6" i="3"/>
  <c r="C42" i="3"/>
  <c r="Q6" i="3"/>
  <c r="Y11" i="3"/>
  <c r="AB18" i="3"/>
  <c r="H51" i="2"/>
  <c r="W82" i="2"/>
  <c r="AL34" i="3"/>
  <c r="F65" i="2"/>
  <c r="E44" i="2"/>
  <c r="AM23" i="3"/>
  <c r="G106" i="2"/>
  <c r="T13" i="3"/>
  <c r="AG7" i="3"/>
  <c r="J42" i="2"/>
  <c r="AA22" i="3"/>
  <c r="N10" i="3"/>
  <c r="N106" i="2"/>
  <c r="R40" i="2"/>
  <c r="AP79" i="3"/>
  <c r="U34" i="3"/>
  <c r="D49" i="2"/>
  <c r="N76" i="2"/>
  <c r="M68" i="2"/>
  <c r="X21" i="3"/>
  <c r="M80" i="2"/>
  <c r="L32" i="3"/>
  <c r="L18" i="3"/>
  <c r="H97" i="2"/>
  <c r="L20" i="3"/>
  <c r="R24" i="3"/>
  <c r="AB97" i="3"/>
  <c r="Q47" i="2"/>
  <c r="S93" i="2"/>
  <c r="N58" i="2"/>
  <c r="P59" i="2"/>
  <c r="H17" i="3"/>
  <c r="AJ18" i="3"/>
  <c r="O97" i="2"/>
  <c r="C82" i="2"/>
  <c r="E91" i="2"/>
  <c r="G109" i="2"/>
  <c r="AD37" i="3"/>
  <c r="U109" i="2"/>
  <c r="V25" i="3"/>
  <c r="P26" i="3"/>
  <c r="L109" i="2"/>
  <c r="S31" i="3"/>
  <c r="H33" i="3"/>
  <c r="U77" i="2"/>
  <c r="K84" i="2"/>
  <c r="O67" i="2"/>
  <c r="F93" i="2"/>
  <c r="X28" i="3"/>
  <c r="AA10" i="3"/>
  <c r="AI6" i="3"/>
  <c r="F109" i="2"/>
  <c r="L39" i="3"/>
  <c r="U44" i="2"/>
  <c r="AD21" i="3"/>
  <c r="F92" i="2"/>
  <c r="I91" i="2"/>
  <c r="J49" i="2"/>
  <c r="AI19" i="3"/>
  <c r="O19" i="3"/>
  <c r="M78" i="2"/>
  <c r="J97" i="2"/>
  <c r="AM12" i="3"/>
  <c r="T62" i="2"/>
  <c r="C40" i="3"/>
  <c r="F84" i="2"/>
  <c r="AL6" i="3"/>
  <c r="I47" i="2"/>
  <c r="AA28" i="3"/>
  <c r="O36" i="3"/>
  <c r="AA8" i="3"/>
  <c r="AI32" i="3"/>
  <c r="J40" i="3"/>
  <c r="V17" i="3"/>
  <c r="H73" i="2"/>
  <c r="F68" i="2"/>
  <c r="AB47" i="3"/>
  <c r="I62" i="2"/>
  <c r="N71" i="2"/>
  <c r="Z21" i="3"/>
  <c r="T17" i="3"/>
  <c r="M36" i="3"/>
  <c r="AJ22" i="3"/>
  <c r="E112" i="2"/>
  <c r="K26" i="3"/>
  <c r="AP10" i="3"/>
  <c r="N104" i="2"/>
  <c r="I39" i="3"/>
  <c r="K23" i="3"/>
  <c r="J52" i="2"/>
  <c r="H82" i="2"/>
  <c r="W79" i="2"/>
  <c r="U67" i="2"/>
  <c r="J84" i="2"/>
  <c r="AK28" i="3"/>
  <c r="L51" i="2"/>
  <c r="AB10" i="3"/>
  <c r="V31" i="3"/>
  <c r="X88" i="2"/>
  <c r="AI41" i="3"/>
  <c r="I70" i="2"/>
  <c r="AL17" i="3"/>
  <c r="AQ37" i="3"/>
  <c r="Q31" i="3"/>
  <c r="I87" i="2"/>
  <c r="R88" i="2"/>
  <c r="AC38" i="3"/>
  <c r="F62" i="2"/>
  <c r="AC24" i="3"/>
  <c r="W75" i="2"/>
  <c r="X110" i="2"/>
  <c r="AL10" i="3"/>
  <c r="X107" i="2"/>
  <c r="T110" i="2"/>
  <c r="L79" i="2"/>
  <c r="R52" i="2"/>
  <c r="O27" i="3"/>
  <c r="V18" i="3"/>
  <c r="AK40" i="3"/>
  <c r="K111" i="2"/>
  <c r="O80" i="2"/>
  <c r="AE17" i="3"/>
  <c r="E62" i="2"/>
  <c r="S47" i="2"/>
  <c r="AB22" i="3"/>
  <c r="P46" i="2"/>
  <c r="I65" i="2"/>
  <c r="N49" i="2"/>
  <c r="P36" i="3"/>
  <c r="K37" i="3"/>
  <c r="S96" i="2"/>
  <c r="M65" i="2"/>
  <c r="Y32" i="3"/>
  <c r="F96" i="2"/>
  <c r="Q66" i="2"/>
  <c r="AM26" i="3"/>
  <c r="AO15" i="3"/>
  <c r="Q20" i="3"/>
  <c r="X57" i="2"/>
  <c r="AO35" i="3"/>
  <c r="D41" i="2"/>
  <c r="L45" i="2"/>
  <c r="AI40" i="3"/>
  <c r="AH15" i="3"/>
  <c r="D79" i="2"/>
  <c r="T31" i="3"/>
  <c r="V54" i="2"/>
  <c r="H32" i="3"/>
  <c r="AM40" i="3"/>
  <c r="H88" i="2"/>
  <c r="I82" i="2"/>
  <c r="AP68" i="3"/>
  <c r="AL20" i="3"/>
  <c r="V111" i="2"/>
  <c r="D72" i="2"/>
  <c r="AP75" i="3"/>
  <c r="N28" i="3"/>
  <c r="AP86" i="3"/>
  <c r="AC25" i="3"/>
  <c r="V10" i="3"/>
  <c r="H86" i="2"/>
  <c r="AL33" i="3"/>
  <c r="R82" i="2"/>
  <c r="U16" i="3"/>
  <c r="X83" i="2"/>
  <c r="R45" i="2"/>
  <c r="I31" i="3"/>
  <c r="AO23" i="3"/>
  <c r="N18" i="3"/>
  <c r="V40" i="2"/>
  <c r="I37" i="3"/>
  <c r="X16" i="3"/>
  <c r="Z5" i="3"/>
  <c r="K113" i="2"/>
  <c r="S53" i="2"/>
  <c r="E104" i="2"/>
  <c r="AO37" i="3"/>
  <c r="AB14" i="3"/>
  <c r="J31" i="3"/>
  <c r="O93" i="2"/>
  <c r="T25" i="3"/>
  <c r="G59" i="2"/>
  <c r="E70" i="2"/>
  <c r="W5" i="3"/>
  <c r="R33" i="3"/>
  <c r="U26" i="3"/>
  <c r="AI24" i="3"/>
  <c r="H85" i="2"/>
  <c r="F95" i="2"/>
  <c r="H60" i="2"/>
  <c r="S66" i="2"/>
  <c r="U68" i="2"/>
  <c r="G42" i="2"/>
  <c r="AB80" i="3"/>
  <c r="Z34" i="3"/>
  <c r="U48" i="2"/>
  <c r="Q11" i="3"/>
  <c r="AM19" i="3"/>
  <c r="Q112" i="2"/>
  <c r="L105" i="2"/>
  <c r="AD26" i="3"/>
  <c r="X17" i="3"/>
  <c r="N62" i="2"/>
  <c r="S41" i="2"/>
  <c r="AP87" i="3"/>
  <c r="Z7" i="3"/>
  <c r="AB34" i="3"/>
  <c r="K18" i="3"/>
  <c r="W33" i="3"/>
  <c r="AP26" i="3"/>
  <c r="AA20" i="3"/>
  <c r="I40" i="3"/>
  <c r="H61" i="2"/>
  <c r="I64" i="2"/>
  <c r="AE29" i="3"/>
  <c r="L69" i="2"/>
  <c r="I94" i="2"/>
  <c r="D105" i="2"/>
  <c r="Q53" i="2"/>
  <c r="Z19" i="3"/>
  <c r="AO5" i="3"/>
  <c r="S8" i="3"/>
  <c r="Q22" i="3"/>
  <c r="C89" i="2"/>
  <c r="I73" i="2"/>
  <c r="G39" i="3"/>
  <c r="K35" i="3"/>
  <c r="F78" i="2"/>
  <c r="L48" i="2"/>
  <c r="Y7" i="3"/>
  <c r="G85" i="2"/>
  <c r="L22" i="3"/>
  <c r="U41" i="2"/>
  <c r="AP34" i="3"/>
  <c r="AO31" i="3"/>
  <c r="AK23" i="3"/>
  <c r="AK9" i="3"/>
  <c r="T7" i="3"/>
  <c r="AG25" i="3"/>
  <c r="M83" i="2"/>
  <c r="N84" i="2"/>
  <c r="AI35" i="3"/>
  <c r="Q90" i="2"/>
  <c r="O96" i="2"/>
  <c r="V43" i="2"/>
  <c r="X104" i="2"/>
  <c r="AG17" i="3"/>
  <c r="F97" i="2"/>
  <c r="E105" i="2"/>
  <c r="W57" i="2"/>
  <c r="K41" i="3"/>
  <c r="L9" i="3"/>
  <c r="AH31" i="3"/>
  <c r="Q33" i="3"/>
  <c r="AD38" i="3"/>
  <c r="AM27" i="3"/>
  <c r="H20" i="3"/>
  <c r="N105" i="2"/>
  <c r="AN20" i="3"/>
  <c r="X43" i="2"/>
  <c r="Z29" i="3"/>
  <c r="N72" i="2"/>
  <c r="AE12" i="3"/>
  <c r="AM18" i="3"/>
  <c r="Q50" i="2"/>
  <c r="AD31" i="3"/>
  <c r="AQ15" i="3"/>
  <c r="T36" i="3"/>
  <c r="Y36" i="3"/>
  <c r="E60" i="2"/>
  <c r="AC41" i="3"/>
  <c r="E106" i="2"/>
  <c r="U23" i="3"/>
  <c r="V16" i="3"/>
  <c r="V68" i="2"/>
  <c r="P47" i="2"/>
  <c r="AO19" i="3"/>
  <c r="L27" i="3"/>
  <c r="X61" i="2"/>
  <c r="I50" i="2"/>
  <c r="G81" i="2"/>
  <c r="K86" i="2"/>
  <c r="C72" i="2"/>
  <c r="T63" i="2"/>
  <c r="L89" i="2"/>
  <c r="AE38" i="3"/>
  <c r="I79" i="2"/>
  <c r="C52" i="2"/>
  <c r="AH25" i="3"/>
  <c r="AN16" i="3"/>
  <c r="V72" i="2"/>
  <c r="L73" i="2"/>
  <c r="P58" i="2"/>
  <c r="M69" i="2"/>
  <c r="C55" i="2"/>
  <c r="T67" i="2"/>
  <c r="V66" i="2"/>
  <c r="S59" i="2"/>
  <c r="H89" i="2"/>
  <c r="V85" i="2"/>
  <c r="Y13" i="3"/>
  <c r="K46" i="2"/>
  <c r="X85" i="2"/>
  <c r="S15" i="3"/>
  <c r="C66" i="2"/>
  <c r="AM32" i="3"/>
  <c r="Q41" i="3"/>
  <c r="C16" i="3"/>
  <c r="M95" i="2"/>
  <c r="AE10" i="3"/>
  <c r="X98" i="2"/>
  <c r="V94" i="2"/>
  <c r="W77" i="2"/>
  <c r="Y14" i="3"/>
  <c r="AB55" i="3"/>
  <c r="P14" i="3"/>
  <c r="K104" i="2"/>
  <c r="C99" i="2"/>
  <c r="U81" i="2"/>
  <c r="V58" i="2"/>
  <c r="V24" i="3"/>
  <c r="G98" i="2"/>
  <c r="R46" i="2"/>
  <c r="AQ22" i="3"/>
  <c r="AD32" i="3"/>
  <c r="R86" i="2"/>
  <c r="AQ28" i="3"/>
  <c r="AH18" i="3"/>
  <c r="C56" i="2"/>
  <c r="O108" i="2"/>
  <c r="L110" i="2"/>
  <c r="Q13" i="3"/>
  <c r="J45" i="2"/>
  <c r="J87" i="2"/>
  <c r="S86" i="2"/>
  <c r="O52" i="2"/>
  <c r="AL30" i="3"/>
  <c r="O13" i="3"/>
  <c r="M61" i="2"/>
  <c r="AM38" i="3"/>
  <c r="S44" i="2"/>
  <c r="AN11" i="3"/>
  <c r="Z25" i="3"/>
  <c r="U39" i="3"/>
  <c r="T66" i="2"/>
  <c r="AB72" i="3"/>
  <c r="V15" i="3"/>
  <c r="W21" i="3"/>
  <c r="M73" i="2"/>
  <c r="L60" i="2"/>
  <c r="F108" i="2"/>
  <c r="AC16" i="3"/>
  <c r="T41" i="2"/>
  <c r="P15" i="3"/>
  <c r="H44" i="2"/>
  <c r="AL26" i="3"/>
  <c r="R66" i="2"/>
  <c r="H107" i="2"/>
  <c r="AI27" i="3"/>
  <c r="Y40" i="3"/>
  <c r="Q37" i="3"/>
  <c r="F50" i="2"/>
  <c r="Q105" i="2"/>
  <c r="J86" i="2"/>
  <c r="S21" i="3"/>
  <c r="AB96" i="3"/>
  <c r="W86" i="2"/>
  <c r="AG12" i="3"/>
  <c r="I14" i="3"/>
  <c r="AL37" i="3"/>
  <c r="AL39" i="3"/>
  <c r="AN14" i="3"/>
  <c r="Y27" i="3"/>
  <c r="Z37" i="3"/>
  <c r="O58" i="2"/>
  <c r="N32" i="3"/>
  <c r="R12" i="3"/>
  <c r="AG18" i="3"/>
  <c r="T14" i="3"/>
  <c r="AD35" i="3"/>
  <c r="T52" i="2"/>
  <c r="T40" i="2"/>
  <c r="L63" i="2"/>
  <c r="M88" i="2"/>
  <c r="T40" i="3"/>
  <c r="N35" i="3"/>
  <c r="J21" i="3"/>
  <c r="AJ26" i="3"/>
  <c r="L19" i="3"/>
  <c r="U94" i="2"/>
  <c r="C30" i="3"/>
  <c r="Q51" i="2"/>
  <c r="C11" i="3"/>
  <c r="I26" i="3"/>
  <c r="D45" i="2"/>
  <c r="M15" i="3"/>
  <c r="AB38" i="3"/>
  <c r="AP11" i="3"/>
  <c r="I66" i="2"/>
  <c r="C47" i="2"/>
  <c r="AC12" i="3"/>
  <c r="G71" i="2"/>
  <c r="P60" i="2"/>
  <c r="R79" i="2"/>
  <c r="AB36" i="3"/>
  <c r="F60" i="2"/>
  <c r="C88" i="2"/>
  <c r="AJ42" i="3"/>
  <c r="E53" i="2"/>
  <c r="AH8" i="3"/>
  <c r="Y29" i="3"/>
  <c r="K106" i="2"/>
  <c r="AP27" i="3"/>
  <c r="X72" i="2"/>
  <c r="T106" i="2"/>
  <c r="W95" i="2"/>
  <c r="P49" i="2"/>
  <c r="F113" i="2"/>
  <c r="C40" i="2"/>
  <c r="N14" i="3"/>
  <c r="X23" i="3"/>
  <c r="Z30" i="3"/>
  <c r="G94" i="2"/>
  <c r="S95" i="2"/>
  <c r="AH19" i="3"/>
  <c r="R110" i="2"/>
  <c r="M76" i="2"/>
  <c r="AO21" i="3"/>
  <c r="K39" i="3"/>
  <c r="AN28" i="3"/>
  <c r="M33" i="3"/>
  <c r="S90" i="2"/>
  <c r="U89" i="2"/>
  <c r="C91" i="2"/>
  <c r="AB83" i="3"/>
  <c r="AC21" i="3"/>
  <c r="L58" i="2"/>
  <c r="W88" i="2"/>
  <c r="H56" i="2"/>
  <c r="E52" i="2"/>
  <c r="L34" i="3"/>
  <c r="D86" i="2"/>
  <c r="AP55" i="3"/>
  <c r="AC40" i="3"/>
  <c r="H62" i="2"/>
  <c r="M112" i="2"/>
  <c r="W105" i="2"/>
  <c r="S46" i="2"/>
  <c r="AO39" i="3"/>
  <c r="H47" i="2"/>
  <c r="H74" i="2"/>
  <c r="K42" i="3"/>
  <c r="X70" i="2"/>
  <c r="C79" i="2"/>
  <c r="C71" i="2"/>
  <c r="T55" i="2"/>
  <c r="E58" i="2"/>
  <c r="J78" i="2"/>
  <c r="K89" i="2"/>
  <c r="AN35" i="3"/>
  <c r="J5" i="3"/>
  <c r="R14" i="3"/>
  <c r="V46" i="2"/>
  <c r="L40" i="2"/>
  <c r="Q61" i="2"/>
  <c r="N29" i="3"/>
  <c r="T93" i="2"/>
  <c r="T80" i="2"/>
  <c r="E51" i="2"/>
  <c r="V8" i="3"/>
  <c r="AB56" i="3"/>
  <c r="AB64" i="3"/>
  <c r="G60" i="2"/>
  <c r="T16" i="3"/>
  <c r="AN41" i="3"/>
  <c r="O6" i="3"/>
  <c r="I106" i="2"/>
  <c r="C35" i="3"/>
  <c r="Q79" i="2"/>
  <c r="N55" i="2"/>
  <c r="AA41" i="3"/>
  <c r="AB26" i="3"/>
  <c r="AP42" i="3"/>
  <c r="T35" i="3"/>
  <c r="T50" i="2"/>
  <c r="AM30" i="3"/>
  <c r="P25" i="3"/>
  <c r="R58" i="2"/>
  <c r="U12" i="3"/>
  <c r="P91" i="2"/>
  <c r="M12" i="3"/>
  <c r="Y10" i="3"/>
  <c r="C96" i="2"/>
  <c r="F54" i="2"/>
  <c r="Q38" i="3"/>
  <c r="X93" i="2"/>
  <c r="I52" i="2"/>
  <c r="AK7" i="3"/>
  <c r="C33" i="3"/>
  <c r="Q60" i="2"/>
  <c r="G32" i="3"/>
  <c r="C6" i="3"/>
  <c r="L5" i="3"/>
  <c r="K53" i="2"/>
  <c r="I107" i="2"/>
  <c r="AH16" i="3"/>
  <c r="Q62" i="2"/>
  <c r="W12" i="3"/>
  <c r="AP93" i="3"/>
  <c r="T71" i="2"/>
  <c r="J58" i="2"/>
  <c r="AP71" i="3"/>
  <c r="C58" i="2"/>
  <c r="W107" i="2"/>
  <c r="N96" i="2"/>
  <c r="K20" i="3"/>
  <c r="I97" i="2"/>
  <c r="X53" i="2"/>
  <c r="K109" i="2"/>
  <c r="S13" i="3"/>
  <c r="J46" i="2"/>
  <c r="G53" i="2"/>
  <c r="C67" i="2"/>
  <c r="F80" i="2"/>
  <c r="I77" i="2"/>
  <c r="K52" i="2"/>
  <c r="H106" i="2"/>
  <c r="AI18" i="3"/>
  <c r="R95" i="2"/>
  <c r="AN21" i="3"/>
  <c r="G38" i="3"/>
  <c r="U40" i="2"/>
  <c r="W42" i="2"/>
  <c r="E81" i="2"/>
  <c r="O49" i="2"/>
  <c r="H80" i="2"/>
  <c r="J74" i="2"/>
  <c r="G88" i="2"/>
  <c r="P32" i="3"/>
  <c r="Y34" i="3"/>
  <c r="G49" i="2"/>
  <c r="P5" i="3"/>
  <c r="AC32" i="3"/>
  <c r="K94" i="2"/>
  <c r="P106" i="2"/>
  <c r="AB61" i="3"/>
  <c r="AA9" i="3"/>
  <c r="S58" i="2"/>
  <c r="AE24" i="3"/>
  <c r="N87" i="2"/>
  <c r="W18" i="3"/>
  <c r="H109" i="2"/>
  <c r="P38" i="3"/>
  <c r="AO26" i="3"/>
  <c r="AP18" i="3"/>
  <c r="D51" i="2"/>
  <c r="L17" i="3"/>
  <c r="V30" i="3"/>
  <c r="Q43" i="2"/>
  <c r="D74" i="2"/>
  <c r="H40" i="2"/>
  <c r="L11" i="3"/>
  <c r="R97" i="2"/>
  <c r="AO7" i="3"/>
  <c r="H40" i="3"/>
  <c r="AB92" i="3"/>
  <c r="W111" i="2"/>
  <c r="D69" i="2"/>
  <c r="O57" i="2"/>
  <c r="F53" i="2"/>
  <c r="D50" i="3"/>
  <c r="T29" i="3"/>
  <c r="J29" i="3"/>
  <c r="AM36" i="3"/>
  <c r="E88" i="2"/>
  <c r="AH32" i="3"/>
  <c r="R18" i="3"/>
  <c r="Q39" i="3"/>
  <c r="T20" i="3"/>
  <c r="G55" i="2"/>
  <c r="X22" i="3"/>
  <c r="X46" i="2"/>
  <c r="AB73" i="3"/>
  <c r="U62" i="2"/>
  <c r="J77" i="2"/>
  <c r="Y17" i="3"/>
  <c r="C15" i="3"/>
  <c r="AA17" i="3"/>
  <c r="H95" i="2"/>
  <c r="M63" i="2"/>
  <c r="D54" i="2"/>
  <c r="R75" i="2"/>
  <c r="W73" i="2"/>
  <c r="X78" i="2"/>
  <c r="O21" i="3"/>
  <c r="V19" i="3"/>
  <c r="AA27" i="3"/>
  <c r="V39" i="3"/>
  <c r="S64" i="2"/>
  <c r="T32" i="3"/>
  <c r="P11" i="3"/>
  <c r="P12" i="3"/>
  <c r="C60" i="2"/>
  <c r="O95" i="2"/>
  <c r="K72" i="2"/>
  <c r="O48" i="2"/>
  <c r="AP82" i="3"/>
  <c r="J96" i="2"/>
  <c r="R105" i="2"/>
  <c r="C22" i="3"/>
  <c r="AI12" i="3"/>
  <c r="AA18" i="3"/>
  <c r="N78" i="2"/>
  <c r="AO40" i="3"/>
  <c r="H41" i="2"/>
  <c r="H10" i="3"/>
  <c r="M57" i="2"/>
  <c r="C87" i="2"/>
  <c r="H66" i="2"/>
  <c r="M10" i="3"/>
  <c r="X12" i="3"/>
  <c r="J69" i="2"/>
  <c r="O32" i="3"/>
  <c r="L42" i="2"/>
  <c r="O104" i="2"/>
  <c r="AG37" i="3"/>
  <c r="S106" i="2"/>
  <c r="AG11" i="3"/>
  <c r="R37" i="3"/>
  <c r="AD39" i="3"/>
  <c r="H81" i="2"/>
  <c r="J64" i="2"/>
  <c r="H53" i="2"/>
  <c r="M46" i="2"/>
  <c r="G105" i="2"/>
  <c r="AO9" i="3"/>
  <c r="S104" i="2"/>
  <c r="H35" i="3"/>
  <c r="R112" i="2"/>
  <c r="F104" i="2"/>
  <c r="AP67" i="3"/>
  <c r="AD50" i="3"/>
  <c r="AQ30" i="3"/>
  <c r="J20" i="3"/>
  <c r="I88" i="2"/>
  <c r="Q111" i="2"/>
  <c r="K96" i="2"/>
  <c r="O94" i="2"/>
  <c r="V36" i="3"/>
  <c r="AP97" i="3"/>
  <c r="J55" i="2"/>
  <c r="V12" i="3"/>
  <c r="T57" i="2"/>
  <c r="S65" i="2"/>
  <c r="G96" i="2"/>
  <c r="I21" i="3"/>
  <c r="AN26" i="3"/>
  <c r="AO8" i="3"/>
  <c r="X19" i="3"/>
  <c r="X87" i="2"/>
  <c r="X39" i="3"/>
  <c r="U73" i="2"/>
  <c r="W85" i="2"/>
  <c r="Y39" i="3"/>
  <c r="V50" i="2"/>
  <c r="W29" i="3"/>
  <c r="P75" i="2"/>
  <c r="Q15" i="3"/>
  <c r="AM16" i="3"/>
  <c r="U88" i="2"/>
  <c r="N33" i="3"/>
  <c r="O5" i="3"/>
  <c r="M40" i="3"/>
  <c r="AB88" i="3"/>
  <c r="T48" i="2"/>
  <c r="J34" i="3"/>
  <c r="U21" i="3"/>
  <c r="L6" i="3"/>
  <c r="AI29" i="3"/>
  <c r="Y37" i="3"/>
  <c r="C31" i="3"/>
  <c r="U95" i="2"/>
  <c r="AB70" i="3"/>
  <c r="O72" i="2"/>
  <c r="U54" i="2"/>
  <c r="S28" i="3"/>
  <c r="Z40" i="3"/>
  <c r="AD49" i="3"/>
  <c r="AO12" i="3"/>
  <c r="K91" i="2"/>
  <c r="J104" i="2"/>
  <c r="D104" i="2"/>
  <c r="N108" i="2"/>
  <c r="W108" i="2"/>
  <c r="O109" i="2"/>
  <c r="D107" i="2"/>
  <c r="H36" i="3"/>
  <c r="AP15" i="3"/>
  <c r="AQ23" i="3"/>
  <c r="W54" i="2"/>
  <c r="AC42" i="3"/>
  <c r="M93" i="2"/>
  <c r="AG29" i="3"/>
  <c r="G74" i="2"/>
  <c r="N63" i="2"/>
  <c r="S43" i="2"/>
  <c r="X91" i="2"/>
  <c r="AN29" i="3"/>
  <c r="S98" i="2"/>
  <c r="E96" i="2"/>
  <c r="U11" i="3"/>
  <c r="W24" i="3"/>
  <c r="P19" i="3"/>
  <c r="C105" i="2"/>
  <c r="AQ7" i="3"/>
  <c r="AP49" i="3"/>
  <c r="M17" i="3"/>
  <c r="V89" i="2"/>
  <c r="AL23" i="3"/>
  <c r="I25" i="3"/>
  <c r="AA26" i="3"/>
  <c r="M94" i="2"/>
  <c r="AD33" i="3"/>
  <c r="P86" i="2"/>
  <c r="K50" i="2"/>
  <c r="AB59" i="3"/>
  <c r="E98" i="2"/>
  <c r="O59" i="2"/>
  <c r="X27" i="3"/>
  <c r="L57" i="2"/>
  <c r="W36" i="3"/>
  <c r="L49" i="2"/>
  <c r="E72" i="2"/>
  <c r="AN18" i="3"/>
  <c r="AM9" i="3"/>
  <c r="J12" i="3"/>
  <c r="AI17" i="3"/>
  <c r="AM29" i="3"/>
  <c r="AN17" i="3"/>
  <c r="U40" i="3"/>
  <c r="U78" i="2"/>
  <c r="AD23" i="3"/>
  <c r="AB27" i="3"/>
  <c r="U112" i="2"/>
  <c r="D59" i="2"/>
  <c r="AN12" i="3"/>
  <c r="W6" i="3"/>
  <c r="X86" i="2"/>
  <c r="AO32" i="3"/>
  <c r="E77" i="2"/>
  <c r="V86" i="2"/>
  <c r="M38" i="3"/>
  <c r="C90" i="2"/>
  <c r="V42" i="3"/>
  <c r="N31" i="3"/>
  <c r="U43" i="2"/>
  <c r="AI16" i="3"/>
  <c r="AP25" i="3"/>
  <c r="Z14" i="3"/>
  <c r="X14" i="3"/>
  <c r="K60" i="2"/>
  <c r="K47" i="2"/>
  <c r="AI20" i="3"/>
  <c r="I110" i="2"/>
  <c r="N41" i="2"/>
  <c r="AH12" i="3"/>
  <c r="I28" i="3"/>
  <c r="M50" i="2"/>
  <c r="J10" i="3"/>
  <c r="AB23" i="3"/>
  <c r="AP17" i="3"/>
  <c r="AI25" i="3"/>
  <c r="AL42" i="3"/>
  <c r="W31" i="3"/>
  <c r="N61" i="2"/>
  <c r="N66" i="2"/>
  <c r="J17" i="3"/>
  <c r="Q83" i="2"/>
  <c r="Y25" i="3"/>
  <c r="G54" i="2"/>
  <c r="R51" i="2"/>
  <c r="N79" i="2"/>
  <c r="W106" i="2"/>
  <c r="AM17" i="3"/>
  <c r="M74" i="2"/>
  <c r="N85" i="2"/>
  <c r="L84" i="2"/>
  <c r="Q86" i="2"/>
  <c r="K48" i="2"/>
  <c r="T74" i="2"/>
  <c r="X10" i="3"/>
  <c r="I42" i="2"/>
  <c r="O28" i="3"/>
  <c r="P6" i="3"/>
  <c r="P17" i="3"/>
  <c r="P84" i="2"/>
  <c r="U42" i="3"/>
  <c r="O51" i="2"/>
  <c r="Q82" i="2"/>
  <c r="K81" i="2"/>
  <c r="O14" i="3"/>
  <c r="G67" i="2"/>
  <c r="G46" i="2"/>
  <c r="S68" i="2"/>
  <c r="AC18" i="3"/>
  <c r="O40" i="2"/>
  <c r="J79" i="2"/>
  <c r="AM20" i="3"/>
  <c r="U106" i="2"/>
  <c r="H12" i="3"/>
  <c r="Q99" i="2"/>
  <c r="E111" i="2"/>
  <c r="V28" i="3"/>
  <c r="X62" i="2"/>
  <c r="U56" i="2"/>
  <c r="F69" i="2"/>
  <c r="Y5" i="3"/>
  <c r="C43" i="2"/>
  <c r="X95" i="2"/>
  <c r="I6" i="3"/>
  <c r="R98" i="2"/>
  <c r="P24" i="3"/>
  <c r="AL19" i="3"/>
  <c r="AN36" i="3"/>
  <c r="S88" i="2"/>
  <c r="O70" i="2"/>
  <c r="W40" i="2"/>
  <c r="O63" i="2"/>
  <c r="L36" i="3"/>
  <c r="H39" i="3"/>
  <c r="AB48" i="3"/>
  <c r="L87" i="2"/>
  <c r="N23" i="3"/>
  <c r="M21" i="3"/>
  <c r="AD27" i="3"/>
  <c r="O90" i="2"/>
  <c r="P93" i="2"/>
  <c r="H68" i="2"/>
  <c r="U22" i="3"/>
  <c r="I45" i="2"/>
  <c r="AP13" i="3"/>
  <c r="AK33" i="3"/>
  <c r="D52" i="2"/>
  <c r="S105" i="2"/>
  <c r="AE25" i="3"/>
  <c r="AB25" i="3"/>
  <c r="G80" i="2"/>
  <c r="U51" i="2"/>
  <c r="M72" i="2"/>
  <c r="E86" i="2"/>
  <c r="AB89" i="3"/>
  <c r="W93" i="2"/>
  <c r="V108" i="2"/>
  <c r="S52" i="2"/>
  <c r="AE39" i="3"/>
  <c r="O84" i="2"/>
  <c r="N41" i="3"/>
  <c r="T59" i="2"/>
  <c r="U82" i="2"/>
  <c r="K28" i="3"/>
  <c r="R91" i="2"/>
  <c r="M31" i="3"/>
  <c r="K7" i="3"/>
  <c r="X52" i="2"/>
  <c r="AB28" i="3"/>
  <c r="AD20" i="3"/>
  <c r="W37" i="3"/>
  <c r="AN32" i="3"/>
  <c r="E49" i="3"/>
  <c r="U47" i="2"/>
  <c r="S35" i="3"/>
  <c r="I38" i="3"/>
  <c r="AP76" i="3"/>
  <c r="AA25" i="3"/>
  <c r="C54" i="2"/>
  <c r="AD19" i="3"/>
  <c r="E41" i="2"/>
  <c r="T18" i="3"/>
  <c r="Q74" i="2"/>
  <c r="N9" i="3"/>
  <c r="S34" i="3"/>
  <c r="I61" i="2"/>
  <c r="C85" i="2"/>
  <c r="P41" i="2"/>
  <c r="L47" i="2"/>
  <c r="V35" i="3"/>
  <c r="AG22" i="3"/>
  <c r="Y20" i="3"/>
  <c r="AL11" i="3"/>
  <c r="AE19" i="3"/>
  <c r="F63" i="2"/>
  <c r="P29" i="3"/>
  <c r="G56" i="2"/>
  <c r="AI38" i="3"/>
  <c r="Q67" i="2"/>
  <c r="X6" i="3"/>
  <c r="AQ20" i="3"/>
  <c r="I53" i="2"/>
  <c r="AC17" i="3"/>
  <c r="AH37" i="3"/>
  <c r="O110" i="2"/>
  <c r="L77" i="2"/>
  <c r="AA37" i="3"/>
  <c r="AJ30" i="3"/>
  <c r="AE7" i="3"/>
  <c r="M27" i="3"/>
  <c r="U64" i="2"/>
  <c r="O9" i="3"/>
  <c r="M75" i="2"/>
  <c r="AC15" i="3"/>
  <c r="I108" i="2"/>
  <c r="Q63" i="2"/>
  <c r="G47" i="2"/>
  <c r="AO14" i="3"/>
  <c r="P78" i="2"/>
  <c r="J67" i="2"/>
  <c r="AA39" i="3"/>
  <c r="Q30" i="3"/>
  <c r="AJ34" i="3"/>
  <c r="P30" i="3"/>
  <c r="R40" i="3"/>
  <c r="P39" i="3"/>
  <c r="V67" i="2"/>
  <c r="W32" i="3"/>
  <c r="W41" i="3"/>
  <c r="AA15" i="3"/>
  <c r="N48" i="2"/>
  <c r="M82" i="2"/>
  <c r="E66" i="2"/>
  <c r="T107" i="2"/>
  <c r="Q23" i="3"/>
  <c r="AO34" i="3"/>
  <c r="R13" i="3"/>
  <c r="F51" i="2"/>
  <c r="K98" i="2"/>
  <c r="E76" i="2"/>
  <c r="I54" i="2"/>
  <c r="C110" i="2"/>
  <c r="R89" i="2"/>
  <c r="U42" i="2"/>
  <c r="M42" i="2"/>
  <c r="S16" i="3"/>
  <c r="M56" i="2"/>
  <c r="O41" i="3"/>
  <c r="P18" i="3"/>
  <c r="M40" i="2"/>
  <c r="AE11" i="3"/>
  <c r="H21" i="3"/>
  <c r="X96" i="2"/>
  <c r="C48" i="3"/>
  <c r="X75" i="2"/>
  <c r="D68" i="2"/>
  <c r="AM37" i="3"/>
  <c r="H43" i="2"/>
  <c r="AJ21" i="3"/>
  <c r="Q94" i="2"/>
  <c r="K88" i="2"/>
  <c r="Q25" i="3"/>
  <c r="S50" i="2"/>
  <c r="N90" i="2"/>
  <c r="M77" i="2"/>
  <c r="AI33" i="3"/>
  <c r="S109" i="2"/>
  <c r="AO36" i="3"/>
  <c r="Y24" i="3"/>
  <c r="O55" i="2"/>
  <c r="G108" i="2"/>
  <c r="N57" i="2"/>
  <c r="S18" i="3"/>
  <c r="F70" i="2"/>
  <c r="C81" i="2"/>
  <c r="S11" i="3"/>
  <c r="U24" i="3"/>
  <c r="Q34" i="3"/>
  <c r="F58" i="2"/>
  <c r="O66" i="2"/>
  <c r="T84" i="2"/>
  <c r="X9" i="3"/>
  <c r="U60" i="2"/>
  <c r="W35" i="3"/>
  <c r="J106" i="2"/>
  <c r="M91" i="2"/>
  <c r="AP91" i="3"/>
  <c r="AP29" i="3"/>
  <c r="P95" i="2"/>
  <c r="AB7" i="3"/>
  <c r="T113" i="2"/>
  <c r="X38" i="3"/>
  <c r="AP39" i="3"/>
  <c r="AK39" i="3"/>
  <c r="W25" i="3"/>
  <c r="X44" i="2"/>
  <c r="C83" i="2"/>
  <c r="P54" i="2"/>
  <c r="Q44" i="2"/>
  <c r="AH27" i="3"/>
  <c r="AH28" i="3"/>
  <c r="J94" i="2"/>
  <c r="L83" i="2"/>
  <c r="H91" i="2"/>
  <c r="P42" i="2"/>
  <c r="AB30" i="3"/>
  <c r="N47" i="2"/>
  <c r="K32" i="3"/>
  <c r="K29" i="3"/>
  <c r="R113" i="2"/>
  <c r="I17" i="3"/>
  <c r="T34" i="3"/>
  <c r="V106" i="2"/>
  <c r="C41" i="2"/>
  <c r="X60" i="2"/>
  <c r="R84" i="2"/>
  <c r="AP19" i="3"/>
  <c r="AI42" i="3"/>
  <c r="H92" i="2"/>
  <c r="V99" i="2"/>
  <c r="AI31" i="3"/>
  <c r="Q26" i="3"/>
  <c r="S85" i="2"/>
  <c r="AA13" i="3"/>
  <c r="D71" i="2"/>
  <c r="N27" i="3"/>
  <c r="AA21" i="3"/>
  <c r="I86" i="2"/>
  <c r="AG34" i="3"/>
  <c r="E68" i="2"/>
  <c r="AL38" i="3"/>
  <c r="K36" i="3"/>
  <c r="AP63" i="3"/>
  <c r="AG32" i="3"/>
  <c r="K6" i="3"/>
  <c r="J56" i="2"/>
  <c r="AI23" i="3"/>
  <c r="S17" i="3"/>
  <c r="F43" i="2"/>
  <c r="H14" i="3"/>
  <c r="X108" i="2"/>
  <c r="L10" i="3"/>
  <c r="H18" i="3"/>
  <c r="I48" i="2"/>
  <c r="V65" i="2"/>
  <c r="AL31" i="3"/>
  <c r="AQ13" i="3"/>
  <c r="O87" i="2"/>
  <c r="AI10" i="3"/>
  <c r="AN42" i="3"/>
  <c r="AM33" i="3"/>
  <c r="Q106" i="2"/>
  <c r="AC8" i="3"/>
  <c r="M60" i="2"/>
  <c r="H71" i="2"/>
  <c r="V48" i="2"/>
  <c r="M23" i="3"/>
  <c r="AH6" i="3"/>
  <c r="N70" i="2"/>
  <c r="J98" i="2"/>
  <c r="U97" i="2"/>
  <c r="K108" i="2"/>
  <c r="L54" i="2"/>
  <c r="C104" i="2"/>
  <c r="E57" i="2"/>
  <c r="AL13" i="3"/>
  <c r="AI14" i="3"/>
  <c r="R74" i="2"/>
  <c r="K58" i="2"/>
  <c r="D66" i="2"/>
  <c r="AD28" i="3"/>
  <c r="W16" i="3"/>
  <c r="V93" i="2"/>
  <c r="E85" i="2"/>
  <c r="N68" i="2"/>
  <c r="N83" i="2"/>
  <c r="O39" i="3"/>
  <c r="G87" i="2"/>
  <c r="Q40" i="3"/>
  <c r="V49" i="2"/>
  <c r="D42" i="2"/>
  <c r="AG20" i="3"/>
  <c r="R50" i="2"/>
  <c r="O38" i="3"/>
  <c r="J95" i="2"/>
  <c r="C7" i="3"/>
  <c r="M64" i="2"/>
  <c r="H46" i="2"/>
  <c r="U10" i="3"/>
  <c r="C25" i="3"/>
  <c r="X94" i="2"/>
  <c r="O33" i="3"/>
  <c r="AN30" i="3"/>
  <c r="G50" i="2"/>
  <c r="G49" i="3"/>
  <c r="P43" i="2"/>
  <c r="O53" i="2"/>
  <c r="I98" i="2"/>
  <c r="X47" i="2"/>
  <c r="P64" i="2"/>
  <c r="J35" i="3"/>
  <c r="AC35" i="3"/>
  <c r="U111" i="2"/>
  <c r="U98" i="2"/>
  <c r="Y30" i="3"/>
  <c r="L42" i="3"/>
  <c r="AP73" i="3"/>
  <c r="D40" i="2"/>
  <c r="K67" i="2"/>
  <c r="S67" i="2"/>
  <c r="AA35" i="3"/>
  <c r="AM11" i="3"/>
  <c r="AE26" i="3"/>
  <c r="AI22" i="3"/>
  <c r="E82" i="2"/>
  <c r="AA11" i="3"/>
  <c r="V78" i="2"/>
  <c r="M86" i="2"/>
  <c r="M24" i="3"/>
  <c r="BH159" i="1" l="1"/>
  <c r="B146" i="1"/>
  <c r="B140" i="1"/>
  <c r="B168" i="1" s="1"/>
  <c r="U185" i="1"/>
  <c r="D132" i="1"/>
  <c r="K178" i="1"/>
  <c r="M138" i="1"/>
  <c r="T88" i="1"/>
  <c r="M159" i="1"/>
  <c r="M194" i="1" s="1"/>
  <c r="U160" i="1"/>
  <c r="E186" i="1"/>
  <c r="W136" i="1"/>
  <c r="K174" i="1"/>
  <c r="T164" i="1"/>
  <c r="L138" i="1"/>
  <c r="F178" i="1"/>
  <c r="L132" i="1"/>
  <c r="C132" i="1"/>
  <c r="E151" i="1"/>
  <c r="N93" i="1"/>
  <c r="N138" i="1"/>
  <c r="S146" i="1"/>
  <c r="W184" i="1"/>
  <c r="U178" i="1"/>
  <c r="W150" i="1"/>
  <c r="T147" i="1"/>
  <c r="S81" i="1"/>
  <c r="R147" i="1"/>
  <c r="H157" i="1"/>
  <c r="L93" i="1"/>
  <c r="C92" i="1"/>
  <c r="V87" i="1"/>
  <c r="M169" i="1"/>
  <c r="B93" i="1"/>
  <c r="B141" i="1"/>
  <c r="D159" i="1"/>
  <c r="D194" i="1" s="1"/>
  <c r="O136" i="1"/>
  <c r="R185" i="1"/>
  <c r="B185" i="1"/>
  <c r="Q163" i="1"/>
  <c r="D174" i="1"/>
  <c r="P138" i="1"/>
  <c r="J146" i="1"/>
  <c r="I151" i="1"/>
  <c r="F164" i="1"/>
  <c r="J147" i="1"/>
  <c r="H160" i="1"/>
  <c r="W167" i="1"/>
  <c r="G158" i="1"/>
  <c r="G193" i="1" s="1"/>
  <c r="R167" i="1"/>
  <c r="R197" i="1" s="1"/>
  <c r="K151" i="1"/>
  <c r="N163" i="1"/>
  <c r="G186" i="1"/>
  <c r="J91" i="1"/>
  <c r="V165" i="1"/>
  <c r="U136" i="1"/>
  <c r="W87" i="1"/>
  <c r="T93" i="1"/>
  <c r="P164" i="1"/>
  <c r="B160" i="1"/>
  <c r="G159" i="1"/>
  <c r="G194" i="1" s="1"/>
  <c r="O159" i="1"/>
  <c r="O194" i="1" s="1"/>
  <c r="P157" i="1"/>
  <c r="C88" i="1"/>
  <c r="T92" i="1"/>
  <c r="M146" i="1"/>
  <c r="T184" i="1"/>
  <c r="I185" i="1"/>
  <c r="D139" i="1"/>
  <c r="F158" i="1"/>
  <c r="F193" i="1" s="1"/>
  <c r="V160" i="1"/>
  <c r="O141" i="1"/>
  <c r="F160" i="1"/>
  <c r="J159" i="1"/>
  <c r="J194" i="1" s="1"/>
  <c r="B164" i="1"/>
  <c r="M151" i="1"/>
  <c r="F147" i="1"/>
  <c r="L151" i="1"/>
  <c r="F174" i="1"/>
  <c r="G136" i="1"/>
  <c r="D140" i="1"/>
  <c r="D168" i="1" s="1"/>
  <c r="S169" i="1"/>
  <c r="C131" i="1"/>
  <c r="I136" i="1"/>
  <c r="O139" i="1"/>
  <c r="J178" i="1"/>
  <c r="W174" i="1"/>
  <c r="F149" i="1"/>
  <c r="F145" i="1" s="1"/>
  <c r="D87" i="1"/>
  <c r="S177" i="1"/>
  <c r="R132" i="1"/>
  <c r="K132" i="1"/>
  <c r="J157" i="1"/>
  <c r="Q150" i="1"/>
  <c r="H186" i="1"/>
  <c r="W161" i="1"/>
  <c r="H173" i="1"/>
  <c r="C150" i="1"/>
  <c r="J131" i="1"/>
  <c r="M167" i="1"/>
  <c r="M197" i="1" s="1"/>
  <c r="F132" i="1"/>
  <c r="L147" i="1"/>
  <c r="O81" i="1"/>
  <c r="E136" i="1"/>
  <c r="C173" i="1"/>
  <c r="F151" i="1"/>
  <c r="W149" i="1"/>
  <c r="W145" i="1" s="1"/>
  <c r="O165" i="1"/>
  <c r="O169" i="1"/>
  <c r="C91" i="1"/>
  <c r="M154" i="1"/>
  <c r="L141" i="1"/>
  <c r="M81" i="1"/>
  <c r="E159" i="1"/>
  <c r="E194" i="1" s="1"/>
  <c r="T81" i="1"/>
  <c r="C141" i="1"/>
  <c r="G169" i="1"/>
  <c r="D157" i="1"/>
  <c r="K91" i="1"/>
  <c r="S165" i="1"/>
  <c r="T133" i="1"/>
  <c r="N151" i="1"/>
  <c r="I164" i="1"/>
  <c r="P163" i="1"/>
  <c r="F184" i="1"/>
  <c r="T149" i="1"/>
  <c r="T145" i="1" s="1"/>
  <c r="Q92" i="1"/>
  <c r="U150" i="1"/>
  <c r="Q136" i="1"/>
  <c r="G146" i="1"/>
  <c r="H81" i="1"/>
  <c r="V149" i="1"/>
  <c r="V145" i="1" s="1"/>
  <c r="V147" i="1"/>
  <c r="B161" i="1"/>
  <c r="E184" i="1"/>
  <c r="R141" i="1"/>
  <c r="H164" i="1"/>
  <c r="B174" i="1"/>
  <c r="U159" i="1"/>
  <c r="U194" i="1" s="1"/>
  <c r="U93" i="1"/>
  <c r="S87" i="1"/>
  <c r="B81" i="1"/>
  <c r="J184" i="1"/>
  <c r="D88" i="1"/>
  <c r="S149" i="1"/>
  <c r="S145" i="1" s="1"/>
  <c r="C151" i="1"/>
  <c r="P149" i="1"/>
  <c r="P145" i="1" s="1"/>
  <c r="S186" i="1"/>
  <c r="L146" i="1"/>
  <c r="N165" i="1"/>
  <c r="O177" i="1"/>
  <c r="L150" i="1"/>
  <c r="P156" i="1"/>
  <c r="G91" i="1"/>
  <c r="V136" i="1"/>
  <c r="J174" i="1"/>
  <c r="G161" i="1"/>
  <c r="F161" i="1"/>
  <c r="C133" i="1"/>
  <c r="V158" i="1"/>
  <c r="V193" i="1" s="1"/>
  <c r="I177" i="1"/>
  <c r="L164" i="1"/>
  <c r="V81" i="1"/>
  <c r="C157" i="1"/>
  <c r="G93" i="1"/>
  <c r="F177" i="1"/>
  <c r="J87" i="1"/>
  <c r="I159" i="1"/>
  <c r="I194" i="1" s="1"/>
  <c r="G150" i="1"/>
  <c r="R81" i="1"/>
  <c r="W133" i="1"/>
  <c r="W140" i="1"/>
  <c r="W168" i="1" s="1"/>
  <c r="Q157" i="1"/>
  <c r="Q133" i="1"/>
  <c r="B77" i="1"/>
  <c r="D161" i="1"/>
  <c r="J169" i="1"/>
  <c r="B178" i="1"/>
  <c r="F167" i="1"/>
  <c r="F197" i="1" s="1"/>
  <c r="R165" i="1"/>
  <c r="R178" i="1"/>
  <c r="N160" i="1"/>
  <c r="R138" i="1"/>
  <c r="O186" i="1"/>
  <c r="F140" i="1"/>
  <c r="F168" i="1" s="1"/>
  <c r="G151" i="1"/>
  <c r="M177" i="1"/>
  <c r="M160" i="1"/>
  <c r="G132" i="1"/>
  <c r="R88" i="1"/>
  <c r="I139" i="1"/>
  <c r="E141" i="1"/>
  <c r="G138" i="1"/>
  <c r="O149" i="1"/>
  <c r="O145" i="1" s="1"/>
  <c r="P161" i="1"/>
  <c r="T186" i="1"/>
  <c r="F141" i="1"/>
  <c r="P132" i="1"/>
  <c r="S154" i="1"/>
  <c r="Q154" i="1"/>
  <c r="B173" i="1"/>
  <c r="B175" i="1" s="1"/>
  <c r="C223" i="1" s="1"/>
  <c r="C77" i="1"/>
  <c r="T91" i="1"/>
  <c r="S141" i="1"/>
  <c r="W139" i="1"/>
  <c r="L173" i="1"/>
  <c r="I149" i="1"/>
  <c r="I145" i="1" s="1"/>
  <c r="J154" i="1"/>
  <c r="K147" i="1"/>
  <c r="H136" i="1"/>
  <c r="N147" i="1"/>
  <c r="B159" i="1"/>
  <c r="B194" i="1" s="1"/>
  <c r="R173" i="1"/>
  <c r="B186" i="1"/>
  <c r="H140" i="1"/>
  <c r="H168" i="1" s="1"/>
  <c r="M88" i="1"/>
  <c r="E147" i="1"/>
  <c r="M173" i="1"/>
  <c r="D141" i="1"/>
  <c r="P92" i="1"/>
  <c r="B165" i="1"/>
  <c r="E160" i="1"/>
  <c r="L160" i="1"/>
  <c r="V174" i="1"/>
  <c r="W165" i="1"/>
  <c r="C185" i="1"/>
  <c r="M132" i="1"/>
  <c r="U186" i="1"/>
  <c r="L156" i="1"/>
  <c r="I184" i="1"/>
  <c r="C159" i="1"/>
  <c r="C194" i="1" s="1"/>
  <c r="N87" i="1"/>
  <c r="W92" i="1"/>
  <c r="K161" i="1"/>
  <c r="L185" i="1"/>
  <c r="M91" i="1"/>
  <c r="R131" i="1"/>
  <c r="F146" i="1"/>
  <c r="M149" i="1"/>
  <c r="M145" i="1" s="1"/>
  <c r="C147" i="1"/>
  <c r="N186" i="1"/>
  <c r="W141" i="1"/>
  <c r="H132" i="1"/>
  <c r="T87" i="1"/>
  <c r="J150" i="1"/>
  <c r="B150" i="1"/>
  <c r="L92" i="1"/>
  <c r="D156" i="1"/>
  <c r="Q156" i="1"/>
  <c r="L133" i="1"/>
  <c r="L178" i="1"/>
  <c r="G165" i="1"/>
  <c r="B167" i="1"/>
  <c r="B197" i="1" s="1"/>
  <c r="U138" i="1"/>
  <c r="D186" i="1"/>
  <c r="Q158" i="1"/>
  <c r="Q193" i="1" s="1"/>
  <c r="E92" i="1"/>
  <c r="I147" i="1"/>
  <c r="U87" i="1"/>
  <c r="W158" i="1"/>
  <c r="D163" i="1"/>
  <c r="D78" i="1"/>
  <c r="I88" i="1"/>
  <c r="N161" i="1"/>
  <c r="M178" i="1"/>
  <c r="U131" i="1"/>
  <c r="H133" i="1"/>
  <c r="I140" i="1"/>
  <c r="I168" i="1" s="1"/>
  <c r="D92" i="1"/>
  <c r="U141" i="1"/>
  <c r="S178" i="1"/>
  <c r="E167" i="1"/>
  <c r="E197" i="1" s="1"/>
  <c r="E133" i="1"/>
  <c r="V131" i="1"/>
  <c r="M185" i="1"/>
  <c r="P173" i="1"/>
  <c r="P175" i="1" s="1"/>
  <c r="Q223" i="1" s="1"/>
  <c r="E87" i="1"/>
  <c r="F163" i="1"/>
  <c r="I132" i="1"/>
  <c r="C87" i="1"/>
  <c r="U146" i="1"/>
  <c r="B78" i="1"/>
  <c r="T159" i="1"/>
  <c r="T194" i="1" s="1"/>
  <c r="C154" i="1"/>
  <c r="G154" i="1"/>
  <c r="D178" i="1"/>
  <c r="S140" i="1"/>
  <c r="S168" i="1" s="1"/>
  <c r="D150" i="1"/>
  <c r="N164" i="1"/>
  <c r="P87" i="1"/>
  <c r="T185" i="1"/>
  <c r="S131" i="1"/>
  <c r="M133" i="1"/>
  <c r="O133" i="1"/>
  <c r="J139" i="1"/>
  <c r="S91" i="1"/>
  <c r="S138" i="1"/>
  <c r="K157" i="1"/>
  <c r="L157" i="1"/>
  <c r="B149" i="1"/>
  <c r="D167" i="1"/>
  <c r="D197" i="1" s="1"/>
  <c r="R156" i="1"/>
  <c r="N81" i="1"/>
  <c r="B91" i="1"/>
  <c r="K177" i="1"/>
  <c r="H87" i="1"/>
  <c r="K141" i="1"/>
  <c r="B145" i="1"/>
  <c r="I157" i="1"/>
  <c r="K160" i="1"/>
  <c r="L87" i="1"/>
  <c r="P147" i="1"/>
  <c r="V164" i="1"/>
  <c r="V151" i="1"/>
  <c r="Q161" i="1"/>
  <c r="Q178" i="1"/>
  <c r="M93" i="1"/>
  <c r="R154" i="1"/>
  <c r="R136" i="1"/>
  <c r="Q186" i="1"/>
  <c r="Q138" i="1"/>
  <c r="P131" i="1"/>
  <c r="W151" i="1"/>
  <c r="P160" i="1"/>
  <c r="N146" i="1"/>
  <c r="V91" i="1"/>
  <c r="Q88" i="1"/>
  <c r="I150" i="1"/>
  <c r="C140" i="1"/>
  <c r="C168" i="1" s="1"/>
  <c r="D93" i="1"/>
  <c r="R158" i="1"/>
  <c r="R193" i="1" s="1"/>
  <c r="B92" i="1"/>
  <c r="V161" i="1"/>
  <c r="W132" i="1"/>
  <c r="O93" i="1"/>
  <c r="U163" i="1"/>
  <c r="F150" i="1"/>
  <c r="R163" i="1"/>
  <c r="F165" i="1"/>
  <c r="G141" i="1"/>
  <c r="K169" i="1"/>
  <c r="L131" i="1"/>
  <c r="W164" i="1"/>
  <c r="M165" i="1"/>
  <c r="J164" i="1"/>
  <c r="I158" i="1"/>
  <c r="I193" i="1" s="1"/>
  <c r="F186" i="1"/>
  <c r="D169" i="1"/>
  <c r="M157" i="1"/>
  <c r="K93" i="1"/>
  <c r="N149" i="1"/>
  <c r="N145" i="1" s="1"/>
  <c r="R92" i="1"/>
  <c r="R139" i="1"/>
  <c r="N136" i="1"/>
  <c r="G160" i="1"/>
  <c r="R186" i="1"/>
  <c r="D164" i="1"/>
  <c r="W185" i="1"/>
  <c r="U158" i="1"/>
  <c r="U193" i="1" s="1"/>
  <c r="T157" i="1"/>
  <c r="K158" i="1"/>
  <c r="K193" i="1" s="1"/>
  <c r="C167" i="1"/>
  <c r="C197" i="1" s="1"/>
  <c r="E164" i="1"/>
  <c r="H149" i="1"/>
  <c r="H145" i="1" s="1"/>
  <c r="G156" i="1"/>
  <c r="B169" i="1"/>
  <c r="J81" i="1"/>
  <c r="T178" i="1"/>
  <c r="F81" i="1"/>
  <c r="D154" i="1"/>
  <c r="Q87" i="1"/>
  <c r="T163" i="1"/>
  <c r="Q177" i="1"/>
  <c r="J156" i="1"/>
  <c r="T140" i="1"/>
  <c r="T168" i="1" s="1"/>
  <c r="T146" i="1"/>
  <c r="R177" i="1"/>
  <c r="B136" i="1"/>
  <c r="E139" i="1"/>
  <c r="E149" i="1"/>
  <c r="E145" i="1" s="1"/>
  <c r="G157" i="1"/>
  <c r="L165" i="1"/>
  <c r="J151" i="1"/>
  <c r="I160" i="1"/>
  <c r="C149" i="1"/>
  <c r="U167" i="1"/>
  <c r="U197" i="1" s="1"/>
  <c r="H163" i="1"/>
  <c r="F185" i="1"/>
  <c r="P186" i="1"/>
  <c r="V167" i="1"/>
  <c r="V197" i="1" s="1"/>
  <c r="T151" i="1"/>
  <c r="S160" i="1"/>
  <c r="H146" i="1"/>
  <c r="H138" i="1"/>
  <c r="Q147" i="1"/>
  <c r="L177" i="1"/>
  <c r="N156" i="1"/>
  <c r="U154" i="1"/>
  <c r="I146" i="1"/>
  <c r="W81" i="1"/>
  <c r="R150" i="1"/>
  <c r="B133" i="1"/>
  <c r="V184" i="1"/>
  <c r="I91" i="1"/>
  <c r="M161" i="1"/>
  <c r="E150" i="1"/>
  <c r="S150" i="1"/>
  <c r="K136" i="1"/>
  <c r="V92" i="1"/>
  <c r="P139" i="1"/>
  <c r="G163" i="1"/>
  <c r="S139" i="1"/>
  <c r="G184" i="1"/>
  <c r="V132" i="1"/>
  <c r="J132" i="1"/>
  <c r="V177" i="1"/>
  <c r="Q173" i="1"/>
  <c r="U139" i="1"/>
  <c r="H141" i="1"/>
  <c r="D184" i="1"/>
  <c r="F87" i="1"/>
  <c r="S92" i="1"/>
  <c r="Q164" i="1"/>
  <c r="T138" i="1"/>
  <c r="L159" i="1"/>
  <c r="L194" i="1" s="1"/>
  <c r="I93" i="1"/>
  <c r="C160" i="1"/>
  <c r="W156" i="1"/>
  <c r="G140" i="1"/>
  <c r="G168" i="1" s="1"/>
  <c r="P91" i="1"/>
  <c r="F169" i="1"/>
  <c r="H156" i="1"/>
  <c r="C158" i="1"/>
  <c r="C193" i="1" s="1"/>
  <c r="S173" i="1"/>
  <c r="K81" i="1"/>
  <c r="Q159" i="1"/>
  <c r="Q194" i="1" s="1"/>
  <c r="T136" i="1"/>
  <c r="I81" i="1"/>
  <c r="O161" i="1"/>
  <c r="B147" i="1"/>
  <c r="W88" i="1"/>
  <c r="O138" i="1"/>
  <c r="K159" i="1"/>
  <c r="K194" i="1" s="1"/>
  <c r="Q146" i="1"/>
  <c r="U81" i="1"/>
  <c r="W138" i="1"/>
  <c r="C177" i="1"/>
  <c r="K154" i="1"/>
  <c r="T174" i="1"/>
  <c r="N140" i="1"/>
  <c r="N168" i="1" s="1"/>
  <c r="B138" i="1"/>
  <c r="V141" i="1"/>
  <c r="C165" i="1"/>
  <c r="K138" i="1"/>
  <c r="U149" i="1"/>
  <c r="U145" i="1" s="1"/>
  <c r="E177" i="1"/>
  <c r="V185" i="1"/>
  <c r="Q184" i="1"/>
  <c r="M158" i="1"/>
  <c r="M193" i="1" s="1"/>
  <c r="E158" i="1"/>
  <c r="E193" i="1" s="1"/>
  <c r="D151" i="1"/>
  <c r="L174" i="1"/>
  <c r="S161" i="1"/>
  <c r="D131" i="1"/>
  <c r="U88" i="1"/>
  <c r="E156" i="1"/>
  <c r="J185" i="1"/>
  <c r="Q140" i="1"/>
  <c r="Q168" i="1" s="1"/>
  <c r="C78" i="1"/>
  <c r="Q93" i="1"/>
  <c r="N184" i="1"/>
  <c r="G131" i="1"/>
  <c r="J140" i="1"/>
  <c r="J168" i="1" s="1"/>
  <c r="M156" i="1"/>
  <c r="O131" i="1"/>
  <c r="P185" i="1"/>
  <c r="V156" i="1"/>
  <c r="M131" i="1"/>
  <c r="O174" i="1"/>
  <c r="R93" i="1"/>
  <c r="B132" i="1"/>
  <c r="V150" i="1"/>
  <c r="W160" i="1"/>
  <c r="S184" i="1"/>
  <c r="O173" i="1"/>
  <c r="H92" i="1"/>
  <c r="D160" i="1"/>
  <c r="R146" i="1"/>
  <c r="K131" i="1"/>
  <c r="L88" i="1"/>
  <c r="J138" i="1"/>
  <c r="S167" i="1"/>
  <c r="S197" i="1" s="1"/>
  <c r="V178" i="1"/>
  <c r="E91" i="1"/>
  <c r="T141" i="1"/>
  <c r="O91" i="1"/>
  <c r="B158" i="1"/>
  <c r="B193" i="1" s="1"/>
  <c r="L149" i="1"/>
  <c r="L145" i="1" s="1"/>
  <c r="L136" i="1"/>
  <c r="V140" i="1"/>
  <c r="V168" i="1" s="1"/>
  <c r="N91" i="1"/>
  <c r="R87" i="1"/>
  <c r="O156" i="1"/>
  <c r="U164" i="1"/>
  <c r="O167" i="1"/>
  <c r="O197" i="1" s="1"/>
  <c r="N132" i="1"/>
  <c r="G185" i="1"/>
  <c r="U161" i="1"/>
  <c r="R160" i="1"/>
  <c r="Q169" i="1"/>
  <c r="K133" i="1"/>
  <c r="P150" i="1"/>
  <c r="C156" i="1"/>
  <c r="U157" i="1"/>
  <c r="N178" i="1"/>
  <c r="P159" i="1"/>
  <c r="P194" i="1" s="1"/>
  <c r="G149" i="1"/>
  <c r="G145" i="1" s="1"/>
  <c r="M139" i="1"/>
  <c r="D77" i="1"/>
  <c r="C81" i="1"/>
  <c r="P158" i="1"/>
  <c r="P193" i="1" s="1"/>
  <c r="F139" i="1"/>
  <c r="E165" i="1"/>
  <c r="V138" i="1"/>
  <c r="U165" i="1"/>
  <c r="O140" i="1"/>
  <c r="O168" i="1" s="1"/>
  <c r="V173" i="1"/>
  <c r="K163" i="1"/>
  <c r="E132" i="1"/>
  <c r="E140" i="1"/>
  <c r="E168" i="1" s="1"/>
  <c r="V159" i="1"/>
  <c r="V194" i="1" s="1"/>
  <c r="R174" i="1"/>
  <c r="T154" i="1"/>
  <c r="U174" i="1"/>
  <c r="P165" i="1"/>
  <c r="I169" i="1"/>
  <c r="I173" i="1"/>
  <c r="K88" i="1"/>
  <c r="R157" i="1"/>
  <c r="O87" i="1"/>
  <c r="I138" i="1"/>
  <c r="K164" i="1"/>
  <c r="D133" i="1"/>
  <c r="N133" i="1"/>
  <c r="B177" i="1"/>
  <c r="H159" i="1"/>
  <c r="H194" i="1" s="1"/>
  <c r="K156" i="1"/>
  <c r="N169" i="1"/>
  <c r="D138" i="1"/>
  <c r="N154" i="1"/>
  <c r="J136" i="1"/>
  <c r="S156" i="1"/>
  <c r="T139" i="1"/>
  <c r="B154" i="1"/>
  <c r="Q141" i="1"/>
  <c r="Q81" i="1"/>
  <c r="P177" i="1"/>
  <c r="J161" i="1"/>
  <c r="I165" i="1"/>
  <c r="Q132" i="1"/>
  <c r="B156" i="1"/>
  <c r="W186" i="1"/>
  <c r="H88" i="1"/>
  <c r="R133" i="1"/>
  <c r="C169" i="1"/>
  <c r="L167" i="1"/>
  <c r="L197" i="1" s="1"/>
  <c r="P154" i="1"/>
  <c r="E154" i="1"/>
  <c r="T150" i="1"/>
  <c r="K139" i="1"/>
  <c r="P151" i="1"/>
  <c r="V154" i="1"/>
  <c r="E178" i="1"/>
  <c r="I161" i="1"/>
  <c r="W93" i="1"/>
  <c r="O92" i="1"/>
  <c r="N174" i="1"/>
  <c r="Q160" i="1"/>
  <c r="U133" i="1"/>
  <c r="D177" i="1"/>
  <c r="T131" i="1"/>
  <c r="H158" i="1"/>
  <c r="E185" i="1"/>
  <c r="O132" i="1"/>
  <c r="P140" i="1"/>
  <c r="P168" i="1" s="1"/>
  <c r="V88" i="1"/>
  <c r="E169" i="1"/>
  <c r="S163" i="1"/>
  <c r="Q139" i="1"/>
  <c r="M92" i="1"/>
  <c r="K150" i="1"/>
  <c r="R149" i="1"/>
  <c r="R145" i="1" s="1"/>
  <c r="E131" i="1"/>
  <c r="C146" i="1"/>
  <c r="Q91" i="1"/>
  <c r="O154" i="1"/>
  <c r="P216" i="1" s="1"/>
  <c r="B157" i="1"/>
  <c r="H165" i="1"/>
  <c r="V157" i="1"/>
  <c r="C136" i="1"/>
  <c r="K87" i="1"/>
  <c r="M87" i="1"/>
  <c r="L158" i="1"/>
  <c r="L193" i="1" s="1"/>
  <c r="M174" i="1"/>
  <c r="W147" i="1"/>
  <c r="H178" i="1"/>
  <c r="S132" i="1"/>
  <c r="S185" i="1"/>
  <c r="J93" i="1"/>
  <c r="K165" i="1"/>
  <c r="O151" i="1"/>
  <c r="O160" i="1"/>
  <c r="W169" i="1"/>
  <c r="I178" i="1"/>
  <c r="D147" i="1"/>
  <c r="S133" i="1"/>
  <c r="U156" i="1"/>
  <c r="S151" i="1"/>
  <c r="C178" i="1"/>
  <c r="F88" i="1"/>
  <c r="V133" i="1"/>
  <c r="G174" i="1"/>
  <c r="G87" i="1"/>
  <c r="T173" i="1"/>
  <c r="B184" i="1"/>
  <c r="C139" i="1"/>
  <c r="C163" i="1"/>
  <c r="C93" i="1"/>
  <c r="B151" i="1"/>
  <c r="V169" i="1"/>
  <c r="F136" i="1"/>
  <c r="S164" i="1"/>
  <c r="N167" i="1"/>
  <c r="N197" i="1" s="1"/>
  <c r="F138" i="1"/>
  <c r="H161" i="1"/>
  <c r="L169" i="1"/>
  <c r="R184" i="1"/>
  <c r="H167" i="1"/>
  <c r="H197" i="1" s="1"/>
  <c r="E146" i="1"/>
  <c r="L163" i="1"/>
  <c r="W163" i="1"/>
  <c r="C145" i="1"/>
  <c r="I186" i="1"/>
  <c r="I174" i="1"/>
  <c r="J160" i="1"/>
  <c r="N177" i="1"/>
  <c r="M186" i="1"/>
  <c r="Q185" i="1"/>
  <c r="J165" i="1"/>
  <c r="U173" i="1"/>
  <c r="P146" i="1"/>
  <c r="F157" i="1"/>
  <c r="H154" i="1"/>
  <c r="B139" i="1"/>
  <c r="H184" i="1"/>
  <c r="R159" i="1"/>
  <c r="R194" i="1" s="1"/>
  <c r="E161" i="1"/>
  <c r="W177" i="1"/>
  <c r="H131" i="1"/>
  <c r="U140" i="1"/>
  <c r="U168" i="1" s="1"/>
  <c r="T158" i="1"/>
  <c r="T193" i="1" s="1"/>
  <c r="G139" i="1"/>
  <c r="I163" i="1"/>
  <c r="C184" i="1"/>
  <c r="M163" i="1"/>
  <c r="O146" i="1"/>
  <c r="Q174" i="1"/>
  <c r="N158" i="1"/>
  <c r="L161" i="1"/>
  <c r="J158" i="1"/>
  <c r="J193" i="1" s="1"/>
  <c r="J177" i="1"/>
  <c r="R164" i="1"/>
  <c r="I131" i="1"/>
  <c r="N173" i="1"/>
  <c r="N175" i="1" s="1"/>
  <c r="O223" i="1" s="1"/>
  <c r="I156" i="1"/>
  <c r="N131" i="1"/>
  <c r="K186" i="1"/>
  <c r="H91" i="1"/>
  <c r="D149" i="1"/>
  <c r="I154" i="1"/>
  <c r="V146" i="1"/>
  <c r="J186" i="1"/>
  <c r="N92" i="1"/>
  <c r="H139" i="1"/>
  <c r="E174" i="1"/>
  <c r="E175" i="1" s="1"/>
  <c r="F223" i="1" s="1"/>
  <c r="E88" i="1"/>
  <c r="O150" i="1"/>
  <c r="S174" i="1"/>
  <c r="G81" i="1"/>
  <c r="I141" i="1"/>
  <c r="F159" i="1"/>
  <c r="F194" i="1" s="1"/>
  <c r="H151" i="1"/>
  <c r="G88" i="1"/>
  <c r="L140" i="1"/>
  <c r="L168" i="1" s="1"/>
  <c r="U147" i="1"/>
  <c r="L81" i="1"/>
  <c r="N150" i="1"/>
  <c r="U177" i="1"/>
  <c r="F92" i="1"/>
  <c r="J149" i="1"/>
  <c r="J145" i="1" s="1"/>
  <c r="F91" i="1"/>
  <c r="B163" i="1"/>
  <c r="E81" i="1"/>
  <c r="D158" i="1"/>
  <c r="D193" i="1" s="1"/>
  <c r="D165" i="1"/>
  <c r="E93" i="1"/>
  <c r="I87" i="1"/>
  <c r="P93" i="1"/>
  <c r="H150" i="1"/>
  <c r="K140" i="1"/>
  <c r="K168" i="1" s="1"/>
  <c r="U92" i="1"/>
  <c r="O147" i="1"/>
  <c r="D145" i="1"/>
  <c r="W173" i="1"/>
  <c r="D146" i="1"/>
  <c r="R169" i="1"/>
  <c r="G173" i="1"/>
  <c r="M141" i="1"/>
  <c r="Q149" i="1"/>
  <c r="Q145" i="1" s="1"/>
  <c r="B131" i="1"/>
  <c r="G147" i="1"/>
  <c r="K92" i="1"/>
  <c r="P81" i="1"/>
  <c r="S88" i="1"/>
  <c r="V186" i="1"/>
  <c r="M136" i="1"/>
  <c r="S159" i="1"/>
  <c r="S194" i="1" s="1"/>
  <c r="Q165" i="1"/>
  <c r="W157" i="1"/>
  <c r="J163" i="1"/>
  <c r="V93" i="1"/>
  <c r="S147" i="1"/>
  <c r="M150" i="1"/>
  <c r="H174" i="1"/>
  <c r="T156" i="1"/>
  <c r="N157" i="1"/>
  <c r="M184" i="1"/>
  <c r="E138" i="1"/>
  <c r="K185" i="1"/>
  <c r="M147" i="1"/>
  <c r="D81" i="1"/>
  <c r="K173" i="1"/>
  <c r="W91" i="1"/>
  <c r="Q131" i="1"/>
  <c r="W178" i="1"/>
  <c r="P184" i="1"/>
  <c r="R151" i="1"/>
  <c r="I92" i="1"/>
  <c r="U184" i="1"/>
  <c r="E163" i="1"/>
  <c r="I133" i="1"/>
  <c r="F154" i="1"/>
  <c r="O157" i="1"/>
  <c r="T132" i="1"/>
  <c r="C186" i="1"/>
  <c r="S157" i="1"/>
  <c r="E157" i="1"/>
  <c r="K146" i="1"/>
  <c r="L184" i="1"/>
  <c r="C174" i="1"/>
  <c r="J167" i="1"/>
  <c r="J197" i="1" s="1"/>
  <c r="T161" i="1"/>
  <c r="H147" i="1"/>
  <c r="L186" i="1"/>
  <c r="H177" i="1"/>
  <c r="R91" i="1"/>
  <c r="K184" i="1"/>
  <c r="T160" i="1"/>
  <c r="W154" i="1"/>
  <c r="F93" i="1"/>
  <c r="N185" i="1"/>
  <c r="C161" i="1"/>
  <c r="O158" i="1"/>
  <c r="O193" i="1" s="1"/>
  <c r="F156" i="1"/>
  <c r="T167" i="1"/>
  <c r="T197" i="1" s="1"/>
  <c r="R140" i="1"/>
  <c r="R168" i="1" s="1"/>
  <c r="M164" i="1"/>
  <c r="D173" i="1"/>
  <c r="J92" i="1"/>
  <c r="C164" i="1"/>
  <c r="H93" i="1"/>
  <c r="H185" i="1"/>
  <c r="K149" i="1"/>
  <c r="K145" i="1" s="1"/>
  <c r="S158" i="1"/>
  <c r="S193" i="1" s="1"/>
  <c r="N139" i="1"/>
  <c r="O184" i="1"/>
  <c r="H169" i="1"/>
  <c r="F173" i="1"/>
  <c r="W159" i="1"/>
  <c r="L139" i="1"/>
  <c r="O178" i="1"/>
  <c r="O164" i="1"/>
  <c r="F133" i="1"/>
  <c r="O185" i="1"/>
  <c r="R161" i="1"/>
  <c r="Q151" i="1"/>
  <c r="G164" i="1"/>
  <c r="P178" i="1"/>
  <c r="K167" i="1"/>
  <c r="K197" i="1" s="1"/>
  <c r="O88" i="1"/>
  <c r="D91" i="1"/>
  <c r="N159" i="1"/>
  <c r="N194" i="1" s="1"/>
  <c r="S93" i="1"/>
  <c r="U91" i="1"/>
  <c r="J173" i="1"/>
  <c r="G133" i="1"/>
  <c r="V163" i="1"/>
  <c r="S136" i="1"/>
  <c r="L154" i="1"/>
  <c r="T177" i="1"/>
  <c r="N141" i="1"/>
  <c r="U132" i="1"/>
  <c r="P88" i="1"/>
  <c r="P136" i="1"/>
  <c r="F131" i="1"/>
  <c r="T169" i="1"/>
  <c r="D185" i="1"/>
  <c r="U151" i="1"/>
  <c r="N88" i="1"/>
  <c r="P133" i="1"/>
  <c r="I167" i="1"/>
  <c r="I197" i="1" s="1"/>
  <c r="T165" i="1"/>
  <c r="M140" i="1"/>
  <c r="J141" i="1"/>
  <c r="V139" i="1"/>
  <c r="O163" i="1"/>
  <c r="G92" i="1"/>
  <c r="J88" i="1"/>
  <c r="L91" i="1"/>
  <c r="G178" i="1"/>
  <c r="U169" i="1"/>
  <c r="AQ23" i="1"/>
  <c r="BV36" i="1"/>
  <c r="BW23" i="1"/>
  <c r="BE36" i="1"/>
  <c r="BA23" i="1"/>
  <c r="BN23" i="1"/>
  <c r="BD23" i="1"/>
  <c r="AS36" i="1"/>
  <c r="AR36" i="1"/>
  <c r="BP36" i="1"/>
  <c r="AW23" i="1"/>
  <c r="BC23" i="1"/>
  <c r="BB36" i="1"/>
  <c r="AW36" i="1"/>
  <c r="BG23" i="1"/>
  <c r="BM23" i="1"/>
  <c r="BI36" i="1"/>
  <c r="BT36" i="1"/>
  <c r="AZ23" i="1"/>
  <c r="AI23" i="1"/>
  <c r="BF36" i="1"/>
  <c r="AO23" i="1"/>
  <c r="BV23" i="1"/>
  <c r="BF23" i="1"/>
  <c r="AX36" i="1"/>
  <c r="BH60" i="1"/>
  <c r="AP23" i="1"/>
  <c r="BE23" i="1"/>
  <c r="BO23" i="1"/>
  <c r="AZ36" i="1"/>
  <c r="BJ36" i="1"/>
  <c r="BJ40" i="1" s="1"/>
  <c r="AU61" i="1"/>
  <c r="BD36" i="1"/>
  <c r="AY36" i="1"/>
  <c r="BR36" i="1"/>
  <c r="BK23" i="1"/>
  <c r="BQ23" i="1"/>
  <c r="AP36" i="1"/>
  <c r="BS23" i="1"/>
  <c r="AO36" i="1"/>
  <c r="BW36" i="1"/>
  <c r="AQ36" i="1"/>
  <c r="AV36" i="1"/>
  <c r="BM36" i="1"/>
  <c r="BP23" i="1"/>
  <c r="BG36" i="1"/>
  <c r="BH36" i="1"/>
  <c r="AT36" i="1"/>
  <c r="AN36" i="1"/>
  <c r="BS36" i="1"/>
  <c r="BU36" i="1"/>
  <c r="BO36" i="1"/>
  <c r="BJ23" i="1"/>
  <c r="BJ24" i="1" s="1"/>
  <c r="BJ30" i="1" s="1"/>
  <c r="BC36" i="1"/>
  <c r="BK36" i="1"/>
  <c r="BQ36" i="1"/>
  <c r="AU36" i="1"/>
  <c r="BN36" i="1"/>
  <c r="BA36" i="1"/>
  <c r="AI36" i="1"/>
  <c r="AN23" i="1"/>
  <c r="BH23" i="1"/>
  <c r="AW61" i="1"/>
  <c r="AV23" i="1"/>
  <c r="AR23" i="1"/>
  <c r="BR23" i="1"/>
  <c r="AT23" i="1"/>
  <c r="BT23" i="1"/>
  <c r="BI23" i="1"/>
  <c r="BU23" i="1"/>
  <c r="AX23" i="1"/>
  <c r="AS23" i="1"/>
  <c r="AU23" i="1"/>
  <c r="BB23" i="1"/>
  <c r="AV61" i="1"/>
  <c r="AY23" i="1"/>
  <c r="BH157" i="1"/>
  <c r="BI157" i="1" s="1"/>
  <c r="BV151" i="1"/>
  <c r="BW151" i="1" s="1"/>
  <c r="BV157" i="1"/>
  <c r="BW157" i="1" s="1"/>
  <c r="BH151" i="1"/>
  <c r="BI151" i="1" s="1"/>
  <c r="AV46" i="1"/>
  <c r="AV208" i="1" s="1"/>
  <c r="BA35" i="1"/>
  <c r="BF37" i="1"/>
  <c r="AY50" i="1"/>
  <c r="BU65" i="1"/>
  <c r="AQ35" i="1"/>
  <c r="BE27" i="1"/>
  <c r="AP61" i="1"/>
  <c r="AQ50" i="1"/>
  <c r="AU37" i="1"/>
  <c r="BG61" i="1"/>
  <c r="AW39" i="1"/>
  <c r="AY38" i="1"/>
  <c r="AW35" i="1"/>
  <c r="BJ53" i="1"/>
  <c r="AR59" i="1"/>
  <c r="BV60" i="1"/>
  <c r="AQ37" i="1"/>
  <c r="BM53" i="1"/>
  <c r="BK61" i="1"/>
  <c r="BK28" i="1"/>
  <c r="BF34" i="1"/>
  <c r="AW65" i="1"/>
  <c r="BJ87" i="1"/>
  <c r="BG53" i="1"/>
  <c r="BH177" i="1"/>
  <c r="BI177" i="1" s="1"/>
  <c r="BU22" i="1"/>
  <c r="BU245" i="1" s="1"/>
  <c r="BQ34" i="1"/>
  <c r="AQ29" i="1"/>
  <c r="BS39" i="1"/>
  <c r="AX29" i="1"/>
  <c r="BS46" i="1"/>
  <c r="BS208" i="1" s="1"/>
  <c r="BH154" i="1"/>
  <c r="BI154" i="1" s="1"/>
  <c r="BJ216" i="1" s="1"/>
  <c r="BC37" i="1"/>
  <c r="BB35" i="1"/>
  <c r="AI29" i="1"/>
  <c r="BM50" i="1"/>
  <c r="BG60" i="1"/>
  <c r="AS65" i="1"/>
  <c r="BB49" i="1"/>
  <c r="BB65" i="1"/>
  <c r="AR60" i="1"/>
  <c r="AU28" i="1"/>
  <c r="BD22" i="1"/>
  <c r="AP29" i="1"/>
  <c r="BB61" i="1"/>
  <c r="BV139" i="1"/>
  <c r="BW139" i="1" s="1"/>
  <c r="BM37" i="1"/>
  <c r="BK60" i="1"/>
  <c r="BK34" i="1"/>
  <c r="AT49" i="1"/>
  <c r="BW50" i="1"/>
  <c r="BI38" i="1"/>
  <c r="BJ59" i="1"/>
  <c r="AS46" i="1"/>
  <c r="AT50" i="1"/>
  <c r="BQ39" i="1"/>
  <c r="AT35" i="1"/>
  <c r="BT29" i="1"/>
  <c r="BH173" i="1"/>
  <c r="BI27" i="1"/>
  <c r="BE28" i="1"/>
  <c r="AY37" i="1"/>
  <c r="BH178" i="1"/>
  <c r="BI178" i="1" s="1"/>
  <c r="BH87" i="1"/>
  <c r="AP60" i="1"/>
  <c r="BH156" i="1"/>
  <c r="AY46" i="1"/>
  <c r="AY208" i="1" s="1"/>
  <c r="AR28" i="1"/>
  <c r="BP53" i="1"/>
  <c r="BE60" i="1"/>
  <c r="AQ59" i="1"/>
  <c r="BB38" i="1"/>
  <c r="BW27" i="1"/>
  <c r="BC35" i="1"/>
  <c r="BD65" i="1"/>
  <c r="BO53" i="1"/>
  <c r="AI53" i="1"/>
  <c r="BI29" i="1"/>
  <c r="BQ22" i="1"/>
  <c r="BF65" i="1"/>
  <c r="AV37" i="1"/>
  <c r="AT29" i="1"/>
  <c r="BT65" i="1"/>
  <c r="AQ34" i="1"/>
  <c r="BS60" i="1"/>
  <c r="BB46" i="1"/>
  <c r="BH160" i="1"/>
  <c r="BI160" i="1" s="1"/>
  <c r="BV133" i="1"/>
  <c r="BT38" i="1"/>
  <c r="BQ61" i="1"/>
  <c r="BV132" i="1"/>
  <c r="BW132" i="1" s="1"/>
  <c r="BN22" i="1"/>
  <c r="BR49" i="1"/>
  <c r="BU60" i="1"/>
  <c r="AX59" i="1"/>
  <c r="AN28" i="1"/>
  <c r="AT28" i="1"/>
  <c r="BK38" i="1"/>
  <c r="BJ49" i="1"/>
  <c r="AP37" i="1"/>
  <c r="AX28" i="1"/>
  <c r="BR37" i="1"/>
  <c r="BM60" i="1"/>
  <c r="BP65" i="1"/>
  <c r="BA53" i="1"/>
  <c r="BM29" i="1"/>
  <c r="BQ50" i="1"/>
  <c r="AZ65" i="1"/>
  <c r="BE53" i="1"/>
  <c r="AI61" i="1"/>
  <c r="BU61" i="1"/>
  <c r="BB60" i="1"/>
  <c r="BF39" i="1"/>
  <c r="BD39" i="1"/>
  <c r="BM34" i="1"/>
  <c r="BT34" i="1"/>
  <c r="BQ46" i="1"/>
  <c r="BQ208" i="1" s="1"/>
  <c r="AS37" i="1"/>
  <c r="AJ87" i="1"/>
  <c r="BP60" i="1"/>
  <c r="AW27" i="1"/>
  <c r="AV28" i="1"/>
  <c r="BI28" i="1"/>
  <c r="AS39" i="1"/>
  <c r="BI59" i="1"/>
  <c r="BP27" i="1"/>
  <c r="AZ39" i="1"/>
  <c r="AY53" i="1"/>
  <c r="BH34" i="1"/>
  <c r="BA39" i="1"/>
  <c r="BF35" i="1"/>
  <c r="BC50" i="1"/>
  <c r="BW35" i="1"/>
  <c r="BR46" i="1"/>
  <c r="AX34" i="1"/>
  <c r="BS27" i="1"/>
  <c r="BQ38" i="1"/>
  <c r="BE38" i="1"/>
  <c r="BP22" i="1"/>
  <c r="BP245" i="1" s="1"/>
  <c r="AO35" i="1"/>
  <c r="BV165" i="1"/>
  <c r="BW165" i="1" s="1"/>
  <c r="BA27" i="1"/>
  <c r="BV65" i="1"/>
  <c r="AY27" i="1"/>
  <c r="BI60" i="1"/>
  <c r="BH161" i="1"/>
  <c r="BI161" i="1" s="1"/>
  <c r="BN39" i="1"/>
  <c r="AS34" i="1"/>
  <c r="AW29" i="1"/>
  <c r="AU59" i="1"/>
  <c r="AI27" i="1"/>
  <c r="AT22" i="1"/>
  <c r="BT61" i="1"/>
  <c r="BE65" i="1"/>
  <c r="BR39" i="1"/>
  <c r="BA34" i="1"/>
  <c r="AI34" i="1"/>
  <c r="BD35" i="1"/>
  <c r="AN53" i="1"/>
  <c r="BW60" i="1"/>
  <c r="AY22" i="1"/>
  <c r="BW29" i="1"/>
  <c r="AM59" i="1"/>
  <c r="AT34" i="1"/>
  <c r="BE37" i="1"/>
  <c r="AR27" i="1"/>
  <c r="BM28" i="1"/>
  <c r="BC49" i="1"/>
  <c r="BG46" i="1"/>
  <c r="BG208" i="1" s="1"/>
  <c r="AZ53" i="1"/>
  <c r="BH38" i="1"/>
  <c r="BJ65" i="1"/>
  <c r="BS65" i="1"/>
  <c r="BR60" i="1"/>
  <c r="BE61" i="1"/>
  <c r="AY39" i="1"/>
  <c r="BV164" i="1"/>
  <c r="BW164" i="1" s="1"/>
  <c r="BV53" i="1"/>
  <c r="BQ65" i="1"/>
  <c r="AI60" i="1"/>
  <c r="AN61" i="1"/>
  <c r="AQ61" i="1"/>
  <c r="BW34" i="1"/>
  <c r="AO29" i="1"/>
  <c r="AW28" i="1"/>
  <c r="BR29" i="1"/>
  <c r="BH35" i="1"/>
  <c r="BH37" i="1"/>
  <c r="AI39" i="1"/>
  <c r="BO61" i="1"/>
  <c r="BO35" i="1"/>
  <c r="AP46" i="1"/>
  <c r="AQ46" i="1"/>
  <c r="BT39" i="1"/>
  <c r="AY61" i="1"/>
  <c r="BV168" i="1"/>
  <c r="BW168" i="1" s="1"/>
  <c r="AZ38" i="1"/>
  <c r="BK49" i="1"/>
  <c r="BH88" i="1"/>
  <c r="BH46" i="1"/>
  <c r="BH208" i="1" s="1"/>
  <c r="AT39" i="1"/>
  <c r="BV146" i="1"/>
  <c r="BR65" i="1"/>
  <c r="BP61" i="1"/>
  <c r="AN49" i="1"/>
  <c r="BS38" i="1"/>
  <c r="AX65" i="1"/>
  <c r="AZ27" i="1"/>
  <c r="BB37" i="1"/>
  <c r="AW50" i="1"/>
  <c r="BD29" i="1"/>
  <c r="BN46" i="1"/>
  <c r="BM22" i="1"/>
  <c r="AO28" i="1"/>
  <c r="BK35" i="1"/>
  <c r="BN28" i="1"/>
  <c r="BH22" i="1"/>
  <c r="BH245" i="1" s="1"/>
  <c r="BA50" i="1"/>
  <c r="BH131" i="1"/>
  <c r="BA65" i="1"/>
  <c r="BH65" i="1"/>
  <c r="AP49" i="1"/>
  <c r="BI35" i="1"/>
  <c r="BS49" i="1"/>
  <c r="BN27" i="1"/>
  <c r="AY49" i="1"/>
  <c r="AV34" i="1"/>
  <c r="BW61" i="1"/>
  <c r="BO39" i="1"/>
  <c r="BO37" i="1"/>
  <c r="BB27" i="1"/>
  <c r="BI61" i="1"/>
  <c r="AN50" i="1"/>
  <c r="AU27" i="1"/>
  <c r="BT53" i="1"/>
  <c r="BQ59" i="1"/>
  <c r="BG38" i="1"/>
  <c r="BU50" i="1"/>
  <c r="BV136" i="1"/>
  <c r="BW136" i="1" s="1"/>
  <c r="BQ49" i="1"/>
  <c r="BO46" i="1"/>
  <c r="BO208" i="1" s="1"/>
  <c r="BG39" i="1"/>
  <c r="BV173" i="1"/>
  <c r="AM87" i="1"/>
  <c r="BO65" i="1"/>
  <c r="AO53" i="1"/>
  <c r="BV39" i="1"/>
  <c r="BH132" i="1"/>
  <c r="BI132" i="1" s="1"/>
  <c r="BS22" i="1"/>
  <c r="BS245" i="1" s="1"/>
  <c r="BH50" i="1"/>
  <c r="AZ28" i="1"/>
  <c r="BV161" i="1"/>
  <c r="BW161" i="1" s="1"/>
  <c r="BG37" i="1"/>
  <c r="AQ39" i="1"/>
  <c r="AP22" i="1"/>
  <c r="AP245" i="1" s="1"/>
  <c r="AO27" i="1"/>
  <c r="BD49" i="1"/>
  <c r="BD53" i="1"/>
  <c r="BW59" i="1"/>
  <c r="BR28" i="1"/>
  <c r="AT53" i="1"/>
  <c r="BT37" i="1"/>
  <c r="BU35" i="1"/>
  <c r="AN60" i="1"/>
  <c r="AZ22" i="1"/>
  <c r="AN38" i="1"/>
  <c r="BV29" i="1"/>
  <c r="AQ28" i="1"/>
  <c r="BP46" i="1"/>
  <c r="BI37" i="1"/>
  <c r="BA59" i="1"/>
  <c r="AZ61" i="1"/>
  <c r="BV163" i="1"/>
  <c r="BW163" i="1" s="1"/>
  <c r="BW46" i="1"/>
  <c r="BW208" i="1" s="1"/>
  <c r="AV29" i="1"/>
  <c r="AO39" i="1"/>
  <c r="BO49" i="1"/>
  <c r="BM49" i="1"/>
  <c r="AP27" i="1"/>
  <c r="AS28" i="1"/>
  <c r="BG29" i="1"/>
  <c r="BV177" i="1"/>
  <c r="BW177" i="1" s="1"/>
  <c r="BV87" i="1"/>
  <c r="AQ27" i="1"/>
  <c r="AX37" i="1"/>
  <c r="BV156" i="1"/>
  <c r="BW156" i="1" s="1"/>
  <c r="BK22" i="1"/>
  <c r="AR61" i="1"/>
  <c r="AU29" i="1"/>
  <c r="BT27" i="1"/>
  <c r="AI22" i="1"/>
  <c r="BU53" i="1"/>
  <c r="BC60" i="1"/>
  <c r="BA61" i="1"/>
  <c r="BD61" i="1"/>
  <c r="BW28" i="1"/>
  <c r="BV35" i="1"/>
  <c r="BG34" i="1"/>
  <c r="AO59" i="1"/>
  <c r="BN60" i="1"/>
  <c r="AW46" i="1"/>
  <c r="AW208" i="1" s="1"/>
  <c r="BC27" i="1"/>
  <c r="AM88" i="1"/>
  <c r="BS59" i="1"/>
  <c r="BU34" i="1"/>
  <c r="BU49" i="1"/>
  <c r="BN61" i="1"/>
  <c r="BH165" i="1"/>
  <c r="BI165" i="1" s="1"/>
  <c r="BR61" i="1"/>
  <c r="BA22" i="1"/>
  <c r="BA245" i="1" s="1"/>
  <c r="AZ34" i="1"/>
  <c r="BO50" i="1"/>
  <c r="AI37" i="1"/>
  <c r="BE49" i="1"/>
  <c r="AW22" i="1"/>
  <c r="BP28" i="1"/>
  <c r="BR59" i="1"/>
  <c r="AR38" i="1"/>
  <c r="BF49" i="1"/>
  <c r="BV178" i="1"/>
  <c r="BW178" i="1" s="1"/>
  <c r="BT35" i="1"/>
  <c r="AR35" i="1"/>
  <c r="BO60" i="1"/>
  <c r="BA49" i="1"/>
  <c r="AZ29" i="1"/>
  <c r="AV60" i="1"/>
  <c r="BQ37" i="1"/>
  <c r="AX46" i="1"/>
  <c r="AX208" i="1" s="1"/>
  <c r="AO22" i="1"/>
  <c r="BV38" i="1"/>
  <c r="AJ88" i="1"/>
  <c r="BC34" i="1"/>
  <c r="BI34" i="1"/>
  <c r="BA46" i="1"/>
  <c r="BS35" i="1"/>
  <c r="AO65" i="1"/>
  <c r="BB22" i="1"/>
  <c r="AV35" i="1"/>
  <c r="BW49" i="1"/>
  <c r="BK46" i="1"/>
  <c r="AO37" i="1"/>
  <c r="AW38" i="1"/>
  <c r="BE34" i="1"/>
  <c r="BR50" i="1"/>
  <c r="BS53" i="1"/>
  <c r="AV49" i="1"/>
  <c r="BU39" i="1"/>
  <c r="BH133" i="1"/>
  <c r="BR22" i="1"/>
  <c r="BR245" i="1" s="1"/>
  <c r="BH168" i="1"/>
  <c r="BI168" i="1" s="1"/>
  <c r="BM39" i="1"/>
  <c r="BN59" i="1"/>
  <c r="AU22" i="1"/>
  <c r="BC65" i="1"/>
  <c r="AX61" i="1"/>
  <c r="BI46" i="1"/>
  <c r="BM59" i="1"/>
  <c r="BW37" i="1"/>
  <c r="AP38" i="1"/>
  <c r="BA60" i="1"/>
  <c r="BN53" i="1"/>
  <c r="AR46" i="1"/>
  <c r="AR208" i="1" s="1"/>
  <c r="BI49" i="1"/>
  <c r="BU28" i="1"/>
  <c r="AK88" i="1"/>
  <c r="BT46" i="1"/>
  <c r="AI65" i="1"/>
  <c r="BJ61" i="1"/>
  <c r="AX27" i="1"/>
  <c r="AR49" i="1"/>
  <c r="BI50" i="1"/>
  <c r="AP53" i="1"/>
  <c r="AZ37" i="1"/>
  <c r="BQ60" i="1"/>
  <c r="AN27" i="1"/>
  <c r="AR65" i="1"/>
  <c r="BV131" i="1"/>
  <c r="AV65" i="1"/>
  <c r="AN39" i="1"/>
  <c r="AQ65" i="1"/>
  <c r="BK53" i="1"/>
  <c r="BH28" i="1"/>
  <c r="AV53" i="1"/>
  <c r="BC29" i="1"/>
  <c r="AO60" i="1"/>
  <c r="AT46" i="1"/>
  <c r="AT208" i="1" s="1"/>
  <c r="BH141" i="1"/>
  <c r="BI141" i="1" s="1"/>
  <c r="AW37" i="1"/>
  <c r="BD50" i="1"/>
  <c r="BH163" i="1"/>
  <c r="AV38" i="1"/>
  <c r="AI38" i="1"/>
  <c r="AT65" i="1"/>
  <c r="AN65" i="1"/>
  <c r="BR35" i="1"/>
  <c r="AR39" i="1"/>
  <c r="BR38" i="1"/>
  <c r="BH166" i="1"/>
  <c r="BI166" i="1" s="1"/>
  <c r="BP39" i="1"/>
  <c r="BF53" i="1"/>
  <c r="BU29" i="1"/>
  <c r="BR53" i="1"/>
  <c r="BH53" i="1"/>
  <c r="AI59" i="1"/>
  <c r="AU50" i="1"/>
  <c r="BH169" i="1"/>
  <c r="BI169" i="1" s="1"/>
  <c r="AR34" i="1"/>
  <c r="BV147" i="1"/>
  <c r="BQ27" i="1"/>
  <c r="BU59" i="1"/>
  <c r="BG27" i="1"/>
  <c r="BH61" i="1"/>
  <c r="BI22" i="1"/>
  <c r="BI245" i="1" s="1"/>
  <c r="BW65" i="1"/>
  <c r="AS22" i="1"/>
  <c r="AS245" i="1" s="1"/>
  <c r="BH146" i="1"/>
  <c r="BB50" i="1"/>
  <c r="BW38" i="1"/>
  <c r="BK39" i="1"/>
  <c r="BA37" i="1"/>
  <c r="BG49" i="1"/>
  <c r="BU27" i="1"/>
  <c r="AN34" i="1"/>
  <c r="BP29" i="1"/>
  <c r="BJ50" i="1"/>
  <c r="BJ266" i="1" s="1"/>
  <c r="BO59" i="1"/>
  <c r="BU46" i="1"/>
  <c r="BH140" i="1"/>
  <c r="BI140" i="1" s="1"/>
  <c r="AO50" i="1"/>
  <c r="AQ22" i="1"/>
  <c r="AQ245" i="1" s="1"/>
  <c r="AQ38" i="1"/>
  <c r="BV160" i="1"/>
  <c r="BW160" i="1" s="1"/>
  <c r="BP59" i="1"/>
  <c r="BV167" i="1"/>
  <c r="BC22" i="1"/>
  <c r="BC245" i="1" s="1"/>
  <c r="BB29" i="1"/>
  <c r="BV166" i="1"/>
  <c r="BW166" i="1" s="1"/>
  <c r="BH167" i="1"/>
  <c r="BR34" i="1"/>
  <c r="BN50" i="1"/>
  <c r="BA28" i="1"/>
  <c r="AP35" i="1"/>
  <c r="AR37" i="1"/>
  <c r="BS29" i="1"/>
  <c r="AX49" i="1"/>
  <c r="BV46" i="1"/>
  <c r="BV208" i="1" s="1"/>
  <c r="BD46" i="1"/>
  <c r="BD208" i="1" s="1"/>
  <c r="BF61" i="1"/>
  <c r="BD37" i="1"/>
  <c r="BD34" i="1"/>
  <c r="BD28" i="1"/>
  <c r="AS61" i="1"/>
  <c r="BV154" i="1"/>
  <c r="BW154" i="1" s="1"/>
  <c r="BX216" i="1" s="1"/>
  <c r="BS61" i="1"/>
  <c r="AO49" i="1"/>
  <c r="AV39" i="1"/>
  <c r="BF46" i="1"/>
  <c r="BF208" i="1" s="1"/>
  <c r="BA29" i="1"/>
  <c r="BK65" i="1"/>
  <c r="BV159" i="1"/>
  <c r="BK37" i="1"/>
  <c r="BS28" i="1"/>
  <c r="AW60" i="1"/>
  <c r="AV22" i="1"/>
  <c r="AV245" i="1" s="1"/>
  <c r="AO46" i="1"/>
  <c r="AO208" i="1" s="1"/>
  <c r="AX35" i="1"/>
  <c r="AR50" i="1"/>
  <c r="BR27" i="1"/>
  <c r="AI28" i="1"/>
  <c r="BU38" i="1"/>
  <c r="BV174" i="1"/>
  <c r="BT60" i="1"/>
  <c r="BT22" i="1"/>
  <c r="AM60" i="1"/>
  <c r="AV50" i="1"/>
  <c r="BN37" i="1"/>
  <c r="AP65" i="1"/>
  <c r="AV27" i="1"/>
  <c r="BH27" i="1"/>
  <c r="BQ53" i="1"/>
  <c r="AY59" i="1"/>
  <c r="AR53" i="1"/>
  <c r="BM27" i="1"/>
  <c r="BW39" i="1"/>
  <c r="AV59" i="1"/>
  <c r="BT59" i="1"/>
  <c r="AP50" i="1"/>
  <c r="AZ46" i="1"/>
  <c r="BH136" i="1"/>
  <c r="BI136" i="1" s="1"/>
  <c r="BK50" i="1"/>
  <c r="BH147" i="1"/>
  <c r="AY60" i="1"/>
  <c r="BQ29" i="1"/>
  <c r="BE35" i="1"/>
  <c r="BV37" i="1"/>
  <c r="BD59" i="1"/>
  <c r="BM65" i="1"/>
  <c r="BM61" i="1"/>
  <c r="BV59" i="1"/>
  <c r="BH138" i="1"/>
  <c r="BV140" i="1"/>
  <c r="BW140" i="1" s="1"/>
  <c r="BH145" i="1"/>
  <c r="BI65" i="1"/>
  <c r="AT38" i="1"/>
  <c r="BD38" i="1"/>
  <c r="BF22" i="1"/>
  <c r="AX22" i="1"/>
  <c r="AT59" i="1"/>
  <c r="BV149" i="1"/>
  <c r="BW149" i="1" s="1"/>
  <c r="BP37" i="1"/>
  <c r="BC39" i="1"/>
  <c r="AK87" i="1"/>
  <c r="BP38" i="1"/>
  <c r="BF27" i="1"/>
  <c r="BM35" i="1"/>
  <c r="AO34" i="1"/>
  <c r="BV61" i="1"/>
  <c r="BK27" i="1"/>
  <c r="AO38" i="1"/>
  <c r="AZ60" i="1"/>
  <c r="BW53" i="1"/>
  <c r="AY35" i="1"/>
  <c r="AS29" i="1"/>
  <c r="AY34" i="1"/>
  <c r="AU53" i="1"/>
  <c r="AQ60" i="1"/>
  <c r="BJ88" i="1"/>
  <c r="BV138" i="1"/>
  <c r="BW138" i="1" s="1"/>
  <c r="BM38" i="1"/>
  <c r="AQ53" i="1"/>
  <c r="AX50" i="1"/>
  <c r="BG35" i="1"/>
  <c r="BF28" i="1"/>
  <c r="AU35" i="1"/>
  <c r="BE50" i="1"/>
  <c r="AZ50" i="1"/>
  <c r="BF60" i="1"/>
  <c r="BS50" i="1"/>
  <c r="BV141" i="1"/>
  <c r="BW141" i="1" s="1"/>
  <c r="BG28" i="1"/>
  <c r="BF50" i="1"/>
  <c r="BC61" i="1"/>
  <c r="BE46" i="1"/>
  <c r="BE208" i="1" s="1"/>
  <c r="BE39" i="1"/>
  <c r="BE22" i="1"/>
  <c r="BE245" i="1" s="1"/>
  <c r="BT49" i="1"/>
  <c r="BN35" i="1"/>
  <c r="BC46" i="1"/>
  <c r="BC208" i="1" s="1"/>
  <c r="BI53" i="1"/>
  <c r="AW34" i="1"/>
  <c r="BH158" i="1"/>
  <c r="AP59" i="1"/>
  <c r="AS27" i="1"/>
  <c r="BS37" i="1"/>
  <c r="AT37" i="1"/>
  <c r="AW49" i="1"/>
  <c r="BG22" i="1"/>
  <c r="BP34" i="1"/>
  <c r="AR29" i="1"/>
  <c r="AW59" i="1"/>
  <c r="BF59" i="1"/>
  <c r="BV27" i="1"/>
  <c r="AI35" i="1"/>
  <c r="AT60" i="1"/>
  <c r="BH49" i="1"/>
  <c r="BV158" i="1"/>
  <c r="AP34" i="1"/>
  <c r="AS49" i="1"/>
  <c r="BO29" i="1"/>
  <c r="BP49" i="1"/>
  <c r="BC28" i="1"/>
  <c r="BB59" i="1"/>
  <c r="BE29" i="1"/>
  <c r="BV50" i="1"/>
  <c r="AP39" i="1"/>
  <c r="AX60" i="1"/>
  <c r="AU49" i="1"/>
  <c r="AZ35" i="1"/>
  <c r="BD27" i="1"/>
  <c r="AS35" i="1"/>
  <c r="BN29" i="1"/>
  <c r="BM46" i="1"/>
  <c r="BJ46" i="1"/>
  <c r="AM61" i="1"/>
  <c r="BQ35" i="1"/>
  <c r="AU39" i="1"/>
  <c r="AX38" i="1"/>
  <c r="BS34" i="1"/>
  <c r="BB53" i="1"/>
  <c r="BC38" i="1"/>
  <c r="AT61" i="1"/>
  <c r="AW53" i="1"/>
  <c r="BV49" i="1"/>
  <c r="BH59" i="1"/>
  <c r="AN37" i="1"/>
  <c r="AX39" i="1"/>
  <c r="AP28" i="1"/>
  <c r="BP35" i="1"/>
  <c r="AQ49" i="1"/>
  <c r="BV88" i="1"/>
  <c r="AM65" i="1"/>
  <c r="BH29" i="1"/>
  <c r="AU34" i="1"/>
  <c r="BA38" i="1"/>
  <c r="BV169" i="1"/>
  <c r="BW169" i="1" s="1"/>
  <c r="BE59" i="1"/>
  <c r="AS53" i="1"/>
  <c r="AI49" i="1"/>
  <c r="BV145" i="1"/>
  <c r="AY65" i="1"/>
  <c r="BN49" i="1"/>
  <c r="BO27" i="1"/>
  <c r="BG59" i="1"/>
  <c r="BI39" i="1"/>
  <c r="AY29" i="1"/>
  <c r="BU37" i="1"/>
  <c r="BF38" i="1"/>
  <c r="BB34" i="1"/>
  <c r="BV34" i="1"/>
  <c r="BG50" i="1"/>
  <c r="BT50" i="1"/>
  <c r="AN29" i="1"/>
  <c r="BO28" i="1"/>
  <c r="BT28" i="1"/>
  <c r="AZ59" i="1"/>
  <c r="AS60" i="1"/>
  <c r="BH39" i="1"/>
  <c r="BO34" i="1"/>
  <c r="BH149" i="1"/>
  <c r="BI149" i="1" s="1"/>
  <c r="BC59" i="1"/>
  <c r="BH174" i="1"/>
  <c r="BO38" i="1"/>
  <c r="AN46" i="1"/>
  <c r="AN22" i="1"/>
  <c r="BK59" i="1"/>
  <c r="BV28" i="1"/>
  <c r="AS50" i="1"/>
  <c r="AO61" i="1"/>
  <c r="AI87" i="1"/>
  <c r="BB39" i="1"/>
  <c r="BN34" i="1"/>
  <c r="AN35" i="1"/>
  <c r="AU38" i="1"/>
  <c r="BH139" i="1"/>
  <c r="BI139" i="1" s="1"/>
  <c r="AU46" i="1"/>
  <c r="AU208" i="1" s="1"/>
  <c r="AI50" i="1"/>
  <c r="BW22" i="1"/>
  <c r="BO22" i="1"/>
  <c r="BG65" i="1"/>
  <c r="BC53" i="1"/>
  <c r="AR22" i="1"/>
  <c r="AR245" i="1" s="1"/>
  <c r="BN38" i="1"/>
  <c r="BP50" i="1"/>
  <c r="BK29" i="1"/>
  <c r="AS38" i="1"/>
  <c r="AY28" i="1"/>
  <c r="AU65" i="1"/>
  <c r="BB28" i="1"/>
  <c r="AX53" i="1"/>
  <c r="BD60" i="1"/>
  <c r="BQ28" i="1"/>
  <c r="BH164" i="1"/>
  <c r="BI164" i="1" s="1"/>
  <c r="BF29" i="1"/>
  <c r="BJ60" i="1"/>
  <c r="AN59" i="1"/>
  <c r="BN65" i="1"/>
  <c r="AI46" i="1"/>
  <c r="AI208" i="1" s="1"/>
  <c r="BV22" i="1"/>
  <c r="BV245" i="1" s="1"/>
  <c r="AZ49" i="1"/>
  <c r="AT27" i="1"/>
  <c r="AS59" i="1"/>
  <c r="AU60" i="1"/>
  <c r="CQ208" i="1"/>
  <c r="CQ146" i="1"/>
  <c r="DA91" i="1"/>
  <c r="CX79" i="1"/>
  <c r="CY77" i="1"/>
  <c r="AB138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81" i="3"/>
  <c r="H63" i="3"/>
  <c r="R64" i="3"/>
  <c r="Y47" i="3"/>
  <c r="P88" i="3"/>
  <c r="AJ72" i="3"/>
  <c r="Z89" i="3"/>
  <c r="N61" i="3"/>
  <c r="P57" i="3"/>
  <c r="W70" i="3"/>
  <c r="Y77" i="3"/>
  <c r="AH85" i="3"/>
  <c r="AQ97" i="3"/>
  <c r="W83" i="3"/>
  <c r="AM67" i="3"/>
  <c r="AQ57" i="3"/>
  <c r="AA84" i="3"/>
  <c r="Y94" i="3"/>
  <c r="AN74" i="3"/>
  <c r="H61" i="3"/>
  <c r="AN75" i="3"/>
  <c r="AO60" i="3"/>
  <c r="U72" i="3"/>
  <c r="T77" i="3"/>
  <c r="K83" i="3"/>
  <c r="H85" i="3"/>
  <c r="P72" i="3"/>
  <c r="AK56" i="3"/>
  <c r="J94" i="3"/>
  <c r="AQ64" i="3"/>
  <c r="AJ71" i="3"/>
  <c r="L86" i="3"/>
  <c r="S94" i="3"/>
  <c r="O85" i="3"/>
  <c r="AN78" i="3"/>
  <c r="W95" i="3"/>
  <c r="J69" i="3"/>
  <c r="AN81" i="3"/>
  <c r="Z69" i="3"/>
  <c r="H81" i="3"/>
  <c r="N49" i="3"/>
  <c r="J73" i="3"/>
  <c r="AG88" i="3"/>
  <c r="I59" i="3"/>
  <c r="AN88" i="3"/>
  <c r="S82" i="3"/>
  <c r="AK55" i="3"/>
  <c r="J89" i="3"/>
  <c r="AG72" i="3"/>
  <c r="Q84" i="3"/>
  <c r="H60" i="3"/>
  <c r="AE73" i="3"/>
  <c r="AE63" i="3"/>
  <c r="R89" i="3"/>
  <c r="I84" i="3"/>
  <c r="I82" i="3"/>
  <c r="I90" i="3"/>
  <c r="J64" i="3"/>
  <c r="AQ92" i="3"/>
  <c r="H64" i="3"/>
  <c r="J47" i="3"/>
  <c r="X92" i="3"/>
  <c r="AM80" i="3"/>
  <c r="AQ50" i="3"/>
  <c r="U68" i="3"/>
  <c r="K96" i="3"/>
  <c r="AI94" i="3"/>
  <c r="R78" i="3"/>
  <c r="J66" i="3"/>
  <c r="I62" i="3"/>
  <c r="I55" i="3"/>
  <c r="P90" i="3"/>
  <c r="W77" i="3"/>
  <c r="I61" i="3"/>
  <c r="AO64" i="3"/>
  <c r="L62" i="3"/>
  <c r="AM60" i="3"/>
  <c r="N58" i="3"/>
  <c r="AN86" i="3"/>
  <c r="Z80" i="3"/>
  <c r="Q73" i="3"/>
  <c r="AH70" i="3"/>
  <c r="AH77" i="3"/>
  <c r="AK60" i="3"/>
  <c r="AJ97" i="3"/>
  <c r="N65" i="3"/>
  <c r="AM77" i="3"/>
  <c r="X83" i="3"/>
  <c r="R48" i="3"/>
  <c r="K60" i="3"/>
  <c r="AQ60" i="3"/>
  <c r="AL88" i="3"/>
  <c r="AA55" i="3"/>
  <c r="R63" i="3"/>
  <c r="P63" i="3"/>
  <c r="AH82" i="3"/>
  <c r="J81" i="3"/>
  <c r="AI69" i="3"/>
  <c r="AE67" i="3"/>
  <c r="AN72" i="3"/>
  <c r="AH59" i="3"/>
  <c r="M50" i="3"/>
  <c r="H66" i="3"/>
  <c r="N60" i="3"/>
  <c r="Z64" i="3"/>
  <c r="AH76" i="3"/>
  <c r="O65" i="3"/>
  <c r="R75" i="3"/>
  <c r="L56" i="3"/>
  <c r="AC59" i="3"/>
  <c r="K61" i="3"/>
  <c r="AE68" i="3"/>
  <c r="W73" i="3"/>
  <c r="L92" i="3"/>
  <c r="AK94" i="3"/>
  <c r="S65" i="3"/>
  <c r="T64" i="3"/>
  <c r="AA50" i="3"/>
  <c r="U60" i="3"/>
  <c r="M59" i="3"/>
  <c r="U47" i="3"/>
  <c r="AO66" i="3"/>
  <c r="Y74" i="3"/>
  <c r="I60" i="3"/>
  <c r="R76" i="3"/>
  <c r="H93" i="3"/>
  <c r="AN84" i="3"/>
  <c r="X82" i="3"/>
  <c r="AI93" i="3"/>
  <c r="M48" i="3"/>
  <c r="AE65" i="3"/>
  <c r="L70" i="3"/>
  <c r="AL79" i="3"/>
  <c r="AI55" i="3"/>
  <c r="AM66" i="3"/>
  <c r="P79" i="3"/>
  <c r="H94" i="3"/>
  <c r="H58" i="3"/>
  <c r="Z91" i="3"/>
  <c r="O68" i="3"/>
  <c r="AE61" i="3"/>
  <c r="O60" i="3"/>
  <c r="X80" i="3"/>
  <c r="M92" i="3"/>
  <c r="Y58" i="3"/>
  <c r="T59" i="3"/>
  <c r="AG96" i="3"/>
  <c r="S49" i="3"/>
  <c r="M49" i="3"/>
  <c r="I92" i="3"/>
  <c r="AL82" i="3"/>
  <c r="M74" i="3"/>
  <c r="S86" i="3"/>
  <c r="AI56" i="3"/>
  <c r="AN70" i="3"/>
  <c r="AO79" i="3"/>
  <c r="AC49" i="3"/>
  <c r="N78" i="3"/>
  <c r="Q50" i="3"/>
  <c r="S84" i="3"/>
  <c r="Z62" i="3"/>
  <c r="P55" i="3"/>
  <c r="AA97" i="3"/>
  <c r="V80" i="3"/>
  <c r="AQ58" i="3"/>
  <c r="AQ75" i="3"/>
  <c r="Q59" i="3"/>
  <c r="Z61" i="3"/>
  <c r="AL67" i="3"/>
  <c r="AI58" i="3"/>
  <c r="Q70" i="3"/>
  <c r="U59" i="3"/>
  <c r="T86" i="3"/>
  <c r="AQ83" i="3"/>
  <c r="AJ59" i="3"/>
  <c r="Z86" i="3"/>
  <c r="AO69" i="3"/>
  <c r="L68" i="3"/>
  <c r="M91" i="3"/>
  <c r="U90" i="3"/>
  <c r="L76" i="3"/>
  <c r="H87" i="3"/>
  <c r="U79" i="3"/>
  <c r="AE86" i="3"/>
  <c r="AE66" i="3"/>
  <c r="O54" i="3"/>
  <c r="AJ64" i="3"/>
  <c r="Q49" i="3"/>
  <c r="S85" i="3"/>
  <c r="T66" i="3"/>
  <c r="L95" i="3"/>
  <c r="I69" i="3"/>
  <c r="Q93" i="3"/>
  <c r="S68" i="3"/>
  <c r="AI76" i="3"/>
  <c r="O90" i="3"/>
  <c r="I65" i="3"/>
  <c r="AI71" i="3"/>
  <c r="AG69" i="3"/>
  <c r="AJ88" i="3"/>
  <c r="K79" i="3"/>
  <c r="K95" i="3"/>
  <c r="AG60" i="3"/>
  <c r="U49" i="3"/>
  <c r="W55" i="3"/>
  <c r="AE72" i="3"/>
  <c r="AE64" i="3"/>
  <c r="N76" i="3"/>
  <c r="AO87" i="3"/>
  <c r="U84" i="3"/>
  <c r="U70" i="3"/>
  <c r="V68" i="3"/>
  <c r="X48" i="3"/>
  <c r="AO80" i="3"/>
  <c r="U76" i="3"/>
  <c r="M88" i="3"/>
  <c r="AA70" i="3"/>
  <c r="O86" i="3"/>
  <c r="AK85" i="3"/>
  <c r="Q76" i="3"/>
  <c r="N66" i="3"/>
  <c r="AE75" i="3"/>
  <c r="AN91" i="3"/>
  <c r="M86" i="3"/>
  <c r="AN65" i="3"/>
  <c r="AE97" i="3"/>
  <c r="S72" i="3"/>
  <c r="AC65" i="3"/>
  <c r="AC78" i="3"/>
  <c r="L75" i="3"/>
  <c r="W49" i="3"/>
  <c r="M54" i="3"/>
  <c r="AG90" i="3"/>
  <c r="N72" i="3"/>
  <c r="S87" i="3"/>
  <c r="V56" i="3"/>
  <c r="R80" i="3"/>
  <c r="AN79" i="3"/>
  <c r="AN71" i="3"/>
  <c r="M62" i="3"/>
  <c r="X59" i="3"/>
  <c r="AH73" i="3"/>
  <c r="AI72" i="3"/>
  <c r="AH91" i="3"/>
  <c r="S74" i="3"/>
  <c r="J80" i="3"/>
  <c r="P48" i="3"/>
  <c r="W72" i="3"/>
  <c r="I95" i="3"/>
  <c r="AG59" i="3"/>
  <c r="O61" i="3"/>
  <c r="R93" i="3"/>
  <c r="AI73" i="3"/>
  <c r="J87" i="3"/>
  <c r="AN64" i="3"/>
  <c r="AJ75" i="3"/>
  <c r="W89" i="3"/>
  <c r="S79" i="3"/>
  <c r="AN77" i="3"/>
  <c r="AC97" i="3"/>
  <c r="AA54" i="3"/>
  <c r="AO85" i="3"/>
  <c r="S56" i="3"/>
  <c r="AL60" i="3"/>
  <c r="AJ79" i="3"/>
  <c r="N94" i="3"/>
  <c r="Y84" i="3"/>
  <c r="AJ60" i="3"/>
  <c r="R96" i="3"/>
  <c r="P56" i="3"/>
  <c r="H50" i="3"/>
  <c r="N75" i="3"/>
  <c r="V96" i="3"/>
  <c r="K55" i="3"/>
  <c r="AE77" i="3"/>
  <c r="H82" i="3"/>
  <c r="AA69" i="3"/>
  <c r="S48" i="3"/>
  <c r="N97" i="3"/>
  <c r="J48" i="3"/>
  <c r="V86" i="3"/>
  <c r="AQ55" i="3"/>
  <c r="AJ90" i="3"/>
  <c r="Y71" i="3"/>
  <c r="V82" i="3"/>
  <c r="W63" i="3"/>
  <c r="W65" i="3"/>
  <c r="AM90" i="3"/>
  <c r="AE47" i="3"/>
  <c r="Z71" i="3"/>
  <c r="AA88" i="3"/>
  <c r="AK80" i="3"/>
  <c r="AI79" i="3"/>
  <c r="Y63" i="3"/>
  <c r="Z67" i="3"/>
  <c r="X66" i="3"/>
  <c r="Q89" i="3"/>
  <c r="AL57" i="3"/>
  <c r="Y55" i="3"/>
  <c r="AI81" i="3"/>
  <c r="P81" i="3"/>
  <c r="AM54" i="3"/>
  <c r="L93" i="3"/>
  <c r="AH57" i="3"/>
  <c r="U64" i="3"/>
  <c r="AA71" i="3"/>
  <c r="M79" i="3"/>
  <c r="AI85" i="3"/>
  <c r="AK84" i="3"/>
  <c r="U71" i="3"/>
  <c r="AJ74" i="3"/>
  <c r="M71" i="3"/>
  <c r="X50" i="3"/>
  <c r="AO65" i="3"/>
  <c r="S47" i="3"/>
  <c r="AN61" i="3"/>
  <c r="AQ56" i="3"/>
  <c r="P64" i="3"/>
  <c r="H92" i="3"/>
  <c r="Z68" i="3"/>
  <c r="U66" i="3"/>
  <c r="AJ89" i="3"/>
  <c r="O72" i="3"/>
  <c r="AE94" i="3"/>
  <c r="Y78" i="3"/>
  <c r="V91" i="3"/>
  <c r="U81" i="3"/>
  <c r="W56" i="3"/>
  <c r="V94" i="3"/>
  <c r="AH86" i="3"/>
  <c r="Y86" i="3"/>
  <c r="AQ87" i="3"/>
  <c r="L66" i="3"/>
  <c r="AJ48" i="3"/>
  <c r="AI95" i="3"/>
  <c r="Z47" i="3"/>
  <c r="X70" i="3"/>
  <c r="AC61" i="3"/>
  <c r="M73" i="3"/>
  <c r="AL59" i="3"/>
  <c r="J50" i="3"/>
  <c r="AI59" i="3"/>
  <c r="AC71" i="3"/>
  <c r="V74" i="3"/>
  <c r="AE50" i="3"/>
  <c r="AK74" i="3"/>
  <c r="M87" i="3"/>
  <c r="H75" i="3"/>
  <c r="I49" i="3"/>
  <c r="AO58" i="3"/>
  <c r="AL96" i="3"/>
  <c r="AK59" i="3"/>
  <c r="AI70" i="3"/>
  <c r="W66" i="3"/>
  <c r="Y67" i="3"/>
  <c r="V89" i="3"/>
  <c r="S76" i="3"/>
  <c r="AO81" i="3"/>
  <c r="N81" i="3"/>
  <c r="X95" i="3"/>
  <c r="AA74" i="3"/>
  <c r="S90" i="3"/>
  <c r="AH88" i="3"/>
  <c r="O63" i="3"/>
  <c r="X61" i="3"/>
  <c r="AC70" i="3"/>
  <c r="K67" i="3"/>
  <c r="AG95" i="3"/>
  <c r="R88" i="3"/>
  <c r="H57" i="3"/>
  <c r="P80" i="3"/>
  <c r="T58" i="3"/>
  <c r="AL80" i="3"/>
  <c r="AM95" i="3"/>
  <c r="AL64" i="3"/>
  <c r="N56" i="3"/>
  <c r="AG55" i="3"/>
  <c r="O92" i="3"/>
  <c r="AM92" i="3"/>
  <c r="AO75" i="3"/>
  <c r="L97" i="3"/>
  <c r="T74" i="3"/>
  <c r="U77" i="3"/>
  <c r="M85" i="3"/>
  <c r="AK47" i="3"/>
  <c r="AL61" i="3"/>
  <c r="Y75" i="3"/>
  <c r="Q86" i="3"/>
  <c r="N47" i="3"/>
  <c r="AN60" i="3"/>
  <c r="U82" i="3"/>
  <c r="Z97" i="3"/>
  <c r="Z70" i="3"/>
  <c r="V63" i="3"/>
  <c r="I83" i="3"/>
  <c r="I56" i="3"/>
  <c r="K54" i="3"/>
  <c r="AJ61" i="3"/>
  <c r="N62" i="3"/>
  <c r="R74" i="3"/>
  <c r="U89" i="3"/>
  <c r="K64" i="3"/>
  <c r="AJ49" i="3"/>
  <c r="W59" i="3"/>
  <c r="AL47" i="3"/>
  <c r="K85" i="3"/>
  <c r="AO74" i="3"/>
  <c r="K57" i="3"/>
  <c r="AL73" i="3"/>
  <c r="AA91" i="3"/>
  <c r="Q67" i="3"/>
  <c r="AA86" i="3"/>
  <c r="AO72" i="3"/>
  <c r="V57" i="3"/>
  <c r="AK73" i="3"/>
  <c r="Y92" i="3"/>
  <c r="R97" i="3"/>
  <c r="AO77" i="3"/>
  <c r="P50" i="3"/>
  <c r="U91" i="3"/>
  <c r="T83" i="3"/>
  <c r="AJ56" i="3"/>
  <c r="N64" i="3"/>
  <c r="V93" i="3"/>
  <c r="N83" i="3"/>
  <c r="AJ66" i="3"/>
  <c r="R95" i="3"/>
  <c r="I67" i="3"/>
  <c r="J90" i="3"/>
  <c r="R71" i="3"/>
  <c r="AE62" i="3"/>
  <c r="AI63" i="3"/>
  <c r="S67" i="3"/>
  <c r="T69" i="3"/>
  <c r="Q95" i="3"/>
  <c r="N85" i="3"/>
  <c r="W93" i="3"/>
  <c r="W94" i="3"/>
  <c r="Z85" i="3"/>
  <c r="X75" i="3"/>
  <c r="AH96" i="3"/>
  <c r="J84" i="3"/>
  <c r="J71" i="3"/>
  <c r="AI47" i="3"/>
  <c r="P74" i="3"/>
  <c r="AI64" i="3"/>
  <c r="AM73" i="3"/>
  <c r="V62" i="3"/>
  <c r="AE55" i="3"/>
  <c r="S81" i="3"/>
  <c r="AM88" i="3"/>
  <c r="AN85" i="3"/>
  <c r="Q82" i="3"/>
  <c r="AA82" i="3"/>
  <c r="AJ87" i="3"/>
  <c r="N57" i="3"/>
  <c r="AG61" i="3"/>
  <c r="R54" i="3"/>
  <c r="X57" i="3"/>
  <c r="R83" i="3"/>
  <c r="K91" i="3"/>
  <c r="AJ55" i="3"/>
  <c r="P49" i="3"/>
  <c r="H54" i="3"/>
  <c r="M72" i="3"/>
  <c r="P70" i="3"/>
  <c r="AM81" i="3"/>
  <c r="R94" i="3"/>
  <c r="AI97" i="3"/>
  <c r="Q92" i="3"/>
  <c r="U65" i="3"/>
  <c r="AC94" i="3"/>
  <c r="J68" i="3"/>
  <c r="T48" i="3"/>
  <c r="U87" i="3"/>
  <c r="AE95" i="3"/>
  <c r="T60" i="3"/>
  <c r="Z49" i="3"/>
  <c r="X64" i="3"/>
  <c r="AI80" i="3"/>
  <c r="AN90" i="3"/>
  <c r="AA66" i="3"/>
  <c r="Q56" i="3"/>
  <c r="N91" i="3"/>
  <c r="AL65" i="3"/>
  <c r="Q75" i="3"/>
  <c r="X65" i="3"/>
  <c r="AO90" i="3"/>
  <c r="Y54" i="3"/>
  <c r="AK82" i="3"/>
  <c r="Z74" i="3"/>
  <c r="H88" i="3"/>
  <c r="P84" i="3"/>
  <c r="Q62" i="3"/>
  <c r="Y82" i="3"/>
  <c r="T73" i="3"/>
  <c r="AH67" i="3"/>
  <c r="AE90" i="3"/>
  <c r="V50" i="3"/>
  <c r="W92" i="3"/>
  <c r="AL87" i="3"/>
  <c r="X86" i="3"/>
  <c r="AH63" i="3"/>
  <c r="V60" i="3"/>
  <c r="AA85" i="3"/>
  <c r="V48" i="3"/>
  <c r="AA81" i="3"/>
  <c r="K48" i="3"/>
  <c r="U62" i="3"/>
  <c r="N77" i="3"/>
  <c r="AO78" i="3"/>
  <c r="S93" i="3"/>
  <c r="AJ65" i="3"/>
  <c r="AC83" i="3"/>
  <c r="AE70" i="3"/>
  <c r="K50" i="3"/>
  <c r="AC60" i="3"/>
  <c r="U92" i="3"/>
  <c r="J55" i="3"/>
  <c r="AE93" i="3"/>
  <c r="V95" i="3"/>
  <c r="AN94" i="3"/>
  <c r="U78" i="3"/>
  <c r="AO48" i="3"/>
  <c r="T54" i="3"/>
  <c r="W58" i="3"/>
  <c r="AN59" i="3"/>
  <c r="Z55" i="3"/>
  <c r="AQ94" i="3"/>
  <c r="T88" i="3"/>
  <c r="X67" i="3"/>
  <c r="M77" i="3"/>
  <c r="AM89" i="3"/>
  <c r="AN48" i="3"/>
  <c r="R84" i="3"/>
  <c r="W97" i="3"/>
  <c r="AI65" i="3"/>
  <c r="R68" i="3"/>
  <c r="L73" i="3"/>
  <c r="AH65" i="3"/>
  <c r="AJ47" i="3"/>
  <c r="P47" i="3"/>
  <c r="AQ93" i="3"/>
  <c r="L60" i="3"/>
  <c r="Y97" i="3"/>
  <c r="AO88" i="3"/>
  <c r="H65" i="3"/>
  <c r="AM61" i="3"/>
  <c r="AL68" i="3"/>
  <c r="Q79" i="3"/>
  <c r="T62" i="3"/>
  <c r="AQ66" i="3"/>
  <c r="M82" i="3"/>
  <c r="AN50" i="3"/>
  <c r="AE84" i="3"/>
  <c r="AM70" i="3"/>
  <c r="O81" i="3"/>
  <c r="H96" i="3"/>
  <c r="O59" i="3"/>
  <c r="AE78" i="3"/>
  <c r="AG50" i="3"/>
  <c r="AN80" i="3"/>
  <c r="AO59" i="3"/>
  <c r="AQ89" i="3"/>
  <c r="H97" i="3"/>
  <c r="Z63" i="3"/>
  <c r="R60" i="3"/>
  <c r="S69" i="3"/>
  <c r="J65" i="3"/>
  <c r="AM84" i="3"/>
  <c r="H59" i="3"/>
  <c r="K97" i="3"/>
  <c r="AM55" i="3"/>
  <c r="V87" i="3"/>
  <c r="AN67" i="3"/>
  <c r="H79" i="3"/>
  <c r="K49" i="3"/>
  <c r="T89" i="3"/>
  <c r="P95" i="3"/>
  <c r="AC93" i="3"/>
  <c r="H89" i="3"/>
  <c r="AM65" i="3"/>
  <c r="M69" i="3"/>
  <c r="N86" i="3"/>
  <c r="AH81" i="3"/>
  <c r="AI92" i="3"/>
  <c r="S80" i="3"/>
  <c r="AO50" i="3"/>
  <c r="J97" i="3"/>
  <c r="O62" i="3"/>
  <c r="Y56" i="3"/>
  <c r="L47" i="3"/>
  <c r="M89" i="3"/>
  <c r="AN97" i="3"/>
  <c r="I73" i="3"/>
  <c r="V59" i="3"/>
  <c r="N80" i="3"/>
  <c r="I87" i="3"/>
  <c r="AH61" i="3"/>
  <c r="AG63" i="3"/>
  <c r="Z77" i="3"/>
  <c r="V55" i="3"/>
  <c r="AO97" i="3"/>
  <c r="L78" i="3"/>
  <c r="Y64" i="3"/>
  <c r="V97" i="3"/>
  <c r="AK95" i="3"/>
  <c r="AG67" i="3"/>
  <c r="I88" i="3"/>
  <c r="R65" i="3"/>
  <c r="S97" i="3"/>
  <c r="AG49" i="3"/>
  <c r="AI90" i="3"/>
  <c r="M83" i="3"/>
  <c r="M63" i="3"/>
  <c r="AL85" i="3"/>
  <c r="K76" i="3"/>
  <c r="W68" i="3"/>
  <c r="AO92" i="3"/>
  <c r="P82" i="3"/>
  <c r="X73" i="3"/>
  <c r="T70" i="3"/>
  <c r="AE92" i="3"/>
  <c r="AJ94" i="3"/>
  <c r="AL69" i="3"/>
  <c r="X62" i="3"/>
  <c r="AA56" i="3"/>
  <c r="L88" i="3"/>
  <c r="AE56" i="3"/>
  <c r="AK70" i="3"/>
  <c r="L79" i="3"/>
  <c r="AQ96" i="3"/>
  <c r="AN89" i="3"/>
  <c r="AE71" i="3"/>
  <c r="W91" i="3"/>
  <c r="Q69" i="3"/>
  <c r="AA63" i="3"/>
  <c r="AI54" i="3"/>
  <c r="AG48" i="3"/>
  <c r="AJ83" i="3"/>
  <c r="AC67" i="3"/>
  <c r="O88" i="3"/>
  <c r="K70" i="3"/>
  <c r="AK86" i="3"/>
  <c r="R56" i="3"/>
  <c r="R55" i="3"/>
  <c r="AK97" i="3"/>
  <c r="AM93" i="3"/>
  <c r="AA83" i="3"/>
  <c r="AI62" i="3"/>
  <c r="AH68" i="3"/>
  <c r="AJ84" i="3"/>
  <c r="Q60" i="3"/>
  <c r="R81" i="3"/>
  <c r="AK68" i="3"/>
  <c r="P60" i="3"/>
  <c r="AL83" i="3"/>
  <c r="Q65" i="3"/>
  <c r="Q90" i="3"/>
  <c r="J79" i="3"/>
  <c r="K93" i="3"/>
  <c r="AI57" i="3"/>
  <c r="K81" i="3"/>
  <c r="L58" i="3"/>
  <c r="R86" i="3"/>
  <c r="Z48" i="3"/>
  <c r="AE96" i="3"/>
  <c r="AM83" i="3"/>
  <c r="AI88" i="3"/>
  <c r="AJ77" i="3"/>
  <c r="AL77" i="3"/>
  <c r="J62" i="3"/>
  <c r="V49" i="3"/>
  <c r="V47" i="3"/>
  <c r="Z72" i="3"/>
  <c r="AC64" i="3"/>
  <c r="AJ62" i="3"/>
  <c r="AG47" i="3"/>
  <c r="V58" i="3"/>
  <c r="AM62" i="3"/>
  <c r="AG70" i="3"/>
  <c r="S77" i="3"/>
  <c r="N82" i="3"/>
  <c r="M96" i="3"/>
  <c r="V84" i="3"/>
  <c r="X58" i="3"/>
  <c r="R91" i="3"/>
  <c r="AA59" i="3"/>
  <c r="AK67" i="3"/>
  <c r="O97" i="3"/>
  <c r="AH54" i="3"/>
  <c r="N48" i="3"/>
  <c r="AG54" i="3"/>
  <c r="Q54" i="3"/>
  <c r="AG75" i="3"/>
  <c r="I80" i="3"/>
  <c r="AN54" i="3"/>
  <c r="Y91" i="3"/>
  <c r="P54" i="3"/>
  <c r="K56" i="3"/>
  <c r="K74" i="3"/>
  <c r="U63" i="3"/>
  <c r="I75" i="3"/>
  <c r="AK88" i="3"/>
  <c r="L94" i="3"/>
  <c r="N87" i="3"/>
  <c r="AI74" i="3"/>
  <c r="K77" i="3"/>
  <c r="I79" i="3"/>
  <c r="S73" i="3"/>
  <c r="AL76" i="3"/>
  <c r="AQ81" i="3"/>
  <c r="Z83" i="3"/>
  <c r="Y66" i="3"/>
  <c r="AH94" i="3"/>
  <c r="AK58" i="3"/>
  <c r="AO91" i="3"/>
  <c r="M64" i="3"/>
  <c r="AL92" i="3"/>
  <c r="U61" i="3"/>
  <c r="AM86" i="3"/>
  <c r="R47" i="3"/>
  <c r="O96" i="3"/>
  <c r="L54" i="3"/>
  <c r="AK78" i="3"/>
  <c r="AC63" i="3"/>
  <c r="AG62" i="3"/>
  <c r="S55" i="3"/>
  <c r="U73" i="3"/>
  <c r="H73" i="3"/>
  <c r="AE89" i="3"/>
  <c r="J91" i="3"/>
  <c r="Y68" i="3"/>
  <c r="H62" i="3"/>
  <c r="R57" i="3"/>
  <c r="K75" i="3"/>
  <c r="M76" i="3"/>
  <c r="S64" i="3"/>
  <c r="W81" i="3"/>
  <c r="AN73" i="3"/>
  <c r="Y60" i="3"/>
  <c r="R59" i="3"/>
  <c r="AM50" i="3"/>
  <c r="AO84" i="3"/>
  <c r="W47" i="3"/>
  <c r="AA67" i="3"/>
  <c r="AG58" i="3"/>
  <c r="R77" i="3"/>
  <c r="AM56" i="3"/>
  <c r="AL58" i="3"/>
  <c r="Z73" i="3"/>
  <c r="Z59" i="3"/>
  <c r="AK89" i="3"/>
  <c r="S92" i="3"/>
  <c r="AI50" i="3"/>
  <c r="AE82" i="3"/>
  <c r="O87" i="3"/>
  <c r="AL50" i="3"/>
  <c r="O91" i="3"/>
  <c r="T49" i="3"/>
  <c r="AG82" i="3"/>
  <c r="AN87" i="3"/>
  <c r="H95" i="3"/>
  <c r="U88" i="3"/>
  <c r="Z75" i="3"/>
  <c r="O66" i="3"/>
  <c r="X56" i="3"/>
  <c r="P87" i="3"/>
  <c r="W82" i="3"/>
  <c r="H86" i="3"/>
  <c r="Q91" i="3"/>
  <c r="AI86" i="3"/>
  <c r="AE60" i="3"/>
  <c r="Q87" i="3"/>
  <c r="L57" i="3"/>
  <c r="P77" i="3"/>
  <c r="Z65" i="3"/>
  <c r="K59" i="3"/>
  <c r="AJ63" i="3"/>
  <c r="V64" i="3"/>
  <c r="AH90" i="3"/>
  <c r="AQ86" i="3"/>
  <c r="AL54" i="3"/>
  <c r="AI87" i="3"/>
  <c r="L85" i="3"/>
  <c r="O75" i="3"/>
  <c r="AI67" i="3"/>
  <c r="AJ67" i="3"/>
  <c r="P66" i="3"/>
  <c r="AH48" i="3"/>
  <c r="O94" i="3"/>
  <c r="AO54" i="3"/>
  <c r="AQ65" i="3"/>
  <c r="R72" i="3"/>
  <c r="AN56" i="3"/>
  <c r="O58" i="3"/>
  <c r="H80" i="3"/>
  <c r="AQ78" i="3"/>
  <c r="Z93" i="3"/>
  <c r="Y62" i="3"/>
  <c r="Q68" i="3"/>
  <c r="AK49" i="3"/>
  <c r="AL56" i="3"/>
  <c r="W67" i="3"/>
  <c r="AG74" i="3"/>
  <c r="V92" i="3"/>
  <c r="AL94" i="3"/>
  <c r="T78" i="3"/>
  <c r="J93" i="3"/>
  <c r="H84" i="3"/>
  <c r="AO55" i="3"/>
  <c r="S66" i="3"/>
  <c r="J59" i="3"/>
  <c r="L67" i="3"/>
  <c r="AC57" i="3"/>
  <c r="AK92" i="3"/>
  <c r="K92" i="3"/>
  <c r="Y73" i="3"/>
  <c r="H56" i="3"/>
  <c r="V54" i="3"/>
  <c r="AK48" i="3"/>
  <c r="T87" i="3"/>
  <c r="AG56" i="3"/>
  <c r="K69" i="3"/>
  <c r="AC68" i="3"/>
  <c r="T82" i="3"/>
  <c r="L50" i="3"/>
  <c r="AQ71" i="3"/>
  <c r="H47" i="3"/>
  <c r="R79" i="3"/>
  <c r="O84" i="3"/>
  <c r="R70" i="3"/>
  <c r="S91" i="3"/>
  <c r="AN55" i="3"/>
  <c r="Z90" i="3"/>
  <c r="T80" i="3"/>
  <c r="J95" i="3"/>
  <c r="AO76" i="3"/>
  <c r="AG77" i="3"/>
  <c r="O73" i="3"/>
  <c r="K73" i="3"/>
  <c r="L48" i="3"/>
  <c r="W75" i="3"/>
  <c r="J75" i="3"/>
  <c r="Q66" i="3"/>
  <c r="AN63" i="3"/>
  <c r="AA79" i="3"/>
  <c r="W90" i="3"/>
  <c r="AQ48" i="3"/>
  <c r="AN66" i="3"/>
  <c r="T81" i="3"/>
  <c r="X72" i="3"/>
  <c r="AJ95" i="3"/>
  <c r="X85" i="3"/>
  <c r="AK64" i="3"/>
  <c r="Y95" i="3"/>
  <c r="Z87" i="3"/>
  <c r="W78" i="3"/>
  <c r="L59" i="3"/>
  <c r="U94" i="3"/>
  <c r="L64" i="3"/>
  <c r="AJ57" i="3"/>
  <c r="AQ80" i="3"/>
  <c r="R73" i="3"/>
  <c r="AO94" i="3"/>
  <c r="AK87" i="3"/>
  <c r="H70" i="3"/>
  <c r="R90" i="3"/>
  <c r="AC85" i="3"/>
  <c r="AJ68" i="3"/>
  <c r="P94" i="3"/>
  <c r="M66" i="3"/>
  <c r="T91" i="3"/>
  <c r="P58" i="3"/>
  <c r="J72" i="3"/>
  <c r="AL75" i="3"/>
  <c r="R69" i="3"/>
  <c r="X78" i="3"/>
  <c r="AK54" i="3"/>
  <c r="V75" i="3"/>
  <c r="W57" i="3"/>
  <c r="AL86" i="3"/>
  <c r="AM64" i="3"/>
  <c r="H77" i="3"/>
  <c r="Z82" i="3"/>
  <c r="AH84" i="3"/>
  <c r="AL66" i="3"/>
  <c r="T65" i="3"/>
  <c r="AQ54" i="3"/>
  <c r="M67" i="3"/>
  <c r="AM48" i="3"/>
  <c r="R67" i="3"/>
  <c r="Q80" i="3"/>
  <c r="W80" i="3"/>
  <c r="AO95" i="3"/>
  <c r="V69" i="3"/>
  <c r="J74" i="3"/>
  <c r="AM74" i="3"/>
  <c r="P73" i="3"/>
  <c r="W64" i="3"/>
  <c r="T61" i="3"/>
  <c r="AQ74" i="3"/>
  <c r="AN49" i="3"/>
  <c r="AA90" i="3"/>
  <c r="K84" i="3"/>
  <c r="S59" i="3"/>
  <c r="S61" i="3"/>
  <c r="AE58" i="3"/>
  <c r="AH93" i="3"/>
  <c r="AC87" i="3"/>
  <c r="AO56" i="3"/>
  <c r="AH78" i="3"/>
  <c r="AC50" i="3"/>
  <c r="AE69" i="3"/>
  <c r="AM69" i="3"/>
  <c r="R61" i="3"/>
  <c r="P86" i="3"/>
  <c r="W62" i="3"/>
  <c r="H69" i="3"/>
  <c r="O79" i="3"/>
  <c r="K66" i="3"/>
  <c r="V76" i="3"/>
  <c r="K89" i="3"/>
  <c r="AQ49" i="3"/>
  <c r="AH62" i="3"/>
  <c r="K82" i="3"/>
  <c r="AJ58" i="3"/>
  <c r="AG65" i="3"/>
  <c r="AG71" i="3"/>
  <c r="Y85" i="3"/>
  <c r="X54" i="3"/>
  <c r="Z78" i="3"/>
  <c r="AC86" i="3"/>
  <c r="K71" i="3"/>
  <c r="AA95" i="3"/>
  <c r="U74" i="3"/>
  <c r="L80" i="3"/>
  <c r="V71" i="3"/>
  <c r="X87" i="3"/>
  <c r="AM63" i="3"/>
  <c r="N63" i="3"/>
  <c r="N71" i="3"/>
  <c r="AJ86" i="3"/>
  <c r="O70" i="3"/>
  <c r="AG78" i="3"/>
  <c r="N79" i="3"/>
  <c r="AM97" i="3"/>
  <c r="I66" i="3"/>
  <c r="N96" i="3"/>
  <c r="Y49" i="3"/>
  <c r="R92" i="3"/>
  <c r="AG57" i="3"/>
  <c r="W54" i="3"/>
  <c r="AN82" i="3"/>
  <c r="V61" i="3"/>
  <c r="AA72" i="3"/>
  <c r="J54" i="3"/>
  <c r="O83" i="3"/>
  <c r="L61" i="3"/>
  <c r="Q71" i="3"/>
  <c r="L89" i="3"/>
  <c r="X94" i="3"/>
  <c r="U96" i="3"/>
  <c r="AJ73" i="3"/>
  <c r="AC88" i="3"/>
  <c r="AQ73" i="3"/>
  <c r="AA96" i="3"/>
  <c r="U69" i="3"/>
  <c r="J83" i="3"/>
  <c r="H74" i="3"/>
  <c r="AM78" i="3"/>
  <c r="AC76" i="3"/>
  <c r="AL49" i="3"/>
  <c r="AM75" i="3"/>
  <c r="Z94" i="3"/>
  <c r="X68" i="3"/>
  <c r="O80" i="3"/>
  <c r="AN95" i="3"/>
  <c r="P96" i="3"/>
  <c r="AK72" i="3"/>
  <c r="AQ72" i="3"/>
  <c r="J77" i="3"/>
  <c r="AH87" i="3"/>
  <c r="U57" i="3"/>
  <c r="AM82" i="3"/>
  <c r="AM68" i="3"/>
  <c r="P69" i="3"/>
  <c r="P59" i="3"/>
  <c r="AI83" i="3"/>
  <c r="AG97" i="3"/>
  <c r="S88" i="3"/>
  <c r="P62" i="3"/>
  <c r="AO70" i="3"/>
  <c r="Y93" i="3"/>
  <c r="AM58" i="3"/>
  <c r="AQ88" i="3"/>
  <c r="AQ70" i="3"/>
  <c r="X81" i="3"/>
  <c r="AA80" i="3"/>
  <c r="I58" i="3"/>
  <c r="O78" i="3"/>
  <c r="Y48" i="3"/>
  <c r="AH47" i="3"/>
  <c r="AK81" i="3"/>
  <c r="M56" i="3"/>
  <c r="Y80" i="3"/>
  <c r="AM49" i="3"/>
  <c r="J70" i="3"/>
  <c r="AN62" i="3"/>
  <c r="Y70" i="3"/>
  <c r="I96" i="3"/>
  <c r="U48" i="3"/>
  <c r="AJ54" i="3"/>
  <c r="T97" i="3"/>
  <c r="W71" i="3"/>
  <c r="AG91" i="3"/>
  <c r="L84" i="3"/>
  <c r="K78" i="3"/>
  <c r="AA58" i="3"/>
  <c r="O67" i="3"/>
  <c r="W48" i="3"/>
  <c r="AK66" i="3"/>
  <c r="AC91" i="3"/>
  <c r="J58" i="3"/>
  <c r="I71" i="3"/>
  <c r="AE79" i="3"/>
  <c r="Q81" i="3"/>
  <c r="AI48" i="3"/>
  <c r="AE57" i="3"/>
  <c r="AN93" i="3"/>
  <c r="AL89" i="3"/>
  <c r="AC81" i="3"/>
  <c r="T55" i="3"/>
  <c r="AE85" i="3"/>
  <c r="Z79" i="3"/>
  <c r="AK91" i="3"/>
  <c r="K63" i="3"/>
  <c r="AJ92" i="3"/>
  <c r="AH66" i="3"/>
  <c r="J57" i="3"/>
  <c r="AJ80" i="3"/>
  <c r="S83" i="3"/>
  <c r="M68" i="3"/>
  <c r="N90" i="3"/>
  <c r="I81" i="3"/>
  <c r="H71" i="3"/>
  <c r="X69" i="3"/>
  <c r="Y89" i="3"/>
  <c r="J63" i="3"/>
  <c r="O64" i="3"/>
  <c r="T79" i="3"/>
  <c r="X96" i="3"/>
  <c r="O89" i="3"/>
  <c r="AC54" i="3"/>
  <c r="AO47" i="3"/>
  <c r="AG80" i="3"/>
  <c r="AK63" i="3"/>
  <c r="AO71" i="3"/>
  <c r="M58" i="3"/>
  <c r="R58" i="3"/>
  <c r="AH72" i="3"/>
  <c r="AC62" i="3"/>
  <c r="AE80" i="3"/>
  <c r="P85" i="3"/>
  <c r="AQ76" i="3"/>
  <c r="AC69" i="3"/>
  <c r="AH50" i="3"/>
  <c r="AL90" i="3"/>
  <c r="AM94" i="3"/>
  <c r="P92" i="3"/>
  <c r="L83" i="3"/>
  <c r="AN96" i="3"/>
  <c r="AO57" i="3"/>
  <c r="AN47" i="3"/>
  <c r="X74" i="3"/>
  <c r="AA57" i="3"/>
  <c r="AA49" i="3"/>
  <c r="U95" i="3"/>
  <c r="AI84" i="3"/>
  <c r="M70" i="3"/>
  <c r="AN76" i="3"/>
  <c r="AQ79" i="3"/>
  <c r="X97" i="3"/>
  <c r="Y90" i="3"/>
  <c r="AE81" i="3"/>
  <c r="Y65" i="3"/>
  <c r="K90" i="3"/>
  <c r="H91" i="3"/>
  <c r="AM85" i="3"/>
  <c r="T67" i="3"/>
  <c r="AH71" i="3"/>
  <c r="AI75" i="3"/>
  <c r="J61" i="3"/>
  <c r="I68" i="3"/>
  <c r="AA61" i="3"/>
  <c r="T84" i="3"/>
  <c r="AK90" i="3"/>
  <c r="AI78" i="3"/>
  <c r="AG93" i="3"/>
  <c r="AK75" i="3"/>
  <c r="AL93" i="3"/>
  <c r="V85" i="3"/>
  <c r="AE59" i="3"/>
  <c r="AO62" i="3"/>
  <c r="Q83" i="3"/>
  <c r="AO49" i="3"/>
  <c r="T76" i="3"/>
  <c r="AG66" i="3"/>
  <c r="M60" i="3"/>
  <c r="AM57" i="3"/>
  <c r="I70" i="3"/>
  <c r="W50" i="3"/>
  <c r="AK61" i="3"/>
  <c r="S95" i="3"/>
  <c r="I93" i="3"/>
  <c r="AC73" i="3"/>
  <c r="W96" i="3"/>
  <c r="X93" i="3"/>
  <c r="U86" i="3"/>
  <c r="L77" i="3"/>
  <c r="AQ91" i="3"/>
  <c r="L71" i="3"/>
  <c r="AI77" i="3"/>
  <c r="X91" i="3"/>
  <c r="Q55" i="3"/>
  <c r="Q77" i="3"/>
  <c r="K72" i="3"/>
  <c r="AN83" i="3"/>
  <c r="T92" i="3"/>
  <c r="L96" i="3"/>
  <c r="AI96" i="3"/>
  <c r="AL81" i="3"/>
  <c r="Q47" i="3"/>
  <c r="X63" i="3"/>
  <c r="AG89" i="3"/>
  <c r="S89" i="3"/>
  <c r="AN58" i="3"/>
  <c r="U54" i="3"/>
  <c r="AE76" i="3"/>
  <c r="K62" i="3"/>
  <c r="H72" i="3"/>
  <c r="AH55" i="3"/>
  <c r="L55" i="3"/>
  <c r="R66" i="3"/>
  <c r="AK76" i="3"/>
  <c r="L72" i="3"/>
  <c r="M90" i="3"/>
  <c r="AH97" i="3"/>
  <c r="AQ95" i="3"/>
  <c r="M61" i="3"/>
  <c r="AK69" i="3"/>
  <c r="U75" i="3"/>
  <c r="J76" i="3"/>
  <c r="W60" i="3"/>
  <c r="AQ67" i="3"/>
  <c r="W87" i="3"/>
  <c r="AK96" i="3"/>
  <c r="Z95" i="3"/>
  <c r="AG86" i="3"/>
  <c r="Q94" i="3"/>
  <c r="AG79" i="3"/>
  <c r="Q57" i="3"/>
  <c r="AM76" i="3"/>
  <c r="Z57" i="3"/>
  <c r="S71" i="3"/>
  <c r="N70" i="3"/>
  <c r="Z84" i="3"/>
  <c r="AN92" i="3"/>
  <c r="AQ85" i="3"/>
  <c r="J56" i="3"/>
  <c r="AI61" i="3"/>
  <c r="J67" i="3"/>
  <c r="T93" i="3"/>
  <c r="AH95" i="3"/>
  <c r="AO63" i="3"/>
  <c r="M84" i="3"/>
  <c r="X55" i="3"/>
  <c r="R85" i="3"/>
  <c r="S50" i="3"/>
  <c r="AQ90" i="3"/>
  <c r="AC90" i="3"/>
  <c r="AE54" i="3"/>
  <c r="AI60" i="3"/>
  <c r="AO61" i="3"/>
  <c r="AK77" i="3"/>
  <c r="AK71" i="3"/>
  <c r="U55" i="3"/>
  <c r="O56" i="3"/>
  <c r="K58" i="3"/>
  <c r="AC96" i="3"/>
  <c r="AQ62" i="3"/>
  <c r="V73" i="3"/>
  <c r="I48" i="3"/>
  <c r="O48" i="3"/>
  <c r="N59" i="3"/>
  <c r="AA48" i="3"/>
  <c r="AL97" i="3"/>
  <c r="AL91" i="3"/>
  <c r="H67" i="3"/>
  <c r="AE74" i="3"/>
  <c r="O55" i="3"/>
  <c r="AQ69" i="3"/>
  <c r="AK93" i="3"/>
  <c r="S58" i="3"/>
  <c r="I54" i="3"/>
  <c r="AJ70" i="3"/>
  <c r="AG83" i="3"/>
  <c r="Y96" i="3"/>
  <c r="AC48" i="3"/>
  <c r="Z92" i="3"/>
  <c r="L90" i="3"/>
  <c r="AG87" i="3"/>
  <c r="AH69" i="3"/>
  <c r="Y83" i="3"/>
  <c r="J92" i="3"/>
  <c r="M47" i="3"/>
  <c r="N74" i="3"/>
  <c r="AG64" i="3"/>
  <c r="AH79" i="3"/>
  <c r="N89" i="3"/>
  <c r="AJ96" i="3"/>
  <c r="O47" i="3"/>
  <c r="AA93" i="3"/>
  <c r="AQ59" i="3"/>
  <c r="V78" i="3"/>
  <c r="I63" i="3"/>
  <c r="U85" i="3"/>
  <c r="P68" i="3"/>
  <c r="AA62" i="3"/>
  <c r="V79" i="3"/>
  <c r="AA77" i="3"/>
  <c r="U67" i="3"/>
  <c r="V77" i="3"/>
  <c r="AA78" i="3"/>
  <c r="J82" i="3"/>
  <c r="U56" i="3"/>
  <c r="P93" i="3"/>
  <c r="AA65" i="3"/>
  <c r="AL84" i="3"/>
  <c r="M75" i="3"/>
  <c r="V90" i="3"/>
  <c r="AL95" i="3"/>
  <c r="Y87" i="3"/>
  <c r="W76" i="3"/>
  <c r="AN57" i="3"/>
  <c r="AC66" i="3"/>
  <c r="AC58" i="3"/>
  <c r="AI89" i="3"/>
  <c r="I86" i="3"/>
  <c r="K86" i="3"/>
  <c r="L49" i="3"/>
  <c r="S96" i="3"/>
  <c r="AH89" i="3"/>
  <c r="Q64" i="3"/>
  <c r="R87" i="3"/>
  <c r="T90" i="3"/>
  <c r="Q58" i="3"/>
  <c r="O57" i="3"/>
  <c r="L87" i="3"/>
  <c r="M93" i="3"/>
  <c r="P83" i="3"/>
  <c r="T94" i="3"/>
  <c r="AI91" i="3"/>
  <c r="J88" i="3"/>
  <c r="K47" i="3"/>
  <c r="AJ78" i="3"/>
  <c r="AO82" i="3"/>
  <c r="T96" i="3"/>
  <c r="P71" i="3"/>
  <c r="M95" i="3"/>
  <c r="AC82" i="3"/>
  <c r="J60" i="3"/>
  <c r="Q85" i="3"/>
  <c r="Z88" i="3"/>
  <c r="V67" i="3"/>
  <c r="AG68" i="3"/>
  <c r="W79" i="3"/>
  <c r="N84" i="3"/>
  <c r="P65" i="3"/>
  <c r="U83" i="3"/>
  <c r="I57" i="3"/>
  <c r="Q88" i="3"/>
  <c r="Y79" i="3"/>
  <c r="M57" i="3"/>
  <c r="AO68" i="3"/>
  <c r="AE91" i="3"/>
  <c r="W85" i="3"/>
  <c r="T85" i="3"/>
  <c r="AK65" i="3"/>
  <c r="O82" i="3"/>
  <c r="S70" i="3"/>
  <c r="X60" i="3"/>
  <c r="AH83" i="3"/>
  <c r="X84" i="3"/>
  <c r="V72" i="3"/>
  <c r="AA89" i="3"/>
  <c r="Y57" i="3"/>
  <c r="AJ82" i="3"/>
  <c r="O77" i="3"/>
  <c r="Y72" i="3"/>
  <c r="AA64" i="3"/>
  <c r="AA60" i="3"/>
  <c r="Z54" i="3"/>
  <c r="Q78" i="3"/>
  <c r="S62" i="3"/>
  <c r="R82" i="3"/>
  <c r="Z60" i="3"/>
  <c r="AL63" i="3"/>
  <c r="N92" i="3"/>
  <c r="V66" i="3"/>
  <c r="AA87" i="3"/>
  <c r="T75" i="3"/>
  <c r="Z50" i="3"/>
  <c r="V70" i="3"/>
  <c r="P78" i="3"/>
  <c r="AQ77" i="3"/>
  <c r="AL72" i="3"/>
  <c r="AQ68" i="3"/>
  <c r="AQ47" i="3"/>
  <c r="Z76" i="3"/>
  <c r="AM96" i="3"/>
  <c r="N54" i="3"/>
  <c r="K87" i="3"/>
  <c r="AG94" i="3"/>
  <c r="K68" i="3"/>
  <c r="L69" i="3"/>
  <c r="AJ91" i="3"/>
  <c r="S54" i="3"/>
  <c r="U80" i="3"/>
  <c r="AA94" i="3"/>
  <c r="M55" i="3"/>
  <c r="N55" i="3"/>
  <c r="H83" i="3"/>
  <c r="AA76" i="3"/>
  <c r="I94" i="3"/>
  <c r="W84" i="3"/>
  <c r="I50" i="3"/>
  <c r="Q97" i="3"/>
  <c r="X71" i="3"/>
  <c r="AN68" i="3"/>
  <c r="O50" i="3"/>
  <c r="AG76" i="3"/>
  <c r="N95" i="3"/>
  <c r="AK50" i="3"/>
  <c r="AQ84" i="3"/>
  <c r="AO93" i="3"/>
  <c r="I76" i="3"/>
  <c r="W86" i="3"/>
  <c r="M80" i="3"/>
  <c r="AK83" i="3"/>
  <c r="J86" i="3"/>
  <c r="N68" i="3"/>
  <c r="U58" i="3"/>
  <c r="Q72" i="3"/>
  <c r="O93" i="3"/>
  <c r="J78" i="3"/>
  <c r="H78" i="3"/>
  <c r="AJ85" i="3"/>
  <c r="AQ63" i="3"/>
  <c r="L74" i="3"/>
  <c r="P61" i="3"/>
  <c r="H90" i="3"/>
  <c r="I64" i="3"/>
  <c r="N69" i="3"/>
  <c r="O49" i="3"/>
  <c r="X47" i="3"/>
  <c r="P91" i="3"/>
  <c r="J85" i="3"/>
  <c r="AM71" i="3"/>
  <c r="T71" i="3"/>
  <c r="AM91" i="3"/>
  <c r="P97" i="3"/>
  <c r="AK79" i="3"/>
  <c r="AA68" i="3"/>
  <c r="M65" i="3"/>
  <c r="U50" i="3"/>
  <c r="AE49" i="3"/>
  <c r="T56" i="3"/>
  <c r="AJ81" i="3"/>
  <c r="I78" i="3"/>
  <c r="X88" i="3"/>
  <c r="S75" i="3"/>
  <c r="O71" i="3"/>
  <c r="I47" i="3"/>
  <c r="I85" i="3"/>
  <c r="X79" i="3"/>
  <c r="S78" i="3"/>
  <c r="S57" i="3"/>
  <c r="J96" i="3"/>
  <c r="AH56" i="3"/>
  <c r="AQ61" i="3"/>
  <c r="AC74" i="3"/>
  <c r="Q74" i="3"/>
  <c r="N93" i="3"/>
  <c r="W61" i="3"/>
  <c r="R50" i="3"/>
  <c r="AM59" i="3"/>
  <c r="I74" i="3"/>
  <c r="R49" i="3"/>
  <c r="AH58" i="3"/>
  <c r="V65" i="3"/>
  <c r="I77" i="3"/>
  <c r="P75" i="3"/>
  <c r="Z56" i="3"/>
  <c r="AC77" i="3"/>
  <c r="AH80" i="3"/>
  <c r="AO83" i="3"/>
  <c r="AE87" i="3"/>
  <c r="AI82" i="3"/>
  <c r="AH60" i="3"/>
  <c r="AM47" i="3"/>
  <c r="AC80" i="3"/>
  <c r="Y61" i="3"/>
  <c r="AH49" i="3"/>
  <c r="AL78" i="3"/>
  <c r="AO73" i="3"/>
  <c r="X76" i="3"/>
  <c r="AC75" i="3"/>
  <c r="O95" i="3"/>
  <c r="AA47" i="3"/>
  <c r="W88" i="3"/>
  <c r="M97" i="3"/>
  <c r="AN69" i="3"/>
  <c r="AJ50" i="3"/>
  <c r="AQ82" i="3"/>
  <c r="H68" i="3"/>
  <c r="O74" i="3"/>
  <c r="AO86" i="3"/>
  <c r="AL55" i="3"/>
  <c r="AC92" i="3"/>
  <c r="P67" i="3"/>
  <c r="K80" i="3"/>
  <c r="X49" i="3"/>
  <c r="H49" i="3"/>
  <c r="T68" i="3"/>
  <c r="AL62" i="3"/>
  <c r="AO89" i="3"/>
  <c r="V88" i="3"/>
  <c r="AE88" i="3"/>
  <c r="T47" i="3"/>
  <c r="Q96" i="3"/>
  <c r="AH92" i="3"/>
  <c r="AA75" i="3"/>
  <c r="N50" i="3"/>
  <c r="U93" i="3"/>
  <c r="AL71" i="3"/>
  <c r="AI49" i="3"/>
  <c r="AO67" i="3"/>
  <c r="AC89" i="3"/>
  <c r="I72" i="3"/>
  <c r="AC47" i="3"/>
  <c r="Z58" i="3"/>
  <c r="O76" i="3"/>
  <c r="L81" i="3"/>
  <c r="T95" i="3"/>
  <c r="P76" i="3"/>
  <c r="K88" i="3"/>
  <c r="AC56" i="3"/>
  <c r="AM72" i="3"/>
  <c r="AM87" i="3"/>
  <c r="X90" i="3"/>
  <c r="T57" i="3"/>
  <c r="T63" i="3"/>
  <c r="AC55" i="3"/>
  <c r="AL48" i="3"/>
  <c r="W74" i="3"/>
  <c r="K65" i="3"/>
  <c r="AC72" i="3"/>
  <c r="Q63" i="3"/>
  <c r="T50" i="3"/>
  <c r="Y69" i="3"/>
  <c r="H48" i="3"/>
  <c r="X89" i="3"/>
  <c r="L82" i="3"/>
  <c r="S63" i="3"/>
  <c r="AK57" i="3"/>
  <c r="T72" i="3"/>
  <c r="Q61" i="3"/>
  <c r="AK62" i="3"/>
  <c r="AE83" i="3"/>
  <c r="AG81" i="3"/>
  <c r="AJ93" i="3"/>
  <c r="AH75" i="3"/>
  <c r="S60" i="3"/>
  <c r="AJ76" i="3"/>
  <c r="AI66" i="3"/>
  <c r="K94" i="3"/>
  <c r="L65" i="3"/>
  <c r="N88" i="3"/>
  <c r="N67" i="3"/>
  <c r="H76" i="3"/>
  <c r="AH64" i="3"/>
  <c r="L91" i="3"/>
  <c r="Y76" i="3"/>
  <c r="M78" i="3"/>
  <c r="N73" i="3"/>
  <c r="H55" i="3"/>
  <c r="U97" i="3"/>
  <c r="AG85" i="3"/>
  <c r="V83" i="3"/>
  <c r="I91" i="3"/>
  <c r="Z81" i="3"/>
  <c r="AM79" i="3"/>
  <c r="Y59" i="3"/>
  <c r="AA92" i="3"/>
  <c r="P89" i="3"/>
  <c r="I97" i="3"/>
  <c r="AC95" i="3"/>
  <c r="L63" i="3"/>
  <c r="Y88" i="3"/>
  <c r="Q48" i="3"/>
  <c r="Y81" i="3"/>
  <c r="Y50" i="3"/>
  <c r="J49" i="3"/>
  <c r="AI68" i="3"/>
  <c r="AO96" i="3"/>
  <c r="AJ69" i="3"/>
  <c r="O69" i="3"/>
  <c r="AL74" i="3"/>
  <c r="Z66" i="3"/>
  <c r="I89" i="3"/>
  <c r="AG84" i="3"/>
  <c r="R62" i="3"/>
  <c r="AH74" i="3"/>
  <c r="AE48" i="3"/>
  <c r="M94" i="3"/>
  <c r="X77" i="3"/>
  <c r="Z96" i="3"/>
  <c r="AG92" i="3"/>
  <c r="AC84" i="3"/>
  <c r="AG73" i="3"/>
  <c r="AC79" i="3"/>
  <c r="AL70" i="3"/>
  <c r="W69" i="3"/>
  <c r="AA73" i="3"/>
  <c r="M81" i="3"/>
  <c r="N134" i="1" l="1"/>
  <c r="E134" i="1"/>
  <c r="E189" i="1" s="1"/>
  <c r="D134" i="1"/>
  <c r="R148" i="1"/>
  <c r="L134" i="1"/>
  <c r="T216" i="1"/>
  <c r="U162" i="1"/>
  <c r="U196" i="1" s="1"/>
  <c r="U195" i="1" s="1"/>
  <c r="I175" i="1"/>
  <c r="J223" i="1" s="1"/>
  <c r="Q216" i="1"/>
  <c r="O134" i="1"/>
  <c r="O189" i="1" s="1"/>
  <c r="B79" i="1"/>
  <c r="B122" i="1" s="1"/>
  <c r="O175" i="1"/>
  <c r="D142" i="1"/>
  <c r="C134" i="1"/>
  <c r="C189" i="1" s="1"/>
  <c r="U175" i="1"/>
  <c r="V223" i="1" s="1"/>
  <c r="F148" i="1"/>
  <c r="F152" i="1" s="1"/>
  <c r="M134" i="1"/>
  <c r="M189" i="1" s="1"/>
  <c r="C216" i="1"/>
  <c r="C142" i="1"/>
  <c r="C51" i="1" s="1"/>
  <c r="I162" i="1"/>
  <c r="I196" i="1" s="1"/>
  <c r="I195" i="1" s="1"/>
  <c r="S175" i="1"/>
  <c r="T223" i="1" s="1"/>
  <c r="F142" i="1"/>
  <c r="S216" i="1"/>
  <c r="N148" i="1"/>
  <c r="L148" i="1"/>
  <c r="V175" i="1"/>
  <c r="W223" i="1" s="1"/>
  <c r="V216" i="1"/>
  <c r="M175" i="1"/>
  <c r="S187" i="1"/>
  <c r="T175" i="1"/>
  <c r="B187" i="1"/>
  <c r="C148" i="1"/>
  <c r="Q187" i="1"/>
  <c r="H134" i="1"/>
  <c r="R142" i="1"/>
  <c r="R51" i="1" s="1"/>
  <c r="V142" i="1"/>
  <c r="S162" i="1"/>
  <c r="T134" i="1"/>
  <c r="T68" i="1" s="1"/>
  <c r="H187" i="1"/>
  <c r="C187" i="1"/>
  <c r="I134" i="1"/>
  <c r="J148" i="1"/>
  <c r="M162" i="1"/>
  <c r="M196" i="1" s="1"/>
  <c r="M195" i="1" s="1"/>
  <c r="U148" i="1"/>
  <c r="B170" i="1"/>
  <c r="B199" i="1" s="1"/>
  <c r="B198" i="1" s="1"/>
  <c r="S148" i="1"/>
  <c r="B148" i="1"/>
  <c r="K216" i="1"/>
  <c r="H175" i="1"/>
  <c r="C79" i="1"/>
  <c r="S142" i="1"/>
  <c r="S170" i="1"/>
  <c r="S199" i="1" s="1"/>
  <c r="S198" i="1" s="1"/>
  <c r="C162" i="1"/>
  <c r="K175" i="1"/>
  <c r="D175" i="1"/>
  <c r="F175" i="1"/>
  <c r="M216" i="1"/>
  <c r="F134" i="1"/>
  <c r="T148" i="1"/>
  <c r="T47" i="1" s="1"/>
  <c r="B134" i="1"/>
  <c r="G148" i="1"/>
  <c r="T142" i="1"/>
  <c r="M187" i="1"/>
  <c r="O142" i="1"/>
  <c r="L216" i="1"/>
  <c r="B142" i="1"/>
  <c r="N187" i="1"/>
  <c r="D79" i="1"/>
  <c r="D121" i="1" s="1"/>
  <c r="K162" i="1"/>
  <c r="K142" i="1"/>
  <c r="F162" i="1"/>
  <c r="J175" i="1"/>
  <c r="G134" i="1"/>
  <c r="D187" i="1"/>
  <c r="J142" i="1"/>
  <c r="N216" i="1"/>
  <c r="E187" i="1"/>
  <c r="R216" i="1"/>
  <c r="L162" i="1"/>
  <c r="D216" i="1"/>
  <c r="G162" i="1"/>
  <c r="G196" i="1" s="1"/>
  <c r="G195" i="1" s="1"/>
  <c r="K134" i="1"/>
  <c r="C175" i="1"/>
  <c r="P162" i="1"/>
  <c r="W142" i="1"/>
  <c r="D162" i="1"/>
  <c r="U134" i="1"/>
  <c r="F170" i="1"/>
  <c r="F199" i="1" s="1"/>
  <c r="R162" i="1"/>
  <c r="C170" i="1"/>
  <c r="W187" i="1"/>
  <c r="E216" i="1"/>
  <c r="J162" i="1"/>
  <c r="E148" i="1"/>
  <c r="H170" i="1"/>
  <c r="H199" i="1" s="1"/>
  <c r="H198" i="1" s="1"/>
  <c r="H142" i="1"/>
  <c r="U216" i="1"/>
  <c r="I148" i="1"/>
  <c r="V187" i="1"/>
  <c r="P142" i="1"/>
  <c r="G187" i="1"/>
  <c r="J134" i="1"/>
  <c r="Q175" i="1"/>
  <c r="N170" i="1"/>
  <c r="N199" i="1" s="1"/>
  <c r="N198" i="1" s="1"/>
  <c r="V162" i="1"/>
  <c r="O162" i="1"/>
  <c r="I142" i="1"/>
  <c r="O216" i="1"/>
  <c r="D148" i="1"/>
  <c r="G175" i="1"/>
  <c r="Q148" i="1"/>
  <c r="T162" i="1"/>
  <c r="E142" i="1"/>
  <c r="M148" i="1"/>
  <c r="Q134" i="1"/>
  <c r="P187" i="1"/>
  <c r="E162" i="1"/>
  <c r="L187" i="1"/>
  <c r="K187" i="1"/>
  <c r="K148" i="1"/>
  <c r="N142" i="1"/>
  <c r="O187" i="1"/>
  <c r="L142" i="1"/>
  <c r="P134" i="1"/>
  <c r="B162" i="1"/>
  <c r="T187" i="1"/>
  <c r="J187" i="1"/>
  <c r="P148" i="1"/>
  <c r="G142" i="1"/>
  <c r="U142" i="1"/>
  <c r="D170" i="1"/>
  <c r="H216" i="1"/>
  <c r="S134" i="1"/>
  <c r="W148" i="1"/>
  <c r="F187" i="1"/>
  <c r="O148" i="1"/>
  <c r="L175" i="1"/>
  <c r="R175" i="1"/>
  <c r="I187" i="1"/>
  <c r="R134" i="1"/>
  <c r="R68" i="1" s="1"/>
  <c r="Q162" i="1"/>
  <c r="V134" i="1"/>
  <c r="Q142" i="1"/>
  <c r="K170" i="1"/>
  <c r="N193" i="1"/>
  <c r="N162" i="1"/>
  <c r="P170" i="1"/>
  <c r="P199" i="1" s="1"/>
  <c r="P198" i="1" s="1"/>
  <c r="T170" i="1"/>
  <c r="J170" i="1"/>
  <c r="E170" i="1"/>
  <c r="G170" i="1"/>
  <c r="O170" i="1"/>
  <c r="U170" i="1"/>
  <c r="L170" i="1"/>
  <c r="H193" i="1"/>
  <c r="H162" i="1"/>
  <c r="R187" i="1"/>
  <c r="J216" i="1"/>
  <c r="I216" i="1"/>
  <c r="U187" i="1"/>
  <c r="G216" i="1"/>
  <c r="F216" i="1"/>
  <c r="X216" i="1"/>
  <c r="W216" i="1"/>
  <c r="M168" i="1"/>
  <c r="M170" i="1" s="1"/>
  <c r="M142" i="1"/>
  <c r="V148" i="1"/>
  <c r="I170" i="1"/>
  <c r="H148" i="1"/>
  <c r="Q170" i="1"/>
  <c r="V170" i="1"/>
  <c r="R170" i="1"/>
  <c r="BH148" i="1"/>
  <c r="BH152" i="1" s="1"/>
  <c r="L68" i="1"/>
  <c r="AX154" i="1"/>
  <c r="AY154" i="1" s="1"/>
  <c r="AZ167" i="1"/>
  <c r="AZ197" i="1" s="1"/>
  <c r="BA197" i="1" s="1"/>
  <c r="BR140" i="1"/>
  <c r="BS140" i="1" s="1"/>
  <c r="AZ168" i="1"/>
  <c r="BA168" i="1" s="1"/>
  <c r="BT145" i="1"/>
  <c r="BP169" i="1"/>
  <c r="BQ169" i="1" s="1"/>
  <c r="BP87" i="1"/>
  <c r="BF139" i="1"/>
  <c r="BG139" i="1" s="1"/>
  <c r="AP160" i="1"/>
  <c r="AQ160" i="1" s="1"/>
  <c r="BI87" i="1"/>
  <c r="AX158" i="1"/>
  <c r="AX193" i="1" s="1"/>
  <c r="BR173" i="1"/>
  <c r="BF88" i="1"/>
  <c r="AZ166" i="1"/>
  <c r="BA166" i="1" s="1"/>
  <c r="BD149" i="1"/>
  <c r="BE149" i="1" s="1"/>
  <c r="AZ131" i="1"/>
  <c r="BA131" i="1" s="1"/>
  <c r="BN178" i="1"/>
  <c r="BO178" i="1" s="1"/>
  <c r="BF161" i="1"/>
  <c r="BG161" i="1" s="1"/>
  <c r="BT165" i="1"/>
  <c r="BU165" i="1" s="1"/>
  <c r="BN133" i="1"/>
  <c r="AX132" i="1"/>
  <c r="AY132" i="1" s="1"/>
  <c r="BW88" i="1"/>
  <c r="BN140" i="1"/>
  <c r="BO140" i="1" s="1"/>
  <c r="AX165" i="1"/>
  <c r="AY165" i="1" s="1"/>
  <c r="AP139" i="1"/>
  <c r="AQ139" i="1" s="1"/>
  <c r="AT145" i="1"/>
  <c r="AZ145" i="1"/>
  <c r="BF168" i="1"/>
  <c r="BG168" i="1" s="1"/>
  <c r="BR141" i="1"/>
  <c r="BS141" i="1" s="1"/>
  <c r="BD161" i="1"/>
  <c r="BE161" i="1" s="1"/>
  <c r="AP157" i="1"/>
  <c r="AQ157" i="1" s="1"/>
  <c r="AV149" i="1"/>
  <c r="AW149" i="1" s="1"/>
  <c r="BB149" i="1"/>
  <c r="BC149" i="1" s="1"/>
  <c r="AN131" i="1"/>
  <c r="AR178" i="1"/>
  <c r="AS178" i="1" s="1"/>
  <c r="AQ87" i="1"/>
  <c r="AT165" i="1"/>
  <c r="AU165" i="1" s="1"/>
  <c r="AX88" i="1"/>
  <c r="BA87" i="1"/>
  <c r="BF165" i="1"/>
  <c r="BG165" i="1" s="1"/>
  <c r="BN136" i="1"/>
  <c r="BO136" i="1" s="1"/>
  <c r="BP141" i="1"/>
  <c r="BQ141" i="1" s="1"/>
  <c r="BF138" i="1"/>
  <c r="BG138" i="1" s="1"/>
  <c r="BF177" i="1"/>
  <c r="BG177" i="1" s="1"/>
  <c r="AZ174" i="1"/>
  <c r="AW87" i="1"/>
  <c r="BP140" i="1"/>
  <c r="BQ140" i="1" s="1"/>
  <c r="BD166" i="1"/>
  <c r="BE166" i="1" s="1"/>
  <c r="BG87" i="1"/>
  <c r="AZ156" i="1"/>
  <c r="BA156" i="1" s="1"/>
  <c r="BD174" i="1"/>
  <c r="BT131" i="1"/>
  <c r="BU131" i="1" s="1"/>
  <c r="BN166" i="1"/>
  <c r="BO166" i="1" s="1"/>
  <c r="BD163" i="1"/>
  <c r="BE163" i="1" s="1"/>
  <c r="BT166" i="1"/>
  <c r="BU166" i="1" s="1"/>
  <c r="BM88" i="1"/>
  <c r="BN141" i="1"/>
  <c r="BO141" i="1" s="1"/>
  <c r="BR146" i="1"/>
  <c r="BP158" i="1"/>
  <c r="BP193" i="1" s="1"/>
  <c r="BQ193" i="1" s="1"/>
  <c r="AT173" i="1"/>
  <c r="BF178" i="1"/>
  <c r="BG178" i="1" s="1"/>
  <c r="AZ149" i="1"/>
  <c r="BA149" i="1" s="1"/>
  <c r="BT160" i="1"/>
  <c r="BU160" i="1" s="1"/>
  <c r="BP138" i="1"/>
  <c r="BQ138" i="1" s="1"/>
  <c r="BP156" i="1"/>
  <c r="BQ156" i="1" s="1"/>
  <c r="BT88" i="1"/>
  <c r="AR157" i="1"/>
  <c r="AS157" i="1" s="1"/>
  <c r="BF132" i="1"/>
  <c r="BG132" i="1" s="1"/>
  <c r="AX87" i="1"/>
  <c r="AX161" i="1"/>
  <c r="AY161" i="1" s="1"/>
  <c r="AX166" i="1"/>
  <c r="AY166" i="1" s="1"/>
  <c r="BB138" i="1"/>
  <c r="BF131" i="1"/>
  <c r="BG131" i="1" s="1"/>
  <c r="AZ161" i="1"/>
  <c r="BA161" i="1" s="1"/>
  <c r="BP145" i="1"/>
  <c r="AV158" i="1"/>
  <c r="AV193" i="1" s="1"/>
  <c r="AW193" i="1" s="1"/>
  <c r="BW87" i="1"/>
  <c r="BN169" i="1"/>
  <c r="BO169" i="1" s="1"/>
  <c r="BR163" i="1"/>
  <c r="BS163" i="1" s="1"/>
  <c r="BP133" i="1"/>
  <c r="BR87" i="1"/>
  <c r="BB88" i="1"/>
  <c r="BD88" i="1"/>
  <c r="AT139" i="1"/>
  <c r="AU139" i="1" s="1"/>
  <c r="BN139" i="1"/>
  <c r="BO139" i="1" s="1"/>
  <c r="BB160" i="1"/>
  <c r="BC160" i="1" s="1"/>
  <c r="BF146" i="1"/>
  <c r="AT136" i="1"/>
  <c r="AU136" i="1" s="1"/>
  <c r="BB146" i="1"/>
  <c r="AN136" i="1"/>
  <c r="AO136" i="1" s="1"/>
  <c r="BB140" i="1"/>
  <c r="BC140" i="1" s="1"/>
  <c r="BP154" i="1"/>
  <c r="BQ154" i="1" s="1"/>
  <c r="AP154" i="1"/>
  <c r="AV154" i="1"/>
  <c r="AV164" i="1"/>
  <c r="AW164" i="1" s="1"/>
  <c r="AN132" i="1"/>
  <c r="AO132" i="1" s="1"/>
  <c r="AN88" i="1"/>
  <c r="BE88" i="1"/>
  <c r="AX136" i="1"/>
  <c r="AY136" i="1" s="1"/>
  <c r="AX174" i="1"/>
  <c r="BB133" i="1"/>
  <c r="AZ159" i="1"/>
  <c r="AZ194" i="1" s="1"/>
  <c r="BA194" i="1" s="1"/>
  <c r="BT158" i="1"/>
  <c r="BT193" i="1" s="1"/>
  <c r="BU193" i="1" s="1"/>
  <c r="AP133" i="1"/>
  <c r="BR165" i="1"/>
  <c r="BS165" i="1" s="1"/>
  <c r="AT147" i="1"/>
  <c r="AX164" i="1"/>
  <c r="AY164" i="1" s="1"/>
  <c r="BN160" i="1"/>
  <c r="BO160" i="1" s="1"/>
  <c r="BN146" i="1"/>
  <c r="AY88" i="1"/>
  <c r="BR158" i="1"/>
  <c r="BR193" i="1" s="1"/>
  <c r="BS193" i="1" s="1"/>
  <c r="BB174" i="1"/>
  <c r="BD145" i="1"/>
  <c r="BT167" i="1"/>
  <c r="BT197" i="1" s="1"/>
  <c r="BU197" i="1" s="1"/>
  <c r="BA88" i="1"/>
  <c r="BR160" i="1"/>
  <c r="BS160" i="1" s="1"/>
  <c r="BB141" i="1"/>
  <c r="BC141" i="1" s="1"/>
  <c r="BP159" i="1"/>
  <c r="BP194" i="1" s="1"/>
  <c r="BQ194" i="1" s="1"/>
  <c r="AT158" i="1"/>
  <c r="AT193" i="1" s="1"/>
  <c r="AU193" i="1" s="1"/>
  <c r="BC87" i="1"/>
  <c r="BD165" i="1"/>
  <c r="BE165" i="1" s="1"/>
  <c r="BR159" i="1"/>
  <c r="BR194" i="1" s="1"/>
  <c r="BS194" i="1" s="1"/>
  <c r="BT173" i="1"/>
  <c r="AV163" i="1"/>
  <c r="AW163" i="1" s="1"/>
  <c r="BN156" i="1"/>
  <c r="BO156" i="1" s="1"/>
  <c r="AZ158" i="1"/>
  <c r="AZ193" i="1" s="1"/>
  <c r="BA193" i="1" s="1"/>
  <c r="AP138" i="1"/>
  <c r="AQ138" i="1" s="1"/>
  <c r="BP131" i="1"/>
  <c r="BQ131" i="1" s="1"/>
  <c r="BD140" i="1"/>
  <c r="BE140" i="1" s="1"/>
  <c r="BP146" i="1"/>
  <c r="AP164" i="1"/>
  <c r="AQ164" i="1" s="1"/>
  <c r="BD178" i="1"/>
  <c r="BE178" i="1" s="1"/>
  <c r="AV173" i="1"/>
  <c r="AV131" i="1"/>
  <c r="AW131" i="1" s="1"/>
  <c r="AR133" i="1"/>
  <c r="AR156" i="1"/>
  <c r="AS156" i="1" s="1"/>
  <c r="AZ154" i="1"/>
  <c r="BA154" i="1" s="1"/>
  <c r="AP177" i="1"/>
  <c r="AQ177" i="1" s="1"/>
  <c r="AP156" i="1"/>
  <c r="AN151" i="1"/>
  <c r="AO151" i="1" s="1"/>
  <c r="AV139" i="1"/>
  <c r="AW139" i="1" s="1"/>
  <c r="AV140" i="1"/>
  <c r="AW140" i="1" s="1"/>
  <c r="AR168" i="1"/>
  <c r="AS168" i="1" s="1"/>
  <c r="AV147" i="1"/>
  <c r="AR132" i="1"/>
  <c r="AS132" i="1" s="1"/>
  <c r="AR166" i="1"/>
  <c r="AS166" i="1" s="1"/>
  <c r="BP173" i="1"/>
  <c r="AN164" i="1"/>
  <c r="AO164" i="1" s="1"/>
  <c r="AR138" i="1"/>
  <c r="AN174" i="1"/>
  <c r="AV178" i="1"/>
  <c r="AW178" i="1" s="1"/>
  <c r="AR167" i="1"/>
  <c r="AR197" i="1" s="1"/>
  <c r="AN140" i="1"/>
  <c r="AO140" i="1" s="1"/>
  <c r="AR136" i="1"/>
  <c r="AS136" i="1" s="1"/>
  <c r="AR160" i="1"/>
  <c r="AS160" i="1" s="1"/>
  <c r="BB145" i="1"/>
  <c r="AV87" i="1"/>
  <c r="AU87" i="1"/>
  <c r="AR174" i="1"/>
  <c r="AV167" i="1"/>
  <c r="AV197" i="1" s="1"/>
  <c r="AT163" i="1"/>
  <c r="AU163" i="1" s="1"/>
  <c r="AT167" i="1"/>
  <c r="AT197" i="1" s="1"/>
  <c r="AU197" i="1" s="1"/>
  <c r="AR87" i="1"/>
  <c r="BO88" i="1"/>
  <c r="BT154" i="1"/>
  <c r="AP147" i="1"/>
  <c r="BF164" i="1"/>
  <c r="BG164" i="1" s="1"/>
  <c r="BN87" i="1"/>
  <c r="AV174" i="1"/>
  <c r="AR158" i="1"/>
  <c r="AR193" i="1" s="1"/>
  <c r="AS193" i="1" s="1"/>
  <c r="BP163" i="1"/>
  <c r="BQ163" i="1" s="1"/>
  <c r="AV165" i="1"/>
  <c r="AW165" i="1" s="1"/>
  <c r="BT141" i="1"/>
  <c r="BU141" i="1" s="1"/>
  <c r="AR161" i="1"/>
  <c r="AS161" i="1" s="1"/>
  <c r="BB159" i="1"/>
  <c r="BB194" i="1" s="1"/>
  <c r="BC194" i="1" s="1"/>
  <c r="AT132" i="1"/>
  <c r="AU132" i="1" s="1"/>
  <c r="BO87" i="1"/>
  <c r="AX177" i="1"/>
  <c r="AY177" i="1" s="1"/>
  <c r="BB154" i="1"/>
  <c r="BC154" i="1" s="1"/>
  <c r="BD131" i="1"/>
  <c r="BR149" i="1"/>
  <c r="BS149" i="1" s="1"/>
  <c r="BB167" i="1"/>
  <c r="BB197" i="1" s="1"/>
  <c r="BF174" i="1"/>
  <c r="BP167" i="1"/>
  <c r="BP197" i="1" s="1"/>
  <c r="BQ197" i="1" s="1"/>
  <c r="AX169" i="1"/>
  <c r="AY169" i="1" s="1"/>
  <c r="BN173" i="1"/>
  <c r="AZ140" i="1"/>
  <c r="BA140" i="1" s="1"/>
  <c r="AX145" i="1"/>
  <c r="BN158" i="1"/>
  <c r="BN193" i="1" s="1"/>
  <c r="BO193" i="1" s="1"/>
  <c r="BR132" i="1"/>
  <c r="BS132" i="1" s="1"/>
  <c r="BF159" i="1"/>
  <c r="BF194" i="1" s="1"/>
  <c r="BG194" i="1" s="1"/>
  <c r="BS87" i="1"/>
  <c r="BQ88" i="1"/>
  <c r="AT149" i="1"/>
  <c r="AU149" i="1" s="1"/>
  <c r="AT140" i="1"/>
  <c r="AU140" i="1" s="1"/>
  <c r="AZ136" i="1"/>
  <c r="BA136" i="1" s="1"/>
  <c r="BD177" i="1"/>
  <c r="BE177" i="1" s="1"/>
  <c r="BD136" i="1"/>
  <c r="BE136" i="1" s="1"/>
  <c r="BT133" i="1"/>
  <c r="BB168" i="1"/>
  <c r="BC168" i="1" s="1"/>
  <c r="BF145" i="1"/>
  <c r="AX133" i="1"/>
  <c r="AX149" i="1"/>
  <c r="AY149" i="1" s="1"/>
  <c r="AX159" i="1"/>
  <c r="AX194" i="1" s="1"/>
  <c r="AY194" i="1" s="1"/>
  <c r="AZ147" i="1"/>
  <c r="AZ169" i="1"/>
  <c r="BA169" i="1" s="1"/>
  <c r="BF167" i="1"/>
  <c r="BF197" i="1" s="1"/>
  <c r="BG197" i="1" s="1"/>
  <c r="BF149" i="1"/>
  <c r="BG149" i="1" s="1"/>
  <c r="BD164" i="1"/>
  <c r="BE164" i="1" s="1"/>
  <c r="BN164" i="1"/>
  <c r="BO164" i="1" s="1"/>
  <c r="AQ88" i="1"/>
  <c r="BR88" i="1"/>
  <c r="AZ141" i="1"/>
  <c r="BA141" i="1" s="1"/>
  <c r="BD160" i="1"/>
  <c r="BE160" i="1" s="1"/>
  <c r="BD138" i="1"/>
  <c r="BE138" i="1" s="1"/>
  <c r="BT149" i="1"/>
  <c r="BU149" i="1" s="1"/>
  <c r="BP88" i="1"/>
  <c r="AV168" i="1"/>
  <c r="AW168" i="1" s="1"/>
  <c r="BN88" i="1"/>
  <c r="BR178" i="1"/>
  <c r="BS178" i="1" s="1"/>
  <c r="AN178" i="1"/>
  <c r="AO178" i="1" s="1"/>
  <c r="AT164" i="1"/>
  <c r="AO87" i="1"/>
  <c r="AX163" i="1"/>
  <c r="AX146" i="1"/>
  <c r="AX151" i="1"/>
  <c r="AY151" i="1" s="1"/>
  <c r="BE87" i="1"/>
  <c r="BN147" i="1"/>
  <c r="BN177" i="1"/>
  <c r="BO177" i="1" s="1"/>
  <c r="BN138" i="1"/>
  <c r="BN159" i="1"/>
  <c r="BN194" i="1" s="1"/>
  <c r="BO194" i="1" s="1"/>
  <c r="BN168" i="1"/>
  <c r="BO168" i="1" s="1"/>
  <c r="AY87" i="1"/>
  <c r="BR156" i="1"/>
  <c r="BS156" i="1" s="1"/>
  <c r="BB163" i="1"/>
  <c r="BC163" i="1" s="1"/>
  <c r="BB165" i="1"/>
  <c r="BC165" i="1" s="1"/>
  <c r="AZ165" i="1"/>
  <c r="BA165" i="1" s="1"/>
  <c r="BF156" i="1"/>
  <c r="BG156" i="1" s="1"/>
  <c r="BD159" i="1"/>
  <c r="BD194" i="1" s="1"/>
  <c r="BE194" i="1" s="1"/>
  <c r="BT168" i="1"/>
  <c r="BU168" i="1" s="1"/>
  <c r="BT174" i="1"/>
  <c r="BP157" i="1"/>
  <c r="BQ157" i="1" s="1"/>
  <c r="BP165" i="1"/>
  <c r="BQ165" i="1" s="1"/>
  <c r="AP132" i="1"/>
  <c r="AQ132" i="1" s="1"/>
  <c r="AZ132" i="1"/>
  <c r="BA132" i="1" s="1"/>
  <c r="AX140" i="1"/>
  <c r="AY140" i="1" s="1"/>
  <c r="AX156" i="1"/>
  <c r="AY156" i="1" s="1"/>
  <c r="BN161" i="1"/>
  <c r="BO161" i="1" s="1"/>
  <c r="BR147" i="1"/>
  <c r="BR169" i="1"/>
  <c r="BS169" i="1" s="1"/>
  <c r="BR164" i="1"/>
  <c r="BS164" i="1" s="1"/>
  <c r="BB136" i="1"/>
  <c r="BC136" i="1" s="1"/>
  <c r="AZ146" i="1"/>
  <c r="AP163" i="1"/>
  <c r="AQ163" i="1" s="1"/>
  <c r="AW88" i="1"/>
  <c r="AS87" i="1"/>
  <c r="AT141" i="1"/>
  <c r="AU141" i="1" s="1"/>
  <c r="AT159" i="1"/>
  <c r="AT194" i="1" s="1"/>
  <c r="AU194" i="1" s="1"/>
  <c r="AT169" i="1"/>
  <c r="AU169" i="1" s="1"/>
  <c r="AT160" i="1"/>
  <c r="AU160" i="1" s="1"/>
  <c r="AT168" i="1"/>
  <c r="AU168" i="1" s="1"/>
  <c r="AT131" i="1"/>
  <c r="BB164" i="1"/>
  <c r="BC164" i="1" s="1"/>
  <c r="AZ177" i="1"/>
  <c r="BA177" i="1" s="1"/>
  <c r="AZ164" i="1"/>
  <c r="BA164" i="1" s="1"/>
  <c r="BF133" i="1"/>
  <c r="BD133" i="1"/>
  <c r="BD154" i="1"/>
  <c r="BE154" i="1" s="1"/>
  <c r="AP88" i="1"/>
  <c r="BG88" i="1"/>
  <c r="BF136" i="1"/>
  <c r="BG136" i="1" s="1"/>
  <c r="AZ178" i="1"/>
  <c r="BA178" i="1" s="1"/>
  <c r="BF154" i="1"/>
  <c r="BG154" i="1" s="1"/>
  <c r="BH216" i="1" s="1"/>
  <c r="BD156" i="1"/>
  <c r="BE156" i="1" s="1"/>
  <c r="BP136" i="1"/>
  <c r="BQ136" i="1" s="1"/>
  <c r="BK87" i="1"/>
  <c r="AP136" i="1"/>
  <c r="AQ136" i="1" s="1"/>
  <c r="AT157" i="1"/>
  <c r="AU157" i="1" s="1"/>
  <c r="AT133" i="1"/>
  <c r="BN167" i="1"/>
  <c r="BN197" i="1" s="1"/>
  <c r="BO197" i="1" s="1"/>
  <c r="BB147" i="1"/>
  <c r="BB156" i="1"/>
  <c r="BC156" i="1" s="1"/>
  <c r="AZ163" i="1"/>
  <c r="BA163" i="1" s="1"/>
  <c r="BP160" i="1"/>
  <c r="BQ160" i="1" s="1"/>
  <c r="AN160" i="1"/>
  <c r="AO160" i="1" s="1"/>
  <c r="BT159" i="1"/>
  <c r="BT194" i="1" s="1"/>
  <c r="BU194" i="1" s="1"/>
  <c r="BD167" i="1"/>
  <c r="BD197" i="1" s="1"/>
  <c r="BE197" i="1" s="1"/>
  <c r="BF140" i="1"/>
  <c r="BG140" i="1" s="1"/>
  <c r="BT164" i="1"/>
  <c r="BU164" i="1" s="1"/>
  <c r="AN173" i="1"/>
  <c r="AZ151" i="1"/>
  <c r="BA151" i="1" s="1"/>
  <c r="AP140" i="1"/>
  <c r="AQ140" i="1" s="1"/>
  <c r="AP158" i="1"/>
  <c r="AP193" i="1" s="1"/>
  <c r="AQ193" i="1" s="1"/>
  <c r="AN166" i="1"/>
  <c r="AO166" i="1" s="1"/>
  <c r="BP139" i="1"/>
  <c r="BQ139" i="1" s="1"/>
  <c r="AV160" i="1"/>
  <c r="AW160" i="1" s="1"/>
  <c r="AR139" i="1"/>
  <c r="AS139" i="1" s="1"/>
  <c r="AR88" i="1"/>
  <c r="BT161" i="1"/>
  <c r="BU161" i="1" s="1"/>
  <c r="BP166" i="1"/>
  <c r="BQ166" i="1" s="1"/>
  <c r="AN177" i="1"/>
  <c r="AO177" i="1" s="1"/>
  <c r="AV88" i="1"/>
  <c r="AP141" i="1"/>
  <c r="AQ141" i="1" s="1"/>
  <c r="AV132" i="1"/>
  <c r="AW132" i="1" s="1"/>
  <c r="AV177" i="1"/>
  <c r="AW177" i="1" s="1"/>
  <c r="AR131" i="1"/>
  <c r="AV138" i="1"/>
  <c r="BD87" i="1"/>
  <c r="AP167" i="1"/>
  <c r="AP197" i="1" s="1"/>
  <c r="AQ197" i="1" s="1"/>
  <c r="BP147" i="1"/>
  <c r="AN161" i="1"/>
  <c r="AO161" i="1" s="1"/>
  <c r="AR151" i="1"/>
  <c r="AS151" i="1" s="1"/>
  <c r="BI88" i="1"/>
  <c r="AS88" i="1"/>
  <c r="AR164" i="1"/>
  <c r="AS164" i="1" s="1"/>
  <c r="AP174" i="1"/>
  <c r="AN168" i="1"/>
  <c r="AO168" i="1" s="1"/>
  <c r="AV141" i="1"/>
  <c r="AW141" i="1" s="1"/>
  <c r="BP168" i="1"/>
  <c r="BQ168" i="1" s="1"/>
  <c r="AN165" i="1"/>
  <c r="AO165" i="1" s="1"/>
  <c r="AN149" i="1"/>
  <c r="AO149" i="1" s="1"/>
  <c r="AR141" i="1"/>
  <c r="AS141" i="1" s="1"/>
  <c r="AV166" i="1"/>
  <c r="AW166" i="1" s="1"/>
  <c r="BQ87" i="1"/>
  <c r="BS88" i="1"/>
  <c r="AR163" i="1"/>
  <c r="AS163" i="1" s="1"/>
  <c r="AP87" i="1"/>
  <c r="BR138" i="1"/>
  <c r="BS138" i="1" s="1"/>
  <c r="AV156" i="1"/>
  <c r="AW156" i="1" s="1"/>
  <c r="AN157" i="1"/>
  <c r="AO157" i="1" s="1"/>
  <c r="AN146" i="1"/>
  <c r="AR177" i="1"/>
  <c r="AS177" i="1" s="1"/>
  <c r="AV159" i="1"/>
  <c r="AV194" i="1" s="1"/>
  <c r="AW194" i="1" s="1"/>
  <c r="AN156" i="1"/>
  <c r="AR140" i="1"/>
  <c r="AS140" i="1" s="1"/>
  <c r="AX167" i="1"/>
  <c r="AX197" i="1" s="1"/>
  <c r="AY197" i="1" s="1"/>
  <c r="BB87" i="1"/>
  <c r="AZ160" i="1"/>
  <c r="BA160" i="1" s="1"/>
  <c r="BD173" i="1"/>
  <c r="BR168" i="1"/>
  <c r="BS168" i="1" s="1"/>
  <c r="BT146" i="1"/>
  <c r="BK88" i="1"/>
  <c r="AX131" i="1"/>
  <c r="AX168" i="1"/>
  <c r="AY168" i="1" s="1"/>
  <c r="BB139" i="1"/>
  <c r="BC139" i="1" s="1"/>
  <c r="BF158" i="1"/>
  <c r="BF193" i="1" s="1"/>
  <c r="BG193" i="1" s="1"/>
  <c r="BT139" i="1"/>
  <c r="BU139" i="1" s="1"/>
  <c r="AX138" i="1"/>
  <c r="BR154" i="1"/>
  <c r="BT138" i="1"/>
  <c r="AP169" i="1"/>
  <c r="AQ169" i="1" s="1"/>
  <c r="AT178" i="1"/>
  <c r="AU178" i="1" s="1"/>
  <c r="AT166" i="1"/>
  <c r="AU166" i="1" s="1"/>
  <c r="BC88" i="1"/>
  <c r="AZ138" i="1"/>
  <c r="BA138" i="1" s="1"/>
  <c r="BF166" i="1"/>
  <c r="BG166" i="1" s="1"/>
  <c r="BD158" i="1"/>
  <c r="BD193" i="1" s="1"/>
  <c r="BE193" i="1" s="1"/>
  <c r="AT88" i="1"/>
  <c r="BB158" i="1"/>
  <c r="BB193" i="1" s="1"/>
  <c r="BC193" i="1" s="1"/>
  <c r="BT169" i="1"/>
  <c r="BU169" i="1" s="1"/>
  <c r="BB161" i="1"/>
  <c r="BC161" i="1" s="1"/>
  <c r="AN154" i="1"/>
  <c r="BP164" i="1"/>
  <c r="BQ164" i="1" s="1"/>
  <c r="AN147" i="1"/>
  <c r="BT87" i="1"/>
  <c r="AP159" i="1"/>
  <c r="AP194" i="1" s="1"/>
  <c r="AQ194" i="1" s="1"/>
  <c r="AV145" i="1"/>
  <c r="BD141" i="1"/>
  <c r="BE141" i="1" s="1"/>
  <c r="AX173" i="1"/>
  <c r="AX178" i="1"/>
  <c r="AY178" i="1" s="1"/>
  <c r="AX139" i="1"/>
  <c r="AY139" i="1" s="1"/>
  <c r="BB177" i="1"/>
  <c r="BC177" i="1" s="1"/>
  <c r="BU87" i="1"/>
  <c r="AZ88" i="1"/>
  <c r="BF160" i="1"/>
  <c r="BG160" i="1" s="1"/>
  <c r="BF141" i="1"/>
  <c r="BG141" i="1" s="1"/>
  <c r="BD147" i="1"/>
  <c r="BN154" i="1"/>
  <c r="BR166" i="1"/>
  <c r="BS166" i="1" s="1"/>
  <c r="BR133" i="1"/>
  <c r="BR139" i="1"/>
  <c r="BS139" i="1" s="1"/>
  <c r="BR131" i="1"/>
  <c r="BB178" i="1"/>
  <c r="BC178" i="1" s="1"/>
  <c r="AZ133" i="1"/>
  <c r="BF163" i="1"/>
  <c r="BG163" i="1" s="1"/>
  <c r="BD132" i="1"/>
  <c r="BE132" i="1" s="1"/>
  <c r="BT178" i="1"/>
  <c r="BU178" i="1" s="1"/>
  <c r="BP174" i="1"/>
  <c r="AP146" i="1"/>
  <c r="AV146" i="1"/>
  <c r="BN145" i="1"/>
  <c r="BR161" i="1"/>
  <c r="BS161" i="1" s="1"/>
  <c r="AX147" i="1"/>
  <c r="AX160" i="1"/>
  <c r="AY160" i="1" s="1"/>
  <c r="BN174" i="1"/>
  <c r="BN132" i="1"/>
  <c r="BO132" i="1" s="1"/>
  <c r="BN163" i="1"/>
  <c r="BO163" i="1" s="1"/>
  <c r="BR174" i="1"/>
  <c r="BR136" i="1"/>
  <c r="BS136" i="1" s="1"/>
  <c r="BB173" i="1"/>
  <c r="BF147" i="1"/>
  <c r="BT132" i="1"/>
  <c r="BU132" i="1" s="1"/>
  <c r="BP177" i="1"/>
  <c r="BQ177" i="1" s="1"/>
  <c r="BP161" i="1"/>
  <c r="BQ161" i="1" s="1"/>
  <c r="BM87" i="1"/>
  <c r="AX141" i="1"/>
  <c r="AY141" i="1" s="1"/>
  <c r="BN165" i="1"/>
  <c r="BO165" i="1" s="1"/>
  <c r="BN131" i="1"/>
  <c r="BO131" i="1" s="1"/>
  <c r="BR145" i="1"/>
  <c r="BR177" i="1"/>
  <c r="BS177" i="1" s="1"/>
  <c r="BR167" i="1"/>
  <c r="BR197" i="1" s="1"/>
  <c r="BS197" i="1" s="1"/>
  <c r="BB169" i="1"/>
  <c r="BC169" i="1" s="1"/>
  <c r="AZ173" i="1"/>
  <c r="BD169" i="1"/>
  <c r="BE169" i="1" s="1"/>
  <c r="BT147" i="1"/>
  <c r="AP165" i="1"/>
  <c r="AQ165" i="1" s="1"/>
  <c r="AT154" i="1"/>
  <c r="AU154" i="1" s="1"/>
  <c r="AT174" i="1"/>
  <c r="AT138" i="1"/>
  <c r="AU138" i="1" s="1"/>
  <c r="AT156" i="1"/>
  <c r="BN149" i="1"/>
  <c r="BO149" i="1" s="1"/>
  <c r="BB166" i="1"/>
  <c r="BC166" i="1" s="1"/>
  <c r="BU88" i="1"/>
  <c r="AZ139" i="1"/>
  <c r="BA139" i="1" s="1"/>
  <c r="BF169" i="1"/>
  <c r="BG169" i="1" s="1"/>
  <c r="BP132" i="1"/>
  <c r="BQ132" i="1" s="1"/>
  <c r="BF173" i="1"/>
  <c r="BF87" i="1"/>
  <c r="BD139" i="1"/>
  <c r="BE139" i="1" s="1"/>
  <c r="BT136" i="1"/>
  <c r="BU136" i="1" s="1"/>
  <c r="AP166" i="1"/>
  <c r="AQ166" i="1" s="1"/>
  <c r="AT177" i="1"/>
  <c r="AU177" i="1" s="1"/>
  <c r="AT161" i="1"/>
  <c r="AU161" i="1" s="1"/>
  <c r="BT140" i="1"/>
  <c r="BU140" i="1" s="1"/>
  <c r="AU88" i="1"/>
  <c r="BB132" i="1"/>
  <c r="BC132" i="1" s="1"/>
  <c r="AZ87" i="1"/>
  <c r="BT156" i="1"/>
  <c r="BU156" i="1" s="1"/>
  <c r="AP178" i="1"/>
  <c r="AQ178" i="1" s="1"/>
  <c r="BB131" i="1"/>
  <c r="AN159" i="1"/>
  <c r="AN194" i="1" s="1"/>
  <c r="AO194" i="1" s="1"/>
  <c r="BD168" i="1"/>
  <c r="BE168" i="1" s="1"/>
  <c r="BT177" i="1"/>
  <c r="BU177" i="1" s="1"/>
  <c r="BP149" i="1"/>
  <c r="BQ149" i="1" s="1"/>
  <c r="AP149" i="1"/>
  <c r="AQ149" i="1" s="1"/>
  <c r="AN138" i="1"/>
  <c r="BP178" i="1"/>
  <c r="BQ178" i="1" s="1"/>
  <c r="AP131" i="1"/>
  <c r="AQ131" i="1" s="1"/>
  <c r="AN133" i="1"/>
  <c r="AV136" i="1"/>
  <c r="AW136" i="1" s="1"/>
  <c r="AR149" i="1"/>
  <c r="AS149" i="1" s="1"/>
  <c r="AR154" i="1"/>
  <c r="AS154" i="1" s="1"/>
  <c r="AR147" i="1"/>
  <c r="AP173" i="1"/>
  <c r="AP161" i="1"/>
  <c r="AQ161" i="1" s="1"/>
  <c r="AN167" i="1"/>
  <c r="AN197" i="1" s="1"/>
  <c r="AO197" i="1" s="1"/>
  <c r="AV169" i="1"/>
  <c r="AW169" i="1" s="1"/>
  <c r="AP145" i="1"/>
  <c r="AR146" i="1"/>
  <c r="AR145" i="1"/>
  <c r="AR173" i="1"/>
  <c r="BD146" i="1"/>
  <c r="AN158" i="1"/>
  <c r="AN193" i="1" s="1"/>
  <c r="AO193" i="1" s="1"/>
  <c r="AV133" i="1"/>
  <c r="AR159" i="1"/>
  <c r="BT163" i="1"/>
  <c r="BU163" i="1" s="1"/>
  <c r="AN163" i="1"/>
  <c r="AO163" i="1" s="1"/>
  <c r="AR169" i="1"/>
  <c r="AS169" i="1" s="1"/>
  <c r="AP168" i="1"/>
  <c r="AQ168" i="1" s="1"/>
  <c r="AN141" i="1"/>
  <c r="AO141" i="1" s="1"/>
  <c r="AN169" i="1"/>
  <c r="AO169" i="1" s="1"/>
  <c r="AR165" i="1"/>
  <c r="AS165" i="1" s="1"/>
  <c r="AN145" i="1"/>
  <c r="AT146" i="1"/>
  <c r="AT87" i="1"/>
  <c r="AN87" i="1"/>
  <c r="AN139" i="1"/>
  <c r="AO139" i="1" s="1"/>
  <c r="AO88" i="1"/>
  <c r="AV161" i="1"/>
  <c r="AW161" i="1" s="1"/>
  <c r="BH175" i="1"/>
  <c r="BI156" i="1"/>
  <c r="BH162" i="1"/>
  <c r="BH196" i="1" s="1"/>
  <c r="BI163" i="1"/>
  <c r="BH170" i="1"/>
  <c r="BH199" i="1" s="1"/>
  <c r="BI138" i="1"/>
  <c r="BI142" i="1" s="1"/>
  <c r="BH142" i="1"/>
  <c r="AV151" i="1"/>
  <c r="AW151" i="1" s="1"/>
  <c r="AV157" i="1"/>
  <c r="AZ24" i="1"/>
  <c r="AZ30" i="1" s="1"/>
  <c r="AP151" i="1"/>
  <c r="AQ151" i="1" s="1"/>
  <c r="BF151" i="1"/>
  <c r="BG151" i="1" s="1"/>
  <c r="AT151" i="1"/>
  <c r="AU151" i="1" s="1"/>
  <c r="BP151" i="1"/>
  <c r="BQ151" i="1" s="1"/>
  <c r="BD151" i="1"/>
  <c r="BE151" i="1" s="1"/>
  <c r="BN151" i="1"/>
  <c r="BO151" i="1" s="1"/>
  <c r="BR151" i="1"/>
  <c r="BS151" i="1" s="1"/>
  <c r="BT151" i="1"/>
  <c r="BU151" i="1" s="1"/>
  <c r="BB151" i="1"/>
  <c r="BC151" i="1" s="1"/>
  <c r="BT157" i="1"/>
  <c r="BB157" i="1"/>
  <c r="BF157" i="1"/>
  <c r="AX157" i="1"/>
  <c r="BD157" i="1"/>
  <c r="AZ157" i="1"/>
  <c r="BR157" i="1"/>
  <c r="BN157" i="1"/>
  <c r="AN266" i="1"/>
  <c r="AI51" i="1"/>
  <c r="BV175" i="1"/>
  <c r="BW223" i="1" s="1"/>
  <c r="AP266" i="1"/>
  <c r="BK266" i="1"/>
  <c r="BO40" i="1"/>
  <c r="AU112" i="1"/>
  <c r="AU113" i="1" s="1"/>
  <c r="BH266" i="1"/>
  <c r="BI266" i="1"/>
  <c r="BU40" i="1"/>
  <c r="BD40" i="1"/>
  <c r="BK24" i="1"/>
  <c r="AT245" i="1"/>
  <c r="AP208" i="1"/>
  <c r="AP267" i="1"/>
  <c r="AY24" i="1"/>
  <c r="AM62" i="1"/>
  <c r="BO266" i="1"/>
  <c r="BR40" i="1"/>
  <c r="BW40" i="1"/>
  <c r="BF266" i="1"/>
  <c r="AX40" i="1"/>
  <c r="BI131" i="1"/>
  <c r="BH134" i="1"/>
  <c r="BH106" i="1" s="1"/>
  <c r="BH110" i="1" s="1"/>
  <c r="AZ245" i="1"/>
  <c r="BC112" i="1"/>
  <c r="BC113" i="1" s="1"/>
  <c r="AY266" i="1"/>
  <c r="AW24" i="1"/>
  <c r="AW30" i="1" s="1"/>
  <c r="BN267" i="1"/>
  <c r="AP24" i="1"/>
  <c r="BJ112" i="1"/>
  <c r="BJ113" i="1" s="1"/>
  <c r="BJ116" i="1" s="1"/>
  <c r="AI197" i="1"/>
  <c r="AI199" i="1"/>
  <c r="AI196" i="1"/>
  <c r="AN208" i="1"/>
  <c r="AN47" i="1"/>
  <c r="AW40" i="1"/>
  <c r="AU40" i="1"/>
  <c r="BQ266" i="1"/>
  <c r="BN112" i="1"/>
  <c r="BN113" i="1" s="1"/>
  <c r="BM24" i="1"/>
  <c r="AO267" i="1"/>
  <c r="BA24" i="1"/>
  <c r="BA30" i="1" s="1"/>
  <c r="BW267" i="1"/>
  <c r="BR112" i="1"/>
  <c r="BR113" i="1" s="1"/>
  <c r="BP266" i="1"/>
  <c r="BQ24" i="1"/>
  <c r="BQ245" i="1"/>
  <c r="BS112" i="1"/>
  <c r="BS113" i="1" s="1"/>
  <c r="BB208" i="1"/>
  <c r="BB267" i="1"/>
  <c r="BN266" i="1"/>
  <c r="BO112" i="1"/>
  <c r="BO113" i="1" s="1"/>
  <c r="BO116" i="1" s="1"/>
  <c r="BN245" i="1"/>
  <c r="BM245" i="1"/>
  <c r="BP112" i="1"/>
  <c r="BP113" i="1" s="1"/>
  <c r="BK40" i="1"/>
  <c r="BU266" i="1"/>
  <c r="BU24" i="1"/>
  <c r="BD24" i="1"/>
  <c r="BD267" i="1"/>
  <c r="BD245" i="1"/>
  <c r="BG112" i="1"/>
  <c r="BG113" i="1" s="1"/>
  <c r="AI217" i="1"/>
  <c r="AI215" i="1" s="1"/>
  <c r="AI40" i="1"/>
  <c r="BV267" i="1"/>
  <c r="BJ41" i="1"/>
  <c r="BV24" i="1"/>
  <c r="BV30" i="1" s="1"/>
  <c r="BO24" i="1"/>
  <c r="BK51" i="1"/>
  <c r="AR267" i="1"/>
  <c r="BU112" i="1"/>
  <c r="BU113" i="1" s="1"/>
  <c r="BW142" i="1"/>
  <c r="BW112" i="1"/>
  <c r="BW113" i="1" s="1"/>
  <c r="AZ112" i="1"/>
  <c r="AZ113" i="1" s="1"/>
  <c r="AZ116" i="1" s="1"/>
  <c r="BG40" i="1"/>
  <c r="BA266" i="1"/>
  <c r="AY267" i="1"/>
  <c r="AT24" i="1"/>
  <c r="AT30" i="1" s="1"/>
  <c r="AZ40" i="1"/>
  <c r="AS40" i="1"/>
  <c r="BO245" i="1"/>
  <c r="AS266" i="1"/>
  <c r="BA40" i="1"/>
  <c r="AZ266" i="1"/>
  <c r="BE40" i="1"/>
  <c r="BV162" i="1"/>
  <c r="BV196" i="1" s="1"/>
  <c r="BR24" i="1"/>
  <c r="AR40" i="1"/>
  <c r="BD266" i="1"/>
  <c r="BI40" i="1"/>
  <c r="BM51" i="1"/>
  <c r="BQ40" i="1"/>
  <c r="AR24" i="1"/>
  <c r="AS24" i="1"/>
  <c r="AT40" i="1"/>
  <c r="BP40" i="1"/>
  <c r="BT267" i="1"/>
  <c r="AP40" i="1"/>
  <c r="AI24" i="1"/>
  <c r="BV193" i="1"/>
  <c r="BW193" i="1" s="1"/>
  <c r="BX112" i="1"/>
  <c r="BX113" i="1" s="1"/>
  <c r="BG267" i="1"/>
  <c r="BV112" i="1"/>
  <c r="BV113" i="1" s="1"/>
  <c r="AL112" i="1"/>
  <c r="AL113" i="1" s="1"/>
  <c r="AL118" i="1" s="1"/>
  <c r="AT266" i="1"/>
  <c r="AT112" i="1"/>
  <c r="AT113" i="1" s="1"/>
  <c r="BT112" i="1"/>
  <c r="BT113" i="1" s="1"/>
  <c r="AW267" i="1"/>
  <c r="BS266" i="1"/>
  <c r="AX266" i="1"/>
  <c r="AO266" i="1"/>
  <c r="AN40" i="1"/>
  <c r="BT40" i="1"/>
  <c r="AQ40" i="1"/>
  <c r="AV40" i="1"/>
  <c r="BH40" i="1"/>
  <c r="BI24" i="1"/>
  <c r="BP24" i="1"/>
  <c r="AY40" i="1"/>
  <c r="BF40" i="1"/>
  <c r="BN40" i="1"/>
  <c r="AU24" i="1"/>
  <c r="AY245" i="1"/>
  <c r="BV266" i="1"/>
  <c r="AI194" i="1"/>
  <c r="BV142" i="1"/>
  <c r="BS24" i="1"/>
  <c r="BQ112" i="1"/>
  <c r="BQ113" i="1" s="1"/>
  <c r="BQ116" i="1" s="1"/>
  <c r="BV197" i="1"/>
  <c r="BE24" i="1"/>
  <c r="BY112" i="1"/>
  <c r="BY113" i="1" s="1"/>
  <c r="BE266" i="1"/>
  <c r="BL112" i="1"/>
  <c r="BL113" i="1" s="1"/>
  <c r="AT267" i="1"/>
  <c r="BT266" i="1"/>
  <c r="BM267" i="1"/>
  <c r="BM217" i="1"/>
  <c r="BM215" i="1" s="1"/>
  <c r="BM47" i="1"/>
  <c r="BM208" i="1"/>
  <c r="BP267" i="1"/>
  <c r="BP208" i="1"/>
  <c r="BR267" i="1"/>
  <c r="BR208" i="1"/>
  <c r="BC24" i="1"/>
  <c r="AU267" i="1"/>
  <c r="BV194" i="1"/>
  <c r="BW194" i="1" s="1"/>
  <c r="BH112" i="1"/>
  <c r="BH113" i="1" s="1"/>
  <c r="BH117" i="1" s="1"/>
  <c r="BF267" i="1"/>
  <c r="BD112" i="1"/>
  <c r="BD113" i="1" s="1"/>
  <c r="AI47" i="1"/>
  <c r="BH24" i="1"/>
  <c r="BH194" i="1"/>
  <c r="BI194" i="1" s="1"/>
  <c r="AX112" i="1"/>
  <c r="AX113" i="1" s="1"/>
  <c r="BQ267" i="1"/>
  <c r="BK112" i="1"/>
  <c r="BK113" i="1" s="1"/>
  <c r="BK118" i="1" s="1"/>
  <c r="AX267" i="1"/>
  <c r="AR112" i="1"/>
  <c r="AR113" i="1" s="1"/>
  <c r="AQ266" i="1"/>
  <c r="AS112" i="1"/>
  <c r="AS113" i="1" s="1"/>
  <c r="AQ24" i="1"/>
  <c r="BT208" i="1"/>
  <c r="BH193" i="1"/>
  <c r="BI193" i="1" s="1"/>
  <c r="AR266" i="1"/>
  <c r="BU208" i="1"/>
  <c r="BU267" i="1"/>
  <c r="BW131" i="1"/>
  <c r="BV134" i="1"/>
  <c r="BK267" i="1"/>
  <c r="BK208" i="1"/>
  <c r="BK47" i="1"/>
  <c r="BK217" i="1"/>
  <c r="BK215" i="1" s="1"/>
  <c r="BK245" i="1"/>
  <c r="BM112" i="1"/>
  <c r="BM113" i="1" s="1"/>
  <c r="BM266" i="1"/>
  <c r="BS40" i="1"/>
  <c r="AN24" i="1"/>
  <c r="AN245" i="1"/>
  <c r="AN112" i="1"/>
  <c r="AN113" i="1" s="1"/>
  <c r="AO112" i="1"/>
  <c r="AO113" i="1" s="1"/>
  <c r="AU245" i="1"/>
  <c r="BO267" i="1"/>
  <c r="BF112" i="1"/>
  <c r="BF113" i="1" s="1"/>
  <c r="BF24" i="1"/>
  <c r="AV24" i="1"/>
  <c r="AY112" i="1"/>
  <c r="AY113" i="1" s="1"/>
  <c r="AW112" i="1"/>
  <c r="AW113" i="1" s="1"/>
  <c r="AV266" i="1"/>
  <c r="AP112" i="1"/>
  <c r="AP113" i="1" s="1"/>
  <c r="AV112" i="1"/>
  <c r="AV113" i="1" s="1"/>
  <c r="BW24" i="1"/>
  <c r="BW245" i="1"/>
  <c r="BZ112" i="1"/>
  <c r="BZ113" i="1" s="1"/>
  <c r="BV148" i="1"/>
  <c r="AO40" i="1"/>
  <c r="BR266" i="1"/>
  <c r="BN47" i="1"/>
  <c r="BN208" i="1"/>
  <c r="AQ267" i="1"/>
  <c r="AQ208" i="1"/>
  <c r="BN24" i="1"/>
  <c r="BW266" i="1"/>
  <c r="BI267" i="1"/>
  <c r="BI208" i="1"/>
  <c r="BB245" i="1"/>
  <c r="BB24" i="1"/>
  <c r="BM40" i="1"/>
  <c r="BI112" i="1"/>
  <c r="BI113" i="1" s="1"/>
  <c r="BI117" i="1" s="1"/>
  <c r="BF245" i="1"/>
  <c r="BE112" i="1"/>
  <c r="BE113" i="1" s="1"/>
  <c r="BE118" i="1" s="1"/>
  <c r="AN267" i="1"/>
  <c r="BC266" i="1"/>
  <c r="AV267" i="1"/>
  <c r="BC267" i="1"/>
  <c r="BE267" i="1"/>
  <c r="AQ112" i="1"/>
  <c r="AQ113" i="1" s="1"/>
  <c r="AQ118" i="1" s="1"/>
  <c r="BH267" i="1"/>
  <c r="BV170" i="1"/>
  <c r="BV199" i="1" s="1"/>
  <c r="BB266" i="1"/>
  <c r="BV40" i="1"/>
  <c r="BJ267" i="1"/>
  <c r="BJ208" i="1"/>
  <c r="BG266" i="1"/>
  <c r="BG245" i="1"/>
  <c r="BC40" i="1"/>
  <c r="AX245" i="1"/>
  <c r="AX24" i="1"/>
  <c r="AZ267" i="1"/>
  <c r="AZ208" i="1"/>
  <c r="BT245" i="1"/>
  <c r="BT24" i="1"/>
  <c r="BH197" i="1"/>
  <c r="BI197" i="1" s="1"/>
  <c r="BG24" i="1"/>
  <c r="AU266" i="1"/>
  <c r="BA267" i="1"/>
  <c r="BA208" i="1"/>
  <c r="AO245" i="1"/>
  <c r="AO24" i="1"/>
  <c r="AW266" i="1"/>
  <c r="AW245" i="1"/>
  <c r="AI193" i="1"/>
  <c r="AI245" i="1"/>
  <c r="BB40" i="1"/>
  <c r="BA112" i="1"/>
  <c r="BA113" i="1" s="1"/>
  <c r="BB112" i="1"/>
  <c r="BB113" i="1" s="1"/>
  <c r="AS267" i="1"/>
  <c r="AS208" i="1"/>
  <c r="BS267" i="1"/>
  <c r="BI216" i="1"/>
  <c r="BW216" i="1"/>
  <c r="BJ42" i="1"/>
  <c r="BJ31" i="1"/>
  <c r="CQ148" i="1"/>
  <c r="DB91" i="1"/>
  <c r="CY79" i="1"/>
  <c r="CZ77" i="1"/>
  <c r="N68" i="1" l="1"/>
  <c r="R152" i="1"/>
  <c r="D68" i="1"/>
  <c r="N189" i="1"/>
  <c r="N262" i="1"/>
  <c r="E221" i="1"/>
  <c r="R47" i="1"/>
  <c r="D189" i="1"/>
  <c r="E68" i="1"/>
  <c r="H152" i="1"/>
  <c r="H47" i="1"/>
  <c r="U210" i="1"/>
  <c r="L189" i="1"/>
  <c r="N221" i="1"/>
  <c r="C263" i="1"/>
  <c r="C265" i="1" s="1"/>
  <c r="O262" i="1"/>
  <c r="O221" i="1"/>
  <c r="O68" i="1"/>
  <c r="M221" i="1"/>
  <c r="M68" i="1"/>
  <c r="B121" i="1"/>
  <c r="P211" i="1"/>
  <c r="D220" i="1"/>
  <c r="R189" i="1"/>
  <c r="E220" i="1"/>
  <c r="E219" i="1" s="1"/>
  <c r="D263" i="1"/>
  <c r="D265" i="1" s="1"/>
  <c r="C143" i="1"/>
  <c r="C69" i="1" s="1"/>
  <c r="D221" i="1"/>
  <c r="D143" i="1"/>
  <c r="D69" i="1" s="1"/>
  <c r="I182" i="1"/>
  <c r="I123" i="1" s="1"/>
  <c r="D51" i="1"/>
  <c r="B80" i="1"/>
  <c r="B82" i="1" s="1"/>
  <c r="P210" i="1"/>
  <c r="C221" i="1"/>
  <c r="AR148" i="1"/>
  <c r="AR152" i="1" s="1"/>
  <c r="P223" i="1"/>
  <c r="F47" i="1"/>
  <c r="C68" i="1"/>
  <c r="T152" i="1"/>
  <c r="T260" i="1" s="1"/>
  <c r="R182" i="1"/>
  <c r="R123" i="1" s="1"/>
  <c r="R143" i="1"/>
  <c r="R69" i="1" s="1"/>
  <c r="H189" i="1"/>
  <c r="U221" i="1"/>
  <c r="U68" i="1"/>
  <c r="J210" i="1"/>
  <c r="K210" i="1"/>
  <c r="J196" i="1"/>
  <c r="J195" i="1" s="1"/>
  <c r="F51" i="1"/>
  <c r="F182" i="1"/>
  <c r="F123" i="1" s="1"/>
  <c r="F143" i="1"/>
  <c r="F69" i="1" s="1"/>
  <c r="L47" i="1"/>
  <c r="L152" i="1"/>
  <c r="L258" i="1" s="1"/>
  <c r="U223" i="1"/>
  <c r="T262" i="1"/>
  <c r="C47" i="1"/>
  <c r="C152" i="1"/>
  <c r="V51" i="1"/>
  <c r="V182" i="1"/>
  <c r="V123" i="1" s="1"/>
  <c r="S196" i="1"/>
  <c r="S171" i="1"/>
  <c r="I221" i="1"/>
  <c r="I262" i="1"/>
  <c r="I189" i="1"/>
  <c r="I68" i="1"/>
  <c r="S47" i="1"/>
  <c r="S152" i="1"/>
  <c r="S260" i="1" s="1"/>
  <c r="B47" i="1"/>
  <c r="B152" i="1"/>
  <c r="C122" i="1"/>
  <c r="C121" i="1"/>
  <c r="C80" i="1"/>
  <c r="C82" i="1" s="1"/>
  <c r="S263" i="1"/>
  <c r="S265" i="1" s="1"/>
  <c r="S51" i="1"/>
  <c r="S182" i="1"/>
  <c r="S123" i="1" s="1"/>
  <c r="S220" i="1"/>
  <c r="G223" i="1"/>
  <c r="F262" i="1"/>
  <c r="F221" i="1"/>
  <c r="F68" i="1"/>
  <c r="F189" i="1"/>
  <c r="T182" i="1"/>
  <c r="T123" i="1" s="1"/>
  <c r="T220" i="1"/>
  <c r="C171" i="1"/>
  <c r="E210" i="1"/>
  <c r="D211" i="1"/>
  <c r="R221" i="1"/>
  <c r="S211" i="1"/>
  <c r="N152" i="1"/>
  <c r="N47" i="1"/>
  <c r="N223" i="1"/>
  <c r="M262" i="1"/>
  <c r="H221" i="1"/>
  <c r="H68" i="1"/>
  <c r="T189" i="1"/>
  <c r="T221" i="1"/>
  <c r="J152" i="1"/>
  <c r="J47" i="1"/>
  <c r="U47" i="1"/>
  <c r="U152" i="1"/>
  <c r="I223" i="1"/>
  <c r="H262" i="1"/>
  <c r="E223" i="1"/>
  <c r="D182" i="1"/>
  <c r="D123" i="1" s="1"/>
  <c r="D124" i="1" s="1"/>
  <c r="D127" i="1" s="1"/>
  <c r="D262" i="1"/>
  <c r="O143" i="1"/>
  <c r="O69" i="1" s="1"/>
  <c r="O220" i="1"/>
  <c r="F196" i="1"/>
  <c r="F171" i="1"/>
  <c r="F179" i="1" s="1"/>
  <c r="F180" i="1" s="1"/>
  <c r="G210" i="1"/>
  <c r="K223" i="1"/>
  <c r="J262" i="1"/>
  <c r="G189" i="1"/>
  <c r="G221" i="1"/>
  <c r="G68" i="1"/>
  <c r="J143" i="1"/>
  <c r="J69" i="1" s="1"/>
  <c r="J182" i="1"/>
  <c r="J123" i="1" s="1"/>
  <c r="J263" i="1"/>
  <c r="J265" i="1" s="1"/>
  <c r="J51" i="1"/>
  <c r="H220" i="1"/>
  <c r="H143" i="1"/>
  <c r="H69" i="1" s="1"/>
  <c r="H51" i="1"/>
  <c r="H182" i="1"/>
  <c r="H123" i="1" s="1"/>
  <c r="R223" i="1"/>
  <c r="Q262" i="1"/>
  <c r="E196" i="1"/>
  <c r="E195" i="1" s="1"/>
  <c r="F210" i="1"/>
  <c r="P152" i="1"/>
  <c r="P47" i="1"/>
  <c r="V263" i="1"/>
  <c r="V265" i="1" s="1"/>
  <c r="U263" i="1"/>
  <c r="U265" i="1" s="1"/>
  <c r="T199" i="1"/>
  <c r="T198" i="1" s="1"/>
  <c r="T211" i="1"/>
  <c r="U211" i="1"/>
  <c r="Q182" i="1"/>
  <c r="Q123" i="1" s="1"/>
  <c r="H211" i="1"/>
  <c r="K221" i="1"/>
  <c r="G152" i="1"/>
  <c r="G47" i="1"/>
  <c r="I47" i="1"/>
  <c r="I152" i="1"/>
  <c r="V210" i="1"/>
  <c r="V196" i="1"/>
  <c r="V195" i="1" s="1"/>
  <c r="T258" i="1"/>
  <c r="T210" i="1"/>
  <c r="E143" i="1"/>
  <c r="E69" i="1" s="1"/>
  <c r="F263" i="1"/>
  <c r="F265" i="1" s="1"/>
  <c r="H263" i="1"/>
  <c r="H265" i="1" s="1"/>
  <c r="G220" i="1"/>
  <c r="G263" i="1"/>
  <c r="G265" i="1" s="1"/>
  <c r="BD175" i="1"/>
  <c r="BE223" i="1" s="1"/>
  <c r="Q210" i="1"/>
  <c r="E47" i="1"/>
  <c r="E152" i="1"/>
  <c r="J189" i="1"/>
  <c r="J68" i="1"/>
  <c r="J221" i="1"/>
  <c r="D47" i="1"/>
  <c r="D152" i="1"/>
  <c r="L199" i="1"/>
  <c r="L198" i="1" s="1"/>
  <c r="L171" i="1"/>
  <c r="C196" i="1"/>
  <c r="C195" i="1" s="1"/>
  <c r="D210" i="1"/>
  <c r="L223" i="1"/>
  <c r="K262" i="1"/>
  <c r="B189" i="1"/>
  <c r="B68" i="1"/>
  <c r="B262" i="1"/>
  <c r="T51" i="1"/>
  <c r="T143" i="1"/>
  <c r="T69" i="1" s="1"/>
  <c r="T263" i="1"/>
  <c r="T265" i="1" s="1"/>
  <c r="O51" i="1"/>
  <c r="O182" i="1"/>
  <c r="O123" i="1" s="1"/>
  <c r="B51" i="1"/>
  <c r="C220" i="1"/>
  <c r="B182" i="1"/>
  <c r="B123" i="1" s="1"/>
  <c r="B143" i="1"/>
  <c r="B69" i="1" s="1"/>
  <c r="K263" i="1"/>
  <c r="K265" i="1" s="1"/>
  <c r="K220" i="1"/>
  <c r="K143" i="1"/>
  <c r="K69" i="1" s="1"/>
  <c r="K51" i="1"/>
  <c r="K182" i="1"/>
  <c r="K123" i="1" s="1"/>
  <c r="K68" i="1"/>
  <c r="L221" i="1"/>
  <c r="K189" i="1"/>
  <c r="C182" i="1"/>
  <c r="C123" i="1" s="1"/>
  <c r="D223" i="1"/>
  <c r="C262" i="1"/>
  <c r="W263" i="1"/>
  <c r="W265" i="1" s="1"/>
  <c r="W220" i="1"/>
  <c r="W51" i="1"/>
  <c r="X263" i="1"/>
  <c r="X265" i="1" s="1"/>
  <c r="X220" i="1"/>
  <c r="U262" i="1"/>
  <c r="U189" i="1"/>
  <c r="M152" i="1"/>
  <c r="M47" i="1"/>
  <c r="S143" i="1"/>
  <c r="S69" i="1" s="1"/>
  <c r="S221" i="1"/>
  <c r="S68" i="1"/>
  <c r="Q196" i="1"/>
  <c r="Q195" i="1" s="1"/>
  <c r="R210" i="1"/>
  <c r="H196" i="1"/>
  <c r="I210" i="1"/>
  <c r="J171" i="1"/>
  <c r="D80" i="1"/>
  <c r="D122" i="1"/>
  <c r="K196" i="1"/>
  <c r="K195" i="1" s="1"/>
  <c r="K171" i="1"/>
  <c r="D196" i="1"/>
  <c r="D195" i="1" s="1"/>
  <c r="D171" i="1"/>
  <c r="I51" i="1"/>
  <c r="I220" i="1"/>
  <c r="J220" i="1"/>
  <c r="Q68" i="1"/>
  <c r="Q189" i="1"/>
  <c r="K47" i="1"/>
  <c r="K152" i="1"/>
  <c r="M220" i="1"/>
  <c r="L143" i="1"/>
  <c r="L69" i="1" s="1"/>
  <c r="D199" i="1"/>
  <c r="E211" i="1"/>
  <c r="W152" i="1"/>
  <c r="X217" i="1" s="1"/>
  <c r="X215" i="1" s="1"/>
  <c r="W47" i="1"/>
  <c r="S223" i="1"/>
  <c r="R262" i="1"/>
  <c r="V221" i="1"/>
  <c r="V262" i="1"/>
  <c r="N210" i="1"/>
  <c r="O210" i="1"/>
  <c r="K211" i="1"/>
  <c r="J199" i="1"/>
  <c r="AN175" i="1"/>
  <c r="AO223" i="1" s="1"/>
  <c r="Q221" i="1"/>
  <c r="L196" i="1"/>
  <c r="L210" i="1"/>
  <c r="M210" i="1"/>
  <c r="P196" i="1"/>
  <c r="P171" i="1"/>
  <c r="R196" i="1"/>
  <c r="R195" i="1" s="1"/>
  <c r="S210" i="1"/>
  <c r="C199" i="1"/>
  <c r="C211" i="1"/>
  <c r="O196" i="1"/>
  <c r="O195" i="1" s="1"/>
  <c r="O171" i="1"/>
  <c r="I263" i="1"/>
  <c r="I265" i="1" s="1"/>
  <c r="I143" i="1"/>
  <c r="I69" i="1" s="1"/>
  <c r="Q47" i="1"/>
  <c r="Q152" i="1"/>
  <c r="R217" i="1" s="1"/>
  <c r="R215" i="1" s="1"/>
  <c r="P189" i="1"/>
  <c r="G143" i="1"/>
  <c r="G69" i="1" s="1"/>
  <c r="G51" i="1"/>
  <c r="G182" i="1"/>
  <c r="G123" i="1" s="1"/>
  <c r="U220" i="1"/>
  <c r="U182" i="1"/>
  <c r="U123" i="1" s="1"/>
  <c r="U51" i="1"/>
  <c r="U143" i="1"/>
  <c r="U69" i="1" s="1"/>
  <c r="V220" i="1"/>
  <c r="S262" i="1"/>
  <c r="S189" i="1"/>
  <c r="Q263" i="1"/>
  <c r="Q265" i="1" s="1"/>
  <c r="R263" i="1"/>
  <c r="R265" i="1" s="1"/>
  <c r="Q220" i="1"/>
  <c r="H210" i="1"/>
  <c r="H171" i="1"/>
  <c r="H179" i="1" s="1"/>
  <c r="AV175" i="1"/>
  <c r="AW223" i="1" s="1"/>
  <c r="BN175" i="1"/>
  <c r="BO223" i="1" s="1"/>
  <c r="I171" i="1"/>
  <c r="I211" i="1"/>
  <c r="I199" i="1"/>
  <c r="J211" i="1"/>
  <c r="Q199" i="1"/>
  <c r="Q171" i="1"/>
  <c r="Q211" i="1"/>
  <c r="R211" i="1"/>
  <c r="BR148" i="1"/>
  <c r="AX175" i="1"/>
  <c r="AY223" i="1" s="1"/>
  <c r="BS142" i="1"/>
  <c r="P143" i="1"/>
  <c r="P69" i="1" s="1"/>
  <c r="P220" i="1"/>
  <c r="P182" i="1"/>
  <c r="P123" i="1" s="1"/>
  <c r="P263" i="1"/>
  <c r="P265" i="1" s="1"/>
  <c r="P51" i="1"/>
  <c r="H223" i="1"/>
  <c r="G262" i="1"/>
  <c r="T196" i="1"/>
  <c r="T171" i="1"/>
  <c r="F220" i="1"/>
  <c r="E182" i="1"/>
  <c r="E123" i="1" s="1"/>
  <c r="E51" i="1"/>
  <c r="O263" i="1"/>
  <c r="O265" i="1" s="1"/>
  <c r="N143" i="1"/>
  <c r="N69" i="1" s="1"/>
  <c r="N263" i="1"/>
  <c r="N265" i="1" s="1"/>
  <c r="N51" i="1"/>
  <c r="N220" i="1"/>
  <c r="N219" i="1" s="1"/>
  <c r="N182" i="1"/>
  <c r="N123" i="1" s="1"/>
  <c r="L182" i="1"/>
  <c r="L123" i="1" s="1"/>
  <c r="L51" i="1"/>
  <c r="L263" i="1"/>
  <c r="L265" i="1" s="1"/>
  <c r="L220" i="1"/>
  <c r="P221" i="1"/>
  <c r="P68" i="1"/>
  <c r="P262" i="1"/>
  <c r="B171" i="1"/>
  <c r="B196" i="1"/>
  <c r="C210" i="1"/>
  <c r="O152" i="1"/>
  <c r="O47" i="1"/>
  <c r="M223" i="1"/>
  <c r="L262" i="1"/>
  <c r="V68" i="1"/>
  <c r="V143" i="1"/>
  <c r="V69" i="1" s="1"/>
  <c r="V189" i="1"/>
  <c r="Q143" i="1"/>
  <c r="Q69" i="1" s="1"/>
  <c r="R220" i="1"/>
  <c r="Q51" i="1"/>
  <c r="K199" i="1"/>
  <c r="L211" i="1"/>
  <c r="N196" i="1"/>
  <c r="N171" i="1"/>
  <c r="E199" i="1"/>
  <c r="F211" i="1"/>
  <c r="E171" i="1"/>
  <c r="G199" i="1"/>
  <c r="G171" i="1"/>
  <c r="G211" i="1"/>
  <c r="O199" i="1"/>
  <c r="O211" i="1"/>
  <c r="U199" i="1"/>
  <c r="U171" i="1"/>
  <c r="M263" i="1"/>
  <c r="M265" i="1" s="1"/>
  <c r="M51" i="1"/>
  <c r="M143" i="1"/>
  <c r="M69" i="1" s="1"/>
  <c r="M182" i="1"/>
  <c r="M123" i="1" s="1"/>
  <c r="V152" i="1"/>
  <c r="V47" i="1"/>
  <c r="V199" i="1"/>
  <c r="V171" i="1"/>
  <c r="V211" i="1"/>
  <c r="AZ148" i="1"/>
  <c r="BP148" i="1"/>
  <c r="BT175" i="1"/>
  <c r="BU223" i="1" s="1"/>
  <c r="BP175" i="1"/>
  <c r="BQ223" i="1" s="1"/>
  <c r="BB175" i="1"/>
  <c r="AZ175" i="1"/>
  <c r="BA223" i="1" s="1"/>
  <c r="BE142" i="1"/>
  <c r="AR175" i="1"/>
  <c r="AS223" i="1" s="1"/>
  <c r="AQ154" i="1"/>
  <c r="AW154" i="1"/>
  <c r="AX216" i="1" s="1"/>
  <c r="AQ156" i="1"/>
  <c r="AP162" i="1"/>
  <c r="AP196" i="1" s="1"/>
  <c r="AP195" i="1" s="1"/>
  <c r="AS138" i="1"/>
  <c r="AS142" i="1" s="1"/>
  <c r="AR142" i="1"/>
  <c r="AU131" i="1"/>
  <c r="AT134" i="1"/>
  <c r="AT106" i="1" s="1"/>
  <c r="AS131" i="1"/>
  <c r="AR134" i="1"/>
  <c r="AX134" i="1"/>
  <c r="AY131" i="1"/>
  <c r="AY138" i="1"/>
  <c r="AY142" i="1" s="1"/>
  <c r="AX142" i="1"/>
  <c r="BO154" i="1"/>
  <c r="BN216" i="1"/>
  <c r="BT148" i="1"/>
  <c r="AT148" i="1"/>
  <c r="BF175" i="1"/>
  <c r="BG223" i="1" s="1"/>
  <c r="BF148" i="1"/>
  <c r="AV148" i="1"/>
  <c r="BD148" i="1"/>
  <c r="AP148" i="1"/>
  <c r="M211" i="1"/>
  <c r="N211" i="1"/>
  <c r="M171" i="1"/>
  <c r="M199" i="1"/>
  <c r="R199" i="1"/>
  <c r="R171" i="1"/>
  <c r="R179" i="1" s="1"/>
  <c r="AU156" i="1"/>
  <c r="AT162" i="1"/>
  <c r="BC131" i="1"/>
  <c r="BB134" i="1"/>
  <c r="BB106" i="1" s="1"/>
  <c r="AO138" i="1"/>
  <c r="AO142" i="1" s="1"/>
  <c r="AN142" i="1"/>
  <c r="AR194" i="1"/>
  <c r="AS194" i="1" s="1"/>
  <c r="AR162" i="1"/>
  <c r="AR196" i="1" s="1"/>
  <c r="AO131" i="1"/>
  <c r="AN134" i="1"/>
  <c r="BC138" i="1"/>
  <c r="BC142" i="1" s="1"/>
  <c r="BB142" i="1"/>
  <c r="BU154" i="1"/>
  <c r="BE131" i="1"/>
  <c r="BD134" i="1"/>
  <c r="AU164" i="1"/>
  <c r="AT170" i="1"/>
  <c r="AT199" i="1" s="1"/>
  <c r="AT198" i="1" s="1"/>
  <c r="AY163" i="1"/>
  <c r="AX170" i="1"/>
  <c r="AX199" i="1" s="1"/>
  <c r="AX198" i="1" s="1"/>
  <c r="BO138" i="1"/>
  <c r="BO142" i="1" s="1"/>
  <c r="BN142" i="1"/>
  <c r="AW138" i="1"/>
  <c r="AW142" i="1" s="1"/>
  <c r="AV142" i="1"/>
  <c r="AO156" i="1"/>
  <c r="AN162" i="1"/>
  <c r="BS154" i="1"/>
  <c r="BR216" i="1"/>
  <c r="BU138" i="1"/>
  <c r="BU142" i="1" s="1"/>
  <c r="BT142" i="1"/>
  <c r="AO154" i="1"/>
  <c r="AN216" i="1"/>
  <c r="BS131" i="1"/>
  <c r="BR134" i="1"/>
  <c r="BR106" i="1" s="1"/>
  <c r="BF216" i="1"/>
  <c r="AQ142" i="1"/>
  <c r="AT216" i="1"/>
  <c r="AI200" i="1"/>
  <c r="AN148" i="1"/>
  <c r="AP175" i="1"/>
  <c r="BT170" i="1"/>
  <c r="BT199" i="1" s="1"/>
  <c r="BT198" i="1" s="1"/>
  <c r="BN148" i="1"/>
  <c r="AX148" i="1"/>
  <c r="BB148" i="1"/>
  <c r="AT175" i="1"/>
  <c r="AU223" i="1" s="1"/>
  <c r="AZ134" i="1"/>
  <c r="BR175" i="1"/>
  <c r="AR170" i="1"/>
  <c r="BN134" i="1"/>
  <c r="AS216" i="1"/>
  <c r="BP170" i="1"/>
  <c r="BP199" i="1" s="1"/>
  <c r="BP198" i="1" s="1"/>
  <c r="BT134" i="1"/>
  <c r="BF142" i="1"/>
  <c r="BE216" i="1"/>
  <c r="BR170" i="1"/>
  <c r="BR199" i="1" s="1"/>
  <c r="BR198" i="1" s="1"/>
  <c r="BP162" i="1"/>
  <c r="BP196" i="1" s="1"/>
  <c r="BP195" i="1" s="1"/>
  <c r="AZ142" i="1"/>
  <c r="BQ216" i="1"/>
  <c r="BB170" i="1"/>
  <c r="BB199" i="1" s="1"/>
  <c r="BB198" i="1" s="1"/>
  <c r="AP142" i="1"/>
  <c r="AP134" i="1"/>
  <c r="AP106" i="1" s="1"/>
  <c r="BD170" i="1"/>
  <c r="BD199" i="1" s="1"/>
  <c r="BD198" i="1" s="1"/>
  <c r="BP134" i="1"/>
  <c r="BP106" i="1" s="1"/>
  <c r="BP108" i="1" s="1"/>
  <c r="BN170" i="1"/>
  <c r="BN199" i="1" s="1"/>
  <c r="AN170" i="1"/>
  <c r="AN199" i="1" s="1"/>
  <c r="BP142" i="1"/>
  <c r="BG142" i="1"/>
  <c r="BH220" i="1" s="1"/>
  <c r="BA142" i="1"/>
  <c r="AT142" i="1"/>
  <c r="AP170" i="1"/>
  <c r="BF170" i="1"/>
  <c r="BF199" i="1" s="1"/>
  <c r="BF198" i="1" s="1"/>
  <c r="AV170" i="1"/>
  <c r="AV199" i="1" s="1"/>
  <c r="AV198" i="1" s="1"/>
  <c r="BF134" i="1"/>
  <c r="BQ142" i="1"/>
  <c r="BR142" i="1"/>
  <c r="BD142" i="1"/>
  <c r="AZ170" i="1"/>
  <c r="AZ199" i="1" s="1"/>
  <c r="AZ198" i="1" s="1"/>
  <c r="AV134" i="1"/>
  <c r="AU142" i="1"/>
  <c r="AI198" i="1"/>
  <c r="AW157" i="1"/>
  <c r="AV162" i="1"/>
  <c r="BH171" i="1"/>
  <c r="BH179" i="1" s="1"/>
  <c r="BH143" i="1"/>
  <c r="AZ41" i="1"/>
  <c r="BK25" i="1"/>
  <c r="BC157" i="1"/>
  <c r="BB162" i="1"/>
  <c r="BG157" i="1"/>
  <c r="BF162" i="1"/>
  <c r="BE157" i="1"/>
  <c r="BD162" i="1"/>
  <c r="BO157" i="1"/>
  <c r="BN162" i="1"/>
  <c r="BU157" i="1"/>
  <c r="BT162" i="1"/>
  <c r="AY157" i="1"/>
  <c r="AX162" i="1"/>
  <c r="BS157" i="1"/>
  <c r="BR162" i="1"/>
  <c r="BA157" i="1"/>
  <c r="AZ162" i="1"/>
  <c r="AU216" i="1"/>
  <c r="AV216" i="1"/>
  <c r="BC116" i="1"/>
  <c r="BC118" i="1"/>
  <c r="BC117" i="1"/>
  <c r="O72" i="1"/>
  <c r="BF117" i="1"/>
  <c r="BF118" i="1"/>
  <c r="BF116" i="1"/>
  <c r="BB216" i="1"/>
  <c r="BA216" i="1"/>
  <c r="BH108" i="1"/>
  <c r="BH109" i="1"/>
  <c r="BK41" i="1"/>
  <c r="AW41" i="1"/>
  <c r="AU117" i="1"/>
  <c r="AU118" i="1"/>
  <c r="AU116" i="1"/>
  <c r="AY216" i="1"/>
  <c r="AZ216" i="1"/>
  <c r="BE41" i="1"/>
  <c r="BK26" i="1"/>
  <c r="BL26" i="1"/>
  <c r="BK30" i="1"/>
  <c r="AM66" i="1"/>
  <c r="AM133" i="1"/>
  <c r="AM134" i="1" s="1"/>
  <c r="AM143" i="1" s="1"/>
  <c r="AM207" i="1"/>
  <c r="AM209" i="1" s="1"/>
  <c r="AM80" i="1"/>
  <c r="AM83" i="1" s="1"/>
  <c r="AS26" i="1"/>
  <c r="AT26" i="1"/>
  <c r="AT41" i="1"/>
  <c r="AY41" i="1"/>
  <c r="AP239" i="1"/>
  <c r="AQ26" i="1"/>
  <c r="AZ26" i="1"/>
  <c r="AY30" i="1"/>
  <c r="AP30" i="1"/>
  <c r="AP25" i="1"/>
  <c r="BJ117" i="1"/>
  <c r="BJ118" i="1"/>
  <c r="BA41" i="1"/>
  <c r="BQ41" i="1"/>
  <c r="AP41" i="1"/>
  <c r="AQ202" i="1"/>
  <c r="BM41" i="1"/>
  <c r="BN117" i="1"/>
  <c r="BN118" i="1"/>
  <c r="BN116" i="1"/>
  <c r="BQ25" i="1"/>
  <c r="BM239" i="1"/>
  <c r="BM25" i="1"/>
  <c r="BR116" i="1"/>
  <c r="BR118" i="1"/>
  <c r="BR117" i="1"/>
  <c r="BU25" i="1"/>
  <c r="BQ30" i="1"/>
  <c r="BQ42" i="1" s="1"/>
  <c r="BQ26" i="1"/>
  <c r="BC216" i="1"/>
  <c r="BD216" i="1"/>
  <c r="BS116" i="1"/>
  <c r="BS117" i="1"/>
  <c r="BS118" i="1"/>
  <c r="BO117" i="1"/>
  <c r="BO118" i="1"/>
  <c r="BP117" i="1"/>
  <c r="BP118" i="1"/>
  <c r="BP116" i="1"/>
  <c r="BU41" i="1"/>
  <c r="BU30" i="1"/>
  <c r="BU118" i="1"/>
  <c r="BU117" i="1"/>
  <c r="BV106" i="1"/>
  <c r="BV262" i="1"/>
  <c r="BM30" i="1"/>
  <c r="BM26" i="1"/>
  <c r="BA25" i="1"/>
  <c r="BA26" i="1"/>
  <c r="AI41" i="1"/>
  <c r="BA33" i="1"/>
  <c r="BH41" i="1"/>
  <c r="AS30" i="1"/>
  <c r="AW25" i="1"/>
  <c r="BJ25" i="1"/>
  <c r="BF30" i="1"/>
  <c r="BF42" i="1" s="1"/>
  <c r="BJ44" i="1" s="1"/>
  <c r="BV41" i="1"/>
  <c r="BC41" i="1"/>
  <c r="AY202" i="1"/>
  <c r="BT239" i="1"/>
  <c r="AY193" i="1"/>
  <c r="AS197" i="1"/>
  <c r="BY25" i="1"/>
  <c r="BU202" i="1"/>
  <c r="F260" i="1"/>
  <c r="F258" i="1"/>
  <c r="R258" i="1"/>
  <c r="R260" i="1"/>
  <c r="BD25" i="1"/>
  <c r="BE26" i="1"/>
  <c r="BG239" i="1"/>
  <c r="BH25" i="1"/>
  <c r="BD30" i="1"/>
  <c r="BD41" i="1"/>
  <c r="BD202" i="1"/>
  <c r="BG116" i="1"/>
  <c r="BG118" i="1"/>
  <c r="BG117" i="1"/>
  <c r="BV26" i="1"/>
  <c r="BV202" i="1"/>
  <c r="BJ263" i="1"/>
  <c r="BJ220" i="1"/>
  <c r="BI263" i="1"/>
  <c r="BO25" i="1"/>
  <c r="BP26" i="1"/>
  <c r="BO41" i="1"/>
  <c r="BO30" i="1"/>
  <c r="BR239" i="1"/>
  <c r="V72" i="1"/>
  <c r="BX220" i="1"/>
  <c r="BX263" i="1"/>
  <c r="BW220" i="1"/>
  <c r="BW118" i="1"/>
  <c r="BW116" i="1"/>
  <c r="AT25" i="1"/>
  <c r="AW239" i="1"/>
  <c r="AU26" i="1"/>
  <c r="AT202" i="1"/>
  <c r="BR41" i="1"/>
  <c r="BV25" i="1"/>
  <c r="BS26" i="1"/>
  <c r="BU239" i="1"/>
  <c r="AR30" i="1"/>
  <c r="AR42" i="1" s="1"/>
  <c r="AR43" i="1" s="1"/>
  <c r="AU239" i="1"/>
  <c r="AS239" i="1"/>
  <c r="AT31" i="1"/>
  <c r="AT42" i="1"/>
  <c r="BV31" i="1"/>
  <c r="BZ32" i="1"/>
  <c r="N72" i="1"/>
  <c r="AL258" i="1"/>
  <c r="AJ26" i="1"/>
  <c r="AM25" i="1"/>
  <c r="AL239" i="1"/>
  <c r="AI30" i="1"/>
  <c r="BX116" i="1"/>
  <c r="BX117" i="1"/>
  <c r="BX118" i="1"/>
  <c r="BV117" i="1"/>
  <c r="BV116" i="1"/>
  <c r="BV118" i="1"/>
  <c r="AT117" i="1"/>
  <c r="AT118" i="1"/>
  <c r="AT116" i="1"/>
  <c r="BT118" i="1"/>
  <c r="BT117" i="1"/>
  <c r="BT116" i="1"/>
  <c r="BA42" i="1"/>
  <c r="BA31" i="1"/>
  <c r="BI30" i="1"/>
  <c r="BI202" i="1"/>
  <c r="BJ202" i="1"/>
  <c r="BL258" i="1"/>
  <c r="BL239" i="1"/>
  <c r="AW31" i="1"/>
  <c r="AW42" i="1"/>
  <c r="BA32" i="1"/>
  <c r="BP30" i="1"/>
  <c r="BP202" i="1"/>
  <c r="BS239" i="1"/>
  <c r="BQ202" i="1"/>
  <c r="BC197" i="1"/>
  <c r="AY25" i="1"/>
  <c r="AU30" i="1"/>
  <c r="AU41" i="1"/>
  <c r="BV182" i="1"/>
  <c r="BV143" i="1"/>
  <c r="BS41" i="1"/>
  <c r="BW25" i="1"/>
  <c r="BS30" i="1"/>
  <c r="BT26" i="1"/>
  <c r="BS202" i="1"/>
  <c r="BX202" i="1"/>
  <c r="BW197" i="1"/>
  <c r="BV198" i="1"/>
  <c r="BE30" i="1"/>
  <c r="BE32" i="1" s="1"/>
  <c r="BE202" i="1"/>
  <c r="BI25" i="1"/>
  <c r="BF26" i="1"/>
  <c r="BE25" i="1"/>
  <c r="BY118" i="1"/>
  <c r="BY116" i="1"/>
  <c r="BC30" i="1"/>
  <c r="BC25" i="1"/>
  <c r="AW197" i="1"/>
  <c r="BD116" i="1"/>
  <c r="BD117" i="1"/>
  <c r="BD118" i="1"/>
  <c r="BK239" i="1"/>
  <c r="T72" i="1"/>
  <c r="BL202" i="1"/>
  <c r="BH202" i="1"/>
  <c r="AZ42" i="1"/>
  <c r="BF41" i="1"/>
  <c r="BR30" i="1"/>
  <c r="BV32" i="1" s="1"/>
  <c r="BG216" i="1"/>
  <c r="AX239" i="1"/>
  <c r="BF239" i="1"/>
  <c r="AV202" i="1"/>
  <c r="BF202" i="1"/>
  <c r="BK117" i="1"/>
  <c r="BK116" i="1"/>
  <c r="BS25" i="1"/>
  <c r="BR26" i="1"/>
  <c r="BT202" i="1"/>
  <c r="AY26" i="1"/>
  <c r="BI239" i="1"/>
  <c r="BG26" i="1"/>
  <c r="AZ31" i="1"/>
  <c r="BW263" i="1"/>
  <c r="BH182" i="1"/>
  <c r="BP41" i="1"/>
  <c r="AR41" i="1"/>
  <c r="BW117" i="1"/>
  <c r="BI220" i="1"/>
  <c r="AI195" i="1"/>
  <c r="BZ25" i="1"/>
  <c r="BZ202" i="1"/>
  <c r="BY117" i="1"/>
  <c r="AZ118" i="1"/>
  <c r="BK202" i="1"/>
  <c r="BH239" i="1"/>
  <c r="AR239" i="1"/>
  <c r="S72" i="1"/>
  <c r="W72" i="1"/>
  <c r="AV239" i="1"/>
  <c r="AS41" i="1"/>
  <c r="AZ117" i="1"/>
  <c r="AS202" i="1"/>
  <c r="AN41" i="1"/>
  <c r="BU116" i="1"/>
  <c r="Q72" i="1"/>
  <c r="BE117" i="1"/>
  <c r="BV239" i="1"/>
  <c r="AP26" i="1"/>
  <c r="BV195" i="1"/>
  <c r="BA239" i="1"/>
  <c r="AZ202" i="1"/>
  <c r="AU25" i="1"/>
  <c r="AY239" i="1"/>
  <c r="AU202" i="1"/>
  <c r="BV200" i="1"/>
  <c r="BZ203" i="1" s="1"/>
  <c r="BP25" i="1"/>
  <c r="BJ26" i="1"/>
  <c r="BT41" i="1"/>
  <c r="BQ117" i="1"/>
  <c r="BQ118" i="1"/>
  <c r="BI41" i="1"/>
  <c r="AX41" i="1"/>
  <c r="AL116" i="1"/>
  <c r="AL117" i="1"/>
  <c r="BE116" i="1"/>
  <c r="AQ239" i="1"/>
  <c r="BH195" i="1"/>
  <c r="AQ117" i="1"/>
  <c r="BM202" i="1"/>
  <c r="BL118" i="1"/>
  <c r="BL116" i="1"/>
  <c r="BL117" i="1"/>
  <c r="BB26" i="1"/>
  <c r="BB202" i="1"/>
  <c r="R72" i="1"/>
  <c r="BD239" i="1"/>
  <c r="BB30" i="1"/>
  <c r="BN25" i="1"/>
  <c r="BN202" i="1"/>
  <c r="BN30" i="1"/>
  <c r="BN26" i="1"/>
  <c r="BR25" i="1"/>
  <c r="BR202" i="1"/>
  <c r="BZ117" i="1"/>
  <c r="BZ116" i="1"/>
  <c r="BZ118" i="1"/>
  <c r="AN116" i="1"/>
  <c r="AN117" i="1"/>
  <c r="AN118" i="1"/>
  <c r="BM118" i="1"/>
  <c r="BM116" i="1"/>
  <c r="BM117" i="1"/>
  <c r="AR116" i="1"/>
  <c r="AR117" i="1"/>
  <c r="AR118" i="1"/>
  <c r="U72" i="1"/>
  <c r="BE239" i="1"/>
  <c r="BQ239" i="1"/>
  <c r="BO26" i="1"/>
  <c r="AP202" i="1"/>
  <c r="AQ116" i="1"/>
  <c r="BB41" i="1"/>
  <c r="BX25" i="1"/>
  <c r="BU26" i="1"/>
  <c r="BT30" i="1"/>
  <c r="BY202" i="1"/>
  <c r="BW239" i="1"/>
  <c r="AX202" i="1"/>
  <c r="AX26" i="1"/>
  <c r="AX30" i="1"/>
  <c r="BB25" i="1"/>
  <c r="AZ239" i="1"/>
  <c r="BI148" i="1"/>
  <c r="AV116" i="1"/>
  <c r="AV118" i="1"/>
  <c r="AV117" i="1"/>
  <c r="AY116" i="1"/>
  <c r="AY117" i="1"/>
  <c r="AY118" i="1"/>
  <c r="AT239" i="1"/>
  <c r="P72" i="1"/>
  <c r="AQ30" i="1"/>
  <c r="AQ25" i="1"/>
  <c r="AR26" i="1"/>
  <c r="AX116" i="1"/>
  <c r="AX118" i="1"/>
  <c r="AX117" i="1"/>
  <c r="BH118" i="1"/>
  <c r="BH116" i="1"/>
  <c r="AX25" i="1"/>
  <c r="BV171" i="1"/>
  <c r="AR202" i="1"/>
  <c r="BC26" i="1"/>
  <c r="BP239" i="1"/>
  <c r="BC239" i="1"/>
  <c r="BO239" i="1"/>
  <c r="BB118" i="1"/>
  <c r="BB117" i="1"/>
  <c r="BB116" i="1"/>
  <c r="AO25" i="1"/>
  <c r="AS25" i="1"/>
  <c r="AO202" i="1"/>
  <c r="AO30" i="1"/>
  <c r="BH198" i="1"/>
  <c r="BI223" i="1"/>
  <c r="BH262" i="1"/>
  <c r="AO41" i="1"/>
  <c r="BX258" i="1"/>
  <c r="CA202" i="1"/>
  <c r="CB202" i="1"/>
  <c r="X72" i="1"/>
  <c r="BW30" i="1"/>
  <c r="BZ258" i="1"/>
  <c r="CA25" i="1"/>
  <c r="BW26" i="1"/>
  <c r="BY239" i="1"/>
  <c r="BZ239" i="1"/>
  <c r="BX26" i="1"/>
  <c r="BX239" i="1"/>
  <c r="AV41" i="1"/>
  <c r="AW202" i="1"/>
  <c r="AV30" i="1"/>
  <c r="AW26" i="1"/>
  <c r="BA202" i="1"/>
  <c r="AZ25" i="1"/>
  <c r="AN25" i="1"/>
  <c r="AO239" i="1"/>
  <c r="AN30" i="1"/>
  <c r="AN26" i="1"/>
  <c r="AN239" i="1"/>
  <c r="AO26" i="1"/>
  <c r="AR25" i="1"/>
  <c r="AS116" i="1"/>
  <c r="AS118" i="1"/>
  <c r="AS117" i="1"/>
  <c r="BH30" i="1"/>
  <c r="BL25" i="1"/>
  <c r="BI26" i="1"/>
  <c r="BT25" i="1"/>
  <c r="AV26" i="1"/>
  <c r="BN41" i="1"/>
  <c r="BI47" i="1"/>
  <c r="BC202" i="1"/>
  <c r="BI118" i="1"/>
  <c r="BB239" i="1"/>
  <c r="BO202" i="1"/>
  <c r="BI116" i="1"/>
  <c r="BN239" i="1"/>
  <c r="BA118" i="1"/>
  <c r="BA116" i="1"/>
  <c r="BA117" i="1"/>
  <c r="BG202" i="1"/>
  <c r="BG41" i="1"/>
  <c r="BJ239" i="1"/>
  <c r="BJ258" i="1"/>
  <c r="BH26" i="1"/>
  <c r="BG30" i="1"/>
  <c r="BW202" i="1"/>
  <c r="BV152" i="1"/>
  <c r="BW47" i="1"/>
  <c r="BW148" i="1"/>
  <c r="AP116" i="1"/>
  <c r="AP118" i="1"/>
  <c r="AP117" i="1"/>
  <c r="AW116" i="1"/>
  <c r="AW118" i="1"/>
  <c r="AW117" i="1"/>
  <c r="BF25" i="1"/>
  <c r="BV42" i="1"/>
  <c r="AO116" i="1"/>
  <c r="AO118" i="1"/>
  <c r="AO117" i="1"/>
  <c r="BW41" i="1"/>
  <c r="BD26" i="1"/>
  <c r="BG25" i="1"/>
  <c r="AN202" i="1"/>
  <c r="AV25" i="1"/>
  <c r="AQ41" i="1"/>
  <c r="BH200" i="1"/>
  <c r="BL203" i="1" s="1"/>
  <c r="H260" i="1"/>
  <c r="H258" i="1"/>
  <c r="BJ43" i="1"/>
  <c r="BJ48" i="1"/>
  <c r="BJ52" i="1" s="1"/>
  <c r="BJ246" i="1"/>
  <c r="BJ247" i="1" s="1"/>
  <c r="F198" i="1"/>
  <c r="CQ152" i="1"/>
  <c r="CR46" i="1"/>
  <c r="AE91" i="1"/>
  <c r="AB139" i="1"/>
  <c r="AB142" i="1" s="1"/>
  <c r="AB263" i="1" s="1"/>
  <c r="AD156" i="1"/>
  <c r="CZ79" i="1"/>
  <c r="DA77" i="1"/>
  <c r="C83" i="1" l="1"/>
  <c r="O219" i="1"/>
  <c r="P212" i="1"/>
  <c r="P213" i="1" s="1"/>
  <c r="U212" i="1"/>
  <c r="U213" i="1" s="1"/>
  <c r="M219" i="1"/>
  <c r="AR195" i="1"/>
  <c r="D219" i="1"/>
  <c r="J212" i="1"/>
  <c r="J213" i="1" s="1"/>
  <c r="D217" i="1"/>
  <c r="D215" i="1" s="1"/>
  <c r="AW216" i="1"/>
  <c r="BR263" i="1"/>
  <c r="AS47" i="1"/>
  <c r="AS148" i="1"/>
  <c r="AT47" i="1" s="1"/>
  <c r="B83" i="1"/>
  <c r="V179" i="1"/>
  <c r="V180" i="1" s="1"/>
  <c r="C179" i="1"/>
  <c r="C258" i="1" s="1"/>
  <c r="C219" i="1"/>
  <c r="S179" i="1"/>
  <c r="S180" i="1" s="1"/>
  <c r="C217" i="1"/>
  <c r="C215" i="1" s="1"/>
  <c r="T212" i="1"/>
  <c r="T213" i="1" s="1"/>
  <c r="T219" i="1"/>
  <c r="U219" i="1"/>
  <c r="L260" i="1"/>
  <c r="L179" i="1"/>
  <c r="L180" i="1" s="1"/>
  <c r="T179" i="1"/>
  <c r="T180" i="1" s="1"/>
  <c r="H219" i="1"/>
  <c r="I219" i="1"/>
  <c r="L217" i="1"/>
  <c r="L215" i="1" s="1"/>
  <c r="K212" i="1"/>
  <c r="K213" i="1" s="1"/>
  <c r="V219" i="1"/>
  <c r="F219" i="1"/>
  <c r="B179" i="1"/>
  <c r="R180" i="1"/>
  <c r="S217" i="1"/>
  <c r="S215" i="1" s="1"/>
  <c r="S258" i="1"/>
  <c r="T217" i="1"/>
  <c r="T215" i="1" s="1"/>
  <c r="F195" i="1"/>
  <c r="F200" i="1"/>
  <c r="S195" i="1"/>
  <c r="S200" i="1"/>
  <c r="S219" i="1"/>
  <c r="G219" i="1"/>
  <c r="D212" i="1"/>
  <c r="D213" i="1" s="1"/>
  <c r="K219" i="1"/>
  <c r="D125" i="1"/>
  <c r="D128" i="1" s="1"/>
  <c r="E212" i="1"/>
  <c r="E213" i="1" s="1"/>
  <c r="P179" i="1"/>
  <c r="P180" i="1" s="1"/>
  <c r="S212" i="1"/>
  <c r="S213" i="1" s="1"/>
  <c r="H180" i="1"/>
  <c r="R219" i="1"/>
  <c r="N179" i="1"/>
  <c r="N180" i="1" s="1"/>
  <c r="F212" i="1"/>
  <c r="F213" i="1" s="1"/>
  <c r="G212" i="1"/>
  <c r="G213" i="1" s="1"/>
  <c r="U179" i="1"/>
  <c r="U180" i="1" s="1"/>
  <c r="W217" i="1"/>
  <c r="W215" i="1" s="1"/>
  <c r="N260" i="1"/>
  <c r="N258" i="1"/>
  <c r="K217" i="1"/>
  <c r="K215" i="1" s="1"/>
  <c r="J179" i="1"/>
  <c r="J180" i="1" s="1"/>
  <c r="J260" i="1"/>
  <c r="J258" i="1"/>
  <c r="U260" i="1"/>
  <c r="U217" i="1"/>
  <c r="U215" i="1" s="1"/>
  <c r="U258" i="1"/>
  <c r="P258" i="1"/>
  <c r="P260" i="1"/>
  <c r="BV216" i="1"/>
  <c r="BU216" i="1"/>
  <c r="D179" i="1"/>
  <c r="J219" i="1"/>
  <c r="H212" i="1"/>
  <c r="H213" i="1" s="1"/>
  <c r="I179" i="1"/>
  <c r="I180" i="1" s="1"/>
  <c r="Q212" i="1"/>
  <c r="Q213" i="1" s="1"/>
  <c r="L219" i="1"/>
  <c r="E179" i="1"/>
  <c r="E180" i="1" s="1"/>
  <c r="G179" i="1"/>
  <c r="G180" i="1" s="1"/>
  <c r="V212" i="1"/>
  <c r="V213" i="1" s="1"/>
  <c r="G217" i="1"/>
  <c r="G215" i="1" s="1"/>
  <c r="G258" i="1"/>
  <c r="G260" i="1"/>
  <c r="H217" i="1"/>
  <c r="H215" i="1" s="1"/>
  <c r="I217" i="1"/>
  <c r="I215" i="1" s="1"/>
  <c r="I258" i="1"/>
  <c r="I260" i="1"/>
  <c r="J217" i="1"/>
  <c r="J215" i="1" s="1"/>
  <c r="E258" i="1"/>
  <c r="E260" i="1"/>
  <c r="F217" i="1"/>
  <c r="F215" i="1" s="1"/>
  <c r="B124" i="1"/>
  <c r="B127" i="1" s="1"/>
  <c r="B125" i="1"/>
  <c r="B128" i="1" s="1"/>
  <c r="C124" i="1"/>
  <c r="C127" i="1" s="1"/>
  <c r="C125" i="1"/>
  <c r="C128" i="1" s="1"/>
  <c r="N217" i="1"/>
  <c r="N215" i="1" s="1"/>
  <c r="M217" i="1"/>
  <c r="M215" i="1" s="1"/>
  <c r="M258" i="1"/>
  <c r="M260" i="1"/>
  <c r="K179" i="1"/>
  <c r="K180" i="1" s="1"/>
  <c r="E217" i="1"/>
  <c r="E215" i="1" s="1"/>
  <c r="L195" i="1"/>
  <c r="L200" i="1"/>
  <c r="C212" i="1"/>
  <c r="C213" i="1" s="1"/>
  <c r="H195" i="1"/>
  <c r="H200" i="1"/>
  <c r="D198" i="1"/>
  <c r="D200" i="1"/>
  <c r="Q219" i="1"/>
  <c r="I212" i="1"/>
  <c r="I213" i="1" s="1"/>
  <c r="Q179" i="1"/>
  <c r="Q180" i="1" s="1"/>
  <c r="R212" i="1"/>
  <c r="R213" i="1" s="1"/>
  <c r="M212" i="1"/>
  <c r="M213" i="1" s="1"/>
  <c r="N212" i="1"/>
  <c r="N213" i="1" s="1"/>
  <c r="M179" i="1"/>
  <c r="M180" i="1" s="1"/>
  <c r="D83" i="1"/>
  <c r="D84" i="1" s="1"/>
  <c r="D82" i="1"/>
  <c r="B200" i="1"/>
  <c r="B195" i="1"/>
  <c r="AR216" i="1"/>
  <c r="AQ216" i="1"/>
  <c r="O212" i="1"/>
  <c r="O213" i="1" s="1"/>
  <c r="BB182" i="1"/>
  <c r="J198" i="1"/>
  <c r="J200" i="1"/>
  <c r="L212" i="1"/>
  <c r="L213" i="1" s="1"/>
  <c r="AV182" i="1"/>
  <c r="P219" i="1"/>
  <c r="K258" i="1"/>
  <c r="K260" i="1"/>
  <c r="C198" i="1"/>
  <c r="C200" i="1"/>
  <c r="BS47" i="1"/>
  <c r="BS148" i="1"/>
  <c r="BR152" i="1"/>
  <c r="V217" i="1"/>
  <c r="V215" i="1" s="1"/>
  <c r="V258" i="1"/>
  <c r="V260" i="1"/>
  <c r="AQ263" i="1"/>
  <c r="AN106" i="1"/>
  <c r="AN109" i="1" s="1"/>
  <c r="AN262" i="1"/>
  <c r="P200" i="1"/>
  <c r="P195" i="1"/>
  <c r="O179" i="1"/>
  <c r="O180" i="1" s="1"/>
  <c r="AV263" i="1"/>
  <c r="Q260" i="1"/>
  <c r="Q258" i="1"/>
  <c r="Q217" i="1"/>
  <c r="Q215" i="1" s="1"/>
  <c r="O260" i="1"/>
  <c r="P217" i="1"/>
  <c r="P215" i="1" s="1"/>
  <c r="P227" i="1" s="1"/>
  <c r="AR220" i="1"/>
  <c r="AR263" i="1"/>
  <c r="AO148" i="1"/>
  <c r="AO47" i="1"/>
  <c r="AN152" i="1"/>
  <c r="AN260" i="1" s="1"/>
  <c r="BC47" i="1"/>
  <c r="BB152" i="1"/>
  <c r="BC148" i="1"/>
  <c r="Q200" i="1"/>
  <c r="Q198" i="1"/>
  <c r="AV220" i="1"/>
  <c r="BT143" i="1"/>
  <c r="I198" i="1"/>
  <c r="I200" i="1"/>
  <c r="K198" i="1"/>
  <c r="K200" i="1"/>
  <c r="E198" i="1"/>
  <c r="E200" i="1"/>
  <c r="U198" i="1"/>
  <c r="U200" i="1"/>
  <c r="V198" i="1"/>
  <c r="V200" i="1"/>
  <c r="BN182" i="1"/>
  <c r="BN143" i="1"/>
  <c r="BC220" i="1"/>
  <c r="BC263" i="1"/>
  <c r="T200" i="1"/>
  <c r="T195" i="1"/>
  <c r="O217" i="1"/>
  <c r="O215" i="1" s="1"/>
  <c r="O258" i="1"/>
  <c r="N200" i="1"/>
  <c r="N195" i="1"/>
  <c r="G200" i="1"/>
  <c r="G198" i="1"/>
  <c r="O200" i="1"/>
  <c r="O198" i="1"/>
  <c r="BB143" i="1"/>
  <c r="AT262" i="1"/>
  <c r="AS220" i="1"/>
  <c r="AS263" i="1"/>
  <c r="AR182" i="1"/>
  <c r="AS51" i="1" s="1"/>
  <c r="AR143" i="1"/>
  <c r="AR106" i="1"/>
  <c r="AR260" i="1"/>
  <c r="AX106" i="1"/>
  <c r="AX262" i="1"/>
  <c r="BU47" i="1"/>
  <c r="BT152" i="1"/>
  <c r="BU148" i="1"/>
  <c r="BG148" i="1"/>
  <c r="BG47" i="1"/>
  <c r="BF152" i="1"/>
  <c r="AW47" i="1"/>
  <c r="AV152" i="1"/>
  <c r="AW148" i="1"/>
  <c r="BE47" i="1"/>
  <c r="BE148" i="1"/>
  <c r="BD152" i="1"/>
  <c r="AQ148" i="1"/>
  <c r="AP152" i="1"/>
  <c r="AQ47" i="1"/>
  <c r="R200" i="1"/>
  <c r="R198" i="1"/>
  <c r="AT196" i="1"/>
  <c r="AT171" i="1"/>
  <c r="BB109" i="1"/>
  <c r="BB110" i="1"/>
  <c r="BB108" i="1"/>
  <c r="AO263" i="1"/>
  <c r="AO220" i="1"/>
  <c r="AN263" i="1"/>
  <c r="AN220" i="1"/>
  <c r="AN143" i="1"/>
  <c r="AN182" i="1"/>
  <c r="BN152" i="1"/>
  <c r="BO148" i="1"/>
  <c r="BO47" i="1"/>
  <c r="AY148" i="1"/>
  <c r="AX152" i="1"/>
  <c r="AY47" i="1"/>
  <c r="AR199" i="1"/>
  <c r="AR171" i="1"/>
  <c r="AR179" i="1" s="1"/>
  <c r="BN262" i="1"/>
  <c r="BN106" i="1"/>
  <c r="BF220" i="1"/>
  <c r="BF182" i="1"/>
  <c r="BP263" i="1"/>
  <c r="BP220" i="1"/>
  <c r="BP182" i="1"/>
  <c r="BR143" i="1"/>
  <c r="BS263" i="1"/>
  <c r="BS220" i="1"/>
  <c r="BR182" i="1"/>
  <c r="BA148" i="1"/>
  <c r="BA47" i="1"/>
  <c r="AZ152" i="1"/>
  <c r="BQ47" i="1"/>
  <c r="BP152" i="1"/>
  <c r="BQ148" i="1"/>
  <c r="BC223" i="1"/>
  <c r="BB262" i="1"/>
  <c r="AR262" i="1"/>
  <c r="AR258" i="1"/>
  <c r="AX220" i="1"/>
  <c r="AX182" i="1"/>
  <c r="AX143" i="1"/>
  <c r="AX263" i="1"/>
  <c r="BO216" i="1"/>
  <c r="BP216" i="1"/>
  <c r="AT152" i="1"/>
  <c r="AU47" i="1"/>
  <c r="AU148" i="1"/>
  <c r="BD106" i="1"/>
  <c r="BD262" i="1"/>
  <c r="BO220" i="1"/>
  <c r="BO263" i="1"/>
  <c r="BN263" i="1"/>
  <c r="BN220" i="1"/>
  <c r="AW263" i="1"/>
  <c r="AW220" i="1"/>
  <c r="AN196" i="1"/>
  <c r="AN171" i="1"/>
  <c r="BT216" i="1"/>
  <c r="BS216" i="1"/>
  <c r="BV263" i="1"/>
  <c r="BU263" i="1"/>
  <c r="BU220" i="1"/>
  <c r="BV220" i="1"/>
  <c r="BT182" i="1"/>
  <c r="BT263" i="1"/>
  <c r="BT220" i="1"/>
  <c r="AP216" i="1"/>
  <c r="AO216" i="1"/>
  <c r="M200" i="1"/>
  <c r="M198" i="1"/>
  <c r="AZ182" i="1"/>
  <c r="AZ263" i="1"/>
  <c r="AZ143" i="1"/>
  <c r="AZ220" i="1"/>
  <c r="AN198" i="1"/>
  <c r="AT143" i="1"/>
  <c r="AT263" i="1"/>
  <c r="AT220" i="1"/>
  <c r="AT182" i="1"/>
  <c r="BD220" i="1"/>
  <c r="BD143" i="1"/>
  <c r="BE263" i="1"/>
  <c r="BE220" i="1"/>
  <c r="BD182" i="1"/>
  <c r="BD263" i="1"/>
  <c r="AV106" i="1"/>
  <c r="AV262" i="1"/>
  <c r="AQ220" i="1"/>
  <c r="AP220" i="1"/>
  <c r="AP263" i="1"/>
  <c r="BG263" i="1"/>
  <c r="BH263" i="1"/>
  <c r="BB220" i="1"/>
  <c r="BA263" i="1"/>
  <c r="BB263" i="1"/>
  <c r="BA220" i="1"/>
  <c r="AU220" i="1"/>
  <c r="AU263" i="1"/>
  <c r="BP200" i="1"/>
  <c r="BP203" i="1" s="1"/>
  <c r="BR220" i="1"/>
  <c r="AY220" i="1"/>
  <c r="AY263" i="1"/>
  <c r="AQ223" i="1"/>
  <c r="AP262" i="1"/>
  <c r="AZ106" i="1"/>
  <c r="AZ262" i="1"/>
  <c r="BS223" i="1"/>
  <c r="BR262" i="1"/>
  <c r="BT106" i="1"/>
  <c r="BT262" i="1"/>
  <c r="BF263" i="1"/>
  <c r="BF143" i="1"/>
  <c r="AP182" i="1"/>
  <c r="AP143" i="1"/>
  <c r="AP109" i="1"/>
  <c r="AP108" i="1"/>
  <c r="AP110" i="1"/>
  <c r="AP199" i="1"/>
  <c r="AP171" i="1"/>
  <c r="BF106" i="1"/>
  <c r="BF262" i="1"/>
  <c r="BP110" i="1"/>
  <c r="AV143" i="1"/>
  <c r="BQ263" i="1"/>
  <c r="BP262" i="1"/>
  <c r="BP143" i="1"/>
  <c r="BP171" i="1"/>
  <c r="BG220" i="1"/>
  <c r="BQ220" i="1"/>
  <c r="BP109" i="1"/>
  <c r="AV196" i="1"/>
  <c r="AV200" i="1" s="1"/>
  <c r="AV171" i="1"/>
  <c r="BH180" i="1"/>
  <c r="BB196" i="1"/>
  <c r="BB171" i="1"/>
  <c r="BD196" i="1"/>
  <c r="BD171" i="1"/>
  <c r="AX196" i="1"/>
  <c r="AX171" i="1"/>
  <c r="BF196" i="1"/>
  <c r="BF171" i="1"/>
  <c r="BT196" i="1"/>
  <c r="BT171" i="1"/>
  <c r="BR196" i="1"/>
  <c r="BR200" i="1" s="1"/>
  <c r="BV203" i="1" s="1"/>
  <c r="BR171" i="1"/>
  <c r="BN196" i="1"/>
  <c r="BN171" i="1"/>
  <c r="AZ196" i="1"/>
  <c r="AZ171" i="1"/>
  <c r="C101" i="1"/>
  <c r="C99" i="1"/>
  <c r="C100" i="1"/>
  <c r="B103" i="1"/>
  <c r="B100" i="1"/>
  <c r="BV110" i="1"/>
  <c r="BV109" i="1"/>
  <c r="BV108" i="1"/>
  <c r="BA264" i="1"/>
  <c r="AP33" i="1"/>
  <c r="BL33" i="1"/>
  <c r="BK31" i="1"/>
  <c r="BK42" i="1"/>
  <c r="BK33" i="1"/>
  <c r="AM68" i="1"/>
  <c r="AM221" i="1"/>
  <c r="AM219" i="1" s="1"/>
  <c r="AM69" i="1"/>
  <c r="AM106" i="1"/>
  <c r="AM100" i="1"/>
  <c r="AM99" i="1"/>
  <c r="AM101" i="1"/>
  <c r="AY42" i="1"/>
  <c r="AY31" i="1"/>
  <c r="AZ33" i="1"/>
  <c r="AT32" i="1"/>
  <c r="AP42" i="1"/>
  <c r="AP32" i="1"/>
  <c r="AP31" i="1"/>
  <c r="BQ31" i="1"/>
  <c r="BU32" i="1"/>
  <c r="BU42" i="1"/>
  <c r="BV33" i="1"/>
  <c r="BY32" i="1"/>
  <c r="BU31" i="1"/>
  <c r="BQ48" i="1"/>
  <c r="BQ52" i="1" s="1"/>
  <c r="BQ43" i="1"/>
  <c r="BQ246" i="1"/>
  <c r="BQ247" i="1" s="1"/>
  <c r="AS31" i="1"/>
  <c r="AS42" i="1"/>
  <c r="AS45" i="1" s="1"/>
  <c r="AT33" i="1"/>
  <c r="AW32" i="1"/>
  <c r="AR31" i="1"/>
  <c r="AS33" i="1"/>
  <c r="BI32" i="1"/>
  <c r="BI31" i="1"/>
  <c r="BM32" i="1"/>
  <c r="BI42" i="1"/>
  <c r="BJ33" i="1"/>
  <c r="BP42" i="1"/>
  <c r="BP32" i="1"/>
  <c r="BP31" i="1"/>
  <c r="BQ33" i="1"/>
  <c r="BN198" i="1"/>
  <c r="BM31" i="1"/>
  <c r="BQ32" i="1"/>
  <c r="BM42" i="1"/>
  <c r="BM33" i="1"/>
  <c r="BF31" i="1"/>
  <c r="BJ32" i="1"/>
  <c r="BE33" i="1"/>
  <c r="BS33" i="1"/>
  <c r="BD31" i="1"/>
  <c r="BD42" i="1"/>
  <c r="BD44" i="1" s="1"/>
  <c r="BD32" i="1"/>
  <c r="BE42" i="1"/>
  <c r="BE31" i="1"/>
  <c r="BF33" i="1"/>
  <c r="BC33" i="1"/>
  <c r="BT33" i="1"/>
  <c r="AU32" i="1"/>
  <c r="BW32" i="1"/>
  <c r="Q73" i="1"/>
  <c r="BF43" i="1"/>
  <c r="BF48" i="1"/>
  <c r="BF52" i="1" s="1"/>
  <c r="BF246" i="1"/>
  <c r="BF247" i="1" s="1"/>
  <c r="BO42" i="1"/>
  <c r="V73" i="1"/>
  <c r="BP33" i="1"/>
  <c r="BS32" i="1"/>
  <c r="BO32" i="1"/>
  <c r="BO31" i="1"/>
  <c r="AT48" i="1"/>
  <c r="AT52" i="1" s="1"/>
  <c r="AT43" i="1"/>
  <c r="AT246" i="1"/>
  <c r="AT247" i="1" s="1"/>
  <c r="AJ33" i="1"/>
  <c r="AI31" i="1"/>
  <c r="AM32" i="1"/>
  <c r="AI42" i="1"/>
  <c r="N73" i="1"/>
  <c r="BA43" i="1"/>
  <c r="BA246" i="1"/>
  <c r="BA247" i="1" s="1"/>
  <c r="BA48" i="1"/>
  <c r="BA52" i="1" s="1"/>
  <c r="BA44" i="1"/>
  <c r="AW246" i="1"/>
  <c r="AW247" i="1" s="1"/>
  <c r="AW43" i="1"/>
  <c r="AW48" i="1"/>
  <c r="AW52" i="1" s="1"/>
  <c r="AU33" i="1"/>
  <c r="AV33" i="1"/>
  <c r="AU42" i="1"/>
  <c r="AY32" i="1"/>
  <c r="AU31" i="1"/>
  <c r="BV123" i="1"/>
  <c r="BW51" i="1"/>
  <c r="BS42" i="1"/>
  <c r="BS31" i="1"/>
  <c r="BD33" i="1"/>
  <c r="S73" i="1"/>
  <c r="BC42" i="1"/>
  <c r="BC31" i="1"/>
  <c r="BC32" i="1"/>
  <c r="BA45" i="1"/>
  <c r="BH123" i="1"/>
  <c r="BI51" i="1"/>
  <c r="BR42" i="1"/>
  <c r="BR33" i="1"/>
  <c r="BR31" i="1"/>
  <c r="AZ43" i="1"/>
  <c r="AZ246" i="1"/>
  <c r="AZ247" i="1" s="1"/>
  <c r="AZ48" i="1"/>
  <c r="AZ52" i="1" s="1"/>
  <c r="AQ33" i="1"/>
  <c r="BH42" i="1"/>
  <c r="BH31" i="1"/>
  <c r="BL32" i="1"/>
  <c r="BH32" i="1"/>
  <c r="BB32" i="1"/>
  <c r="AX33" i="1"/>
  <c r="AX31" i="1"/>
  <c r="AX32" i="1"/>
  <c r="AX42" i="1"/>
  <c r="AT109" i="1"/>
  <c r="AT110" i="1"/>
  <c r="AT108" i="1"/>
  <c r="BN32" i="1"/>
  <c r="BR32" i="1"/>
  <c r="BN42" i="1"/>
  <c r="U73" i="1"/>
  <c r="BN31" i="1"/>
  <c r="BN33" i="1"/>
  <c r="AR246" i="1"/>
  <c r="AR247" i="1" s="1"/>
  <c r="BO33" i="1"/>
  <c r="BG33" i="1"/>
  <c r="BG32" i="1"/>
  <c r="BG31" i="1"/>
  <c r="BH33" i="1"/>
  <c r="BK32" i="1"/>
  <c r="T73" i="1"/>
  <c r="BG42" i="1"/>
  <c r="AN42" i="1"/>
  <c r="AO33" i="1"/>
  <c r="AN32" i="1"/>
  <c r="AR32" i="1"/>
  <c r="AN33" i="1"/>
  <c r="AN31" i="1"/>
  <c r="AV42" i="1"/>
  <c r="AV31" i="1"/>
  <c r="AW33" i="1"/>
  <c r="AV32" i="1"/>
  <c r="AZ32" i="1"/>
  <c r="BW33" i="1"/>
  <c r="BW31" i="1"/>
  <c r="X73" i="1"/>
  <c r="CA32" i="1"/>
  <c r="BX33" i="1"/>
  <c r="BW42" i="1"/>
  <c r="BU33" i="1"/>
  <c r="BT42" i="1"/>
  <c r="BX32" i="1"/>
  <c r="BT31" i="1"/>
  <c r="BT32" i="1"/>
  <c r="BV48" i="1"/>
  <c r="BV52" i="1" s="1"/>
  <c r="BZ44" i="1"/>
  <c r="BV43" i="1"/>
  <c r="BV246" i="1"/>
  <c r="BV247" i="1" s="1"/>
  <c r="BW152" i="1"/>
  <c r="BX47" i="1"/>
  <c r="AR48" i="1"/>
  <c r="AR52" i="1" s="1"/>
  <c r="AY33" i="1"/>
  <c r="BI33" i="1"/>
  <c r="BV258" i="1"/>
  <c r="BV260" i="1"/>
  <c r="BR110" i="1"/>
  <c r="BR108" i="1"/>
  <c r="BR109" i="1"/>
  <c r="AO32" i="1"/>
  <c r="AO42" i="1"/>
  <c r="AO31" i="1"/>
  <c r="AS32" i="1"/>
  <c r="BH260" i="1"/>
  <c r="BH258" i="1"/>
  <c r="O73" i="1"/>
  <c r="BV179" i="1"/>
  <c r="BV180" i="1" s="1"/>
  <c r="AQ42" i="1"/>
  <c r="P73" i="1"/>
  <c r="AQ32" i="1"/>
  <c r="AQ31" i="1"/>
  <c r="AR33" i="1"/>
  <c r="BJ47" i="1"/>
  <c r="BI152" i="1"/>
  <c r="BJ217" i="1" s="1"/>
  <c r="BJ215" i="1" s="1"/>
  <c r="BB31" i="1"/>
  <c r="R73" i="1"/>
  <c r="BB42" i="1"/>
  <c r="BF32" i="1"/>
  <c r="BB33" i="1"/>
  <c r="BJ55" i="1"/>
  <c r="BJ54" i="1"/>
  <c r="CR208" i="1"/>
  <c r="CR146" i="1"/>
  <c r="CQ217" i="1"/>
  <c r="CQ215" i="1" s="1"/>
  <c r="AB220" i="1"/>
  <c r="DB77" i="1"/>
  <c r="DB79" i="1" s="1"/>
  <c r="DA79" i="1"/>
  <c r="AS152" i="1" l="1"/>
  <c r="B101" i="1"/>
  <c r="B99" i="1"/>
  <c r="J227" i="1"/>
  <c r="C84" i="1"/>
  <c r="C180" i="1"/>
  <c r="V203" i="1"/>
  <c r="V204" i="1" s="1"/>
  <c r="K227" i="1"/>
  <c r="B258" i="1"/>
  <c r="B180" i="1"/>
  <c r="T227" i="1"/>
  <c r="T224" i="1"/>
  <c r="T225" i="1" s="1"/>
  <c r="S224" i="1"/>
  <c r="S225" i="1" s="1"/>
  <c r="S227" i="1"/>
  <c r="I227" i="1"/>
  <c r="M227" i="1"/>
  <c r="N227" i="1"/>
  <c r="K224" i="1"/>
  <c r="K225" i="1" s="1"/>
  <c r="Q227" i="1"/>
  <c r="U227" i="1"/>
  <c r="U224" i="1"/>
  <c r="U225" i="1" s="1"/>
  <c r="H224" i="1"/>
  <c r="H225" i="1" s="1"/>
  <c r="Q224" i="1"/>
  <c r="Q225" i="1" s="1"/>
  <c r="P224" i="1"/>
  <c r="P225" i="1" s="1"/>
  <c r="D224" i="1"/>
  <c r="D225" i="1" s="1"/>
  <c r="D227" i="1"/>
  <c r="D258" i="1"/>
  <c r="D180" i="1"/>
  <c r="J224" i="1"/>
  <c r="J225" i="1" s="1"/>
  <c r="H227" i="1"/>
  <c r="I224" i="1"/>
  <c r="I225" i="1" s="1"/>
  <c r="N224" i="1"/>
  <c r="N225" i="1" s="1"/>
  <c r="M224" i="1"/>
  <c r="M225" i="1" s="1"/>
  <c r="I203" i="1"/>
  <c r="I204" i="1" s="1"/>
  <c r="G224" i="1"/>
  <c r="G225" i="1" s="1"/>
  <c r="G227" i="1"/>
  <c r="F227" i="1"/>
  <c r="F224" i="1"/>
  <c r="F225" i="1" s="1"/>
  <c r="E224" i="1"/>
  <c r="E225" i="1" s="1"/>
  <c r="E227" i="1"/>
  <c r="C224" i="1"/>
  <c r="C225" i="1" s="1"/>
  <c r="C227" i="1"/>
  <c r="AW51" i="1"/>
  <c r="AV123" i="1"/>
  <c r="BS152" i="1"/>
  <c r="BT47" i="1"/>
  <c r="BR260" i="1"/>
  <c r="BR258" i="1"/>
  <c r="V224" i="1"/>
  <c r="V225" i="1" s="1"/>
  <c r="V227" i="1"/>
  <c r="AP47" i="1"/>
  <c r="AO152" i="1"/>
  <c r="AN108" i="1"/>
  <c r="AN110" i="1"/>
  <c r="O227" i="1"/>
  <c r="J203" i="1"/>
  <c r="J204" i="1" s="1"/>
  <c r="Q203" i="1"/>
  <c r="Q204" i="1" s="1"/>
  <c r="O224" i="1"/>
  <c r="O225" i="1" s="1"/>
  <c r="BR179" i="1"/>
  <c r="BR180" i="1" s="1"/>
  <c r="R224" i="1"/>
  <c r="R225" i="1" s="1"/>
  <c r="R227" i="1"/>
  <c r="BB123" i="1"/>
  <c r="BC51" i="1"/>
  <c r="L227" i="1"/>
  <c r="L224" i="1"/>
  <c r="L225" i="1" s="1"/>
  <c r="D99" i="1"/>
  <c r="D100" i="1"/>
  <c r="D101" i="1"/>
  <c r="C103" i="1"/>
  <c r="AR180" i="1"/>
  <c r="AN179" i="1"/>
  <c r="AN180" i="1" s="1"/>
  <c r="BP179" i="1"/>
  <c r="BP180" i="1" s="1"/>
  <c r="BA265" i="1"/>
  <c r="BN123" i="1"/>
  <c r="BO51" i="1"/>
  <c r="AZ47" i="1"/>
  <c r="AY152" i="1"/>
  <c r="L203" i="1"/>
  <c r="L204" i="1" s="1"/>
  <c r="K203" i="1"/>
  <c r="K204" i="1" s="1"/>
  <c r="E203" i="1"/>
  <c r="E204" i="1" s="1"/>
  <c r="F203" i="1"/>
  <c r="F204" i="1" s="1"/>
  <c r="H203" i="1"/>
  <c r="H204" i="1" s="1"/>
  <c r="G203" i="1"/>
  <c r="G204" i="1" s="1"/>
  <c r="BN217" i="1"/>
  <c r="BN215" i="1" s="1"/>
  <c r="BN260" i="1"/>
  <c r="BN258" i="1"/>
  <c r="BN110" i="1"/>
  <c r="BN109" i="1"/>
  <c r="BN108" i="1"/>
  <c r="BP123" i="1"/>
  <c r="BQ51" i="1"/>
  <c r="C203" i="1"/>
  <c r="C204" i="1" s="1"/>
  <c r="D203" i="1"/>
  <c r="D204" i="1" s="1"/>
  <c r="BB179" i="1"/>
  <c r="BB180" i="1" s="1"/>
  <c r="BF179" i="1"/>
  <c r="BF180" i="1" s="1"/>
  <c r="BT179" i="1"/>
  <c r="BT180" i="1" s="1"/>
  <c r="BF260" i="1"/>
  <c r="BF258" i="1"/>
  <c r="AP260" i="1"/>
  <c r="AP258" i="1"/>
  <c r="BG51" i="1"/>
  <c r="BF123" i="1"/>
  <c r="BD47" i="1"/>
  <c r="BC152" i="1"/>
  <c r="BN179" i="1"/>
  <c r="BN180" i="1" s="1"/>
  <c r="AZ179" i="1"/>
  <c r="AZ180" i="1" s="1"/>
  <c r="AN258" i="1"/>
  <c r="AN217" i="1"/>
  <c r="AN215" i="1" s="1"/>
  <c r="BT260" i="1"/>
  <c r="BT258" i="1"/>
  <c r="AW152" i="1"/>
  <c r="AX47" i="1"/>
  <c r="BS51" i="1"/>
  <c r="BR123" i="1"/>
  <c r="BA152" i="1"/>
  <c r="BB47" i="1"/>
  <c r="AZ258" i="1"/>
  <c r="AZ260" i="1"/>
  <c r="BR47" i="1"/>
  <c r="BQ152" i="1"/>
  <c r="AN195" i="1"/>
  <c r="AN200" i="1"/>
  <c r="BB260" i="1"/>
  <c r="BB258" i="1"/>
  <c r="BG152" i="1"/>
  <c r="BH47" i="1"/>
  <c r="AV258" i="1"/>
  <c r="AV260" i="1"/>
  <c r="BE152" i="1"/>
  <c r="BF47" i="1"/>
  <c r="BD258" i="1"/>
  <c r="BD260" i="1"/>
  <c r="S203" i="1"/>
  <c r="S204" i="1" s="1"/>
  <c r="R203" i="1"/>
  <c r="R204" i="1" s="1"/>
  <c r="AX260" i="1"/>
  <c r="AX258" i="1"/>
  <c r="AU51" i="1"/>
  <c r="AT123" i="1"/>
  <c r="AP179" i="1"/>
  <c r="AP180" i="1" s="1"/>
  <c r="BD179" i="1"/>
  <c r="BD180" i="1" s="1"/>
  <c r="AR108" i="1"/>
  <c r="AR110" i="1"/>
  <c r="AR109" i="1"/>
  <c r="AX110" i="1"/>
  <c r="AX109" i="1"/>
  <c r="AX108" i="1"/>
  <c r="BV47" i="1"/>
  <c r="BU152" i="1"/>
  <c r="AQ152" i="1"/>
  <c r="AR47" i="1"/>
  <c r="AT200" i="1"/>
  <c r="AT195" i="1"/>
  <c r="AO51" i="1"/>
  <c r="AN123" i="1"/>
  <c r="AR200" i="1"/>
  <c r="AR198" i="1"/>
  <c r="AV47" i="1"/>
  <c r="AU152" i="1"/>
  <c r="BD109" i="1"/>
  <c r="BD108" i="1"/>
  <c r="BD110" i="1"/>
  <c r="BU51" i="1"/>
  <c r="BT123" i="1"/>
  <c r="BE51" i="1"/>
  <c r="BD123" i="1"/>
  <c r="AV110" i="1"/>
  <c r="AV108" i="1"/>
  <c r="AV109" i="1"/>
  <c r="T203" i="1"/>
  <c r="T204" i="1" s="1"/>
  <c r="U203" i="1"/>
  <c r="U204" i="1" s="1"/>
  <c r="P203" i="1"/>
  <c r="P204" i="1" s="1"/>
  <c r="O203" i="1"/>
  <c r="O204" i="1" s="1"/>
  <c r="AV179" i="1"/>
  <c r="AV180" i="1" s="1"/>
  <c r="AX179" i="1"/>
  <c r="AX180" i="1" s="1"/>
  <c r="BP47" i="1"/>
  <c r="BO152" i="1"/>
  <c r="BP260" i="1"/>
  <c r="BP258" i="1"/>
  <c r="AY51" i="1"/>
  <c r="AX123" i="1"/>
  <c r="AT179" i="1"/>
  <c r="AT180" i="1" s="1"/>
  <c r="AT260" i="1"/>
  <c r="AT258" i="1"/>
  <c r="AP123" i="1"/>
  <c r="AQ51" i="1"/>
  <c r="AZ123" i="1"/>
  <c r="BA51" i="1"/>
  <c r="M203" i="1"/>
  <c r="M204" i="1" s="1"/>
  <c r="N203" i="1"/>
  <c r="N204" i="1" s="1"/>
  <c r="AZ109" i="1"/>
  <c r="AZ110" i="1"/>
  <c r="AZ108" i="1"/>
  <c r="AP200" i="1"/>
  <c r="AP203" i="1" s="1"/>
  <c r="AP198" i="1"/>
  <c r="AX195" i="1"/>
  <c r="AX200" i="1"/>
  <c r="BF195" i="1"/>
  <c r="BF200" i="1"/>
  <c r="BJ203" i="1" s="1"/>
  <c r="BT110" i="1"/>
  <c r="BT109" i="1"/>
  <c r="BT108" i="1"/>
  <c r="BF109" i="1"/>
  <c r="BF110" i="1"/>
  <c r="BF108" i="1"/>
  <c r="AV195" i="1"/>
  <c r="BR195" i="1"/>
  <c r="BN195" i="1"/>
  <c r="BN200" i="1"/>
  <c r="BB200" i="1"/>
  <c r="BB195" i="1"/>
  <c r="BD195" i="1"/>
  <c r="BD200" i="1"/>
  <c r="BT200" i="1"/>
  <c r="BT195" i="1"/>
  <c r="BX217" i="1"/>
  <c r="BX215" i="1" s="1"/>
  <c r="BW217" i="1"/>
  <c r="BW215" i="1" s="1"/>
  <c r="AZ200" i="1"/>
  <c r="AZ203" i="1" s="1"/>
  <c r="AZ195" i="1"/>
  <c r="BA240" i="1"/>
  <c r="BL126" i="1"/>
  <c r="AQ264" i="1"/>
  <c r="AQ265" i="1" s="1"/>
  <c r="AT44" i="1"/>
  <c r="AQ45" i="1"/>
  <c r="BS240" i="1"/>
  <c r="BO44" i="1"/>
  <c r="BK44" i="1"/>
  <c r="BX240" i="1"/>
  <c r="BK45" i="1"/>
  <c r="BK43" i="1"/>
  <c r="BL45" i="1"/>
  <c r="BK246" i="1"/>
  <c r="BK247" i="1" s="1"/>
  <c r="BK48" i="1"/>
  <c r="BK52" i="1" s="1"/>
  <c r="BK264" i="1"/>
  <c r="BK265" i="1" s="1"/>
  <c r="BL264" i="1"/>
  <c r="BL265" i="1" s="1"/>
  <c r="AM108" i="1"/>
  <c r="AM109" i="1"/>
  <c r="AM110" i="1"/>
  <c r="AY43" i="1"/>
  <c r="AY246" i="1"/>
  <c r="AY247" i="1" s="1"/>
  <c r="AY48" i="1"/>
  <c r="AY52" i="1" s="1"/>
  <c r="AZ264" i="1"/>
  <c r="AZ265" i="1" s="1"/>
  <c r="AZ45" i="1"/>
  <c r="AP43" i="1"/>
  <c r="AP44" i="1"/>
  <c r="AP246" i="1"/>
  <c r="AP247" i="1" s="1"/>
  <c r="AP48" i="1"/>
  <c r="AP52" i="1" s="1"/>
  <c r="BV264" i="1"/>
  <c r="BV265" i="1" s="1"/>
  <c r="BV45" i="1"/>
  <c r="BM126" i="1"/>
  <c r="BM240" i="1"/>
  <c r="BU44" i="1"/>
  <c r="BU43" i="1"/>
  <c r="BU246" i="1"/>
  <c r="BU247" i="1" s="1"/>
  <c r="BY44" i="1"/>
  <c r="BU48" i="1"/>
  <c r="BU52" i="1" s="1"/>
  <c r="S74" i="1"/>
  <c r="BK126" i="1"/>
  <c r="U74" i="1"/>
  <c r="AS217" i="1"/>
  <c r="AS215" i="1" s="1"/>
  <c r="AT217" i="1"/>
  <c r="AT215" i="1" s="1"/>
  <c r="AS246" i="1"/>
  <c r="AS247" i="1" s="1"/>
  <c r="AS48" i="1"/>
  <c r="AS52" i="1" s="1"/>
  <c r="AW44" i="1"/>
  <c r="AT45" i="1"/>
  <c r="AS264" i="1"/>
  <c r="AS265" i="1" s="1"/>
  <c r="AS43" i="1"/>
  <c r="AT264" i="1"/>
  <c r="AT265" i="1" s="1"/>
  <c r="AS240" i="1"/>
  <c r="AS126" i="1"/>
  <c r="BF264" i="1"/>
  <c r="BF265" i="1" s="1"/>
  <c r="BE44" i="1"/>
  <c r="BI246" i="1"/>
  <c r="BI247" i="1" s="1"/>
  <c r="BI48" i="1"/>
  <c r="BI43" i="1"/>
  <c r="BL240" i="1"/>
  <c r="BJ45" i="1"/>
  <c r="BJ264" i="1"/>
  <c r="BJ265" i="1" s="1"/>
  <c r="BQ45" i="1"/>
  <c r="BP43" i="1"/>
  <c r="BP44" i="1"/>
  <c r="BP246" i="1"/>
  <c r="BP247" i="1" s="1"/>
  <c r="BP48" i="1"/>
  <c r="BP52" i="1" s="1"/>
  <c r="BQ264" i="1"/>
  <c r="BQ265" i="1" s="1"/>
  <c r="BM48" i="1"/>
  <c r="BM52" i="1" s="1"/>
  <c r="BM43" i="1"/>
  <c r="BQ44" i="1"/>
  <c r="BM45" i="1"/>
  <c r="BM44" i="1"/>
  <c r="BM246" i="1"/>
  <c r="BM247" i="1" s="1"/>
  <c r="BM264" i="1"/>
  <c r="BM265" i="1" s="1"/>
  <c r="BD264" i="1"/>
  <c r="BD265" i="1" s="1"/>
  <c r="O74" i="1"/>
  <c r="AP45" i="1"/>
  <c r="BE45" i="1"/>
  <c r="BD48" i="1"/>
  <c r="BD52" i="1" s="1"/>
  <c r="BD43" i="1"/>
  <c r="BD246" i="1"/>
  <c r="BD247" i="1" s="1"/>
  <c r="BE264" i="1"/>
  <c r="BE265" i="1" s="1"/>
  <c r="BI44" i="1"/>
  <c r="BE246" i="1"/>
  <c r="BE247" i="1" s="1"/>
  <c r="BE43" i="1"/>
  <c r="BE48" i="1"/>
  <c r="BE52" i="1" s="1"/>
  <c r="BF45" i="1"/>
  <c r="BF55" i="1"/>
  <c r="BF54" i="1"/>
  <c r="BO43" i="1"/>
  <c r="BO48" i="1"/>
  <c r="BO52" i="1" s="1"/>
  <c r="BO246" i="1"/>
  <c r="BO247" i="1" s="1"/>
  <c r="BP45" i="1"/>
  <c r="BP264" i="1"/>
  <c r="BP265" i="1" s="1"/>
  <c r="BH124" i="1"/>
  <c r="BH125" i="1"/>
  <c r="AX240" i="1"/>
  <c r="BT264" i="1"/>
  <c r="BT265" i="1" s="1"/>
  <c r="BC45" i="1"/>
  <c r="AJ45" i="1"/>
  <c r="AL126" i="1"/>
  <c r="AI43" i="1"/>
  <c r="AM44" i="1"/>
  <c r="AI48" i="1"/>
  <c r="N74" i="1"/>
  <c r="AL240" i="1"/>
  <c r="AI246" i="1"/>
  <c r="AI247" i="1" s="1"/>
  <c r="AW240" i="1"/>
  <c r="AU240" i="1"/>
  <c r="AW126" i="1"/>
  <c r="AU45" i="1"/>
  <c r="AU264" i="1"/>
  <c r="AU265" i="1" s="1"/>
  <c r="AU126" i="1"/>
  <c r="AV240" i="1"/>
  <c r="AU246" i="1"/>
  <c r="AU247" i="1" s="1"/>
  <c r="AU43" i="1"/>
  <c r="AU48" i="1"/>
  <c r="AU52" i="1" s="1"/>
  <c r="AY44" i="1"/>
  <c r="AV45" i="1"/>
  <c r="AV264" i="1"/>
  <c r="AV265" i="1" s="1"/>
  <c r="AU44" i="1"/>
  <c r="BV124" i="1"/>
  <c r="BV125" i="1"/>
  <c r="BS44" i="1"/>
  <c r="BS48" i="1"/>
  <c r="BS52" i="1" s="1"/>
  <c r="BS43" i="1"/>
  <c r="BS246" i="1"/>
  <c r="BS247" i="1" s="1"/>
  <c r="BS264" i="1"/>
  <c r="BS265" i="1" s="1"/>
  <c r="BD45" i="1"/>
  <c r="BG44" i="1"/>
  <c r="BF126" i="1"/>
  <c r="BC48" i="1"/>
  <c r="BC43" i="1"/>
  <c r="BC246" i="1"/>
  <c r="BC247" i="1" s="1"/>
  <c r="BF240" i="1"/>
  <c r="BC44" i="1"/>
  <c r="BV44" i="1"/>
  <c r="BS126" i="1"/>
  <c r="BT240" i="1"/>
  <c r="AQ240" i="1"/>
  <c r="AZ55" i="1"/>
  <c r="AZ54" i="1"/>
  <c r="BV240" i="1"/>
  <c r="BR264" i="1"/>
  <c r="BR265" i="1" s="1"/>
  <c r="BR43" i="1"/>
  <c r="BR45" i="1"/>
  <c r="BS45" i="1"/>
  <c r="V74" i="1"/>
  <c r="BR240" i="1"/>
  <c r="BR246" i="1"/>
  <c r="BR247" i="1" s="1"/>
  <c r="BR126" i="1"/>
  <c r="BR48" i="1"/>
  <c r="BN126" i="1"/>
  <c r="BN240" i="1"/>
  <c r="BA126" i="1"/>
  <c r="AX126" i="1"/>
  <c r="AY126" i="1"/>
  <c r="AY240" i="1"/>
  <c r="AY45" i="1"/>
  <c r="AY264" i="1"/>
  <c r="AY265" i="1" s="1"/>
  <c r="AZ126" i="1"/>
  <c r="BV126" i="1"/>
  <c r="AQ126" i="1"/>
  <c r="BT126" i="1"/>
  <c r="BT45" i="1"/>
  <c r="AR240" i="1"/>
  <c r="AP240" i="1"/>
  <c r="AP264" i="1"/>
  <c r="AP265" i="1" s="1"/>
  <c r="AP126" i="1"/>
  <c r="BK240" i="1"/>
  <c r="BX126" i="1"/>
  <c r="AV126" i="1"/>
  <c r="Q74" i="1"/>
  <c r="BI217" i="1"/>
  <c r="BI215" i="1" s="1"/>
  <c r="BV54" i="1"/>
  <c r="BV55" i="1"/>
  <c r="BD240" i="1"/>
  <c r="BC126" i="1"/>
  <c r="BC240" i="1"/>
  <c r="BB240" i="1"/>
  <c r="R74" i="1"/>
  <c r="AV48" i="1"/>
  <c r="AZ44" i="1"/>
  <c r="AV43" i="1"/>
  <c r="AV246" i="1"/>
  <c r="AV247" i="1" s="1"/>
  <c r="AW264" i="1"/>
  <c r="AW265" i="1" s="1"/>
  <c r="AW45" i="1"/>
  <c r="BG43" i="1"/>
  <c r="BH240" i="1"/>
  <c r="T74" i="1"/>
  <c r="BG126" i="1"/>
  <c r="BJ126" i="1"/>
  <c r="BG264" i="1"/>
  <c r="BG265" i="1" s="1"/>
  <c r="BI240" i="1"/>
  <c r="BG48" i="1"/>
  <c r="BI126" i="1"/>
  <c r="BG246" i="1"/>
  <c r="BG247" i="1" s="1"/>
  <c r="BH126" i="1"/>
  <c r="BJ240" i="1"/>
  <c r="BH45" i="1"/>
  <c r="BG240" i="1"/>
  <c r="BG45" i="1"/>
  <c r="BL44" i="1"/>
  <c r="BH43" i="1"/>
  <c r="BH48" i="1"/>
  <c r="BH52" i="1" s="1"/>
  <c r="BH246" i="1"/>
  <c r="BH247" i="1" s="1"/>
  <c r="BH264" i="1"/>
  <c r="BH265" i="1" s="1"/>
  <c r="BH44" i="1"/>
  <c r="BI264" i="1"/>
  <c r="BI265" i="1" s="1"/>
  <c r="BI45" i="1"/>
  <c r="BW44" i="1"/>
  <c r="AN264" i="1"/>
  <c r="AN265" i="1" s="1"/>
  <c r="AN48" i="1"/>
  <c r="AO240" i="1"/>
  <c r="AN45" i="1"/>
  <c r="AN43" i="1"/>
  <c r="AN246" i="1"/>
  <c r="AN247" i="1" s="1"/>
  <c r="AN240" i="1"/>
  <c r="AR44" i="1"/>
  <c r="AO126" i="1"/>
  <c r="AN126" i="1"/>
  <c r="AO45" i="1"/>
  <c r="AN44" i="1"/>
  <c r="BW45" i="1"/>
  <c r="BN48" i="1"/>
  <c r="BP240" i="1"/>
  <c r="BO240" i="1"/>
  <c r="BR44" i="1"/>
  <c r="BQ126" i="1"/>
  <c r="BN43" i="1"/>
  <c r="BO45" i="1"/>
  <c r="BN45" i="1"/>
  <c r="BN246" i="1"/>
  <c r="BN247" i="1" s="1"/>
  <c r="BO264" i="1"/>
  <c r="BO265" i="1" s="1"/>
  <c r="BN264" i="1"/>
  <c r="BN265" i="1" s="1"/>
  <c r="BN44" i="1"/>
  <c r="BP126" i="1"/>
  <c r="BQ240" i="1"/>
  <c r="BO126" i="1"/>
  <c r="AX264" i="1"/>
  <c r="AX265" i="1" s="1"/>
  <c r="AX246" i="1"/>
  <c r="AX247" i="1" s="1"/>
  <c r="AX44" i="1"/>
  <c r="BB44" i="1"/>
  <c r="AZ240" i="1"/>
  <c r="AX48" i="1"/>
  <c r="AX45" i="1"/>
  <c r="AX43" i="1"/>
  <c r="BB48" i="1"/>
  <c r="BF44" i="1"/>
  <c r="BB246" i="1"/>
  <c r="BB247" i="1" s="1"/>
  <c r="BB126" i="1"/>
  <c r="BD126" i="1"/>
  <c r="BB43" i="1"/>
  <c r="BB264" i="1"/>
  <c r="BB265" i="1" s="1"/>
  <c r="BB45" i="1"/>
  <c r="BW240" i="1"/>
  <c r="BW246" i="1"/>
  <c r="BW247" i="1" s="1"/>
  <c r="BX45" i="1"/>
  <c r="X74" i="1"/>
  <c r="BW43" i="1"/>
  <c r="BZ126" i="1"/>
  <c r="BZ240" i="1"/>
  <c r="BW264" i="1"/>
  <c r="BW265" i="1" s="1"/>
  <c r="BW48" i="1"/>
  <c r="BY126" i="1"/>
  <c r="CA44" i="1"/>
  <c r="BX264" i="1"/>
  <c r="BX265" i="1" s="1"/>
  <c r="BY240" i="1"/>
  <c r="BC264" i="1"/>
  <c r="BC265" i="1" s="1"/>
  <c r="BE240" i="1"/>
  <c r="BE126" i="1"/>
  <c r="AQ43" i="1"/>
  <c r="AT240" i="1"/>
  <c r="AQ246" i="1"/>
  <c r="AQ247" i="1" s="1"/>
  <c r="P74" i="1"/>
  <c r="AQ48" i="1"/>
  <c r="AQ44" i="1"/>
  <c r="AR45" i="1"/>
  <c r="AR264" i="1"/>
  <c r="AR265" i="1" s="1"/>
  <c r="AT126" i="1"/>
  <c r="AO246" i="1"/>
  <c r="AO247" i="1" s="1"/>
  <c r="AO48" i="1"/>
  <c r="AO52" i="1" s="1"/>
  <c r="AO54" i="1" s="1"/>
  <c r="AR126" i="1"/>
  <c r="AO264" i="1"/>
  <c r="AO265" i="1" s="1"/>
  <c r="AO44" i="1"/>
  <c r="AS44" i="1"/>
  <c r="AO43" i="1"/>
  <c r="AR55" i="1"/>
  <c r="AR54" i="1"/>
  <c r="BT48" i="1"/>
  <c r="BU264" i="1"/>
  <c r="BU265" i="1" s="1"/>
  <c r="BT43" i="1"/>
  <c r="BX44" i="1"/>
  <c r="BU45" i="1"/>
  <c r="BT246" i="1"/>
  <c r="BT247" i="1" s="1"/>
  <c r="BT44" i="1"/>
  <c r="BW126" i="1"/>
  <c r="BU126" i="1"/>
  <c r="AV44" i="1"/>
  <c r="BJ248" i="1"/>
  <c r="BJ56" i="1"/>
  <c r="BJ259" i="1" s="1"/>
  <c r="BJ62" i="1"/>
  <c r="BQ54" i="1"/>
  <c r="BQ55" i="1"/>
  <c r="BA55" i="1"/>
  <c r="BA54" i="1"/>
  <c r="AW54" i="1"/>
  <c r="AW55" i="1"/>
  <c r="AT55" i="1"/>
  <c r="AT54" i="1"/>
  <c r="CR148" i="1"/>
  <c r="AE156" i="1"/>
  <c r="AC138" i="1"/>
  <c r="AV124" i="1" l="1"/>
  <c r="AV127" i="1" s="1"/>
  <c r="AV125" i="1"/>
  <c r="AV128" i="1" s="1"/>
  <c r="BT217" i="1"/>
  <c r="BT215" i="1" s="1"/>
  <c r="BS217" i="1"/>
  <c r="BS215" i="1" s="1"/>
  <c r="AP217" i="1"/>
  <c r="AP215" i="1" s="1"/>
  <c r="AO217" i="1"/>
  <c r="AO215" i="1" s="1"/>
  <c r="BB125" i="1"/>
  <c r="BB128" i="1" s="1"/>
  <c r="BB124" i="1"/>
  <c r="BB127" i="1" s="1"/>
  <c r="BN125" i="1"/>
  <c r="BN128" i="1" s="1"/>
  <c r="BN124" i="1"/>
  <c r="BN127" i="1" s="1"/>
  <c r="BP124" i="1"/>
  <c r="BP127" i="1" s="1"/>
  <c r="BP125" i="1"/>
  <c r="BP128" i="1" s="1"/>
  <c r="AY217" i="1"/>
  <c r="AY215" i="1" s="1"/>
  <c r="AZ217" i="1"/>
  <c r="AZ215" i="1" s="1"/>
  <c r="BF125" i="1"/>
  <c r="BF128" i="1" s="1"/>
  <c r="BF124" i="1"/>
  <c r="BF127" i="1" s="1"/>
  <c r="BC217" i="1"/>
  <c r="BC215" i="1" s="1"/>
  <c r="BD217" i="1"/>
  <c r="BD215" i="1" s="1"/>
  <c r="AX217" i="1"/>
  <c r="AX215" i="1" s="1"/>
  <c r="AW217" i="1"/>
  <c r="AW215" i="1" s="1"/>
  <c r="BB217" i="1"/>
  <c r="BB215" i="1" s="1"/>
  <c r="BA217" i="1"/>
  <c r="BA215" i="1" s="1"/>
  <c r="BR217" i="1"/>
  <c r="BR215" i="1" s="1"/>
  <c r="BQ217" i="1"/>
  <c r="BQ215" i="1" s="1"/>
  <c r="BH217" i="1"/>
  <c r="BH215" i="1" s="1"/>
  <c r="BG217" i="1"/>
  <c r="BG215" i="1" s="1"/>
  <c r="AR217" i="1"/>
  <c r="AR215" i="1" s="1"/>
  <c r="AQ217" i="1"/>
  <c r="AQ215" i="1" s="1"/>
  <c r="AR203" i="1"/>
  <c r="AV203" i="1"/>
  <c r="BR124" i="1"/>
  <c r="BR127" i="1" s="1"/>
  <c r="BR125" i="1"/>
  <c r="BR128" i="1" s="1"/>
  <c r="BE217" i="1"/>
  <c r="BE215" i="1" s="1"/>
  <c r="BF217" i="1"/>
  <c r="BF215" i="1" s="1"/>
  <c r="AT125" i="1"/>
  <c r="AT128" i="1" s="1"/>
  <c r="AT124" i="1"/>
  <c r="AT127" i="1" s="1"/>
  <c r="AN125" i="1"/>
  <c r="AN128" i="1" s="1"/>
  <c r="AN124" i="1"/>
  <c r="AN127" i="1" s="1"/>
  <c r="AT203" i="1"/>
  <c r="AX203" i="1"/>
  <c r="BV217" i="1"/>
  <c r="BV215" i="1" s="1"/>
  <c r="BU217" i="1"/>
  <c r="BU215" i="1" s="1"/>
  <c r="AV217" i="1"/>
  <c r="AV215" i="1" s="1"/>
  <c r="AU217" i="1"/>
  <c r="AU215" i="1" s="1"/>
  <c r="BT125" i="1"/>
  <c r="BT128" i="1" s="1"/>
  <c r="BT124" i="1"/>
  <c r="BT127" i="1" s="1"/>
  <c r="BD125" i="1"/>
  <c r="BD128" i="1" s="1"/>
  <c r="BD124" i="1"/>
  <c r="BD127" i="1" s="1"/>
  <c r="BO217" i="1"/>
  <c r="BO215" i="1" s="1"/>
  <c r="BP217" i="1"/>
  <c r="BP215" i="1" s="1"/>
  <c r="AX124" i="1"/>
  <c r="AX127" i="1" s="1"/>
  <c r="AX125" i="1"/>
  <c r="AX128" i="1" s="1"/>
  <c r="AP124" i="1"/>
  <c r="AP127" i="1" s="1"/>
  <c r="AP125" i="1"/>
  <c r="AP128" i="1" s="1"/>
  <c r="AZ124" i="1"/>
  <c r="AZ127" i="1" s="1"/>
  <c r="AZ125" i="1"/>
  <c r="AZ128" i="1" s="1"/>
  <c r="BH203" i="1"/>
  <c r="BD203" i="1"/>
  <c r="BN203" i="1"/>
  <c r="BR203" i="1"/>
  <c r="BB203" i="1"/>
  <c r="BF203" i="1"/>
  <c r="BT203" i="1"/>
  <c r="BX203" i="1"/>
  <c r="BL127" i="1"/>
  <c r="BL128" i="1"/>
  <c r="BK55" i="1"/>
  <c r="BK54" i="1"/>
  <c r="AY54" i="1"/>
  <c r="AY55" i="1"/>
  <c r="AP54" i="1"/>
  <c r="AP55" i="1"/>
  <c r="AP57" i="1" s="1"/>
  <c r="BU55" i="1"/>
  <c r="BY57" i="1" s="1"/>
  <c r="BU54" i="1"/>
  <c r="AS54" i="1"/>
  <c r="AS55" i="1"/>
  <c r="AS58" i="1" s="1"/>
  <c r="BP54" i="1"/>
  <c r="BP55" i="1"/>
  <c r="BQ58" i="1" s="1"/>
  <c r="BI52" i="1"/>
  <c r="BL69" i="1"/>
  <c r="BM54" i="1"/>
  <c r="BM55" i="1"/>
  <c r="BV127" i="1"/>
  <c r="BE54" i="1"/>
  <c r="BE55" i="1"/>
  <c r="BF248" i="1"/>
  <c r="BF56" i="1"/>
  <c r="BF259" i="1" s="1"/>
  <c r="BF62" i="1"/>
  <c r="BJ57" i="1"/>
  <c r="BD69" i="1"/>
  <c r="BV69" i="1"/>
  <c r="BD54" i="1"/>
  <c r="BD55" i="1"/>
  <c r="BO55" i="1"/>
  <c r="BO54" i="1"/>
  <c r="AL128" i="1"/>
  <c r="AL127" i="1"/>
  <c r="AI52" i="1"/>
  <c r="AL69" i="1"/>
  <c r="AU55" i="1"/>
  <c r="AU54" i="1"/>
  <c r="BC52" i="1"/>
  <c r="BF69" i="1"/>
  <c r="BX127" i="1"/>
  <c r="BX128" i="1"/>
  <c r="AZ248" i="1"/>
  <c r="AZ62" i="1"/>
  <c r="AZ56" i="1"/>
  <c r="AZ259" i="1" s="1"/>
  <c r="BR52" i="1"/>
  <c r="BR69" i="1"/>
  <c r="AR69" i="1"/>
  <c r="AP69" i="1"/>
  <c r="BV128" i="1"/>
  <c r="AO55" i="1"/>
  <c r="AR56" i="1"/>
  <c r="AR259" i="1" s="1"/>
  <c r="AR62" i="1"/>
  <c r="AR248" i="1"/>
  <c r="AX52" i="1"/>
  <c r="AZ69" i="1"/>
  <c r="BN52" i="1"/>
  <c r="BP69" i="1"/>
  <c r="BV56" i="1"/>
  <c r="BV259" i="1" s="1"/>
  <c r="BV62" i="1"/>
  <c r="BV248" i="1"/>
  <c r="BZ57" i="1"/>
  <c r="BH55" i="1"/>
  <c r="BH54" i="1"/>
  <c r="AQ52" i="1"/>
  <c r="AT69" i="1"/>
  <c r="BX69" i="1"/>
  <c r="BZ69" i="1"/>
  <c r="BW52" i="1"/>
  <c r="BB52" i="1"/>
  <c r="BB69" i="1"/>
  <c r="AN69" i="1"/>
  <c r="AN52" i="1"/>
  <c r="BH127" i="1"/>
  <c r="BH128" i="1"/>
  <c r="AV52" i="1"/>
  <c r="AV69" i="1"/>
  <c r="AX69" i="1"/>
  <c r="BT52" i="1"/>
  <c r="BT69" i="1"/>
  <c r="BJ127" i="1"/>
  <c r="BJ128" i="1"/>
  <c r="BN69" i="1"/>
  <c r="BY69" i="1"/>
  <c r="BZ127" i="1"/>
  <c r="BZ128" i="1"/>
  <c r="BJ69" i="1"/>
  <c r="BG52" i="1"/>
  <c r="BH69" i="1"/>
  <c r="BS54" i="1"/>
  <c r="BS55" i="1"/>
  <c r="BJ66" i="1"/>
  <c r="BJ207" i="1"/>
  <c r="BJ209" i="1" s="1"/>
  <c r="BJ80" i="1"/>
  <c r="BQ56" i="1"/>
  <c r="BQ259" i="1" s="1"/>
  <c r="BQ62" i="1"/>
  <c r="BQ248" i="1"/>
  <c r="AT62" i="1"/>
  <c r="AT248" i="1"/>
  <c r="AT56" i="1"/>
  <c r="AT259" i="1" s="1"/>
  <c r="BA248" i="1"/>
  <c r="BA56" i="1"/>
  <c r="BA259" i="1" s="1"/>
  <c r="BA58" i="1"/>
  <c r="BA62" i="1"/>
  <c r="AW62" i="1"/>
  <c r="AW248" i="1"/>
  <c r="AW56" i="1"/>
  <c r="AW259" i="1" s="1"/>
  <c r="BA57" i="1"/>
  <c r="CR152" i="1"/>
  <c r="CS46" i="1"/>
  <c r="BL58" i="1" l="1"/>
  <c r="BK62" i="1"/>
  <c r="BK56" i="1"/>
  <c r="BK259" i="1" s="1"/>
  <c r="AY248" i="1"/>
  <c r="AY56" i="1"/>
  <c r="AY259" i="1" s="1"/>
  <c r="AT57" i="1"/>
  <c r="AP248" i="1"/>
  <c r="AP62" i="1"/>
  <c r="AP56" i="1"/>
  <c r="AP259" i="1" s="1"/>
  <c r="AZ58" i="1"/>
  <c r="AY62" i="1"/>
  <c r="BU56" i="1"/>
  <c r="BU259" i="1" s="1"/>
  <c r="BU248" i="1"/>
  <c r="BU62" i="1"/>
  <c r="BK58" i="1"/>
  <c r="BK248" i="1"/>
  <c r="AS62" i="1"/>
  <c r="AS56" i="1"/>
  <c r="AS259" i="1" s="1"/>
  <c r="BV58" i="1"/>
  <c r="BU57" i="1"/>
  <c r="AS248" i="1"/>
  <c r="AT58" i="1"/>
  <c r="AW57" i="1"/>
  <c r="BP62" i="1"/>
  <c r="BP57" i="1"/>
  <c r="BP248" i="1"/>
  <c r="BP56" i="1"/>
  <c r="BP259" i="1" s="1"/>
  <c r="BI55" i="1"/>
  <c r="BI58" i="1" s="1"/>
  <c r="BI54" i="1"/>
  <c r="BM62" i="1"/>
  <c r="BM58" i="1"/>
  <c r="BM248" i="1"/>
  <c r="BM241" i="1"/>
  <c r="BQ57" i="1"/>
  <c r="BM56" i="1"/>
  <c r="BM259" i="1" s="1"/>
  <c r="BE56" i="1"/>
  <c r="BE259" i="1" s="1"/>
  <c r="BE62" i="1"/>
  <c r="BE248" i="1"/>
  <c r="BF58" i="1"/>
  <c r="BF66" i="1"/>
  <c r="BF207" i="1"/>
  <c r="BF209" i="1" s="1"/>
  <c r="BF80" i="1"/>
  <c r="BC55" i="1"/>
  <c r="BC54" i="1"/>
  <c r="BS57" i="1"/>
  <c r="BE57" i="1"/>
  <c r="BD62" i="1"/>
  <c r="BD248" i="1"/>
  <c r="BD56" i="1"/>
  <c r="BD259" i="1" s="1"/>
  <c r="BD57" i="1"/>
  <c r="BE58" i="1"/>
  <c r="BO248" i="1"/>
  <c r="BO56" i="1"/>
  <c r="BO259" i="1" s="1"/>
  <c r="BO62" i="1"/>
  <c r="BP58" i="1"/>
  <c r="BO57" i="1"/>
  <c r="AI55" i="1"/>
  <c r="AI54" i="1"/>
  <c r="AU56" i="1"/>
  <c r="AU259" i="1" s="1"/>
  <c r="AU248" i="1"/>
  <c r="AY57" i="1"/>
  <c r="AU62" i="1"/>
  <c r="AU241" i="1"/>
  <c r="AU58" i="1"/>
  <c r="AP58" i="1"/>
  <c r="AO62" i="1"/>
  <c r="AZ80" i="1"/>
  <c r="AZ66" i="1"/>
  <c r="AZ207" i="1"/>
  <c r="AZ209" i="1" s="1"/>
  <c r="BR55" i="1"/>
  <c r="BR54" i="1"/>
  <c r="AO57" i="1"/>
  <c r="BH57" i="1"/>
  <c r="AO248" i="1"/>
  <c r="AS57" i="1"/>
  <c r="AO56" i="1"/>
  <c r="AO259" i="1" s="1"/>
  <c r="BW55" i="1"/>
  <c r="BW57" i="1" s="1"/>
  <c r="BW54" i="1"/>
  <c r="BN55" i="1"/>
  <c r="BN54" i="1"/>
  <c r="AQ55" i="1"/>
  <c r="AQ54" i="1"/>
  <c r="AR66" i="1"/>
  <c r="AR207" i="1"/>
  <c r="AR209" i="1" s="1"/>
  <c r="AR80" i="1"/>
  <c r="BT55" i="1"/>
  <c r="BT54" i="1"/>
  <c r="AV54" i="1"/>
  <c r="AV55" i="1"/>
  <c r="AN55" i="1"/>
  <c r="AN54" i="1"/>
  <c r="BH62" i="1"/>
  <c r="BL57" i="1"/>
  <c r="BH248" i="1"/>
  <c r="BH56" i="1"/>
  <c r="BH259" i="1" s="1"/>
  <c r="AX55" i="1"/>
  <c r="AX54" i="1"/>
  <c r="BV207" i="1"/>
  <c r="BV209" i="1" s="1"/>
  <c r="BV80" i="1"/>
  <c r="BV66" i="1"/>
  <c r="BG54" i="1"/>
  <c r="BG55" i="1"/>
  <c r="BB55" i="1"/>
  <c r="BB54" i="1"/>
  <c r="BS248" i="1"/>
  <c r="BS56" i="1"/>
  <c r="BS259" i="1" s="1"/>
  <c r="BS62" i="1"/>
  <c r="BQ207" i="1"/>
  <c r="BQ209" i="1" s="1"/>
  <c r="BQ133" i="1"/>
  <c r="BQ134" i="1" s="1"/>
  <c r="BQ80" i="1"/>
  <c r="BQ66" i="1"/>
  <c r="AT80" i="1"/>
  <c r="AT207" i="1"/>
  <c r="AT209" i="1" s="1"/>
  <c r="AT66" i="1"/>
  <c r="AW207" i="1"/>
  <c r="AW209" i="1" s="1"/>
  <c r="AW80" i="1"/>
  <c r="AW133" i="1"/>
  <c r="AW134" i="1" s="1"/>
  <c r="AW66" i="1"/>
  <c r="BA66" i="1"/>
  <c r="BA207" i="1"/>
  <c r="BA209" i="1" s="1"/>
  <c r="BA80" i="1"/>
  <c r="BA133" i="1"/>
  <c r="BA134" i="1" s="1"/>
  <c r="CS208" i="1"/>
  <c r="CS146" i="1"/>
  <c r="CR217" i="1"/>
  <c r="CR215" i="1" s="1"/>
  <c r="AC139" i="1"/>
  <c r="AC142" i="1" s="1"/>
  <c r="AC263" i="1" s="1"/>
  <c r="BK66" i="1" l="1"/>
  <c r="BK207" i="1"/>
  <c r="BK209" i="1" s="1"/>
  <c r="BK133" i="1"/>
  <c r="BK134" i="1" s="1"/>
  <c r="BK80" i="1"/>
  <c r="AP207" i="1"/>
  <c r="AP209" i="1" s="1"/>
  <c r="AP80" i="1"/>
  <c r="AP66" i="1"/>
  <c r="BU133" i="1"/>
  <c r="BU134" i="1" s="1"/>
  <c r="BU66" i="1"/>
  <c r="BU207" i="1"/>
  <c r="BU209" i="1" s="1"/>
  <c r="BU80" i="1"/>
  <c r="BS58" i="1"/>
  <c r="BS241" i="1"/>
  <c r="AY207" i="1"/>
  <c r="AY209" i="1" s="1"/>
  <c r="AY80" i="1"/>
  <c r="AY133" i="1"/>
  <c r="AY134" i="1" s="1"/>
  <c r="AY66" i="1"/>
  <c r="AS66" i="1"/>
  <c r="AS133" i="1"/>
  <c r="AS134" i="1" s="1"/>
  <c r="AS207" i="1"/>
  <c r="AS209" i="1" s="1"/>
  <c r="AS80" i="1"/>
  <c r="BI57" i="1"/>
  <c r="BK241" i="1"/>
  <c r="BM80" i="1"/>
  <c r="BM66" i="1"/>
  <c r="BP66" i="1"/>
  <c r="BP207" i="1"/>
  <c r="BP209" i="1" s="1"/>
  <c r="BP80" i="1"/>
  <c r="BM57" i="1"/>
  <c r="BL241" i="1"/>
  <c r="BI62" i="1"/>
  <c r="BI248" i="1"/>
  <c r="BJ58" i="1"/>
  <c r="BI56" i="1"/>
  <c r="BI259" i="1" s="1"/>
  <c r="BM133" i="1"/>
  <c r="BM134" i="1" s="1"/>
  <c r="BM207" i="1"/>
  <c r="BM209" i="1" s="1"/>
  <c r="BE80" i="1"/>
  <c r="BE207" i="1"/>
  <c r="BE209" i="1" s="1"/>
  <c r="BE66" i="1"/>
  <c r="BE133" i="1"/>
  <c r="BE134" i="1" s="1"/>
  <c r="BF241" i="1"/>
  <c r="BD58" i="1"/>
  <c r="BC57" i="1"/>
  <c r="BC62" i="1"/>
  <c r="BC248" i="1"/>
  <c r="BC56" i="1"/>
  <c r="BC259" i="1" s="1"/>
  <c r="BD66" i="1"/>
  <c r="BD207" i="1"/>
  <c r="BD209" i="1" s="1"/>
  <c r="BD80" i="1"/>
  <c r="BO66" i="1"/>
  <c r="BO80" i="1"/>
  <c r="BO207" i="1"/>
  <c r="BO209" i="1" s="1"/>
  <c r="BO133" i="1"/>
  <c r="BO134" i="1" s="1"/>
  <c r="AI56" i="1"/>
  <c r="AI248" i="1"/>
  <c r="AJ58" i="1"/>
  <c r="AM57" i="1"/>
  <c r="AI62" i="1"/>
  <c r="AL241" i="1"/>
  <c r="AU66" i="1"/>
  <c r="AU80" i="1"/>
  <c r="AU207" i="1"/>
  <c r="AU209" i="1" s="1"/>
  <c r="AU133" i="1"/>
  <c r="AU134" i="1" s="1"/>
  <c r="AO207" i="1"/>
  <c r="AO209" i="1" s="1"/>
  <c r="AO80" i="1"/>
  <c r="AO133" i="1"/>
  <c r="AO134" i="1" s="1"/>
  <c r="AO66" i="1"/>
  <c r="BR56" i="1"/>
  <c r="BR259" i="1" s="1"/>
  <c r="BR248" i="1"/>
  <c r="BR62" i="1"/>
  <c r="BR221" i="1" s="1"/>
  <c r="BR219" i="1" s="1"/>
  <c r="BV57" i="1"/>
  <c r="BR58" i="1"/>
  <c r="BR241" i="1"/>
  <c r="AN56" i="1"/>
  <c r="AN259" i="1" s="1"/>
  <c r="AQ241" i="1"/>
  <c r="AO58" i="1"/>
  <c r="AN241" i="1"/>
  <c r="AN57" i="1"/>
  <c r="AP241" i="1"/>
  <c r="AR57" i="1"/>
  <c r="AO241" i="1"/>
  <c r="AN62" i="1"/>
  <c r="AN58" i="1"/>
  <c r="AN248" i="1"/>
  <c r="BX57" i="1"/>
  <c r="BT56" i="1"/>
  <c r="BT259" i="1" s="1"/>
  <c r="BT248" i="1"/>
  <c r="BT62" i="1"/>
  <c r="BU58" i="1"/>
  <c r="BT57" i="1"/>
  <c r="BW241" i="1"/>
  <c r="BV241" i="1"/>
  <c r="AZ57" i="1"/>
  <c r="AV56" i="1"/>
  <c r="AV259" i="1" s="1"/>
  <c r="AV248" i="1"/>
  <c r="AV62" i="1"/>
  <c r="AY241" i="1"/>
  <c r="AW241" i="1"/>
  <c r="AW58" i="1"/>
  <c r="AV57" i="1"/>
  <c r="AV58" i="1"/>
  <c r="AX241" i="1"/>
  <c r="AV241" i="1"/>
  <c r="AR58" i="1"/>
  <c r="AQ57" i="1"/>
  <c r="AQ248" i="1"/>
  <c r="AQ62" i="1"/>
  <c r="AQ56" i="1"/>
  <c r="AQ259" i="1" s="1"/>
  <c r="AQ58" i="1"/>
  <c r="AU57" i="1"/>
  <c r="AT241" i="1"/>
  <c r="AS241" i="1"/>
  <c r="AR241" i="1"/>
  <c r="BN248" i="1"/>
  <c r="BR57" i="1"/>
  <c r="BN62" i="1"/>
  <c r="BQ68" i="1" s="1"/>
  <c r="BN57" i="1"/>
  <c r="BN56" i="1"/>
  <c r="BN259" i="1" s="1"/>
  <c r="BO58" i="1"/>
  <c r="BN241" i="1"/>
  <c r="BQ241" i="1"/>
  <c r="BN58" i="1"/>
  <c r="BO241" i="1"/>
  <c r="BP241" i="1"/>
  <c r="BB56" i="1"/>
  <c r="BB259" i="1" s="1"/>
  <c r="BF57" i="1"/>
  <c r="BB248" i="1"/>
  <c r="BB62" i="1"/>
  <c r="BB221" i="1" s="1"/>
  <c r="BB219" i="1" s="1"/>
  <c r="BC58" i="1"/>
  <c r="BD241" i="1"/>
  <c r="BB241" i="1"/>
  <c r="BB58" i="1"/>
  <c r="BC241" i="1"/>
  <c r="BE241" i="1"/>
  <c r="BB57" i="1"/>
  <c r="AX62" i="1"/>
  <c r="AX248" i="1"/>
  <c r="AX56" i="1"/>
  <c r="AX259" i="1" s="1"/>
  <c r="AZ241" i="1"/>
  <c r="AX58" i="1"/>
  <c r="AY58" i="1"/>
  <c r="AX57" i="1"/>
  <c r="BA241" i="1"/>
  <c r="BH66" i="1"/>
  <c r="BH80" i="1"/>
  <c r="BH207" i="1"/>
  <c r="BH209" i="1" s="1"/>
  <c r="BT241" i="1"/>
  <c r="BT58" i="1"/>
  <c r="BK57" i="1"/>
  <c r="BG62" i="1"/>
  <c r="BH241" i="1"/>
  <c r="BG57" i="1"/>
  <c r="BG56" i="1"/>
  <c r="BG259" i="1" s="1"/>
  <c r="BH58" i="1"/>
  <c r="BG241" i="1"/>
  <c r="BG248" i="1"/>
  <c r="BJ241" i="1"/>
  <c r="BG58" i="1"/>
  <c r="BI241" i="1"/>
  <c r="BX241" i="1"/>
  <c r="BW248" i="1"/>
  <c r="BW58" i="1"/>
  <c r="BX58" i="1"/>
  <c r="BW62" i="1"/>
  <c r="X75" i="1"/>
  <c r="BY241" i="1"/>
  <c r="CA57" i="1"/>
  <c r="BW56" i="1"/>
  <c r="BW259" i="1" s="1"/>
  <c r="BZ241" i="1"/>
  <c r="BS207" i="1"/>
  <c r="BS209" i="1" s="1"/>
  <c r="BS66" i="1"/>
  <c r="BS133" i="1"/>
  <c r="BS134" i="1" s="1"/>
  <c r="BS80" i="1"/>
  <c r="BQ221" i="1"/>
  <c r="BQ219" i="1" s="1"/>
  <c r="BQ143" i="1"/>
  <c r="BQ69" i="1" s="1"/>
  <c r="BQ106" i="1"/>
  <c r="AW143" i="1"/>
  <c r="AW69" i="1" s="1"/>
  <c r="AW221" i="1"/>
  <c r="AW219" i="1" s="1"/>
  <c r="AW106" i="1"/>
  <c r="BA221" i="1"/>
  <c r="BA219" i="1" s="1"/>
  <c r="BA106" i="1"/>
  <c r="BA143" i="1"/>
  <c r="BA69" i="1" s="1"/>
  <c r="CS148" i="1"/>
  <c r="AC220" i="1"/>
  <c r="CA240" i="1"/>
  <c r="CB240" i="1"/>
  <c r="BU240" i="1"/>
  <c r="BK68" i="1" l="1"/>
  <c r="BM83" i="1"/>
  <c r="BI103" i="1" s="1"/>
  <c r="BK106" i="1"/>
  <c r="BL221" i="1"/>
  <c r="BL219" i="1" s="1"/>
  <c r="BK221" i="1"/>
  <c r="BK219" i="1" s="1"/>
  <c r="BK143" i="1"/>
  <c r="BK69" i="1" s="1"/>
  <c r="BV221" i="1"/>
  <c r="BV219" i="1" s="1"/>
  <c r="BU221" i="1"/>
  <c r="BU219" i="1" s="1"/>
  <c r="BU106" i="1"/>
  <c r="BU143" i="1"/>
  <c r="BU69" i="1" s="1"/>
  <c r="AU83" i="1"/>
  <c r="AY106" i="1"/>
  <c r="AY221" i="1"/>
  <c r="AY219" i="1" s="1"/>
  <c r="AY143" i="1"/>
  <c r="AY69" i="1" s="1"/>
  <c r="AZ221" i="1"/>
  <c r="AZ219" i="1" s="1"/>
  <c r="AS221" i="1"/>
  <c r="AS219" i="1" s="1"/>
  <c r="AS106" i="1"/>
  <c r="AS143" i="1"/>
  <c r="AS69" i="1" s="1"/>
  <c r="AT221" i="1"/>
  <c r="AT219" i="1" s="1"/>
  <c r="AO68" i="1"/>
  <c r="BL68" i="1"/>
  <c r="BI66" i="1"/>
  <c r="BI207" i="1"/>
  <c r="BI209" i="1" s="1"/>
  <c r="BI80" i="1"/>
  <c r="BI133" i="1"/>
  <c r="BI134" i="1" s="1"/>
  <c r="BM68" i="1"/>
  <c r="BM221" i="1"/>
  <c r="BM219" i="1" s="1"/>
  <c r="BM143" i="1"/>
  <c r="BM69" i="1" s="1"/>
  <c r="BM106" i="1"/>
  <c r="AX221" i="1"/>
  <c r="AX219" i="1" s="1"/>
  <c r="BA68" i="1"/>
  <c r="BF221" i="1"/>
  <c r="BF219" i="1" s="1"/>
  <c r="BE106" i="1"/>
  <c r="BE143" i="1"/>
  <c r="BE69" i="1" s="1"/>
  <c r="BE221" i="1"/>
  <c r="BE219" i="1" s="1"/>
  <c r="S75" i="1"/>
  <c r="BF68" i="1"/>
  <c r="BC80" i="1"/>
  <c r="BF83" i="1" s="1"/>
  <c r="BC133" i="1"/>
  <c r="BC134" i="1" s="1"/>
  <c r="BC207" i="1"/>
  <c r="BC209" i="1" s="1"/>
  <c r="BC66" i="1"/>
  <c r="BO221" i="1"/>
  <c r="BO219" i="1" s="1"/>
  <c r="BO143" i="1"/>
  <c r="BO69" i="1" s="1"/>
  <c r="BP221" i="1"/>
  <c r="BP219" i="1" s="1"/>
  <c r="BO106" i="1"/>
  <c r="AI80" i="1"/>
  <c r="AL83" i="1" s="1"/>
  <c r="AI66" i="1"/>
  <c r="AL68" i="1"/>
  <c r="N75" i="1"/>
  <c r="AI221" i="1"/>
  <c r="AI219" i="1" s="1"/>
  <c r="AI207" i="1"/>
  <c r="AI209" i="1" s="1"/>
  <c r="AI213" i="1" s="1"/>
  <c r="AI227" i="1" s="1"/>
  <c r="AU106" i="1"/>
  <c r="AU221" i="1"/>
  <c r="AU219" i="1" s="1"/>
  <c r="AU143" i="1"/>
  <c r="AU69" i="1" s="1"/>
  <c r="AU68" i="1"/>
  <c r="AP221" i="1"/>
  <c r="AP219" i="1" s="1"/>
  <c r="AO106" i="1"/>
  <c r="AO143" i="1"/>
  <c r="AO69" i="1" s="1"/>
  <c r="AO221" i="1"/>
  <c r="AO219" i="1" s="1"/>
  <c r="AV221" i="1"/>
  <c r="AV219" i="1" s="1"/>
  <c r="AY68" i="1"/>
  <c r="BT68" i="1"/>
  <c r="BR66" i="1"/>
  <c r="BR207" i="1"/>
  <c r="BR209" i="1" s="1"/>
  <c r="BR80" i="1"/>
  <c r="BR68" i="1"/>
  <c r="V75" i="1"/>
  <c r="AW68" i="1"/>
  <c r="BV68" i="1"/>
  <c r="BO68" i="1"/>
  <c r="BN221" i="1"/>
  <c r="BN219" i="1" s="1"/>
  <c r="BU68" i="1"/>
  <c r="BX68" i="1"/>
  <c r="BW133" i="1"/>
  <c r="BW134" i="1" s="1"/>
  <c r="BY68" i="1"/>
  <c r="BW207" i="1"/>
  <c r="BW209" i="1" s="1"/>
  <c r="BW66" i="1"/>
  <c r="BZ68" i="1"/>
  <c r="BW80" i="1"/>
  <c r="BN66" i="1"/>
  <c r="BN80" i="1"/>
  <c r="BN207" i="1"/>
  <c r="BN209" i="1" s="1"/>
  <c r="BN68" i="1"/>
  <c r="U75" i="1"/>
  <c r="BP68" i="1"/>
  <c r="AV207" i="1"/>
  <c r="AV209" i="1" s="1"/>
  <c r="AV66" i="1"/>
  <c r="AV80" i="1"/>
  <c r="AV68" i="1"/>
  <c r="Q75" i="1"/>
  <c r="AX68" i="1"/>
  <c r="BT207" i="1"/>
  <c r="BT209" i="1" s="1"/>
  <c r="BT66" i="1"/>
  <c r="BT80" i="1"/>
  <c r="BV83" i="1" s="1"/>
  <c r="BR103" i="1" s="1"/>
  <c r="AX66" i="1"/>
  <c r="AX80" i="1"/>
  <c r="AX207" i="1"/>
  <c r="AX209" i="1" s="1"/>
  <c r="AZ68" i="1"/>
  <c r="BB80" i="1"/>
  <c r="BB66" i="1"/>
  <c r="BB207" i="1"/>
  <c r="BB209" i="1" s="1"/>
  <c r="BB68" i="1"/>
  <c r="R75" i="1"/>
  <c r="BD68" i="1"/>
  <c r="BE68" i="1"/>
  <c r="AQ133" i="1"/>
  <c r="AQ134" i="1" s="1"/>
  <c r="AQ207" i="1"/>
  <c r="AQ209" i="1" s="1"/>
  <c r="AQ66" i="1"/>
  <c r="AQ80" i="1"/>
  <c r="AS68" i="1"/>
  <c r="AR68" i="1"/>
  <c r="AT68" i="1"/>
  <c r="P75" i="1"/>
  <c r="BG66" i="1"/>
  <c r="BG80" i="1"/>
  <c r="BG133" i="1"/>
  <c r="BG134" i="1" s="1"/>
  <c r="BJ68" i="1"/>
  <c r="BH68" i="1"/>
  <c r="BG207" i="1"/>
  <c r="BG209" i="1" s="1"/>
  <c r="T75" i="1"/>
  <c r="AN66" i="1"/>
  <c r="AP68" i="1"/>
  <c r="AN80" i="1"/>
  <c r="AN207" i="1"/>
  <c r="AN209" i="1" s="1"/>
  <c r="AN68" i="1"/>
  <c r="O75" i="1"/>
  <c r="AN221" i="1"/>
  <c r="AN219" i="1" s="1"/>
  <c r="BT221" i="1"/>
  <c r="BT219" i="1" s="1"/>
  <c r="BS106" i="1"/>
  <c r="BS143" i="1"/>
  <c r="BS69" i="1" s="1"/>
  <c r="BS221" i="1"/>
  <c r="BS219" i="1" s="1"/>
  <c r="BS68" i="1"/>
  <c r="BQ108" i="1"/>
  <c r="BQ109" i="1"/>
  <c r="BQ110" i="1"/>
  <c r="BA109" i="1"/>
  <c r="BA108" i="1"/>
  <c r="BA110" i="1"/>
  <c r="AW109" i="1"/>
  <c r="AW108" i="1"/>
  <c r="AW110" i="1"/>
  <c r="CS152" i="1"/>
  <c r="CT46" i="1"/>
  <c r="AD138" i="1"/>
  <c r="W73" i="1"/>
  <c r="BM99" i="1" l="1"/>
  <c r="BM101" i="1"/>
  <c r="BM100" i="1"/>
  <c r="BK110" i="1"/>
  <c r="BK108" i="1"/>
  <c r="BK109" i="1"/>
  <c r="BU108" i="1"/>
  <c r="BU110" i="1"/>
  <c r="BU109" i="1"/>
  <c r="AU101" i="1"/>
  <c r="AU100" i="1"/>
  <c r="AQ103" i="1"/>
  <c r="AU99" i="1"/>
  <c r="AY108" i="1"/>
  <c r="AY109" i="1"/>
  <c r="AY110" i="1"/>
  <c r="BL83" i="1"/>
  <c r="BK83" i="1"/>
  <c r="BR83" i="1"/>
  <c r="BR100" i="1" s="1"/>
  <c r="BT83" i="1"/>
  <c r="BS83" i="1"/>
  <c r="AS109" i="1"/>
  <c r="AS110" i="1"/>
  <c r="AS108" i="1"/>
  <c r="BI106" i="1"/>
  <c r="BI143" i="1"/>
  <c r="BI69" i="1" s="1"/>
  <c r="BI221" i="1"/>
  <c r="BI219" i="1" s="1"/>
  <c r="BI68" i="1"/>
  <c r="BJ221" i="1"/>
  <c r="BJ219" i="1" s="1"/>
  <c r="AI224" i="1"/>
  <c r="AI225" i="1" s="1"/>
  <c r="BM109" i="1"/>
  <c r="BM110" i="1"/>
  <c r="BM108" i="1"/>
  <c r="BU83" i="1"/>
  <c r="BU99" i="1" s="1"/>
  <c r="BE108" i="1"/>
  <c r="BE110" i="1"/>
  <c r="BE109" i="1"/>
  <c r="BC221" i="1"/>
  <c r="BC219" i="1" s="1"/>
  <c r="BC143" i="1"/>
  <c r="BC69" i="1" s="1"/>
  <c r="BC106" i="1"/>
  <c r="BC68" i="1"/>
  <c r="BD221" i="1"/>
  <c r="BD219" i="1" s="1"/>
  <c r="BB103" i="1"/>
  <c r="BF99" i="1"/>
  <c r="BF101" i="1"/>
  <c r="BF100" i="1"/>
  <c r="BO108" i="1"/>
  <c r="BO109" i="1"/>
  <c r="BO110" i="1"/>
  <c r="AL99" i="1"/>
  <c r="AL100" i="1"/>
  <c r="AL101" i="1"/>
  <c r="AU109" i="1"/>
  <c r="AU110" i="1"/>
  <c r="AU108" i="1"/>
  <c r="AO110" i="1"/>
  <c r="AO108" i="1"/>
  <c r="AO109" i="1"/>
  <c r="BA83" i="1"/>
  <c r="AZ83" i="1"/>
  <c r="AY83" i="1"/>
  <c r="AY100" i="1" s="1"/>
  <c r="AX83" i="1"/>
  <c r="AV83" i="1"/>
  <c r="AW83" i="1"/>
  <c r="AT83" i="1"/>
  <c r="AR83" i="1"/>
  <c r="AS83" i="1"/>
  <c r="BQ83" i="1"/>
  <c r="BO83" i="1"/>
  <c r="BN83" i="1"/>
  <c r="BP83" i="1"/>
  <c r="AQ83" i="1"/>
  <c r="AN83" i="1"/>
  <c r="AP83" i="1"/>
  <c r="AO83" i="1"/>
  <c r="BJ83" i="1"/>
  <c r="BF103" i="1" s="1"/>
  <c r="BG83" i="1"/>
  <c r="BH83" i="1"/>
  <c r="BI83" i="1"/>
  <c r="BE83" i="1"/>
  <c r="BE100" i="1" s="1"/>
  <c r="BD83" i="1"/>
  <c r="BB83" i="1"/>
  <c r="BC83" i="1"/>
  <c r="BZ83" i="1"/>
  <c r="BX83" i="1"/>
  <c r="BY83" i="1"/>
  <c r="BW83" i="1"/>
  <c r="BG221" i="1"/>
  <c r="BG219" i="1" s="1"/>
  <c r="BG143" i="1"/>
  <c r="BG69" i="1" s="1"/>
  <c r="BG106" i="1"/>
  <c r="BG68" i="1"/>
  <c r="BH221" i="1"/>
  <c r="BH219" i="1" s="1"/>
  <c r="AQ143" i="1"/>
  <c r="AQ69" i="1" s="1"/>
  <c r="AQ221" i="1"/>
  <c r="AQ219" i="1" s="1"/>
  <c r="AQ106" i="1"/>
  <c r="AR221" i="1"/>
  <c r="AR219" i="1" s="1"/>
  <c r="AQ68" i="1"/>
  <c r="BW221" i="1"/>
  <c r="BW219" i="1" s="1"/>
  <c r="BX221" i="1"/>
  <c r="BX219" i="1" s="1"/>
  <c r="BW143" i="1"/>
  <c r="BW69" i="1" s="1"/>
  <c r="BW68" i="1"/>
  <c r="BW106" i="1"/>
  <c r="BV101" i="1"/>
  <c r="BV100" i="1"/>
  <c r="BV99" i="1"/>
  <c r="BS108" i="1"/>
  <c r="BS109" i="1"/>
  <c r="BS110" i="1"/>
  <c r="AC46" i="1"/>
  <c r="CT208" i="1"/>
  <c r="CT146" i="1"/>
  <c r="CS217" i="1"/>
  <c r="CS215" i="1" s="1"/>
  <c r="W74" i="1"/>
  <c r="BL99" i="1" l="1"/>
  <c r="BL100" i="1"/>
  <c r="BN103" i="1"/>
  <c r="BR99" i="1"/>
  <c r="BR101" i="1"/>
  <c r="BV84" i="1"/>
  <c r="BP103" i="1"/>
  <c r="BT101" i="1"/>
  <c r="BT99" i="1"/>
  <c r="BT100" i="1"/>
  <c r="BS101" i="1"/>
  <c r="BO103" i="1"/>
  <c r="BS100" i="1"/>
  <c r="BS99" i="1"/>
  <c r="BH103" i="1"/>
  <c r="BL101" i="1"/>
  <c r="BK99" i="1"/>
  <c r="BK100" i="1"/>
  <c r="BK101" i="1"/>
  <c r="BG103" i="1"/>
  <c r="BT84" i="1"/>
  <c r="BV103" i="1"/>
  <c r="BZ84" i="1"/>
  <c r="BY84" i="1"/>
  <c r="BI109" i="1"/>
  <c r="BI110" i="1"/>
  <c r="BI108" i="1"/>
  <c r="BQ103" i="1"/>
  <c r="BU101" i="1"/>
  <c r="BU100" i="1"/>
  <c r="BW99" i="1"/>
  <c r="BW84" i="1"/>
  <c r="BC109" i="1"/>
  <c r="BC108" i="1"/>
  <c r="BC110" i="1"/>
  <c r="AW103" i="1"/>
  <c r="BE84" i="1"/>
  <c r="BQ100" i="1"/>
  <c r="BM103" i="1"/>
  <c r="AQ100" i="1"/>
  <c r="AQ99" i="1"/>
  <c r="BU84" i="1"/>
  <c r="BA101" i="1"/>
  <c r="AX84" i="1"/>
  <c r="CD84" i="1"/>
  <c r="BZ101" i="1"/>
  <c r="BX100" i="1"/>
  <c r="BT103" i="1"/>
  <c r="BX101" i="1"/>
  <c r="CB84" i="1"/>
  <c r="BX99" i="1"/>
  <c r="AN101" i="1"/>
  <c r="AR84" i="1"/>
  <c r="AN100" i="1"/>
  <c r="AN99" i="1"/>
  <c r="BO99" i="1"/>
  <c r="BK103" i="1"/>
  <c r="BO100" i="1"/>
  <c r="BO84" i="1"/>
  <c r="BO101" i="1"/>
  <c r="AP103" i="1"/>
  <c r="CA84" i="1"/>
  <c r="BS103" i="1"/>
  <c r="BW101" i="1"/>
  <c r="BE101" i="1"/>
  <c r="BI84" i="1"/>
  <c r="BE99" i="1"/>
  <c r="BJ100" i="1"/>
  <c r="BJ84" i="1"/>
  <c r="BJ99" i="1"/>
  <c r="AU84" i="1"/>
  <c r="AQ84" i="1"/>
  <c r="AQ101" i="1"/>
  <c r="BQ99" i="1"/>
  <c r="BQ84" i="1"/>
  <c r="BQ101" i="1"/>
  <c r="AW99" i="1"/>
  <c r="AW100" i="1"/>
  <c r="AS103" i="1"/>
  <c r="BA84" i="1"/>
  <c r="AW101" i="1"/>
  <c r="AV103" i="1"/>
  <c r="AZ101" i="1"/>
  <c r="AZ100" i="1"/>
  <c r="BD84" i="1"/>
  <c r="AZ99" i="1"/>
  <c r="AZ103" i="1"/>
  <c r="BD99" i="1"/>
  <c r="BH84" i="1"/>
  <c r="BD101" i="1"/>
  <c r="BD100" i="1"/>
  <c r="AY101" i="1"/>
  <c r="AU103" i="1"/>
  <c r="BC84" i="1"/>
  <c r="AY84" i="1"/>
  <c r="AT100" i="1"/>
  <c r="BJ101" i="1"/>
  <c r="BW100" i="1"/>
  <c r="AM103" i="1"/>
  <c r="BS84" i="1"/>
  <c r="BC101" i="1"/>
  <c r="AY103" i="1"/>
  <c r="BG84" i="1"/>
  <c r="BC100" i="1"/>
  <c r="BC99" i="1"/>
  <c r="BM84" i="1"/>
  <c r="BI101" i="1"/>
  <c r="BI99" i="1"/>
  <c r="BI100" i="1"/>
  <c r="BE103" i="1"/>
  <c r="AO101" i="1"/>
  <c r="AO99" i="1"/>
  <c r="AS84" i="1"/>
  <c r="AO100" i="1"/>
  <c r="BP84" i="1"/>
  <c r="BL103" i="1"/>
  <c r="BP100" i="1"/>
  <c r="BP101" i="1"/>
  <c r="BP99" i="1"/>
  <c r="AS100" i="1"/>
  <c r="AO103" i="1"/>
  <c r="AS101" i="1"/>
  <c r="AS99" i="1"/>
  <c r="AW84" i="1"/>
  <c r="AV100" i="1"/>
  <c r="AV99" i="1"/>
  <c r="AZ84" i="1"/>
  <c r="AV101" i="1"/>
  <c r="AR103" i="1"/>
  <c r="BA99" i="1"/>
  <c r="BA100" i="1"/>
  <c r="BC103" i="1"/>
  <c r="BG99" i="1"/>
  <c r="BG100" i="1"/>
  <c r="BG101" i="1"/>
  <c r="BK84" i="1"/>
  <c r="AT101" i="1"/>
  <c r="AT99" i="1"/>
  <c r="AY99" i="1"/>
  <c r="BZ100" i="1"/>
  <c r="CC104" i="1" s="1"/>
  <c r="BA103" i="1"/>
  <c r="BN84" i="1"/>
  <c r="BZ99" i="1"/>
  <c r="CC84" i="1"/>
  <c r="BY101" i="1"/>
  <c r="BU103" i="1"/>
  <c r="BY100" i="1"/>
  <c r="CB104" i="1" s="1"/>
  <c r="BY99" i="1"/>
  <c r="AX103" i="1"/>
  <c r="BF84" i="1"/>
  <c r="BB101" i="1"/>
  <c r="BB100" i="1"/>
  <c r="BB99" i="1"/>
  <c r="BH101" i="1"/>
  <c r="BH99" i="1"/>
  <c r="BD103" i="1"/>
  <c r="BL84" i="1"/>
  <c r="BH100" i="1"/>
  <c r="AT84" i="1"/>
  <c r="AP101" i="1"/>
  <c r="AP84" i="1"/>
  <c r="AL103" i="1"/>
  <c r="AP100" i="1"/>
  <c r="AP99" i="1"/>
  <c r="BR84" i="1"/>
  <c r="BJ103" i="1"/>
  <c r="BN101" i="1"/>
  <c r="BN99" i="1"/>
  <c r="BN100" i="1"/>
  <c r="AN103" i="1"/>
  <c r="AR101" i="1"/>
  <c r="AR100" i="1"/>
  <c r="AR99" i="1"/>
  <c r="AV84" i="1"/>
  <c r="AX100" i="1"/>
  <c r="BB84" i="1"/>
  <c r="AX99" i="1"/>
  <c r="AT103" i="1"/>
  <c r="AX101" i="1"/>
  <c r="BX84" i="1"/>
  <c r="BW108" i="1"/>
  <c r="BW110" i="1"/>
  <c r="BW109" i="1"/>
  <c r="BG108" i="1"/>
  <c r="BG110" i="1"/>
  <c r="BG109" i="1"/>
  <c r="AQ109" i="1"/>
  <c r="AQ110" i="1"/>
  <c r="AQ108" i="1"/>
  <c r="AC208" i="1"/>
  <c r="AC146" i="1"/>
  <c r="AC148" i="1" s="1"/>
  <c r="AC47" i="1" s="1"/>
  <c r="CT148" i="1"/>
  <c r="AD139" i="1"/>
  <c r="AD142" i="1" s="1"/>
  <c r="AD263" i="1" s="1"/>
  <c r="AR123" i="1"/>
  <c r="W75" i="1"/>
  <c r="BT104" i="1" l="1"/>
  <c r="BH104" i="1"/>
  <c r="BM104" i="1"/>
  <c r="BG104" i="1"/>
  <c r="BN104" i="1"/>
  <c r="BB104" i="1"/>
  <c r="BI104" i="1"/>
  <c r="AW104" i="1"/>
  <c r="BL104" i="1"/>
  <c r="BY104" i="1"/>
  <c r="AZ104" i="1"/>
  <c r="AR104" i="1"/>
  <c r="AV104" i="1"/>
  <c r="BJ104" i="1"/>
  <c r="BE104" i="1"/>
  <c r="AS104" i="1"/>
  <c r="AU104" i="1"/>
  <c r="BA104" i="1"/>
  <c r="AT104" i="1"/>
  <c r="AQ104" i="1"/>
  <c r="AP104" i="1"/>
  <c r="AO104" i="1"/>
  <c r="BP104" i="1"/>
  <c r="BO104" i="1"/>
  <c r="AY104" i="1"/>
  <c r="AX104" i="1"/>
  <c r="CA104" i="1"/>
  <c r="BR104" i="1"/>
  <c r="BC104" i="1"/>
  <c r="BZ104" i="1"/>
  <c r="BF104" i="1"/>
  <c r="BS104" i="1"/>
  <c r="BD104" i="1"/>
  <c r="BK104" i="1"/>
  <c r="BQ104" i="1"/>
  <c r="BX104" i="1"/>
  <c r="BW104" i="1"/>
  <c r="BV104" i="1"/>
  <c r="BU104" i="1"/>
  <c r="CU46" i="1"/>
  <c r="CT152" i="1"/>
  <c r="AD220" i="1"/>
  <c r="AB152" i="1"/>
  <c r="AR124" i="1"/>
  <c r="AR127" i="1" s="1"/>
  <c r="AR125" i="1"/>
  <c r="AR128" i="1" s="1"/>
  <c r="CA241" i="1"/>
  <c r="CB241" i="1"/>
  <c r="W207" i="1"/>
  <c r="W209" i="1" s="1"/>
  <c r="BU241" i="1"/>
  <c r="CT217" i="1" l="1"/>
  <c r="CT215" i="1" s="1"/>
  <c r="CU208" i="1"/>
  <c r="CU146" i="1"/>
  <c r="AB217" i="1"/>
  <c r="AB215" i="1" s="1"/>
  <c r="AE138" i="1"/>
  <c r="CA103" i="1"/>
  <c r="CU148" i="1" l="1"/>
  <c r="CF103" i="1"/>
  <c r="CU152" i="1" l="1"/>
  <c r="CV46" i="1"/>
  <c r="AE139" i="1"/>
  <c r="AE142" i="1" s="1"/>
  <c r="AE263" i="1" s="1"/>
  <c r="CV208" i="1" l="1"/>
  <c r="CV146" i="1"/>
  <c r="CU217" i="1"/>
  <c r="CU215" i="1" s="1"/>
  <c r="AE220" i="1"/>
  <c r="AC152" i="1"/>
  <c r="W134" i="1"/>
  <c r="CV148" i="1" l="1"/>
  <c r="W68" i="1"/>
  <c r="AC217" i="1"/>
  <c r="AC215" i="1" s="1"/>
  <c r="X221" i="1"/>
  <c r="X219" i="1" s="1"/>
  <c r="W221" i="1"/>
  <c r="W219" i="1" s="1"/>
  <c r="W143" i="1"/>
  <c r="W69" i="1" s="1"/>
  <c r="W189" i="1"/>
  <c r="CW46" i="1" l="1"/>
  <c r="CV152" i="1"/>
  <c r="CV217" i="1" l="1"/>
  <c r="CV215" i="1" s="1"/>
  <c r="CW208" i="1"/>
  <c r="CW146" i="1"/>
  <c r="CW148" i="1" l="1"/>
  <c r="CW152" i="1" l="1"/>
  <c r="CX46" i="1"/>
  <c r="AD46" i="1" l="1"/>
  <c r="CX208" i="1"/>
  <c r="CX146" i="1"/>
  <c r="CW217" i="1"/>
  <c r="CW215" i="1" s="1"/>
  <c r="AD208" i="1" l="1"/>
  <c r="AD146" i="1"/>
  <c r="AD148" i="1" s="1"/>
  <c r="CX148" i="1"/>
  <c r="AD152" i="1" l="1"/>
  <c r="AD217" i="1" s="1"/>
  <c r="AD215" i="1" s="1"/>
  <c r="AD47" i="1"/>
  <c r="CX152" i="1"/>
  <c r="CY46" i="1"/>
  <c r="CY208" i="1" l="1"/>
  <c r="CY146" i="1"/>
  <c r="CX217" i="1"/>
  <c r="CX215" i="1" s="1"/>
  <c r="CY148" i="1" l="1"/>
  <c r="W194" i="1"/>
  <c r="CY152" i="1" l="1"/>
  <c r="CZ46" i="1"/>
  <c r="W197" i="1"/>
  <c r="W170" i="1"/>
  <c r="X211" i="1" s="1"/>
  <c r="CZ208" i="1" l="1"/>
  <c r="CZ146" i="1"/>
  <c r="CY217" i="1"/>
  <c r="CY215" i="1" s="1"/>
  <c r="W199" i="1"/>
  <c r="W198" i="1" s="1"/>
  <c r="W211" i="1"/>
  <c r="W162" i="1"/>
  <c r="X210" i="1" s="1"/>
  <c r="X212" i="1" s="1"/>
  <c r="X213" i="1" s="1"/>
  <c r="X227" i="1" s="1"/>
  <c r="W193" i="1"/>
  <c r="CZ148" i="1" l="1"/>
  <c r="W196" i="1"/>
  <c r="W171" i="1"/>
  <c r="W210" i="1"/>
  <c r="W212" i="1" s="1"/>
  <c r="W213" i="1" s="1"/>
  <c r="CZ152" i="1" l="1"/>
  <c r="CZ217" i="1" s="1"/>
  <c r="CZ215" i="1" s="1"/>
  <c r="DA46" i="1"/>
  <c r="W195" i="1"/>
  <c r="W200" i="1"/>
  <c r="W224" i="1"/>
  <c r="W227" i="1"/>
  <c r="DA208" i="1" l="1"/>
  <c r="DA146" i="1"/>
  <c r="W203" i="1"/>
  <c r="W204" i="1" s="1"/>
  <c r="X203" i="1"/>
  <c r="X204" i="1" s="1"/>
  <c r="DA148" i="1" l="1"/>
  <c r="W175" i="1"/>
  <c r="X223" i="1" l="1"/>
  <c r="X224" i="1" s="1"/>
  <c r="X225" i="1" s="1"/>
  <c r="W260" i="1"/>
  <c r="W262" i="1"/>
  <c r="W258" i="1"/>
  <c r="DA152" i="1"/>
  <c r="DA217" i="1" s="1"/>
  <c r="DA215" i="1" s="1"/>
  <c r="DB46" i="1"/>
  <c r="W182" i="1"/>
  <c r="W123" i="1" s="1"/>
  <c r="W179" i="1"/>
  <c r="W225" i="1"/>
  <c r="AE46" i="1" l="1"/>
  <c r="AE208" i="1" s="1"/>
  <c r="DB208" i="1"/>
  <c r="DB146" i="1"/>
  <c r="W180" i="1"/>
  <c r="DB148" i="1" l="1"/>
  <c r="DB152" i="1" s="1"/>
  <c r="DB217" i="1" s="1"/>
  <c r="DB215" i="1" s="1"/>
  <c r="AE146" i="1"/>
  <c r="AE148" i="1" s="1"/>
  <c r="C111" i="2"/>
  <c r="C112" i="2"/>
  <c r="C113" i="2"/>
  <c r="AE152" i="1" l="1"/>
  <c r="AE217" i="1" s="1"/>
  <c r="AE215" i="1" s="1"/>
  <c r="AE47" i="1"/>
  <c r="B87" i="1"/>
  <c r="B88" i="1"/>
  <c r="AK193" i="1" l="1"/>
  <c r="AK158" i="1" s="1"/>
  <c r="AM158" i="1" l="1"/>
  <c r="AO158" i="1" l="1"/>
  <c r="AQ158" i="1" l="1"/>
  <c r="AS158" i="1" l="1"/>
  <c r="AU158" i="1" l="1"/>
  <c r="AW158" i="1" l="1"/>
  <c r="AY158" i="1" l="1"/>
  <c r="BA158" i="1" l="1"/>
  <c r="BC158" i="1" l="1"/>
  <c r="BE158" i="1" l="1"/>
  <c r="BG158" i="1" l="1"/>
  <c r="BI158" i="1" l="1"/>
  <c r="BK158" i="1" l="1"/>
  <c r="BM158" i="1" l="1"/>
  <c r="BO158" i="1" l="1"/>
  <c r="BQ158" i="1" l="1"/>
  <c r="BS158" i="1" l="1"/>
  <c r="BU158" i="1" l="1"/>
  <c r="BW158" i="1" l="1"/>
  <c r="BY158" i="1" l="1"/>
  <c r="AK159" i="1" l="1"/>
  <c r="AK162" i="1" s="1"/>
  <c r="AL210" i="1" l="1"/>
  <c r="AK210" i="1"/>
  <c r="AK196" i="1"/>
  <c r="AM159" i="1"/>
  <c r="AM162" i="1" s="1"/>
  <c r="AM196" i="1" l="1"/>
  <c r="AM195" i="1" s="1"/>
  <c r="AN210" i="1"/>
  <c r="AM210" i="1"/>
  <c r="AJ195" i="1"/>
  <c r="AK195" i="1"/>
  <c r="AO159" i="1" l="1"/>
  <c r="AO162" i="1" s="1"/>
  <c r="AP210" i="1" l="1"/>
  <c r="AO196" i="1"/>
  <c r="AO195" i="1" s="1"/>
  <c r="AO210" i="1"/>
  <c r="AQ159" i="1" l="1"/>
  <c r="AQ162" i="1" s="1"/>
  <c r="AQ196" i="1" l="1"/>
  <c r="AQ195" i="1" s="1"/>
  <c r="AR210" i="1"/>
  <c r="AQ210" i="1"/>
  <c r="AS159" i="1" l="1"/>
  <c r="AS162" i="1" s="1"/>
  <c r="AT210" i="1" l="1"/>
  <c r="AS196" i="1"/>
  <c r="AS195" i="1" s="1"/>
  <c r="AS210" i="1"/>
  <c r="AU159" i="1" l="1"/>
  <c r="AU162" i="1" s="1"/>
  <c r="AU196" i="1" l="1"/>
  <c r="AU195" i="1" s="1"/>
  <c r="AV210" i="1"/>
  <c r="AU210" i="1"/>
  <c r="AW159" i="1" l="1"/>
  <c r="AW162" i="1" s="1"/>
  <c r="AW196" i="1" l="1"/>
  <c r="AW195" i="1" s="1"/>
  <c r="AX210" i="1"/>
  <c r="AW210" i="1"/>
  <c r="AY159" i="1" l="1"/>
  <c r="AY162" i="1" s="1"/>
  <c r="AY196" i="1" l="1"/>
  <c r="AY195" i="1" s="1"/>
  <c r="AZ210" i="1"/>
  <c r="AY210" i="1"/>
  <c r="BA159" i="1" l="1"/>
  <c r="BA162" i="1" s="1"/>
  <c r="BB210" i="1" l="1"/>
  <c r="BA196" i="1"/>
  <c r="BA195" i="1" s="1"/>
  <c r="BA210" i="1"/>
  <c r="BC159" i="1" l="1"/>
  <c r="BC162" i="1" s="1"/>
  <c r="BD210" i="1" l="1"/>
  <c r="BC196" i="1"/>
  <c r="BC195" i="1" s="1"/>
  <c r="BC210" i="1"/>
  <c r="BE159" i="1" l="1"/>
  <c r="BE162" i="1" s="1"/>
  <c r="BF210" i="1" l="1"/>
  <c r="BE196" i="1"/>
  <c r="BE195" i="1" s="1"/>
  <c r="BE210" i="1"/>
  <c r="BG159" i="1" l="1"/>
  <c r="BG162" i="1" s="1"/>
  <c r="BG196" i="1" l="1"/>
  <c r="BG195" i="1" s="1"/>
  <c r="BH210" i="1"/>
  <c r="BG210" i="1"/>
  <c r="BI159" i="1" l="1"/>
  <c r="BI162" i="1" s="1"/>
  <c r="BJ210" i="1" l="1"/>
  <c r="BI196" i="1"/>
  <c r="BI195" i="1" s="1"/>
  <c r="BI210" i="1"/>
  <c r="BK159" i="1" l="1"/>
  <c r="BK162" i="1" s="1"/>
  <c r="BL210" i="1" l="1"/>
  <c r="BK196" i="1"/>
  <c r="BK195" i="1" s="1"/>
  <c r="BK210" i="1"/>
  <c r="BM159" i="1" l="1"/>
  <c r="BM162" i="1" s="1"/>
  <c r="BM196" i="1" l="1"/>
  <c r="BM195" i="1" s="1"/>
  <c r="BN210" i="1"/>
  <c r="BM210" i="1"/>
  <c r="BO159" i="1" l="1"/>
  <c r="BO162" i="1" s="1"/>
  <c r="BO196" i="1" l="1"/>
  <c r="BO195" i="1" s="1"/>
  <c r="BP210" i="1"/>
  <c r="BO210" i="1"/>
  <c r="BQ159" i="1" l="1"/>
  <c r="BQ162" i="1" s="1"/>
  <c r="BR210" i="1" l="1"/>
  <c r="BQ196" i="1"/>
  <c r="BQ195" i="1" s="1"/>
  <c r="BQ210" i="1"/>
  <c r="BS159" i="1" l="1"/>
  <c r="BS162" i="1" s="1"/>
  <c r="BT210" i="1" l="1"/>
  <c r="BS196" i="1"/>
  <c r="BS195" i="1" s="1"/>
  <c r="BS210" i="1"/>
  <c r="BU159" i="1" l="1"/>
  <c r="BU162" i="1" s="1"/>
  <c r="BU196" i="1" l="1"/>
  <c r="BU195" i="1" s="1"/>
  <c r="BV210" i="1"/>
  <c r="BU210" i="1"/>
  <c r="BW159" i="1" l="1"/>
  <c r="BW162" i="1" s="1"/>
  <c r="BW196" i="1" l="1"/>
  <c r="BW195" i="1" s="1"/>
  <c r="BX210" i="1"/>
  <c r="BW210" i="1"/>
  <c r="BY159" i="1" l="1"/>
  <c r="BY162" i="1" s="1"/>
  <c r="BZ210" i="1" l="1"/>
  <c r="BY196" i="1"/>
  <c r="BY195" i="1" s="1"/>
  <c r="BY210" i="1"/>
  <c r="AK197" i="1" l="1"/>
  <c r="AK167" i="1" s="1"/>
  <c r="AK170" i="1" s="1"/>
  <c r="AK171" i="1" l="1"/>
  <c r="AK199" i="1"/>
  <c r="AL211" i="1"/>
  <c r="AL212" i="1" s="1"/>
  <c r="AL213" i="1" s="1"/>
  <c r="AL227" i="1" s="1"/>
  <c r="AK211" i="1"/>
  <c r="AK212" i="1" s="1"/>
  <c r="AK213" i="1" s="1"/>
  <c r="AM167" i="1"/>
  <c r="AM170" i="1" s="1"/>
  <c r="AK227" i="1" l="1"/>
  <c r="AK224" i="1"/>
  <c r="AK174" i="1" s="1"/>
  <c r="AK175" i="1" s="1"/>
  <c r="AK179" i="1" s="1"/>
  <c r="AK180" i="1" s="1"/>
  <c r="AN211" i="1"/>
  <c r="AN212" i="1" s="1"/>
  <c r="AN213" i="1" s="1"/>
  <c r="AN227" i="1" s="1"/>
  <c r="AM199" i="1"/>
  <c r="AM198" i="1" s="1"/>
  <c r="AM211" i="1"/>
  <c r="AM212" i="1" s="1"/>
  <c r="AM213" i="1" s="1"/>
  <c r="AM171" i="1"/>
  <c r="AJ198" i="1"/>
  <c r="AJ200" i="1"/>
  <c r="AN203" i="1" s="1"/>
  <c r="AK198" i="1"/>
  <c r="AK200" i="1"/>
  <c r="AO167" i="1"/>
  <c r="AO170" i="1" s="1"/>
  <c r="AM200" i="1" l="1"/>
  <c r="AO199" i="1"/>
  <c r="AO198" i="1" s="1"/>
  <c r="AP211" i="1"/>
  <c r="AP212" i="1" s="1"/>
  <c r="AP213" i="1" s="1"/>
  <c r="AP227" i="1" s="1"/>
  <c r="AO211" i="1"/>
  <c r="AO212" i="1" s="1"/>
  <c r="AO213" i="1" s="1"/>
  <c r="AM227" i="1"/>
  <c r="AM224" i="1"/>
  <c r="AO171" i="1"/>
  <c r="AL223" i="1" l="1"/>
  <c r="AL224" i="1" s="1"/>
  <c r="AL225" i="1" s="1"/>
  <c r="AK225" i="1"/>
  <c r="AO200" i="1"/>
  <c r="AO203" i="1" s="1"/>
  <c r="AO227" i="1"/>
  <c r="AO224" i="1"/>
  <c r="AQ167" i="1"/>
  <c r="AQ170" i="1" s="1"/>
  <c r="AK182" i="1"/>
  <c r="AL51" i="1" s="1"/>
  <c r="AM174" i="1"/>
  <c r="AM175" i="1" s="1"/>
  <c r="AM179" i="1" s="1"/>
  <c r="AN223" i="1" l="1"/>
  <c r="AN224" i="1" s="1"/>
  <c r="AN225" i="1" s="1"/>
  <c r="AM262" i="1"/>
  <c r="AM260" i="1"/>
  <c r="AM258" i="1"/>
  <c r="AQ199" i="1"/>
  <c r="AQ198" i="1" s="1"/>
  <c r="AR211" i="1"/>
  <c r="AR212" i="1" s="1"/>
  <c r="AR213" i="1" s="1"/>
  <c r="AR227" i="1" s="1"/>
  <c r="AQ211" i="1"/>
  <c r="AQ212" i="1" s="1"/>
  <c r="AQ213" i="1" s="1"/>
  <c r="AM225" i="1"/>
  <c r="AQ171" i="1"/>
  <c r="AO174" i="1"/>
  <c r="AO175" i="1" s="1"/>
  <c r="AM182" i="1"/>
  <c r="AO260" i="1" l="1"/>
  <c r="AO262" i="1"/>
  <c r="AO258" i="1"/>
  <c r="AM123" i="1"/>
  <c r="AM124" i="1" s="1"/>
  <c r="AM127" i="1" s="1"/>
  <c r="AN51" i="1"/>
  <c r="AQ200" i="1"/>
  <c r="AQ203" i="1" s="1"/>
  <c r="AQ227" i="1"/>
  <c r="AQ224" i="1"/>
  <c r="AP223" i="1"/>
  <c r="AP224" i="1" s="1"/>
  <c r="AP225" i="1" s="1"/>
  <c r="AO225" i="1"/>
  <c r="AS167" i="1"/>
  <c r="AS170" i="1" s="1"/>
  <c r="AO182" i="1"/>
  <c r="AO179" i="1"/>
  <c r="AM180" i="1"/>
  <c r="AM125" i="1" l="1"/>
  <c r="AM128" i="1" s="1"/>
  <c r="AO123" i="1"/>
  <c r="AO125" i="1" s="1"/>
  <c r="AO128" i="1" s="1"/>
  <c r="AP51" i="1"/>
  <c r="AS199" i="1"/>
  <c r="AS198" i="1" s="1"/>
  <c r="AT211" i="1"/>
  <c r="AT212" i="1" s="1"/>
  <c r="AT213" i="1" s="1"/>
  <c r="AT227" i="1" s="1"/>
  <c r="AS211" i="1"/>
  <c r="AS212" i="1" s="1"/>
  <c r="AS213" i="1" s="1"/>
  <c r="AO180" i="1"/>
  <c r="AS171" i="1"/>
  <c r="AQ174" i="1"/>
  <c r="AQ175" i="1" s="1"/>
  <c r="AQ260" i="1" l="1"/>
  <c r="AQ262" i="1"/>
  <c r="AQ258" i="1"/>
  <c r="AO124" i="1"/>
  <c r="AO127" i="1" s="1"/>
  <c r="AS200" i="1"/>
  <c r="AS203" i="1" s="1"/>
  <c r="AS227" i="1"/>
  <c r="AS224" i="1"/>
  <c r="AR223" i="1"/>
  <c r="AR224" i="1" s="1"/>
  <c r="AR225" i="1" s="1"/>
  <c r="AQ225" i="1"/>
  <c r="AQ179" i="1"/>
  <c r="AQ182" i="1"/>
  <c r="AU167" i="1"/>
  <c r="AU170" i="1" s="1"/>
  <c r="AQ123" i="1" l="1"/>
  <c r="AQ124" i="1" s="1"/>
  <c r="AQ127" i="1" s="1"/>
  <c r="AR51" i="1"/>
  <c r="AU199" i="1"/>
  <c r="AU198" i="1" s="1"/>
  <c r="AV211" i="1"/>
  <c r="AV212" i="1" s="1"/>
  <c r="AV213" i="1" s="1"/>
  <c r="AV227" i="1" s="1"/>
  <c r="AU211" i="1"/>
  <c r="AU212" i="1" s="1"/>
  <c r="AU213" i="1" s="1"/>
  <c r="AU171" i="1"/>
  <c r="AS174" i="1"/>
  <c r="AS175" i="1" s="1"/>
  <c r="AQ180" i="1"/>
  <c r="AS262" i="1" l="1"/>
  <c r="AS260" i="1"/>
  <c r="AS258" i="1"/>
  <c r="AQ125" i="1"/>
  <c r="AQ128" i="1" s="1"/>
  <c r="AU200" i="1"/>
  <c r="AU203" i="1" s="1"/>
  <c r="AU227" i="1"/>
  <c r="AU224" i="1"/>
  <c r="AT223" i="1"/>
  <c r="AT224" i="1" s="1"/>
  <c r="AT225" i="1" s="1"/>
  <c r="AS225" i="1"/>
  <c r="AS182" i="1"/>
  <c r="AS179" i="1"/>
  <c r="AW167" i="1"/>
  <c r="AW170" i="1" s="1"/>
  <c r="AS123" i="1" l="1"/>
  <c r="AS124" i="1" s="1"/>
  <c r="AS127" i="1" s="1"/>
  <c r="AT51" i="1"/>
  <c r="AW199" i="1"/>
  <c r="AW200" i="1" s="1"/>
  <c r="AW203" i="1" s="1"/>
  <c r="AX211" i="1"/>
  <c r="AX212" i="1" s="1"/>
  <c r="AX213" i="1" s="1"/>
  <c r="AX227" i="1" s="1"/>
  <c r="AW211" i="1"/>
  <c r="AW212" i="1" s="1"/>
  <c r="AW213" i="1" s="1"/>
  <c r="AU174" i="1"/>
  <c r="AU175" i="1" s="1"/>
  <c r="AS180" i="1"/>
  <c r="AW171" i="1"/>
  <c r="AU262" i="1" l="1"/>
  <c r="AU260" i="1"/>
  <c r="AU258" i="1"/>
  <c r="AS125" i="1"/>
  <c r="AS128" i="1" s="1"/>
  <c r="AW198" i="1"/>
  <c r="AW227" i="1"/>
  <c r="AW224" i="1"/>
  <c r="AV223" i="1"/>
  <c r="AV224" i="1" s="1"/>
  <c r="AV225" i="1" s="1"/>
  <c r="AU225" i="1"/>
  <c r="AU182" i="1"/>
  <c r="AU179" i="1"/>
  <c r="AY167" i="1"/>
  <c r="AY170" i="1" s="1"/>
  <c r="AU123" i="1" l="1"/>
  <c r="AU125" i="1" s="1"/>
  <c r="AU128" i="1" s="1"/>
  <c r="AV51" i="1"/>
  <c r="AY199" i="1"/>
  <c r="AY198" i="1" s="1"/>
  <c r="AZ211" i="1"/>
  <c r="AZ212" i="1" s="1"/>
  <c r="AZ213" i="1" s="1"/>
  <c r="AZ227" i="1" s="1"/>
  <c r="AY211" i="1"/>
  <c r="AY212" i="1" s="1"/>
  <c r="AY213" i="1" s="1"/>
  <c r="AW174" i="1"/>
  <c r="AW175" i="1" s="1"/>
  <c r="AY171" i="1"/>
  <c r="AU180" i="1"/>
  <c r="AW260" i="1" l="1"/>
  <c r="AW262" i="1"/>
  <c r="AW258" i="1"/>
  <c r="AU124" i="1"/>
  <c r="AU127" i="1" s="1"/>
  <c r="AY200" i="1"/>
  <c r="AY203" i="1" s="1"/>
  <c r="AY227" i="1"/>
  <c r="AY224" i="1"/>
  <c r="AX223" i="1"/>
  <c r="AX224" i="1" s="1"/>
  <c r="AX225" i="1" s="1"/>
  <c r="AW225" i="1"/>
  <c r="BA167" i="1"/>
  <c r="BA170" i="1" s="1"/>
  <c r="AW179" i="1"/>
  <c r="AW182" i="1"/>
  <c r="AW123" i="1" l="1"/>
  <c r="AW125" i="1" s="1"/>
  <c r="AW128" i="1" s="1"/>
  <c r="AX51" i="1"/>
  <c r="BB211" i="1"/>
  <c r="BB212" i="1" s="1"/>
  <c r="BB213" i="1" s="1"/>
  <c r="BB227" i="1" s="1"/>
  <c r="BA199" i="1"/>
  <c r="BA198" i="1" s="1"/>
  <c r="BA211" i="1"/>
  <c r="BA212" i="1" s="1"/>
  <c r="BA213" i="1" s="1"/>
  <c r="AW180" i="1"/>
  <c r="BA171" i="1"/>
  <c r="AY174" i="1"/>
  <c r="AY175" i="1" s="1"/>
  <c r="AY260" i="1" l="1"/>
  <c r="AY262" i="1"/>
  <c r="AY258" i="1"/>
  <c r="AW124" i="1"/>
  <c r="AW127" i="1" s="1"/>
  <c r="BA200" i="1"/>
  <c r="BA203" i="1" s="1"/>
  <c r="BA227" i="1"/>
  <c r="BA224" i="1"/>
  <c r="AZ223" i="1"/>
  <c r="AZ224" i="1" s="1"/>
  <c r="AZ225" i="1" s="1"/>
  <c r="AY225" i="1"/>
  <c r="AY179" i="1"/>
  <c r="AY182" i="1"/>
  <c r="BC167" i="1"/>
  <c r="BC170" i="1" s="1"/>
  <c r="AY123" i="1" l="1"/>
  <c r="AY125" i="1" s="1"/>
  <c r="AY128" i="1" s="1"/>
  <c r="AZ51" i="1"/>
  <c r="BC199" i="1"/>
  <c r="BC198" i="1" s="1"/>
  <c r="BD211" i="1"/>
  <c r="BD212" i="1" s="1"/>
  <c r="BD213" i="1" s="1"/>
  <c r="BD227" i="1" s="1"/>
  <c r="BC211" i="1"/>
  <c r="BC212" i="1" s="1"/>
  <c r="BC213" i="1" s="1"/>
  <c r="AY180" i="1"/>
  <c r="BC171" i="1"/>
  <c r="BA174" i="1"/>
  <c r="BA175" i="1" s="1"/>
  <c r="BA262" i="1" l="1"/>
  <c r="BA260" i="1"/>
  <c r="BA258" i="1"/>
  <c r="AY124" i="1"/>
  <c r="AY127" i="1" s="1"/>
  <c r="BC200" i="1"/>
  <c r="BC203" i="1" s="1"/>
  <c r="BC227" i="1"/>
  <c r="BC224" i="1"/>
  <c r="BB223" i="1"/>
  <c r="BB224" i="1" s="1"/>
  <c r="BB225" i="1" s="1"/>
  <c r="BA225" i="1"/>
  <c r="BE167" i="1"/>
  <c r="BE170" i="1" s="1"/>
  <c r="BA182" i="1"/>
  <c r="BA179" i="1"/>
  <c r="BA123" i="1" l="1"/>
  <c r="BA124" i="1" s="1"/>
  <c r="BA127" i="1" s="1"/>
  <c r="BB51" i="1"/>
  <c r="BE199" i="1"/>
  <c r="BE198" i="1" s="1"/>
  <c r="BF211" i="1"/>
  <c r="BF212" i="1" s="1"/>
  <c r="BF213" i="1" s="1"/>
  <c r="BF227" i="1" s="1"/>
  <c r="BE211" i="1"/>
  <c r="BE212" i="1" s="1"/>
  <c r="BE213" i="1" s="1"/>
  <c r="BC174" i="1"/>
  <c r="BC175" i="1" s="1"/>
  <c r="BA180" i="1"/>
  <c r="BE171" i="1"/>
  <c r="BC262" i="1" l="1"/>
  <c r="BC260" i="1"/>
  <c r="BC258" i="1"/>
  <c r="BA125" i="1"/>
  <c r="BA128" i="1" s="1"/>
  <c r="BE200" i="1"/>
  <c r="BE203" i="1" s="1"/>
  <c r="BE227" i="1"/>
  <c r="BE224" i="1"/>
  <c r="BD223" i="1"/>
  <c r="BD224" i="1" s="1"/>
  <c r="BD225" i="1" s="1"/>
  <c r="BC225" i="1"/>
  <c r="BG167" i="1"/>
  <c r="BG170" i="1" s="1"/>
  <c r="BC179" i="1"/>
  <c r="BC182" i="1"/>
  <c r="BC123" i="1" l="1"/>
  <c r="BC124" i="1" s="1"/>
  <c r="BC127" i="1" s="1"/>
  <c r="BD51" i="1"/>
  <c r="BG199" i="1"/>
  <c r="BG200" i="1" s="1"/>
  <c r="BG203" i="1" s="1"/>
  <c r="BH211" i="1"/>
  <c r="BH212" i="1" s="1"/>
  <c r="BH213" i="1" s="1"/>
  <c r="BH227" i="1" s="1"/>
  <c r="BG211" i="1"/>
  <c r="BG212" i="1" s="1"/>
  <c r="BG213" i="1" s="1"/>
  <c r="BC180" i="1"/>
  <c r="BE174" i="1"/>
  <c r="BE175" i="1" s="1"/>
  <c r="BG171" i="1"/>
  <c r="BE260" i="1" l="1"/>
  <c r="BE262" i="1"/>
  <c r="BE258" i="1"/>
  <c r="BC125" i="1"/>
  <c r="BC128" i="1" s="1"/>
  <c r="BG198" i="1"/>
  <c r="BG227" i="1"/>
  <c r="BG224" i="1"/>
  <c r="BF223" i="1"/>
  <c r="BF224" i="1" s="1"/>
  <c r="BF225" i="1" s="1"/>
  <c r="BE225" i="1"/>
  <c r="BE182" i="1"/>
  <c r="BE179" i="1"/>
  <c r="BI167" i="1"/>
  <c r="BI170" i="1" s="1"/>
  <c r="BE123" i="1" l="1"/>
  <c r="BE124" i="1" s="1"/>
  <c r="BE127" i="1" s="1"/>
  <c r="BF51" i="1"/>
  <c r="BI199" i="1"/>
  <c r="BI198" i="1" s="1"/>
  <c r="BJ211" i="1"/>
  <c r="BJ212" i="1" s="1"/>
  <c r="BJ213" i="1" s="1"/>
  <c r="BJ227" i="1" s="1"/>
  <c r="BI211" i="1"/>
  <c r="BI212" i="1" s="1"/>
  <c r="BI213" i="1" s="1"/>
  <c r="BE180" i="1"/>
  <c r="BG174" i="1"/>
  <c r="BG175" i="1" s="1"/>
  <c r="BI171" i="1"/>
  <c r="BG260" i="1" l="1"/>
  <c r="BG262" i="1"/>
  <c r="BG258" i="1"/>
  <c r="BE125" i="1"/>
  <c r="BE128" i="1" s="1"/>
  <c r="BI200" i="1"/>
  <c r="BI203" i="1" s="1"/>
  <c r="BI227" i="1"/>
  <c r="BI224" i="1"/>
  <c r="BH223" i="1"/>
  <c r="BH224" i="1" s="1"/>
  <c r="BH225" i="1" s="1"/>
  <c r="BG225" i="1"/>
  <c r="BG179" i="1"/>
  <c r="BG182" i="1"/>
  <c r="BK167" i="1"/>
  <c r="BK170" i="1" s="1"/>
  <c r="BG123" i="1" l="1"/>
  <c r="BG124" i="1" s="1"/>
  <c r="BG127" i="1" s="1"/>
  <c r="BH51" i="1"/>
  <c r="BL211" i="1"/>
  <c r="BL212" i="1" s="1"/>
  <c r="BL213" i="1" s="1"/>
  <c r="BL227" i="1" s="1"/>
  <c r="BK199" i="1"/>
  <c r="BK198" i="1" s="1"/>
  <c r="BK211" i="1"/>
  <c r="BK212" i="1" s="1"/>
  <c r="BK213" i="1" s="1"/>
  <c r="BK171" i="1"/>
  <c r="BG180" i="1"/>
  <c r="BI174" i="1"/>
  <c r="BI175" i="1" s="1"/>
  <c r="BI262" i="1" l="1"/>
  <c r="BI260" i="1"/>
  <c r="BI258" i="1"/>
  <c r="BG125" i="1"/>
  <c r="BG128" i="1" s="1"/>
  <c r="BK200" i="1"/>
  <c r="BK203" i="1" s="1"/>
  <c r="BK227" i="1"/>
  <c r="BK224" i="1"/>
  <c r="BJ223" i="1"/>
  <c r="BJ224" i="1" s="1"/>
  <c r="BJ225" i="1" s="1"/>
  <c r="BI225" i="1"/>
  <c r="BI182" i="1"/>
  <c r="BI179" i="1"/>
  <c r="BM167" i="1"/>
  <c r="BM170" i="1" s="1"/>
  <c r="BI123" i="1" l="1"/>
  <c r="BI125" i="1" s="1"/>
  <c r="BI128" i="1" s="1"/>
  <c r="BJ51" i="1"/>
  <c r="BM199" i="1"/>
  <c r="BM198" i="1" s="1"/>
  <c r="BN211" i="1"/>
  <c r="BN212" i="1" s="1"/>
  <c r="BN213" i="1" s="1"/>
  <c r="BN227" i="1" s="1"/>
  <c r="BM211" i="1"/>
  <c r="BM212" i="1" s="1"/>
  <c r="BM213" i="1" s="1"/>
  <c r="BM171" i="1"/>
  <c r="BI180" i="1"/>
  <c r="BK174" i="1"/>
  <c r="BK175" i="1" s="1"/>
  <c r="BK262" i="1" l="1"/>
  <c r="BK260" i="1"/>
  <c r="BK258" i="1"/>
  <c r="BI124" i="1"/>
  <c r="BI127" i="1" s="1"/>
  <c r="BM200" i="1"/>
  <c r="BM203" i="1" s="1"/>
  <c r="BM227" i="1"/>
  <c r="BM224" i="1"/>
  <c r="BL223" i="1"/>
  <c r="BL224" i="1" s="1"/>
  <c r="BL225" i="1" s="1"/>
  <c r="BK225" i="1"/>
  <c r="BK182" i="1"/>
  <c r="BK179" i="1"/>
  <c r="BO167" i="1"/>
  <c r="BO170" i="1" s="1"/>
  <c r="BK123" i="1" l="1"/>
  <c r="BK125" i="1" s="1"/>
  <c r="BK128" i="1" s="1"/>
  <c r="BL51" i="1"/>
  <c r="BO199" i="1"/>
  <c r="BO198" i="1" s="1"/>
  <c r="BP211" i="1"/>
  <c r="BP212" i="1" s="1"/>
  <c r="BP213" i="1" s="1"/>
  <c r="BP227" i="1" s="1"/>
  <c r="BO211" i="1"/>
  <c r="BO212" i="1" s="1"/>
  <c r="BO213" i="1" s="1"/>
  <c r="BM174" i="1"/>
  <c r="BM175" i="1" s="1"/>
  <c r="BK180" i="1"/>
  <c r="BO171" i="1"/>
  <c r="BM260" i="1" l="1"/>
  <c r="BM262" i="1"/>
  <c r="BM258" i="1"/>
  <c r="BK124" i="1"/>
  <c r="BK127" i="1" s="1"/>
  <c r="BO200" i="1"/>
  <c r="BO203" i="1" s="1"/>
  <c r="BO227" i="1"/>
  <c r="BO224" i="1"/>
  <c r="BN223" i="1"/>
  <c r="BN224" i="1" s="1"/>
  <c r="BN225" i="1" s="1"/>
  <c r="BM225" i="1"/>
  <c r="BM179" i="1"/>
  <c r="BM182" i="1"/>
  <c r="BQ167" i="1"/>
  <c r="BQ170" i="1" s="1"/>
  <c r="BM123" i="1" l="1"/>
  <c r="BM124" i="1" s="1"/>
  <c r="BM127" i="1" s="1"/>
  <c r="BN51" i="1"/>
  <c r="BQ199" i="1"/>
  <c r="BQ198" i="1" s="1"/>
  <c r="BR211" i="1"/>
  <c r="BR212" i="1" s="1"/>
  <c r="BR213" i="1" s="1"/>
  <c r="BR227" i="1" s="1"/>
  <c r="BQ211" i="1"/>
  <c r="BQ212" i="1" s="1"/>
  <c r="BQ213" i="1" s="1"/>
  <c r="BO174" i="1"/>
  <c r="BO175" i="1" s="1"/>
  <c r="BQ171" i="1"/>
  <c r="BM180" i="1"/>
  <c r="BO260" i="1" l="1"/>
  <c r="BO262" i="1"/>
  <c r="BO258" i="1"/>
  <c r="BM125" i="1"/>
  <c r="BM128" i="1" s="1"/>
  <c r="BQ200" i="1"/>
  <c r="BQ203" i="1" s="1"/>
  <c r="BQ227" i="1"/>
  <c r="BQ224" i="1"/>
  <c r="BP223" i="1"/>
  <c r="BP224" i="1" s="1"/>
  <c r="BP225" i="1" s="1"/>
  <c r="BO225" i="1"/>
  <c r="BS167" i="1"/>
  <c r="BS170" i="1" s="1"/>
  <c r="BO179" i="1"/>
  <c r="BO182" i="1"/>
  <c r="BO123" i="1" l="1"/>
  <c r="BO124" i="1" s="1"/>
  <c r="BO127" i="1" s="1"/>
  <c r="BP51" i="1"/>
  <c r="BS199" i="1"/>
  <c r="BS198" i="1" s="1"/>
  <c r="BT211" i="1"/>
  <c r="BT212" i="1" s="1"/>
  <c r="BT213" i="1" s="1"/>
  <c r="BT227" i="1" s="1"/>
  <c r="BS211" i="1"/>
  <c r="BS212" i="1" s="1"/>
  <c r="BS213" i="1" s="1"/>
  <c r="BO180" i="1"/>
  <c r="BS171" i="1"/>
  <c r="BQ174" i="1"/>
  <c r="BQ175" i="1" s="1"/>
  <c r="BQ262" i="1" l="1"/>
  <c r="BQ260" i="1"/>
  <c r="BQ258" i="1"/>
  <c r="BO125" i="1"/>
  <c r="BO128" i="1" s="1"/>
  <c r="BS200" i="1"/>
  <c r="BS203" i="1" s="1"/>
  <c r="BS227" i="1"/>
  <c r="BS224" i="1"/>
  <c r="BR223" i="1"/>
  <c r="BR224" i="1" s="1"/>
  <c r="BR225" i="1" s="1"/>
  <c r="BQ225" i="1"/>
  <c r="BQ179" i="1"/>
  <c r="BQ182" i="1"/>
  <c r="BU167" i="1"/>
  <c r="BU170" i="1" s="1"/>
  <c r="BQ123" i="1" l="1"/>
  <c r="BQ124" i="1" s="1"/>
  <c r="BQ127" i="1" s="1"/>
  <c r="BR51" i="1"/>
  <c r="BU199" i="1"/>
  <c r="BU198" i="1" s="1"/>
  <c r="BV211" i="1"/>
  <c r="BV212" i="1" s="1"/>
  <c r="BV213" i="1" s="1"/>
  <c r="BV227" i="1" s="1"/>
  <c r="BU211" i="1"/>
  <c r="BU212" i="1" s="1"/>
  <c r="BU213" i="1" s="1"/>
  <c r="BS174" i="1"/>
  <c r="BS175" i="1" s="1"/>
  <c r="BQ180" i="1"/>
  <c r="BU171" i="1"/>
  <c r="BS262" i="1" l="1"/>
  <c r="BS260" i="1"/>
  <c r="BS258" i="1"/>
  <c r="BQ125" i="1"/>
  <c r="BQ128" i="1" s="1"/>
  <c r="BU200" i="1"/>
  <c r="BU203" i="1" s="1"/>
  <c r="BU227" i="1"/>
  <c r="BU224" i="1"/>
  <c r="BT223" i="1"/>
  <c r="BT224" i="1" s="1"/>
  <c r="BT225" i="1" s="1"/>
  <c r="BS225" i="1"/>
  <c r="BS179" i="1"/>
  <c r="BS182" i="1"/>
  <c r="BW167" i="1"/>
  <c r="BW170" i="1" s="1"/>
  <c r="BS123" i="1" l="1"/>
  <c r="BS125" i="1" s="1"/>
  <c r="BS128" i="1" s="1"/>
  <c r="BT51" i="1"/>
  <c r="BW199" i="1"/>
  <c r="BW198" i="1" s="1"/>
  <c r="BX211" i="1"/>
  <c r="BX212" i="1" s="1"/>
  <c r="BX213" i="1" s="1"/>
  <c r="BX227" i="1" s="1"/>
  <c r="BW211" i="1"/>
  <c r="BW212" i="1" s="1"/>
  <c r="BW213" i="1" s="1"/>
  <c r="BW171" i="1"/>
  <c r="BS180" i="1"/>
  <c r="BU174" i="1"/>
  <c r="BU175" i="1" s="1"/>
  <c r="BU260" i="1" l="1"/>
  <c r="BU262" i="1"/>
  <c r="BU258" i="1"/>
  <c r="BS124" i="1"/>
  <c r="BS127" i="1" s="1"/>
  <c r="BW200" i="1"/>
  <c r="BW203" i="1" s="1"/>
  <c r="BW227" i="1"/>
  <c r="BW224" i="1"/>
  <c r="BV223" i="1"/>
  <c r="BV224" i="1" s="1"/>
  <c r="BV225" i="1" s="1"/>
  <c r="BU225" i="1"/>
  <c r="BU179" i="1"/>
  <c r="BU182" i="1"/>
  <c r="BY167" i="1"/>
  <c r="BY170" i="1" s="1"/>
  <c r="BU123" i="1" l="1"/>
  <c r="BU125" i="1" s="1"/>
  <c r="BU128" i="1" s="1"/>
  <c r="BV51" i="1"/>
  <c r="BZ211" i="1"/>
  <c r="BZ212" i="1" s="1"/>
  <c r="BZ213" i="1" s="1"/>
  <c r="BZ227" i="1" s="1"/>
  <c r="BY199" i="1"/>
  <c r="BY198" i="1" s="1"/>
  <c r="BY211" i="1"/>
  <c r="BY212" i="1" s="1"/>
  <c r="BY213" i="1" s="1"/>
  <c r="BW174" i="1"/>
  <c r="BW175" i="1" s="1"/>
  <c r="BY171" i="1"/>
  <c r="BU180" i="1"/>
  <c r="BW260" i="1" l="1"/>
  <c r="BW262" i="1"/>
  <c r="BW258" i="1"/>
  <c r="BU124" i="1"/>
  <c r="BU127" i="1" s="1"/>
  <c r="BY200" i="1"/>
  <c r="BY203" i="1" s="1"/>
  <c r="BY227" i="1"/>
  <c r="BY224" i="1"/>
  <c r="BX223" i="1"/>
  <c r="BX224" i="1" s="1"/>
  <c r="BX225" i="1" s="1"/>
  <c r="BW225" i="1"/>
  <c r="BW179" i="1"/>
  <c r="BW182" i="1"/>
  <c r="BW123" i="1" l="1"/>
  <c r="BW125" i="1" s="1"/>
  <c r="BW128" i="1" s="1"/>
  <c r="BX51" i="1"/>
  <c r="BW180" i="1"/>
  <c r="BY174" i="1"/>
  <c r="BY175" i="1" s="1"/>
  <c r="BY262" i="1" l="1"/>
  <c r="BY260" i="1"/>
  <c r="BY258" i="1"/>
  <c r="BW124" i="1"/>
  <c r="BW127" i="1" s="1"/>
  <c r="BZ223" i="1"/>
  <c r="BZ224" i="1" s="1"/>
  <c r="BZ225" i="1" s="1"/>
  <c r="BY225" i="1"/>
  <c r="BY182" i="1"/>
  <c r="BY179" i="1"/>
  <c r="BY123" i="1" l="1"/>
  <c r="BY124" i="1" s="1"/>
  <c r="BY127" i="1" s="1"/>
  <c r="BZ51" i="1"/>
  <c r="BY180" i="1"/>
  <c r="CC159" i="1"/>
  <c r="CC158" i="1"/>
  <c r="CA158" i="1"/>
  <c r="CA167" i="1"/>
  <c r="CA170" i="1" s="1"/>
  <c r="CA159" i="1"/>
  <c r="BY125" i="1" l="1"/>
  <c r="BY128" i="1" s="1"/>
  <c r="CA162" i="1"/>
  <c r="CA196" i="1" s="1"/>
  <c r="CA195" i="1" s="1"/>
  <c r="CB211" i="1"/>
  <c r="CA199" i="1"/>
  <c r="CA198" i="1" s="1"/>
  <c r="CA211" i="1"/>
  <c r="CC167" i="1"/>
  <c r="CC170" i="1" s="1"/>
  <c r="CC162" i="1"/>
  <c r="CA171" i="1" l="1"/>
  <c r="CA210" i="1"/>
  <c r="CA212" i="1" s="1"/>
  <c r="CA213" i="1" s="1"/>
  <c r="CA227" i="1" s="1"/>
  <c r="CB210" i="1"/>
  <c r="CB212" i="1" s="1"/>
  <c r="CB213" i="1" s="1"/>
  <c r="CB227" i="1" s="1"/>
  <c r="CA200" i="1"/>
  <c r="CD210" i="1"/>
  <c r="CC196" i="1"/>
  <c r="CC195" i="1" s="1"/>
  <c r="CC210" i="1"/>
  <c r="CC199" i="1"/>
  <c r="CC198" i="1" s="1"/>
  <c r="CD211" i="1"/>
  <c r="CC211" i="1"/>
  <c r="CC171" i="1"/>
  <c r="CA203" i="1" l="1"/>
  <c r="CE203" i="1"/>
  <c r="CC212" i="1"/>
  <c r="CC213" i="1" s="1"/>
  <c r="CC227" i="1" s="1"/>
  <c r="CD212" i="1"/>
  <c r="CD213" i="1" s="1"/>
  <c r="CD227" i="1" s="1"/>
  <c r="CA224" i="1"/>
  <c r="CA174" i="1" s="1"/>
  <c r="CA175" i="1" s="1"/>
  <c r="CC200" i="1"/>
  <c r="CA262" i="1" l="1"/>
  <c r="CA260" i="1"/>
  <c r="CA258" i="1"/>
  <c r="CC203" i="1"/>
  <c r="CG203" i="1"/>
  <c r="CC224" i="1"/>
  <c r="CC174" i="1" s="1"/>
  <c r="CC175" i="1" s="1"/>
  <c r="CB223" i="1"/>
  <c r="CB224" i="1" s="1"/>
  <c r="CB225" i="1" s="1"/>
  <c r="CA225" i="1"/>
  <c r="CA182" i="1"/>
  <c r="CA179" i="1"/>
  <c r="CC260" i="1" l="1"/>
  <c r="CC262" i="1"/>
  <c r="CC258" i="1"/>
  <c r="CA123" i="1"/>
  <c r="CA124" i="1" s="1"/>
  <c r="CA127" i="1" s="1"/>
  <c r="CB51" i="1"/>
  <c r="CD223" i="1"/>
  <c r="CD224" i="1" s="1"/>
  <c r="CD225" i="1" s="1"/>
  <c r="CC225" i="1"/>
  <c r="CC179" i="1"/>
  <c r="CC182" i="1"/>
  <c r="CA180" i="1"/>
  <c r="CA125" i="1" l="1"/>
  <c r="CA128" i="1" s="1"/>
  <c r="CC123" i="1"/>
  <c r="CC124" i="1" s="1"/>
  <c r="CC127" i="1" s="1"/>
  <c r="CD51" i="1"/>
  <c r="CC180" i="1"/>
  <c r="CC125" i="1" l="1"/>
  <c r="CC128" i="1" s="1"/>
  <c r="CE103" i="1"/>
  <c r="CD103" i="1"/>
  <c r="CC103" i="1"/>
  <c r="CB103" i="1"/>
  <c r="CI159" i="1" l="1"/>
  <c r="CI167" i="1"/>
  <c r="CI170" i="1" s="1"/>
  <c r="CI158" i="1"/>
  <c r="CJ211" i="1" l="1"/>
  <c r="CI162" i="1"/>
  <c r="CI211" i="1"/>
  <c r="CJ210" i="1" l="1"/>
  <c r="CJ212" i="1" s="1"/>
  <c r="CJ213" i="1" s="1"/>
  <c r="CJ227" i="1" s="1"/>
  <c r="CI171" i="1"/>
  <c r="CI210" i="1"/>
  <c r="CI212" i="1" s="1"/>
  <c r="CI213" i="1" s="1"/>
  <c r="CI227" i="1" s="1"/>
  <c r="CI200" i="1" l="1"/>
  <c r="CI203" i="1" s="1"/>
  <c r="CI224" i="1"/>
  <c r="CI174" i="1" s="1"/>
  <c r="CI175" i="1" s="1"/>
  <c r="CI262" i="1" l="1"/>
  <c r="CI260" i="1"/>
  <c r="CI258" i="1"/>
  <c r="CI225" i="1"/>
  <c r="CJ223" i="1"/>
  <c r="CJ224" i="1" s="1"/>
  <c r="CI182" i="1"/>
  <c r="CI179" i="1"/>
  <c r="CI123" i="1" l="1"/>
  <c r="CI125" i="1" s="1"/>
  <c r="CI128" i="1" s="1"/>
  <c r="CJ51" i="1"/>
  <c r="CJ225" i="1"/>
  <c r="CI180" i="1"/>
  <c r="CI124" i="1" l="1"/>
  <c r="CI127" i="1" s="1"/>
  <c r="CJ182" i="1"/>
  <c r="CJ123" i="1" l="1"/>
  <c r="CK51" i="1"/>
  <c r="CJ125" i="1" l="1"/>
  <c r="CJ128" i="1" s="1"/>
  <c r="CJ124" i="1"/>
  <c r="CJ127" i="1" s="1"/>
  <c r="CK245" i="1" l="1"/>
  <c r="CK267" i="1"/>
  <c r="CK266" i="1"/>
  <c r="CN24" i="1"/>
  <c r="CN267" i="1"/>
  <c r="CM24" i="1"/>
  <c r="CM267" i="1"/>
  <c r="CN245" i="1"/>
  <c r="CM245" i="1"/>
  <c r="CM112" i="1"/>
  <c r="CM113" i="1" s="1"/>
  <c r="CM116" i="1" s="1"/>
  <c r="CN112" i="1"/>
  <c r="CN113" i="1" s="1"/>
  <c r="CN116" i="1" s="1"/>
  <c r="CP22" i="1"/>
  <c r="CM160" i="1" l="1"/>
  <c r="CQ22" i="1"/>
  <c r="CQ267" i="1" s="1"/>
  <c r="CO22" i="1"/>
  <c r="CO24" i="1" s="1"/>
  <c r="CN40" i="1"/>
  <c r="CN37" i="1" s="1"/>
  <c r="CR22" i="1"/>
  <c r="CR267" i="1" s="1"/>
  <c r="CN159" i="1"/>
  <c r="CN30" i="1"/>
  <c r="CN158" i="1"/>
  <c r="CN167" i="1"/>
  <c r="CM40" i="1"/>
  <c r="CM37" i="1" s="1"/>
  <c r="CM167" i="1"/>
  <c r="CN26" i="1"/>
  <c r="CN166" i="1"/>
  <c r="CN160" i="1"/>
  <c r="CM159" i="1"/>
  <c r="CM26" i="1"/>
  <c r="CM30" i="1"/>
  <c r="CM29" i="1" s="1"/>
  <c r="CM166" i="1"/>
  <c r="CM158" i="1"/>
  <c r="CK158" i="1"/>
  <c r="CK167" i="1"/>
  <c r="CK159" i="1"/>
  <c r="CM239" i="1"/>
  <c r="CK166" i="1"/>
  <c r="CK239" i="1"/>
  <c r="CK160" i="1"/>
  <c r="CN239" i="1"/>
  <c r="CO239" i="1" l="1"/>
  <c r="CS22" i="1"/>
  <c r="CM170" i="1"/>
  <c r="CK170" i="1"/>
  <c r="CN29" i="1"/>
  <c r="CN32" i="1"/>
  <c r="CN42" i="1"/>
  <c r="CN162" i="1"/>
  <c r="CM162" i="1"/>
  <c r="CN170" i="1"/>
  <c r="CR24" i="1"/>
  <c r="CV22" i="1" s="1"/>
  <c r="CM32" i="1"/>
  <c r="CR245" i="1"/>
  <c r="CQ24" i="1"/>
  <c r="CQ245" i="1"/>
  <c r="CM42" i="1"/>
  <c r="CR112" i="1"/>
  <c r="CR113" i="1" s="1"/>
  <c r="CR116" i="1" s="1"/>
  <c r="CP267" i="1"/>
  <c r="CN33" i="1"/>
  <c r="CO112" i="1"/>
  <c r="CO113" i="1" s="1"/>
  <c r="CO116" i="1" s="1"/>
  <c r="CO267" i="1"/>
  <c r="CO245" i="1"/>
  <c r="CK162" i="1"/>
  <c r="CM33" i="1"/>
  <c r="CP245" i="1"/>
  <c r="CP24" i="1"/>
  <c r="CT22" i="1" s="1"/>
  <c r="CQ112" i="1"/>
  <c r="CQ113" i="1" s="1"/>
  <c r="CQ116" i="1" s="1"/>
  <c r="AB22" i="1"/>
  <c r="AB267" i="1" s="1"/>
  <c r="CP112" i="1"/>
  <c r="CP113" i="1" s="1"/>
  <c r="CP116" i="1" s="1"/>
  <c r="CO158" i="1"/>
  <c r="CO30" i="1"/>
  <c r="CO166" i="1"/>
  <c r="CO167" i="1"/>
  <c r="CO40" i="1"/>
  <c r="CO37" i="1" s="1"/>
  <c r="CO159" i="1"/>
  <c r="CO160" i="1"/>
  <c r="CO26" i="1"/>
  <c r="CK211" i="1" l="1"/>
  <c r="CL211" i="1"/>
  <c r="CK210" i="1"/>
  <c r="CL210" i="1"/>
  <c r="CL212" i="1" s="1"/>
  <c r="CL213" i="1" s="1"/>
  <c r="CL227" i="1" s="1"/>
  <c r="CU22" i="1"/>
  <c r="CU245" i="1" s="1"/>
  <c r="CN264" i="1"/>
  <c r="CN265" i="1" s="1"/>
  <c r="CN211" i="1"/>
  <c r="CN43" i="1"/>
  <c r="CN246" i="1"/>
  <c r="CN247" i="1" s="1"/>
  <c r="CN44" i="1"/>
  <c r="CN48" i="1"/>
  <c r="CN171" i="1"/>
  <c r="CM171" i="1"/>
  <c r="CN210" i="1"/>
  <c r="CR166" i="1"/>
  <c r="CR30" i="1"/>
  <c r="CR158" i="1"/>
  <c r="CR159" i="1"/>
  <c r="CR26" i="1"/>
  <c r="CR160" i="1"/>
  <c r="CR40" i="1"/>
  <c r="CR37" i="1" s="1"/>
  <c r="CR167" i="1"/>
  <c r="CK212" i="1"/>
  <c r="CQ26" i="1"/>
  <c r="CQ40" i="1"/>
  <c r="CQ37" i="1" s="1"/>
  <c r="CQ160" i="1"/>
  <c r="CQ159" i="1"/>
  <c r="CQ166" i="1"/>
  <c r="CQ167" i="1"/>
  <c r="CQ158" i="1"/>
  <c r="CN45" i="1"/>
  <c r="CM44" i="1"/>
  <c r="CM246" i="1"/>
  <c r="CM247" i="1" s="1"/>
  <c r="CM43" i="1"/>
  <c r="CM48" i="1"/>
  <c r="CQ30" i="1"/>
  <c r="CK171" i="1"/>
  <c r="CK264" i="1"/>
  <c r="CK265" i="1" s="1"/>
  <c r="CS112" i="1"/>
  <c r="CS113" i="1" s="1"/>
  <c r="CS116" i="1" s="1"/>
  <c r="CS267" i="1"/>
  <c r="CM264" i="1"/>
  <c r="CM265" i="1" s="1"/>
  <c r="CK246" i="1"/>
  <c r="CK247" i="1" s="1"/>
  <c r="CK240" i="1"/>
  <c r="CN240" i="1"/>
  <c r="CR239" i="1"/>
  <c r="CP239" i="1"/>
  <c r="AB24" i="1"/>
  <c r="CO170" i="1"/>
  <c r="CS24" i="1"/>
  <c r="CS245" i="1"/>
  <c r="CO162" i="1"/>
  <c r="CM126" i="1"/>
  <c r="CN126" i="1"/>
  <c r="CM211" i="1"/>
  <c r="CP159" i="1"/>
  <c r="AB159" i="1" s="1"/>
  <c r="AB194" i="1" s="1"/>
  <c r="CP158" i="1"/>
  <c r="CP166" i="1"/>
  <c r="CP30" i="1"/>
  <c r="CP29" i="1" s="1"/>
  <c r="CP167" i="1"/>
  <c r="AB167" i="1" s="1"/>
  <c r="AB197" i="1" s="1"/>
  <c r="CP160" i="1"/>
  <c r="AB160" i="1" s="1"/>
  <c r="CP26" i="1"/>
  <c r="CP40" i="1"/>
  <c r="CP37" i="1" s="1"/>
  <c r="CT267" i="1"/>
  <c r="CO42" i="1"/>
  <c r="CO32" i="1"/>
  <c r="CO33" i="1"/>
  <c r="CM210" i="1"/>
  <c r="CQ239" i="1"/>
  <c r="CO29" i="1"/>
  <c r="CM240" i="1"/>
  <c r="CM45" i="1"/>
  <c r="CU267" i="1" l="1"/>
  <c r="CU24" i="1"/>
  <c r="CS239" i="1"/>
  <c r="CW22" i="1"/>
  <c r="CW267" i="1" s="1"/>
  <c r="CR162" i="1"/>
  <c r="CQ170" i="1"/>
  <c r="AB37" i="1"/>
  <c r="AB40" i="1" s="1"/>
  <c r="AB41" i="1" s="1"/>
  <c r="CN212" i="1"/>
  <c r="CR170" i="1"/>
  <c r="CR32" i="1"/>
  <c r="CR33" i="1"/>
  <c r="CR42" i="1"/>
  <c r="CR29" i="1"/>
  <c r="CV267" i="1"/>
  <c r="CV245" i="1"/>
  <c r="CV24" i="1"/>
  <c r="CZ22" i="1" s="1"/>
  <c r="CQ29" i="1"/>
  <c r="CQ32" i="1"/>
  <c r="CQ42" i="1"/>
  <c r="CQ162" i="1"/>
  <c r="CO126" i="1"/>
  <c r="CO264" i="1"/>
  <c r="CO265" i="1" s="1"/>
  <c r="AB112" i="1"/>
  <c r="AB202" i="1"/>
  <c r="CQ33" i="1"/>
  <c r="AB29" i="1"/>
  <c r="AB30" i="1" s="1"/>
  <c r="CM212" i="1"/>
  <c r="CO171" i="1"/>
  <c r="CO210" i="1"/>
  <c r="CO240" i="1"/>
  <c r="AC22" i="1"/>
  <c r="AC267" i="1" s="1"/>
  <c r="CV112" i="1"/>
  <c r="CV113" i="1" s="1"/>
  <c r="CV116" i="1" s="1"/>
  <c r="AB25" i="1"/>
  <c r="AB72" i="1"/>
  <c r="AB158" i="1"/>
  <c r="CP162" i="1"/>
  <c r="CS158" i="1"/>
  <c r="CS30" i="1"/>
  <c r="CS29" i="1" s="1"/>
  <c r="CS166" i="1"/>
  <c r="CS26" i="1"/>
  <c r="CS159" i="1"/>
  <c r="CS167" i="1"/>
  <c r="CS160" i="1"/>
  <c r="CS40" i="1"/>
  <c r="CS37" i="1" s="1"/>
  <c r="CT112" i="1"/>
  <c r="CT113" i="1" s="1"/>
  <c r="CT116" i="1" s="1"/>
  <c r="CO211" i="1"/>
  <c r="CO44" i="1"/>
  <c r="CO246" i="1"/>
  <c r="CO247" i="1" s="1"/>
  <c r="CO48" i="1"/>
  <c r="CO45" i="1"/>
  <c r="CO43" i="1"/>
  <c r="CP32" i="1"/>
  <c r="CP42" i="1"/>
  <c r="CP33" i="1"/>
  <c r="CT245" i="1"/>
  <c r="CT24" i="1"/>
  <c r="AB166" i="1"/>
  <c r="AB170" i="1" s="1"/>
  <c r="CP170" i="1"/>
  <c r="CU112" i="1"/>
  <c r="CU113" i="1" s="1"/>
  <c r="CU116" i="1" s="1"/>
  <c r="CU40" i="1" l="1"/>
  <c r="CU37" i="1" s="1"/>
  <c r="CU158" i="1"/>
  <c r="CU30" i="1"/>
  <c r="CY22" i="1"/>
  <c r="CU166" i="1"/>
  <c r="CU159" i="1"/>
  <c r="CU167" i="1"/>
  <c r="CU160" i="1"/>
  <c r="CU26" i="1"/>
  <c r="CX22" i="1"/>
  <c r="CQ211" i="1"/>
  <c r="CV158" i="1"/>
  <c r="CV30" i="1"/>
  <c r="CV32" i="1" s="1"/>
  <c r="CV166" i="1"/>
  <c r="CR211" i="1"/>
  <c r="CR171" i="1"/>
  <c r="CR246" i="1"/>
  <c r="CR247" i="1" s="1"/>
  <c r="CR43" i="1"/>
  <c r="CR48" i="1"/>
  <c r="CR44" i="1"/>
  <c r="CV160" i="1"/>
  <c r="CV159" i="1"/>
  <c r="CV40" i="1"/>
  <c r="CV37" i="1" s="1"/>
  <c r="CV26" i="1"/>
  <c r="CV167" i="1"/>
  <c r="CQ48" i="1"/>
  <c r="CQ43" i="1"/>
  <c r="CQ44" i="1"/>
  <c r="CR45" i="1"/>
  <c r="CR264" i="1"/>
  <c r="CR265" i="1" s="1"/>
  <c r="CQ246" i="1"/>
  <c r="CQ247" i="1" s="1"/>
  <c r="CR210" i="1"/>
  <c r="CQ171" i="1"/>
  <c r="AB32" i="1"/>
  <c r="CP126" i="1"/>
  <c r="CP264" i="1"/>
  <c r="CP265" i="1" s="1"/>
  <c r="CQ264" i="1"/>
  <c r="CQ265" i="1" s="1"/>
  <c r="CS170" i="1"/>
  <c r="CS211" i="1" s="1"/>
  <c r="CV239" i="1"/>
  <c r="CP211" i="1"/>
  <c r="CP246" i="1"/>
  <c r="CP247" i="1" s="1"/>
  <c r="CP44" i="1"/>
  <c r="CP45" i="1"/>
  <c r="CP43" i="1"/>
  <c r="CP48" i="1"/>
  <c r="CT239" i="1"/>
  <c r="CP240" i="1"/>
  <c r="CU239" i="1"/>
  <c r="CR240" i="1"/>
  <c r="CQ240" i="1"/>
  <c r="CS42" i="1"/>
  <c r="CS264" i="1" s="1"/>
  <c r="CS265" i="1" s="1"/>
  <c r="CS32" i="1"/>
  <c r="CS33" i="1"/>
  <c r="AC24" i="1"/>
  <c r="CO212" i="1"/>
  <c r="CW245" i="1"/>
  <c r="CW24" i="1"/>
  <c r="CQ126" i="1"/>
  <c r="CW112" i="1"/>
  <c r="CW113" i="1" s="1"/>
  <c r="CW116" i="1" s="1"/>
  <c r="CU42" i="1"/>
  <c r="CS162" i="1"/>
  <c r="CT158" i="1"/>
  <c r="CT167" i="1"/>
  <c r="AC167" i="1" s="1"/>
  <c r="AC197" i="1" s="1"/>
  <c r="CT30" i="1"/>
  <c r="CT29" i="1" s="1"/>
  <c r="AC29" i="1" s="1"/>
  <c r="CT159" i="1"/>
  <c r="AC159" i="1" s="1"/>
  <c r="AC194" i="1" s="1"/>
  <c r="CT166" i="1"/>
  <c r="CT40" i="1"/>
  <c r="CT37" i="1" s="1"/>
  <c r="CT26" i="1"/>
  <c r="CT160" i="1"/>
  <c r="AC160" i="1" s="1"/>
  <c r="AB73" i="1"/>
  <c r="AB31" i="1"/>
  <c r="AB42" i="1"/>
  <c r="AB264" i="1" s="1"/>
  <c r="AB265" i="1" s="1"/>
  <c r="CQ45" i="1"/>
  <c r="CQ210" i="1"/>
  <c r="CP171" i="1"/>
  <c r="CP210" i="1"/>
  <c r="AB199" i="1"/>
  <c r="AB198" i="1" s="1"/>
  <c r="AB211" i="1"/>
  <c r="CR126" i="1"/>
  <c r="AB162" i="1"/>
  <c r="AB193" i="1"/>
  <c r="CU170" i="1" l="1"/>
  <c r="CU162" i="1"/>
  <c r="CU29" i="1"/>
  <c r="CU32" i="1"/>
  <c r="CY267" i="1"/>
  <c r="CY24" i="1"/>
  <c r="CY245" i="1"/>
  <c r="CW239" i="1"/>
  <c r="DA22" i="1"/>
  <c r="DA267" i="1" s="1"/>
  <c r="CQ212" i="1"/>
  <c r="AC37" i="1"/>
  <c r="AC40" i="1" s="1"/>
  <c r="AC41" i="1" s="1"/>
  <c r="CV162" i="1"/>
  <c r="CV210" i="1" s="1"/>
  <c r="CV29" i="1"/>
  <c r="CV33" i="1"/>
  <c r="CV170" i="1"/>
  <c r="CV42" i="1"/>
  <c r="CZ267" i="1"/>
  <c r="CZ245" i="1"/>
  <c r="CZ24" i="1"/>
  <c r="CZ167" i="1" s="1"/>
  <c r="CR212" i="1"/>
  <c r="CX112" i="1"/>
  <c r="CX113" i="1" s="1"/>
  <c r="CX116" i="1" s="1"/>
  <c r="CX267" i="1"/>
  <c r="CP212" i="1"/>
  <c r="AC112" i="1"/>
  <c r="AC202" i="1"/>
  <c r="AB44" i="1"/>
  <c r="CT162" i="1"/>
  <c r="CT210" i="1" s="1"/>
  <c r="AC158" i="1"/>
  <c r="CS171" i="1"/>
  <c r="CS210" i="1"/>
  <c r="CS212" i="1" s="1"/>
  <c r="CU48" i="1"/>
  <c r="CU43" i="1"/>
  <c r="CU44" i="1"/>
  <c r="CU246" i="1"/>
  <c r="CU247" i="1" s="1"/>
  <c r="CY112" i="1"/>
  <c r="CY113" i="1" s="1"/>
  <c r="CY116" i="1" s="1"/>
  <c r="CS45" i="1"/>
  <c r="CS43" i="1"/>
  <c r="CS48" i="1"/>
  <c r="CS246" i="1"/>
  <c r="CS247" i="1" s="1"/>
  <c r="CS44" i="1"/>
  <c r="AB171" i="1"/>
  <c r="AB196" i="1"/>
  <c r="AB210" i="1"/>
  <c r="AB212" i="1" s="1"/>
  <c r="AB74" i="1"/>
  <c r="AB48" i="1"/>
  <c r="AB126" i="1"/>
  <c r="AB43" i="1"/>
  <c r="CW30" i="1"/>
  <c r="CW29" i="1" s="1"/>
  <c r="CW166" i="1"/>
  <c r="CW158" i="1"/>
  <c r="CW26" i="1"/>
  <c r="CW160" i="1"/>
  <c r="CW159" i="1"/>
  <c r="CW167" i="1"/>
  <c r="CW40" i="1"/>
  <c r="CW37" i="1" s="1"/>
  <c r="CT170" i="1"/>
  <c r="AC166" i="1"/>
  <c r="AC170" i="1" s="1"/>
  <c r="CS126" i="1"/>
  <c r="CK259" i="1"/>
  <c r="CK241" i="1"/>
  <c r="CK248" i="1"/>
  <c r="CS240" i="1"/>
  <c r="CT33" i="1"/>
  <c r="CT32" i="1"/>
  <c r="CT42" i="1"/>
  <c r="AC25" i="1"/>
  <c r="AC30" i="1"/>
  <c r="AC72" i="1"/>
  <c r="CX245" i="1"/>
  <c r="CX24" i="1"/>
  <c r="DB22" i="1" s="1"/>
  <c r="CZ112" i="1"/>
  <c r="CZ113" i="1" s="1"/>
  <c r="CZ116" i="1" s="1"/>
  <c r="CU171" i="1"/>
  <c r="CU33" i="1"/>
  <c r="AD22" i="1"/>
  <c r="AD267" i="1" s="1"/>
  <c r="CY159" i="1" l="1"/>
  <c r="CY30" i="1"/>
  <c r="CY167" i="1"/>
  <c r="CY160" i="1"/>
  <c r="CY166" i="1"/>
  <c r="CY170" i="1" s="1"/>
  <c r="CY40" i="1"/>
  <c r="CY37" i="1" s="1"/>
  <c r="CY158" i="1"/>
  <c r="CY162" i="1" s="1"/>
  <c r="CZ239" i="1"/>
  <c r="CV264" i="1"/>
  <c r="CV265" i="1" s="1"/>
  <c r="CV48" i="1"/>
  <c r="CV246" i="1"/>
  <c r="CV247" i="1" s="1"/>
  <c r="CV43" i="1"/>
  <c r="CV45" i="1"/>
  <c r="CV44" i="1"/>
  <c r="CZ40" i="1"/>
  <c r="CZ37" i="1" s="1"/>
  <c r="CZ158" i="1"/>
  <c r="CZ26" i="1"/>
  <c r="CZ166" i="1"/>
  <c r="CZ170" i="1" s="1"/>
  <c r="CZ160" i="1"/>
  <c r="CZ159" i="1"/>
  <c r="CZ30" i="1"/>
  <c r="CV171" i="1"/>
  <c r="CV211" i="1"/>
  <c r="CV212" i="1" s="1"/>
  <c r="AC32" i="1"/>
  <c r="CU126" i="1"/>
  <c r="CT264" i="1"/>
  <c r="CT265" i="1" s="1"/>
  <c r="CU264" i="1"/>
  <c r="CU265" i="1" s="1"/>
  <c r="CW170" i="1"/>
  <c r="CW211" i="1" s="1"/>
  <c r="CX239" i="1"/>
  <c r="CY239" i="1"/>
  <c r="CY26" i="1"/>
  <c r="CU211" i="1"/>
  <c r="CT211" i="1"/>
  <c r="CT212" i="1" s="1"/>
  <c r="CK207" i="1"/>
  <c r="CK209" i="1" s="1"/>
  <c r="CK213" i="1" s="1"/>
  <c r="CK227" i="1" s="1"/>
  <c r="CK133" i="1"/>
  <c r="CV240" i="1"/>
  <c r="AC42" i="1"/>
  <c r="AC264" i="1" s="1"/>
  <c r="AC265" i="1" s="1"/>
  <c r="AC73" i="1"/>
  <c r="AC31" i="1"/>
  <c r="CW162" i="1"/>
  <c r="CT240" i="1"/>
  <c r="AC193" i="1"/>
  <c r="AC162" i="1"/>
  <c r="DA245" i="1"/>
  <c r="DA24" i="1"/>
  <c r="DA239" i="1" s="1"/>
  <c r="CT171" i="1"/>
  <c r="CU210" i="1"/>
  <c r="CX158" i="1"/>
  <c r="CX159" i="1"/>
  <c r="AD159" i="1" s="1"/>
  <c r="AD194" i="1" s="1"/>
  <c r="CX30" i="1"/>
  <c r="CY33" i="1" s="1"/>
  <c r="CX167" i="1"/>
  <c r="AD167" i="1" s="1"/>
  <c r="AD197" i="1" s="1"/>
  <c r="CX166" i="1"/>
  <c r="CX26" i="1"/>
  <c r="CX40" i="1"/>
  <c r="CX37" i="1" s="1"/>
  <c r="CX160" i="1"/>
  <c r="AD160" i="1" s="1"/>
  <c r="CT48" i="1"/>
  <c r="CT44" i="1"/>
  <c r="CT43" i="1"/>
  <c r="CT246" i="1"/>
  <c r="CT247" i="1" s="1"/>
  <c r="CT45" i="1"/>
  <c r="CW33" i="1"/>
  <c r="CW32" i="1"/>
  <c r="CW42" i="1"/>
  <c r="CU240" i="1"/>
  <c r="CU45" i="1"/>
  <c r="AD24" i="1"/>
  <c r="DA112" i="1"/>
  <c r="DA113" i="1" s="1"/>
  <c r="DA116" i="1" s="1"/>
  <c r="AC199" i="1"/>
  <c r="AC198" i="1" s="1"/>
  <c r="AC211" i="1"/>
  <c r="AB195" i="1"/>
  <c r="AB200" i="1"/>
  <c r="AB203" i="1" s="1"/>
  <c r="AB204" i="1" s="1"/>
  <c r="CT126" i="1"/>
  <c r="CV126" i="1"/>
  <c r="CY29" i="1" l="1"/>
  <c r="CY32" i="1"/>
  <c r="CY42" i="1"/>
  <c r="AD37" i="1"/>
  <c r="AD40" i="1" s="1"/>
  <c r="AD41" i="1" s="1"/>
  <c r="CZ162" i="1"/>
  <c r="CZ29" i="1"/>
  <c r="CZ32" i="1"/>
  <c r="CZ42" i="1"/>
  <c r="CZ33" i="1"/>
  <c r="CZ211" i="1"/>
  <c r="CW240" i="1"/>
  <c r="CW264" i="1"/>
  <c r="CW265" i="1" s="1"/>
  <c r="DB112" i="1"/>
  <c r="DB113" i="1" s="1"/>
  <c r="DB116" i="1" s="1"/>
  <c r="DB267" i="1"/>
  <c r="AD112" i="1"/>
  <c r="AD202" i="1"/>
  <c r="CU212" i="1"/>
  <c r="AC44" i="1"/>
  <c r="AD166" i="1"/>
  <c r="AD170" i="1" s="1"/>
  <c r="CX170" i="1"/>
  <c r="CY171" i="1"/>
  <c r="DA166" i="1"/>
  <c r="DA167" i="1"/>
  <c r="DA159" i="1"/>
  <c r="DA30" i="1"/>
  <c r="DA158" i="1"/>
  <c r="DA40" i="1"/>
  <c r="DA37" i="1" s="1"/>
  <c r="DA26" i="1"/>
  <c r="DA160" i="1"/>
  <c r="CK134" i="1"/>
  <c r="CL221" i="1" s="1"/>
  <c r="CL219" i="1" s="1"/>
  <c r="CX33" i="1"/>
  <c r="CX42" i="1"/>
  <c r="CY264" i="1" s="1"/>
  <c r="CY265" i="1" s="1"/>
  <c r="CX32" i="1"/>
  <c r="AC196" i="1"/>
  <c r="AC171" i="1"/>
  <c r="AC210" i="1"/>
  <c r="AC212" i="1" s="1"/>
  <c r="AC48" i="1"/>
  <c r="AC74" i="1"/>
  <c r="AC43" i="1"/>
  <c r="AC126" i="1"/>
  <c r="DB24" i="1"/>
  <c r="DB239" i="1" s="1"/>
  <c r="DB245" i="1"/>
  <c r="CW171" i="1"/>
  <c r="CW210" i="1"/>
  <c r="CW212" i="1" s="1"/>
  <c r="AD158" i="1"/>
  <c r="CX162" i="1"/>
  <c r="AD72" i="1"/>
  <c r="AD25" i="1"/>
  <c r="CW48" i="1"/>
  <c r="CW44" i="1"/>
  <c r="CW246" i="1"/>
  <c r="CW247" i="1" s="1"/>
  <c r="CW45" i="1"/>
  <c r="CW43" i="1"/>
  <c r="CW126" i="1"/>
  <c r="CX29" i="1"/>
  <c r="AD29" i="1" s="1"/>
  <c r="AD30" i="1" s="1"/>
  <c r="AE22" i="1"/>
  <c r="AE267" i="1" s="1"/>
  <c r="CK68" i="1" l="1"/>
  <c r="CK106" i="1"/>
  <c r="CY48" i="1"/>
  <c r="CY44" i="1"/>
  <c r="CY43" i="1"/>
  <c r="CY246" i="1"/>
  <c r="CY247" i="1" s="1"/>
  <c r="CZ210" i="1"/>
  <c r="CZ212" i="1" s="1"/>
  <c r="CZ171" i="1"/>
  <c r="CZ264" i="1"/>
  <c r="CZ265" i="1" s="1"/>
  <c r="CZ43" i="1"/>
  <c r="CZ246" i="1"/>
  <c r="CZ247" i="1" s="1"/>
  <c r="CZ45" i="1"/>
  <c r="CZ48" i="1"/>
  <c r="CZ44" i="1"/>
  <c r="AD32" i="1"/>
  <c r="CZ126" i="1"/>
  <c r="CX264" i="1"/>
  <c r="CX265" i="1" s="1"/>
  <c r="CY240" i="1"/>
  <c r="CY45" i="1"/>
  <c r="CZ240" i="1"/>
  <c r="CX240" i="1"/>
  <c r="CY126" i="1"/>
  <c r="CX126" i="1"/>
  <c r="DA162" i="1"/>
  <c r="DA210" i="1" s="1"/>
  <c r="AD31" i="1"/>
  <c r="AD73" i="1"/>
  <c r="AD42" i="1"/>
  <c r="AD264" i="1" s="1"/>
  <c r="AD265" i="1" s="1"/>
  <c r="CY210" i="1"/>
  <c r="CX171" i="1"/>
  <c r="CY211" i="1"/>
  <c r="CX211" i="1"/>
  <c r="AD199" i="1"/>
  <c r="AD198" i="1" s="1"/>
  <c r="AD211" i="1"/>
  <c r="CG103" i="1"/>
  <c r="DA33" i="1"/>
  <c r="DA32" i="1"/>
  <c r="DA42" i="1"/>
  <c r="DA264" i="1" s="1"/>
  <c r="DA265" i="1" s="1"/>
  <c r="CX210" i="1"/>
  <c r="CX48" i="1"/>
  <c r="CX44" i="1"/>
  <c r="CX43" i="1"/>
  <c r="CX246" i="1"/>
  <c r="CX247" i="1" s="1"/>
  <c r="CX45" i="1"/>
  <c r="AD193" i="1"/>
  <c r="AD162" i="1"/>
  <c r="CK221" i="1"/>
  <c r="CK219" i="1" s="1"/>
  <c r="CK224" i="1" s="1"/>
  <c r="CK143" i="1"/>
  <c r="CK69" i="1" s="1"/>
  <c r="AC195" i="1"/>
  <c r="AC200" i="1"/>
  <c r="AC203" i="1" s="1"/>
  <c r="AC204" i="1" s="1"/>
  <c r="DA29" i="1"/>
  <c r="DB159" i="1"/>
  <c r="AE159" i="1" s="1"/>
  <c r="AE194" i="1" s="1"/>
  <c r="DB30" i="1"/>
  <c r="DB29" i="1" s="1"/>
  <c r="DB158" i="1"/>
  <c r="DB40" i="1"/>
  <c r="DB37" i="1" s="1"/>
  <c r="DB167" i="1"/>
  <c r="AE167" i="1" s="1"/>
  <c r="AE197" i="1" s="1"/>
  <c r="DB26" i="1"/>
  <c r="DB160" i="1"/>
  <c r="AE160" i="1" s="1"/>
  <c r="DB166" i="1"/>
  <c r="AE24" i="1"/>
  <c r="DA170" i="1"/>
  <c r="CK108" i="1" l="1"/>
  <c r="CK110" i="1"/>
  <c r="CK109" i="1"/>
  <c r="AE37" i="1"/>
  <c r="AE40" i="1" s="1"/>
  <c r="AE41" i="1" s="1"/>
  <c r="AE112" i="1"/>
  <c r="AE202" i="1"/>
  <c r="AD44" i="1"/>
  <c r="DA171" i="1"/>
  <c r="CK174" i="1"/>
  <c r="CK175" i="1" s="1"/>
  <c r="CL223" i="1" s="1"/>
  <c r="CL224" i="1" s="1"/>
  <c r="CL225" i="1" s="1"/>
  <c r="DB33" i="1"/>
  <c r="DB42" i="1"/>
  <c r="DB264" i="1" s="1"/>
  <c r="DB265" i="1" s="1"/>
  <c r="DB32" i="1"/>
  <c r="CX212" i="1"/>
  <c r="CY212" i="1"/>
  <c r="AD171" i="1"/>
  <c r="AD196" i="1"/>
  <c r="AD210" i="1"/>
  <c r="AD212" i="1" s="1"/>
  <c r="DB162" i="1"/>
  <c r="AE158" i="1"/>
  <c r="DA48" i="1"/>
  <c r="DA43" i="1"/>
  <c r="DA44" i="1"/>
  <c r="DA45" i="1"/>
  <c r="DA246" i="1"/>
  <c r="DA247" i="1" s="1"/>
  <c r="AD48" i="1"/>
  <c r="AD43" i="1"/>
  <c r="AD126" i="1"/>
  <c r="AD74" i="1"/>
  <c r="AE25" i="1"/>
  <c r="AE72" i="1"/>
  <c r="AE29" i="1"/>
  <c r="AE30" i="1" s="1"/>
  <c r="AE32" i="1" s="1"/>
  <c r="DA126" i="1"/>
  <c r="DA240" i="1"/>
  <c r="AE166" i="1"/>
  <c r="AE170" i="1" s="1"/>
  <c r="DB170" i="1"/>
  <c r="DB211" i="1" s="1"/>
  <c r="DA211" i="1"/>
  <c r="DA212" i="1" s="1"/>
  <c r="CK225" i="1" l="1"/>
  <c r="CK262" i="1"/>
  <c r="CK258" i="1"/>
  <c r="CK260" i="1"/>
  <c r="AE42" i="1"/>
  <c r="AE31" i="1"/>
  <c r="AE73" i="1"/>
  <c r="DB48" i="1"/>
  <c r="DB45" i="1"/>
  <c r="DB246" i="1"/>
  <c r="DB247" i="1" s="1"/>
  <c r="DB43" i="1"/>
  <c r="DB44" i="1"/>
  <c r="DB126" i="1"/>
  <c r="AD200" i="1"/>
  <c r="AD203" i="1" s="1"/>
  <c r="AD204" i="1" s="1"/>
  <c r="AD195" i="1"/>
  <c r="AE162" i="1"/>
  <c r="AE193" i="1"/>
  <c r="CK179" i="1"/>
  <c r="CK182" i="1"/>
  <c r="DB171" i="1"/>
  <c r="DB210" i="1"/>
  <c r="DB212" i="1" s="1"/>
  <c r="AE199" i="1"/>
  <c r="AE198" i="1" s="1"/>
  <c r="AE211" i="1"/>
  <c r="DB240" i="1"/>
  <c r="CK123" i="1" l="1"/>
  <c r="CL51" i="1"/>
  <c r="CM51" i="1" s="1"/>
  <c r="CN51" i="1" s="1"/>
  <c r="CO51" i="1" s="1"/>
  <c r="CP51" i="1" s="1"/>
  <c r="CQ51" i="1" s="1"/>
  <c r="CR51" i="1" s="1"/>
  <c r="CS51" i="1" s="1"/>
  <c r="CT51" i="1" s="1"/>
  <c r="CU51" i="1" s="1"/>
  <c r="CV51" i="1" s="1"/>
  <c r="CW51" i="1" s="1"/>
  <c r="CX51" i="1" s="1"/>
  <c r="CY51" i="1" s="1"/>
  <c r="CZ51" i="1" s="1"/>
  <c r="DA51" i="1" s="1"/>
  <c r="DB51" i="1" s="1"/>
  <c r="AE44" i="1"/>
  <c r="AE264" i="1"/>
  <c r="AE265" i="1" s="1"/>
  <c r="CK180" i="1"/>
  <c r="AE171" i="1"/>
  <c r="AE196" i="1"/>
  <c r="AE210" i="1"/>
  <c r="AE212" i="1" s="1"/>
  <c r="AE48" i="1"/>
  <c r="AE43" i="1"/>
  <c r="AE74" i="1"/>
  <c r="AE126" i="1"/>
  <c r="CK125" i="1" l="1"/>
  <c r="CK128" i="1" s="1"/>
  <c r="CK124" i="1"/>
  <c r="CK127" i="1" s="1"/>
  <c r="AE200" i="1"/>
  <c r="AE203" i="1" s="1"/>
  <c r="AE204" i="1" s="1"/>
  <c r="AE195" i="1"/>
  <c r="CL106" i="1" l="1"/>
  <c r="CL68" i="1"/>
  <c r="CM101" i="1"/>
  <c r="CN101" i="1" s="1"/>
  <c r="CO101" i="1" s="1"/>
  <c r="CP101" i="1" s="1"/>
  <c r="CQ101" i="1" s="1"/>
  <c r="CR101" i="1" s="1"/>
  <c r="CS101" i="1" s="1"/>
  <c r="CT101" i="1" s="1"/>
  <c r="CU101" i="1" s="1"/>
  <c r="CV101" i="1" s="1"/>
  <c r="CW101" i="1" s="1"/>
  <c r="CX101" i="1" s="1"/>
  <c r="CY101" i="1" s="1"/>
  <c r="CZ101" i="1" s="1"/>
  <c r="DA101" i="1" s="1"/>
  <c r="DB101" i="1" s="1"/>
  <c r="CL69" i="1"/>
  <c r="CH103" i="1"/>
  <c r="CL109" i="1" l="1"/>
  <c r="CM109" i="1" s="1"/>
  <c r="CN109" i="1" s="1"/>
  <c r="CO109" i="1" s="1"/>
  <c r="CP109" i="1" s="1"/>
  <c r="CQ109" i="1" s="1"/>
  <c r="CR109" i="1" s="1"/>
  <c r="CS109" i="1" s="1"/>
  <c r="CT109" i="1" s="1"/>
  <c r="CU109" i="1" s="1"/>
  <c r="CV109" i="1" s="1"/>
  <c r="CW109" i="1" s="1"/>
  <c r="CX109" i="1" s="1"/>
  <c r="CY109" i="1" s="1"/>
  <c r="CZ109" i="1" s="1"/>
  <c r="DA109" i="1" s="1"/>
  <c r="DB109" i="1" s="1"/>
  <c r="CL110" i="1"/>
  <c r="CM110" i="1" s="1"/>
  <c r="CN110" i="1" s="1"/>
  <c r="CO110" i="1" s="1"/>
  <c r="CP110" i="1" s="1"/>
  <c r="CQ110" i="1" s="1"/>
  <c r="CR110" i="1" s="1"/>
  <c r="CS110" i="1" s="1"/>
  <c r="CT110" i="1" s="1"/>
  <c r="CU110" i="1" s="1"/>
  <c r="CV110" i="1" s="1"/>
  <c r="CW110" i="1" s="1"/>
  <c r="CX110" i="1" s="1"/>
  <c r="CY110" i="1" s="1"/>
  <c r="CZ110" i="1" s="1"/>
  <c r="DA110" i="1" s="1"/>
  <c r="DB110" i="1" s="1"/>
  <c r="CL108" i="1"/>
  <c r="CN100" i="1"/>
  <c r="CO100" i="1" s="1"/>
  <c r="CP100" i="1" s="1"/>
  <c r="CQ100" i="1" s="1"/>
  <c r="CR100" i="1" s="1"/>
  <c r="CS100" i="1" s="1"/>
  <c r="CT100" i="1" s="1"/>
  <c r="CU100" i="1" s="1"/>
  <c r="CV100" i="1" s="1"/>
  <c r="CW100" i="1" s="1"/>
  <c r="CX100" i="1" s="1"/>
  <c r="CY100" i="1" s="1"/>
  <c r="CZ100" i="1" s="1"/>
  <c r="DA100" i="1" s="1"/>
  <c r="DB100" i="1" s="1"/>
  <c r="CM223" i="1" l="1"/>
  <c r="CL123" i="1"/>
  <c r="AB223" i="1"/>
  <c r="CL125" i="1" l="1"/>
  <c r="CL128" i="1" s="1"/>
  <c r="CL124" i="1"/>
  <c r="CL127" i="1" s="1"/>
  <c r="CM50" i="1"/>
  <c r="CM266" i="1" s="1"/>
  <c r="CM52" i="1" l="1"/>
  <c r="CM53" i="1" l="1"/>
  <c r="CM55" i="1" l="1"/>
  <c r="CM57" i="1" l="1"/>
  <c r="CM58" i="1"/>
  <c r="CM248" i="1"/>
  <c r="CM62" i="1"/>
  <c r="CM56" i="1"/>
  <c r="CM259" i="1" s="1"/>
  <c r="CM241" i="1"/>
  <c r="CM207" i="1" l="1"/>
  <c r="CM209" i="1" s="1"/>
  <c r="CM213" i="1" s="1"/>
  <c r="CM227" i="1" s="1"/>
  <c r="CM80" i="1"/>
  <c r="CM133" i="1"/>
  <c r="CM134" i="1" l="1"/>
  <c r="CM83" i="1"/>
  <c r="CM84" i="1" l="1"/>
  <c r="CM92" i="1"/>
  <c r="CI103" i="1"/>
  <c r="CM99" i="1"/>
  <c r="CM93" i="1"/>
  <c r="CM143" i="1"/>
  <c r="CM69" i="1" s="1"/>
  <c r="CM106" i="1"/>
  <c r="CM108" i="1" s="1"/>
  <c r="CM221" i="1"/>
  <c r="CM219" i="1" s="1"/>
  <c r="CM224" i="1" s="1"/>
  <c r="CM68" i="1"/>
  <c r="CM174" i="1" l="1"/>
  <c r="CM175" i="1" s="1"/>
  <c r="CM96" i="1"/>
  <c r="CM122" i="1"/>
  <c r="CM95" i="1"/>
  <c r="CM121" i="1"/>
  <c r="CM225" i="1" l="1"/>
  <c r="CM262" i="1"/>
  <c r="CM260" i="1"/>
  <c r="CM258" i="1"/>
  <c r="CN223" i="1"/>
  <c r="CM179" i="1"/>
  <c r="CM182" i="1"/>
  <c r="CM180" i="1" l="1"/>
  <c r="CN50" i="1"/>
  <c r="CN266" i="1" s="1"/>
  <c r="CM123" i="1"/>
  <c r="CM124" i="1" l="1"/>
  <c r="CM127" i="1" s="1"/>
  <c r="CM125" i="1"/>
  <c r="CM128" i="1" s="1"/>
  <c r="CN52" i="1"/>
  <c r="CN53" i="1" l="1"/>
  <c r="CN55" i="1" s="1"/>
  <c r="CN57" i="1" l="1"/>
  <c r="CN58" i="1"/>
  <c r="CN62" i="1"/>
  <c r="CN248" i="1"/>
  <c r="CN56" i="1"/>
  <c r="CN259" i="1" s="1"/>
  <c r="CN241" i="1"/>
  <c r="CN80" i="1" l="1"/>
  <c r="CN207" i="1"/>
  <c r="CN209" i="1" s="1"/>
  <c r="CN213" i="1" s="1"/>
  <c r="CN227" i="1" s="1"/>
  <c r="CN133" i="1"/>
  <c r="CN83" i="1" l="1"/>
  <c r="CN134" i="1"/>
  <c r="CN84" i="1" l="1"/>
  <c r="CN143" i="1"/>
  <c r="CN69" i="1" s="1"/>
  <c r="CN221" i="1"/>
  <c r="CN219" i="1" s="1"/>
  <c r="CN224" i="1" s="1"/>
  <c r="CN106" i="1"/>
  <c r="CN108" i="1" s="1"/>
  <c r="CN68" i="1"/>
  <c r="CN99" i="1"/>
  <c r="CN92" i="1"/>
  <c r="CN93" i="1"/>
  <c r="CJ103" i="1"/>
  <c r="CN95" i="1" l="1"/>
  <c r="CN121" i="1"/>
  <c r="CN174" i="1"/>
  <c r="CN175" i="1" s="1"/>
  <c r="CN122" i="1"/>
  <c r="CN96" i="1"/>
  <c r="CN225" i="1" l="1"/>
  <c r="CN262" i="1"/>
  <c r="CN260" i="1"/>
  <c r="CN258" i="1"/>
  <c r="CN179" i="1"/>
  <c r="CN182" i="1"/>
  <c r="CO223" i="1"/>
  <c r="CN180" i="1" l="1"/>
  <c r="CO50" i="1"/>
  <c r="CO266" i="1" s="1"/>
  <c r="CN123" i="1"/>
  <c r="CO52" i="1" l="1"/>
  <c r="CN125" i="1"/>
  <c r="CN128" i="1" s="1"/>
  <c r="CN124" i="1"/>
  <c r="CN127" i="1" s="1"/>
  <c r="CO53" i="1" l="1"/>
  <c r="CO55" i="1" l="1"/>
  <c r="CO56" i="1" l="1"/>
  <c r="CO259" i="1" s="1"/>
  <c r="CO58" i="1"/>
  <c r="CO57" i="1"/>
  <c r="CO248" i="1"/>
  <c r="CO62" i="1"/>
  <c r="CO241" i="1"/>
  <c r="CO80" i="1" l="1"/>
  <c r="CO207" i="1"/>
  <c r="CO209" i="1" s="1"/>
  <c r="CO213" i="1" s="1"/>
  <c r="CO227" i="1" s="1"/>
  <c r="CO133" i="1"/>
  <c r="CO134" i="1" l="1"/>
  <c r="CO83" i="1"/>
  <c r="CK103" i="1" s="1"/>
  <c r="CO84" i="1" l="1"/>
  <c r="CO93" i="1"/>
  <c r="CO99" i="1"/>
  <c r="CO92" i="1"/>
  <c r="CO106" i="1"/>
  <c r="CO108" i="1" s="1"/>
  <c r="CO221" i="1"/>
  <c r="CO219" i="1" s="1"/>
  <c r="CO224" i="1" s="1"/>
  <c r="CO143" i="1"/>
  <c r="CO69" i="1" s="1"/>
  <c r="CO68" i="1"/>
  <c r="CO174" i="1" l="1"/>
  <c r="CO175" i="1" s="1"/>
  <c r="CO95" i="1"/>
  <c r="CO121" i="1"/>
  <c r="CO122" i="1"/>
  <c r="CO96" i="1"/>
  <c r="CO225" i="1" l="1"/>
  <c r="CO260" i="1"/>
  <c r="CO258" i="1"/>
  <c r="CO262" i="1"/>
  <c r="CO179" i="1"/>
  <c r="CO182" i="1"/>
  <c r="CP223" i="1"/>
  <c r="CP50" i="1" l="1"/>
  <c r="CP266" i="1" s="1"/>
  <c r="CO123" i="1"/>
  <c r="CO180" i="1"/>
  <c r="CO125" i="1" l="1"/>
  <c r="CO128" i="1" s="1"/>
  <c r="CO124" i="1"/>
  <c r="CO127" i="1" s="1"/>
  <c r="CP52" i="1"/>
  <c r="AB50" i="1"/>
  <c r="AB51" i="1" l="1"/>
  <c r="AB266" i="1"/>
  <c r="AB52" i="1"/>
  <c r="CP53" i="1"/>
  <c r="AB53" i="1" s="1"/>
  <c r="AB54" i="1" l="1"/>
  <c r="CP55" i="1"/>
  <c r="CP56" i="1" s="1"/>
  <c r="CP259" i="1" s="1"/>
  <c r="AB55" i="1"/>
  <c r="CP57" i="1" l="1"/>
  <c r="CP241" i="1"/>
  <c r="CP248" i="1"/>
  <c r="CP62" i="1"/>
  <c r="CP133" i="1" s="1"/>
  <c r="CP58" i="1"/>
  <c r="AB57" i="1"/>
  <c r="AB62" i="1"/>
  <c r="AB56" i="1"/>
  <c r="AB259" i="1" s="1"/>
  <c r="AB75" i="1"/>
  <c r="CP207" i="1" l="1"/>
  <c r="CP209" i="1" s="1"/>
  <c r="CP213" i="1" s="1"/>
  <c r="CP227" i="1" s="1"/>
  <c r="CP80" i="1"/>
  <c r="CP83" i="1" s="1"/>
  <c r="CL103" i="1" s="1"/>
  <c r="AB133" i="1"/>
  <c r="AB134" i="1" s="1"/>
  <c r="AB68" i="1" s="1"/>
  <c r="CP134" i="1"/>
  <c r="AB65" i="1"/>
  <c r="AB66" i="1" s="1"/>
  <c r="AB207" i="1"/>
  <c r="AB209" i="1" s="1"/>
  <c r="AB213" i="1" s="1"/>
  <c r="AB227" i="1" s="1"/>
  <c r="CP84" i="1" l="1"/>
  <c r="AB143" i="1"/>
  <c r="AB69" i="1" s="1"/>
  <c r="AB189" i="1"/>
  <c r="AB221" i="1"/>
  <c r="AB219" i="1" s="1"/>
  <c r="AB224" i="1" s="1"/>
  <c r="CP92" i="1"/>
  <c r="CP99" i="1"/>
  <c r="CP93" i="1"/>
  <c r="CP221" i="1"/>
  <c r="CP219" i="1" s="1"/>
  <c r="CP224" i="1" s="1"/>
  <c r="CP143" i="1"/>
  <c r="CP69" i="1" s="1"/>
  <c r="CP106" i="1"/>
  <c r="CP108" i="1" s="1"/>
  <c r="CP68" i="1"/>
  <c r="CP174" i="1" l="1"/>
  <c r="CP95" i="1"/>
  <c r="CP121" i="1"/>
  <c r="AB92" i="1"/>
  <c r="CP122" i="1"/>
  <c r="CP96" i="1"/>
  <c r="AB93" i="1"/>
  <c r="AB96" i="1" l="1"/>
  <c r="CP175" i="1"/>
  <c r="AB174" i="1"/>
  <c r="AB175" i="1" s="1"/>
  <c r="AB95" i="1"/>
  <c r="AB262" i="1" l="1"/>
  <c r="AB260" i="1"/>
  <c r="AB258" i="1"/>
  <c r="CP260" i="1"/>
  <c r="CP258" i="1"/>
  <c r="CP262" i="1"/>
  <c r="CP179" i="1"/>
  <c r="CQ223" i="1"/>
  <c r="CP182" i="1"/>
  <c r="CP225" i="1"/>
  <c r="AB182" i="1"/>
  <c r="AB123" i="1" s="1"/>
  <c r="AB179" i="1"/>
  <c r="AC223" i="1"/>
  <c r="AB225" i="1"/>
  <c r="AB180" i="1" l="1"/>
  <c r="CP123" i="1"/>
  <c r="CQ50" i="1"/>
  <c r="CQ266" i="1" s="1"/>
  <c r="CP180" i="1"/>
  <c r="CQ52" i="1" l="1"/>
  <c r="CP124" i="1"/>
  <c r="CP127" i="1" s="1"/>
  <c r="CP125" i="1"/>
  <c r="CP128" i="1" s="1"/>
  <c r="CQ53" i="1" l="1"/>
  <c r="CQ55" i="1" s="1"/>
  <c r="CQ62" i="1" l="1"/>
  <c r="CQ56" i="1"/>
  <c r="CQ259" i="1" s="1"/>
  <c r="CQ57" i="1"/>
  <c r="CQ58" i="1"/>
  <c r="CQ248" i="1"/>
  <c r="CQ241" i="1"/>
  <c r="CQ80" i="1" l="1"/>
  <c r="CQ207" i="1"/>
  <c r="CQ209" i="1" s="1"/>
  <c r="CQ213" i="1" s="1"/>
  <c r="CQ227" i="1" s="1"/>
  <c r="CQ133" i="1"/>
  <c r="CQ134" i="1" l="1"/>
  <c r="CQ83" i="1"/>
  <c r="CQ84" i="1" l="1"/>
  <c r="CQ93" i="1"/>
  <c r="CQ92" i="1"/>
  <c r="CQ99" i="1"/>
  <c r="CQ143" i="1"/>
  <c r="CQ69" i="1" s="1"/>
  <c r="CQ221" i="1"/>
  <c r="CQ219" i="1" s="1"/>
  <c r="CQ224" i="1" s="1"/>
  <c r="CQ106" i="1"/>
  <c r="CQ108" i="1" s="1"/>
  <c r="CQ68" i="1"/>
  <c r="CQ174" i="1" l="1"/>
  <c r="CQ175" i="1" s="1"/>
  <c r="CQ225" i="1" s="1"/>
  <c r="CQ121" i="1"/>
  <c r="CQ95" i="1"/>
  <c r="CQ122" i="1"/>
  <c r="CQ96" i="1"/>
  <c r="CQ262" i="1" l="1"/>
  <c r="CQ260" i="1"/>
  <c r="CQ258" i="1"/>
  <c r="CQ182" i="1"/>
  <c r="CR223" i="1"/>
  <c r="CQ179" i="1"/>
  <c r="CQ180" i="1" l="1"/>
  <c r="CQ123" i="1"/>
  <c r="CR50" i="1"/>
  <c r="CR266" i="1" s="1"/>
  <c r="CR52" i="1" l="1"/>
  <c r="CQ124" i="1"/>
  <c r="CQ127" i="1" s="1"/>
  <c r="CQ125" i="1"/>
  <c r="CQ128" i="1" s="1"/>
  <c r="CR53" i="1" l="1"/>
  <c r="CR55" i="1" s="1"/>
  <c r="CR248" i="1" l="1"/>
  <c r="CR56" i="1"/>
  <c r="CR259" i="1" s="1"/>
  <c r="CR62" i="1"/>
  <c r="CR57" i="1"/>
  <c r="CR58" i="1"/>
  <c r="CR241" i="1"/>
  <c r="CR80" i="1" l="1"/>
  <c r="CR207" i="1"/>
  <c r="CR209" i="1" s="1"/>
  <c r="CR213" i="1" s="1"/>
  <c r="CR227" i="1" s="1"/>
  <c r="CR133" i="1"/>
  <c r="CR134" i="1" l="1"/>
  <c r="CR83" i="1"/>
  <c r="CR84" i="1" l="1"/>
  <c r="CR99" i="1"/>
  <c r="CR92" i="1"/>
  <c r="CR93" i="1"/>
  <c r="CR143" i="1"/>
  <c r="CR69" i="1" s="1"/>
  <c r="CR221" i="1"/>
  <c r="CR219" i="1" s="1"/>
  <c r="CR224" i="1" s="1"/>
  <c r="CR106" i="1"/>
  <c r="CR108" i="1" s="1"/>
  <c r="CR68" i="1"/>
  <c r="CR174" i="1" l="1"/>
  <c r="CR175" i="1" s="1"/>
  <c r="CR122" i="1"/>
  <c r="CR96" i="1"/>
  <c r="CR121" i="1"/>
  <c r="CR95" i="1"/>
  <c r="CR262" i="1" l="1"/>
  <c r="CR260" i="1"/>
  <c r="CR258" i="1"/>
  <c r="CS223" i="1"/>
  <c r="CR182" i="1"/>
  <c r="CR179" i="1"/>
  <c r="CR225" i="1"/>
  <c r="CR180" i="1" l="1"/>
  <c r="CR123" i="1"/>
  <c r="CS50" i="1"/>
  <c r="CS266" i="1" s="1"/>
  <c r="CS52" i="1" l="1"/>
  <c r="CR124" i="1"/>
  <c r="CR127" i="1" s="1"/>
  <c r="CR125" i="1"/>
  <c r="CR128" i="1" s="1"/>
  <c r="CS53" i="1" l="1"/>
  <c r="CS55" i="1" l="1"/>
  <c r="CS62" i="1" l="1"/>
  <c r="CS58" i="1"/>
  <c r="CS248" i="1"/>
  <c r="CS57" i="1"/>
  <c r="CS56" i="1"/>
  <c r="CS259" i="1" s="1"/>
  <c r="CS241" i="1"/>
  <c r="CS80" i="1" l="1"/>
  <c r="CS207" i="1"/>
  <c r="CS209" i="1" s="1"/>
  <c r="CS213" i="1" s="1"/>
  <c r="CS227" i="1" s="1"/>
  <c r="CS133" i="1"/>
  <c r="CS134" i="1" l="1"/>
  <c r="CS83" i="1"/>
  <c r="CS84" i="1" l="1"/>
  <c r="CS92" i="1"/>
  <c r="CS93" i="1"/>
  <c r="CS99" i="1"/>
  <c r="CS143" i="1"/>
  <c r="CS69" i="1" s="1"/>
  <c r="CS106" i="1"/>
  <c r="CS108" i="1" s="1"/>
  <c r="CS221" i="1"/>
  <c r="CS219" i="1" s="1"/>
  <c r="CS224" i="1" s="1"/>
  <c r="CS68" i="1"/>
  <c r="CS174" i="1" l="1"/>
  <c r="CS175" i="1" s="1"/>
  <c r="CS122" i="1"/>
  <c r="CS96" i="1"/>
  <c r="CS121" i="1"/>
  <c r="CS95" i="1"/>
  <c r="CS260" i="1" l="1"/>
  <c r="CS262" i="1"/>
  <c r="CS258" i="1"/>
  <c r="CT223" i="1"/>
  <c r="CS179" i="1"/>
  <c r="CS182" i="1"/>
  <c r="CS225" i="1"/>
  <c r="CT50" i="1" l="1"/>
  <c r="CT266" i="1" s="1"/>
  <c r="CS123" i="1"/>
  <c r="CS180" i="1"/>
  <c r="CS125" i="1" l="1"/>
  <c r="CS128" i="1" s="1"/>
  <c r="CS124" i="1"/>
  <c r="CS127" i="1" s="1"/>
  <c r="CT52" i="1"/>
  <c r="AC50" i="1"/>
  <c r="AC51" i="1" l="1"/>
  <c r="AC266" i="1"/>
  <c r="AC52" i="1"/>
  <c r="CT53" i="1"/>
  <c r="AC53" i="1" s="1"/>
  <c r="AC54" i="1" l="1"/>
  <c r="CT55" i="1"/>
  <c r="CT58" i="1" s="1"/>
  <c r="AC55" i="1"/>
  <c r="CT57" i="1" l="1"/>
  <c r="CT62" i="1"/>
  <c r="CT248" i="1"/>
  <c r="CT241" i="1"/>
  <c r="CT56" i="1"/>
  <c r="CT259" i="1" s="1"/>
  <c r="AC57" i="1"/>
  <c r="AC56" i="1"/>
  <c r="AC259" i="1" s="1"/>
  <c r="AC75" i="1"/>
  <c r="AC62" i="1"/>
  <c r="CT133" i="1" l="1"/>
  <c r="CT80" i="1"/>
  <c r="CT83" i="1" s="1"/>
  <c r="CT207" i="1"/>
  <c r="CT209" i="1" s="1"/>
  <c r="CT213" i="1" s="1"/>
  <c r="CT227" i="1" s="1"/>
  <c r="AC65" i="1"/>
  <c r="AC66" i="1" s="1"/>
  <c r="AC207" i="1"/>
  <c r="AC209" i="1" s="1"/>
  <c r="AC213" i="1" s="1"/>
  <c r="AC227" i="1" s="1"/>
  <c r="CT134" i="1" l="1"/>
  <c r="AC133" i="1"/>
  <c r="AC134" i="1" s="1"/>
  <c r="AC143" i="1" s="1"/>
  <c r="AC69" i="1" s="1"/>
  <c r="CT84" i="1"/>
  <c r="CT99" i="1"/>
  <c r="CT92" i="1"/>
  <c r="CT93" i="1"/>
  <c r="CT143" i="1" l="1"/>
  <c r="CT69" i="1" s="1"/>
  <c r="CT106" i="1"/>
  <c r="CT108" i="1" s="1"/>
  <c r="CT221" i="1"/>
  <c r="CT219" i="1" s="1"/>
  <c r="CT224" i="1" s="1"/>
  <c r="CT174" i="1" s="1"/>
  <c r="CT68" i="1"/>
  <c r="AC68" i="1"/>
  <c r="AC221" i="1"/>
  <c r="AC219" i="1" s="1"/>
  <c r="AC224" i="1" s="1"/>
  <c r="AC189" i="1"/>
  <c r="CT121" i="1"/>
  <c r="CT95" i="1"/>
  <c r="AC92" i="1"/>
  <c r="CT122" i="1"/>
  <c r="CT96" i="1"/>
  <c r="AC93" i="1"/>
  <c r="AC95" i="1" l="1"/>
  <c r="CT175" i="1"/>
  <c r="AC174" i="1"/>
  <c r="AC175" i="1" s="1"/>
  <c r="AC96" i="1"/>
  <c r="CT260" i="1" l="1"/>
  <c r="CT262" i="1"/>
  <c r="CT258" i="1"/>
  <c r="AC262" i="1"/>
  <c r="AC260" i="1"/>
  <c r="AC258" i="1"/>
  <c r="CU223" i="1"/>
  <c r="CT179" i="1"/>
  <c r="CT182" i="1"/>
  <c r="CT225" i="1"/>
  <c r="AD223" i="1"/>
  <c r="AC182" i="1"/>
  <c r="AC123" i="1" s="1"/>
  <c r="AC179" i="1"/>
  <c r="AC225" i="1"/>
  <c r="AC180" i="1" l="1"/>
  <c r="CT180" i="1"/>
  <c r="CT123" i="1"/>
  <c r="CU50" i="1"/>
  <c r="CU266" i="1" s="1"/>
  <c r="CU52" i="1" l="1"/>
  <c r="CT124" i="1"/>
  <c r="CT127" i="1" s="1"/>
  <c r="CT125" i="1"/>
  <c r="CT128" i="1" s="1"/>
  <c r="CU53" i="1" l="1"/>
  <c r="CU55" i="1" s="1"/>
  <c r="CU56" i="1" l="1"/>
  <c r="CU259" i="1" s="1"/>
  <c r="CU57" i="1"/>
  <c r="CU58" i="1"/>
  <c r="CU62" i="1"/>
  <c r="CU248" i="1"/>
  <c r="CU241" i="1"/>
  <c r="CU207" i="1" l="1"/>
  <c r="CU209" i="1" s="1"/>
  <c r="CU213" i="1" s="1"/>
  <c r="CU227" i="1" s="1"/>
  <c r="CU80" i="1"/>
  <c r="CU133" i="1"/>
  <c r="CU134" i="1" l="1"/>
  <c r="CU83" i="1"/>
  <c r="CU84" i="1" l="1"/>
  <c r="CU99" i="1"/>
  <c r="CU93" i="1"/>
  <c r="CU92" i="1"/>
  <c r="CU143" i="1"/>
  <c r="CU69" i="1" s="1"/>
  <c r="CU221" i="1"/>
  <c r="CU219" i="1" s="1"/>
  <c r="CU224" i="1" s="1"/>
  <c r="CU106" i="1"/>
  <c r="CU108" i="1" s="1"/>
  <c r="CU68" i="1"/>
  <c r="CU174" i="1" l="1"/>
  <c r="CU175" i="1" s="1"/>
  <c r="CU121" i="1"/>
  <c r="CU95" i="1"/>
  <c r="CU122" i="1"/>
  <c r="CU96" i="1"/>
  <c r="CU262" i="1" l="1"/>
  <c r="CU258" i="1"/>
  <c r="CU260" i="1"/>
  <c r="CU179" i="1"/>
  <c r="CU182" i="1"/>
  <c r="CV223" i="1"/>
  <c r="CU225" i="1"/>
  <c r="CU180" i="1" l="1"/>
  <c r="CV50" i="1"/>
  <c r="CV266" i="1" s="1"/>
  <c r="CU123" i="1"/>
  <c r="CU124" i="1" l="1"/>
  <c r="CU127" i="1" s="1"/>
  <c r="CU125" i="1"/>
  <c r="CU128" i="1" s="1"/>
  <c r="CV52" i="1"/>
  <c r="CV53" i="1" l="1"/>
  <c r="CV55" i="1" l="1"/>
  <c r="CV62" i="1" l="1"/>
  <c r="CV248" i="1"/>
  <c r="CV56" i="1"/>
  <c r="CV259" i="1" s="1"/>
  <c r="CV58" i="1"/>
  <c r="CV57" i="1"/>
  <c r="CV241" i="1"/>
  <c r="CV207" i="1" l="1"/>
  <c r="CV209" i="1" s="1"/>
  <c r="CV213" i="1" s="1"/>
  <c r="CV227" i="1" s="1"/>
  <c r="CV80" i="1"/>
  <c r="CV133" i="1"/>
  <c r="CV134" i="1" l="1"/>
  <c r="CV83" i="1"/>
  <c r="CV84" i="1" l="1"/>
  <c r="CV92" i="1"/>
  <c r="CV93" i="1"/>
  <c r="CV99" i="1"/>
  <c r="CV106" i="1"/>
  <c r="CV108" i="1" s="1"/>
  <c r="CV143" i="1"/>
  <c r="CV69" i="1" s="1"/>
  <c r="CV221" i="1"/>
  <c r="CV219" i="1" s="1"/>
  <c r="CV224" i="1" s="1"/>
  <c r="CV68" i="1"/>
  <c r="CV174" i="1" l="1"/>
  <c r="CV175" i="1" s="1"/>
  <c r="CV122" i="1"/>
  <c r="CV96" i="1"/>
  <c r="CV121" i="1"/>
  <c r="CV95" i="1"/>
  <c r="CV260" i="1" l="1"/>
  <c r="CV258" i="1"/>
  <c r="CV262" i="1"/>
  <c r="CV182" i="1"/>
  <c r="CW223" i="1"/>
  <c r="CV179" i="1"/>
  <c r="CV225" i="1"/>
  <c r="CV180" i="1" l="1"/>
  <c r="CV123" i="1"/>
  <c r="CW50" i="1"/>
  <c r="CW266" i="1" s="1"/>
  <c r="CW52" i="1" l="1"/>
  <c r="CV125" i="1"/>
  <c r="CV128" i="1" s="1"/>
  <c r="CV124" i="1"/>
  <c r="CV127" i="1" s="1"/>
  <c r="CW53" i="1" l="1"/>
  <c r="CW55" i="1" l="1"/>
  <c r="CW56" i="1" l="1"/>
  <c r="CW259" i="1" s="1"/>
  <c r="CW58" i="1"/>
  <c r="CW62" i="1"/>
  <c r="CW57" i="1"/>
  <c r="CW248" i="1"/>
  <c r="CW241" i="1"/>
  <c r="CW207" i="1" l="1"/>
  <c r="CW209" i="1" s="1"/>
  <c r="CW213" i="1" s="1"/>
  <c r="CW227" i="1" s="1"/>
  <c r="CW80" i="1"/>
  <c r="CW133" i="1"/>
  <c r="CW134" i="1" l="1"/>
  <c r="CW83" i="1"/>
  <c r="CW84" i="1" l="1"/>
  <c r="CW99" i="1"/>
  <c r="CW93" i="1"/>
  <c r="CW92" i="1"/>
  <c r="CW221" i="1"/>
  <c r="CW219" i="1" s="1"/>
  <c r="CW224" i="1" s="1"/>
  <c r="CW143" i="1"/>
  <c r="CW69" i="1" s="1"/>
  <c r="CW106" i="1"/>
  <c r="CW108" i="1" s="1"/>
  <c r="CW68" i="1"/>
  <c r="CW174" i="1" l="1"/>
  <c r="CW175" i="1" s="1"/>
  <c r="CW121" i="1"/>
  <c r="CW95" i="1"/>
  <c r="CW122" i="1"/>
  <c r="CW96" i="1"/>
  <c r="CW260" i="1" l="1"/>
  <c r="CW258" i="1"/>
  <c r="CW262" i="1"/>
  <c r="CW179" i="1"/>
  <c r="CX223" i="1"/>
  <c r="CW182" i="1"/>
  <c r="CW225" i="1"/>
  <c r="CX50" i="1" l="1"/>
  <c r="CX266" i="1" s="1"/>
  <c r="CW123" i="1"/>
  <c r="CW180" i="1"/>
  <c r="CW124" i="1" l="1"/>
  <c r="CW127" i="1" s="1"/>
  <c r="CW125" i="1"/>
  <c r="CW128" i="1" s="1"/>
  <c r="CX52" i="1"/>
  <c r="AD50" i="1"/>
  <c r="AD51" i="1" l="1"/>
  <c r="AD266" i="1"/>
  <c r="AD52" i="1"/>
  <c r="CX53" i="1"/>
  <c r="AD53" i="1" s="1"/>
  <c r="AD54" i="1" l="1"/>
  <c r="CX55" i="1"/>
  <c r="CX241" i="1" s="1"/>
  <c r="AD55" i="1"/>
  <c r="CX58" i="1" l="1"/>
  <c r="CX248" i="1"/>
  <c r="CX62" i="1"/>
  <c r="CX56" i="1"/>
  <c r="CX259" i="1" s="1"/>
  <c r="CX57" i="1"/>
  <c r="AD57" i="1"/>
  <c r="AD75" i="1"/>
  <c r="AD62" i="1"/>
  <c r="AD56" i="1"/>
  <c r="AD259" i="1" s="1"/>
  <c r="CX80" i="1" l="1"/>
  <c r="CX83" i="1" s="1"/>
  <c r="CX207" i="1"/>
  <c r="CX209" i="1" s="1"/>
  <c r="CX213" i="1" s="1"/>
  <c r="CX227" i="1" s="1"/>
  <c r="CX133" i="1"/>
  <c r="AD65" i="1"/>
  <c r="AD66" i="1" s="1"/>
  <c r="AD207" i="1"/>
  <c r="AD209" i="1" s="1"/>
  <c r="AD213" i="1" s="1"/>
  <c r="AD227" i="1" s="1"/>
  <c r="AD133" i="1" l="1"/>
  <c r="AD134" i="1" s="1"/>
  <c r="CX134" i="1"/>
  <c r="CX221" i="1" s="1"/>
  <c r="CX219" i="1" s="1"/>
  <c r="CX224" i="1" s="1"/>
  <c r="CX84" i="1"/>
  <c r="CX92" i="1"/>
  <c r="CX99" i="1"/>
  <c r="CX93" i="1"/>
  <c r="AD189" i="1" l="1"/>
  <c r="AD143" i="1"/>
  <c r="AD69" i="1" s="1"/>
  <c r="AD68" i="1"/>
  <c r="AD221" i="1"/>
  <c r="AD219" i="1" s="1"/>
  <c r="AD224" i="1" s="1"/>
  <c r="CX143" i="1"/>
  <c r="CX69" i="1" s="1"/>
  <c r="CX106" i="1"/>
  <c r="CX108" i="1" s="1"/>
  <c r="CX68" i="1"/>
  <c r="CX174" i="1"/>
  <c r="CX96" i="1"/>
  <c r="CX122" i="1"/>
  <c r="AD93" i="1"/>
  <c r="CX121" i="1"/>
  <c r="CX95" i="1"/>
  <c r="AD92" i="1"/>
  <c r="AD96" i="1" l="1"/>
  <c r="AD95" i="1"/>
  <c r="CX175" i="1"/>
  <c r="AD174" i="1"/>
  <c r="AD175" i="1" s="1"/>
  <c r="AD262" i="1" l="1"/>
  <c r="AD260" i="1"/>
  <c r="AD258" i="1"/>
  <c r="CX262" i="1"/>
  <c r="CX260" i="1"/>
  <c r="CX258" i="1"/>
  <c r="AE223" i="1"/>
  <c r="AD179" i="1"/>
  <c r="AD182" i="1"/>
  <c r="AD123" i="1" s="1"/>
  <c r="AD225" i="1"/>
  <c r="CY223" i="1"/>
  <c r="CX179" i="1"/>
  <c r="CX182" i="1"/>
  <c r="CX225" i="1"/>
  <c r="AD180" i="1" l="1"/>
  <c r="CX123" i="1"/>
  <c r="CY50" i="1"/>
  <c r="CY266" i="1" s="1"/>
  <c r="CX180" i="1"/>
  <c r="CY52" i="1" l="1"/>
  <c r="CX124" i="1"/>
  <c r="CX127" i="1" s="1"/>
  <c r="CX125" i="1"/>
  <c r="CX128" i="1" s="1"/>
  <c r="CY53" i="1" l="1"/>
  <c r="CY55" i="1" l="1"/>
  <c r="CY56" i="1" l="1"/>
  <c r="CY259" i="1" s="1"/>
  <c r="CY248" i="1"/>
  <c r="CY57" i="1"/>
  <c r="CY58" i="1"/>
  <c r="CY62" i="1"/>
  <c r="CY241" i="1"/>
  <c r="CY80" i="1" l="1"/>
  <c r="CY207" i="1"/>
  <c r="CY209" i="1" s="1"/>
  <c r="CY213" i="1" s="1"/>
  <c r="CY227" i="1" s="1"/>
  <c r="CY133" i="1"/>
  <c r="CY134" i="1" l="1"/>
  <c r="CY83" i="1"/>
  <c r="CY84" i="1" s="1"/>
  <c r="CY92" i="1" l="1"/>
  <c r="CY99" i="1"/>
  <c r="CY93" i="1"/>
  <c r="CY106" i="1"/>
  <c r="CY108" i="1" s="1"/>
  <c r="CY143" i="1"/>
  <c r="CY69" i="1" s="1"/>
  <c r="CY221" i="1"/>
  <c r="CY219" i="1" s="1"/>
  <c r="CY224" i="1" s="1"/>
  <c r="CY68" i="1"/>
  <c r="CY174" i="1" l="1"/>
  <c r="CY175" i="1" s="1"/>
  <c r="CY122" i="1"/>
  <c r="CY96" i="1"/>
  <c r="CY95" i="1"/>
  <c r="CY121" i="1"/>
  <c r="CY225" i="1" l="1"/>
  <c r="CY262" i="1"/>
  <c r="CY260" i="1"/>
  <c r="CY258" i="1"/>
  <c r="CZ223" i="1"/>
  <c r="CY179" i="1"/>
  <c r="CY182" i="1"/>
  <c r="CY180" i="1" l="1"/>
  <c r="CZ50" i="1"/>
  <c r="CZ266" i="1" s="1"/>
  <c r="CY123" i="1"/>
  <c r="CY125" i="1" l="1"/>
  <c r="CY128" i="1" s="1"/>
  <c r="CY124" i="1"/>
  <c r="CY127" i="1" s="1"/>
  <c r="CZ52" i="1"/>
  <c r="CZ53" i="1" l="1"/>
  <c r="CZ55" i="1" l="1"/>
  <c r="CZ248" i="1" l="1"/>
  <c r="CZ57" i="1"/>
  <c r="CZ56" i="1"/>
  <c r="CZ259" i="1" s="1"/>
  <c r="CZ58" i="1"/>
  <c r="CZ62" i="1"/>
  <c r="CZ241" i="1"/>
  <c r="CZ207" i="1" l="1"/>
  <c r="CZ209" i="1" s="1"/>
  <c r="CZ213" i="1" s="1"/>
  <c r="CZ227" i="1" s="1"/>
  <c r="CZ80" i="1"/>
  <c r="CZ133" i="1"/>
  <c r="CZ134" i="1" l="1"/>
  <c r="CZ83" i="1"/>
  <c r="CZ84" i="1" s="1"/>
  <c r="CZ99" i="1" l="1"/>
  <c r="CZ93" i="1"/>
  <c r="CZ92" i="1"/>
  <c r="CZ143" i="1"/>
  <c r="CZ69" i="1" s="1"/>
  <c r="CZ221" i="1"/>
  <c r="CZ219" i="1" s="1"/>
  <c r="CZ224" i="1" s="1"/>
  <c r="CZ106" i="1"/>
  <c r="CZ108" i="1" s="1"/>
  <c r="CZ68" i="1"/>
  <c r="CZ174" i="1" l="1"/>
  <c r="CZ175" i="1" s="1"/>
  <c r="CZ121" i="1"/>
  <c r="CZ95" i="1"/>
  <c r="CZ96" i="1"/>
  <c r="CZ122" i="1"/>
  <c r="CZ260" i="1" l="1"/>
  <c r="CZ258" i="1"/>
  <c r="CZ262" i="1"/>
  <c r="CZ179" i="1"/>
  <c r="CZ182" i="1"/>
  <c r="DA223" i="1"/>
  <c r="CZ225" i="1"/>
  <c r="CZ123" i="1" l="1"/>
  <c r="DA50" i="1"/>
  <c r="DA266" i="1" s="1"/>
  <c r="CZ180" i="1"/>
  <c r="DA52" i="1" l="1"/>
  <c r="CZ124" i="1"/>
  <c r="CZ127" i="1" s="1"/>
  <c r="CZ125" i="1"/>
  <c r="CZ128" i="1" s="1"/>
  <c r="DA53" i="1" l="1"/>
  <c r="DA55" i="1" l="1"/>
  <c r="DA248" i="1" l="1"/>
  <c r="DA62" i="1"/>
  <c r="DA57" i="1"/>
  <c r="DA58" i="1"/>
  <c r="DA56" i="1"/>
  <c r="DA259" i="1" s="1"/>
  <c r="DA241" i="1"/>
  <c r="DA80" i="1" l="1"/>
  <c r="DA207" i="1"/>
  <c r="DA209" i="1" s="1"/>
  <c r="DA213" i="1" s="1"/>
  <c r="DA227" i="1" s="1"/>
  <c r="DA133" i="1"/>
  <c r="DA134" i="1" l="1"/>
  <c r="DA83" i="1"/>
  <c r="DA84" i="1" s="1"/>
  <c r="DA93" i="1" l="1"/>
  <c r="DA92" i="1"/>
  <c r="DA99" i="1"/>
  <c r="DA143" i="1"/>
  <c r="DA69" i="1" s="1"/>
  <c r="DA221" i="1"/>
  <c r="DA219" i="1" s="1"/>
  <c r="DA224" i="1" s="1"/>
  <c r="DA106" i="1"/>
  <c r="DA108" i="1" s="1"/>
  <c r="DA68" i="1"/>
  <c r="DA174" i="1" l="1"/>
  <c r="DA175" i="1" s="1"/>
  <c r="DA121" i="1"/>
  <c r="DA95" i="1"/>
  <c r="DA96" i="1"/>
  <c r="DA122" i="1"/>
  <c r="DA225" i="1" l="1"/>
  <c r="DA262" i="1"/>
  <c r="DA258" i="1"/>
  <c r="DA260" i="1"/>
  <c r="DA182" i="1"/>
  <c r="DB223" i="1"/>
  <c r="DA179" i="1"/>
  <c r="DA180" i="1" l="1"/>
  <c r="DA123" i="1"/>
  <c r="DB50" i="1"/>
  <c r="DB266" i="1" s="1"/>
  <c r="DA125" i="1" l="1"/>
  <c r="DA128" i="1" s="1"/>
  <c r="DA124" i="1"/>
  <c r="DA127" i="1" s="1"/>
  <c r="DB52" i="1"/>
  <c r="AE50" i="1"/>
  <c r="AE51" i="1" l="1"/>
  <c r="AE266" i="1"/>
  <c r="AE52" i="1"/>
  <c r="DB53" i="1"/>
  <c r="AE53" i="1" s="1"/>
  <c r="AE54" i="1" l="1"/>
  <c r="DB55" i="1"/>
  <c r="AE55" i="1"/>
  <c r="AE57" i="1" s="1"/>
  <c r="AE56" i="1" l="1"/>
  <c r="AE259" i="1" s="1"/>
  <c r="AE62" i="1"/>
  <c r="AE75" i="1"/>
  <c r="DB57" i="1"/>
  <c r="DB58" i="1"/>
  <c r="DB248" i="1"/>
  <c r="DB56" i="1"/>
  <c r="DB259" i="1" s="1"/>
  <c r="DB62" i="1"/>
  <c r="DB241" i="1"/>
  <c r="AE65" i="1" l="1"/>
  <c r="AE66" i="1" s="1"/>
  <c r="AE207" i="1"/>
  <c r="AE209" i="1" s="1"/>
  <c r="AE213" i="1" s="1"/>
  <c r="AE227" i="1" s="1"/>
  <c r="DB207" i="1"/>
  <c r="DB209" i="1" s="1"/>
  <c r="DB213" i="1" s="1"/>
  <c r="DB227" i="1" s="1"/>
  <c r="DB80" i="1"/>
  <c r="DB83" i="1" s="1"/>
  <c r="DB84" i="1" s="1"/>
  <c r="DB133" i="1"/>
  <c r="AE133" i="1" l="1"/>
  <c r="AE134" i="1" s="1"/>
  <c r="DB134" i="1"/>
  <c r="DB93" i="1"/>
  <c r="DB92" i="1"/>
  <c r="DB99" i="1"/>
  <c r="DB121" i="1" l="1"/>
  <c r="DB95" i="1"/>
  <c r="AE92" i="1"/>
  <c r="DB122" i="1"/>
  <c r="DB96" i="1"/>
  <c r="AE93" i="1"/>
  <c r="DB221" i="1"/>
  <c r="DB219" i="1" s="1"/>
  <c r="DB224" i="1" s="1"/>
  <c r="DB143" i="1"/>
  <c r="DB69" i="1" s="1"/>
  <c r="DB106" i="1"/>
  <c r="DB108" i="1" s="1"/>
  <c r="DB68" i="1"/>
  <c r="AE221" i="1"/>
  <c r="AE219" i="1" s="1"/>
  <c r="AE224" i="1" s="1"/>
  <c r="AE143" i="1"/>
  <c r="AE69" i="1" s="1"/>
  <c r="AE189" i="1"/>
  <c r="AE68" i="1"/>
  <c r="AE96" i="1" l="1"/>
  <c r="AE95" i="1"/>
  <c r="DB174" i="1"/>
  <c r="AE174" i="1" l="1"/>
  <c r="AE175" i="1" s="1"/>
  <c r="DB175" i="1"/>
  <c r="DB258" i="1" l="1"/>
  <c r="DB262" i="1"/>
  <c r="DB260" i="1"/>
  <c r="AE260" i="1"/>
  <c r="AE258" i="1"/>
  <c r="AE262" i="1"/>
  <c r="DB179" i="1"/>
  <c r="DB182" i="1"/>
  <c r="DB123" i="1" s="1"/>
  <c r="DB225" i="1"/>
  <c r="AE182" i="1"/>
  <c r="AE123" i="1" s="1"/>
  <c r="AE179" i="1"/>
  <c r="AE225" i="1"/>
  <c r="AE180" i="1" l="1"/>
  <c r="DB124" i="1"/>
  <c r="DB127" i="1" s="1"/>
  <c r="DB125" i="1"/>
  <c r="DB128" i="1" s="1"/>
  <c r="DB180" i="1"/>
  <c r="AA77" i="1" l="1"/>
  <c r="AB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I79" i="1"/>
  <c r="I80" i="1"/>
  <c r="I83" i="1"/>
  <c r="H103" i="1"/>
  <c r="X79" i="1"/>
  <c r="X121" i="1"/>
  <c r="X124" i="1"/>
  <c r="X127" i="1"/>
  <c r="X122" i="1"/>
  <c r="X125" i="1"/>
  <c r="X128" i="1"/>
  <c r="X80" i="1"/>
  <c r="X83" i="1"/>
  <c r="Y79" i="1"/>
  <c r="Y80" i="1"/>
  <c r="Y83" i="1"/>
  <c r="Y84" i="1"/>
  <c r="X106" i="1"/>
  <c r="X108" i="1"/>
  <c r="X113" i="1"/>
  <c r="X118" i="1"/>
  <c r="X116" i="1"/>
  <c r="Y99" i="1"/>
  <c r="Y100" i="1"/>
  <c r="Y101" i="1"/>
  <c r="X82" i="1"/>
  <c r="X109" i="1"/>
  <c r="X110" i="1"/>
  <c r="X117" i="1"/>
  <c r="X99" i="1"/>
  <c r="X101" i="1"/>
  <c r="X100" i="1"/>
  <c r="H77" i="1"/>
  <c r="G77" i="1"/>
  <c r="F77" i="1"/>
  <c r="E77" i="1"/>
  <c r="E79" i="1"/>
  <c r="E113" i="1"/>
  <c r="H79" i="1"/>
  <c r="H113" i="1"/>
  <c r="V79" i="1"/>
  <c r="V113" i="1"/>
  <c r="G79" i="1"/>
  <c r="G80" i="1"/>
  <c r="G83" i="1"/>
  <c r="Q79" i="1"/>
  <c r="Q113" i="1"/>
  <c r="U79" i="1"/>
  <c r="U113" i="1"/>
  <c r="F79" i="1"/>
  <c r="F113" i="1"/>
  <c r="R79" i="1"/>
  <c r="R113" i="1"/>
  <c r="N79" i="1"/>
  <c r="N80" i="1"/>
  <c r="N83" i="1"/>
  <c r="R80" i="1"/>
  <c r="R83" i="1"/>
  <c r="T79" i="1"/>
  <c r="T113" i="1"/>
  <c r="G113" i="1"/>
  <c r="J79" i="1"/>
  <c r="J113" i="1"/>
  <c r="H80" i="1"/>
  <c r="V80" i="1"/>
  <c r="Q80" i="1"/>
  <c r="T80" i="1"/>
  <c r="T83" i="1"/>
  <c r="W79" i="1"/>
  <c r="W113" i="1"/>
  <c r="P79" i="1"/>
  <c r="P80" i="1"/>
  <c r="P83" i="1"/>
  <c r="F80" i="1"/>
  <c r="F83" i="1"/>
  <c r="K79" i="1"/>
  <c r="K113" i="1"/>
  <c r="L79" i="1"/>
  <c r="L113" i="1"/>
  <c r="P113" i="1"/>
  <c r="W122" i="1"/>
  <c r="W80" i="1"/>
  <c r="T101" i="1"/>
  <c r="Q103" i="1"/>
  <c r="J80" i="1"/>
  <c r="J82" i="1"/>
  <c r="I113" i="1"/>
  <c r="I116" i="1"/>
  <c r="F100" i="1"/>
  <c r="K117" i="1"/>
  <c r="R99" i="1"/>
  <c r="H122" i="1"/>
  <c r="K80" i="1"/>
  <c r="K83" i="1"/>
  <c r="J103" i="1"/>
  <c r="T99" i="1"/>
  <c r="O79" i="1"/>
  <c r="O113" i="1"/>
  <c r="O118" i="1"/>
  <c r="Q83" i="1"/>
  <c r="Q100" i="1"/>
  <c r="T116" i="1"/>
  <c r="L121" i="1"/>
  <c r="E121" i="1"/>
  <c r="R117" i="1"/>
  <c r="V121" i="1"/>
  <c r="L80" i="1"/>
  <c r="L83" i="1"/>
  <c r="L101" i="1"/>
  <c r="T100" i="1"/>
  <c r="N101" i="1"/>
  <c r="G116" i="1"/>
  <c r="H121" i="1"/>
  <c r="S103" i="1"/>
  <c r="K99" i="1"/>
  <c r="R122" i="1"/>
  <c r="U118" i="1"/>
  <c r="P117" i="1"/>
  <c r="W121" i="1"/>
  <c r="E117" i="1"/>
  <c r="K122" i="1"/>
  <c r="N106" i="1"/>
  <c r="N109" i="1"/>
  <c r="K100" i="1"/>
  <c r="R84" i="1"/>
  <c r="K84" i="1"/>
  <c r="K101" i="1"/>
  <c r="P103" i="1"/>
  <c r="Q101" i="1"/>
  <c r="Q99" i="1"/>
  <c r="Q84" i="1"/>
  <c r="F84" i="1"/>
  <c r="T84" i="1"/>
  <c r="I100" i="1"/>
  <c r="I84" i="1"/>
  <c r="I101" i="1"/>
  <c r="I99" i="1"/>
  <c r="L100" i="1"/>
  <c r="N122" i="1"/>
  <c r="L84" i="1"/>
  <c r="G99" i="1"/>
  <c r="G101" i="1"/>
  <c r="J116" i="1"/>
  <c r="P116" i="1"/>
  <c r="Q117" i="1"/>
  <c r="Q118" i="1"/>
  <c r="R118" i="1"/>
  <c r="R101" i="1"/>
  <c r="T118" i="1"/>
  <c r="U122" i="1"/>
  <c r="P121" i="1"/>
  <c r="W117" i="1"/>
  <c r="L117" i="1"/>
  <c r="E103" i="1"/>
  <c r="K118" i="1"/>
  <c r="R100" i="1"/>
  <c r="O103" i="1"/>
  <c r="J106" i="1"/>
  <c r="K106" i="1"/>
  <c r="Q106" i="1"/>
  <c r="P106" i="1"/>
  <c r="V106" i="1"/>
  <c r="R121" i="1"/>
  <c r="R124" i="1"/>
  <c r="R127" i="1"/>
  <c r="N110" i="1"/>
  <c r="N108" i="1"/>
  <c r="P84" i="1"/>
  <c r="O80" i="1"/>
  <c r="O83" i="1"/>
  <c r="N103" i="1"/>
  <c r="O100" i="1"/>
  <c r="O101" i="1"/>
  <c r="O84" i="1"/>
  <c r="O99" i="1"/>
  <c r="E106" i="1"/>
  <c r="E109" i="1"/>
  <c r="O106" i="1"/>
  <c r="O110" i="1"/>
  <c r="M79" i="1"/>
  <c r="M106" i="1"/>
  <c r="M109" i="1"/>
  <c r="I121" i="1"/>
  <c r="I124" i="1"/>
  <c r="I127" i="1"/>
  <c r="R106" i="1"/>
  <c r="R110" i="1"/>
  <c r="N113" i="1"/>
  <c r="O117" i="1"/>
  <c r="J118" i="1"/>
  <c r="L82" i="1"/>
  <c r="W116" i="1"/>
  <c r="V83" i="1"/>
  <c r="N82" i="1"/>
  <c r="P122" i="1"/>
  <c r="G118" i="1"/>
  <c r="T121" i="1"/>
  <c r="H106" i="1"/>
  <c r="G106" i="1"/>
  <c r="J121" i="1"/>
  <c r="J124" i="1"/>
  <c r="J127" i="1"/>
  <c r="J122" i="1"/>
  <c r="J125" i="1"/>
  <c r="J128" i="1"/>
  <c r="H125" i="1"/>
  <c r="H128" i="1"/>
  <c r="H124" i="1"/>
  <c r="H127" i="1"/>
  <c r="G121" i="1"/>
  <c r="G124" i="1"/>
  <c r="G127" i="1"/>
  <c r="G122" i="1"/>
  <c r="G125" i="1"/>
  <c r="G128" i="1"/>
  <c r="Q122" i="1"/>
  <c r="Q125" i="1"/>
  <c r="Q128" i="1"/>
  <c r="Q121" i="1"/>
  <c r="Q124" i="1"/>
  <c r="Q127" i="1"/>
  <c r="O122" i="1"/>
  <c r="O125" i="1"/>
  <c r="O128" i="1"/>
  <c r="O121" i="1"/>
  <c r="O124" i="1"/>
  <c r="O127" i="1"/>
  <c r="J108" i="1"/>
  <c r="J109" i="1"/>
  <c r="J110" i="1"/>
  <c r="K121" i="1"/>
  <c r="K124" i="1"/>
  <c r="K127" i="1"/>
  <c r="K125" i="1"/>
  <c r="K128" i="1"/>
  <c r="K109" i="1"/>
  <c r="K110" i="1"/>
  <c r="K108" i="1"/>
  <c r="S79" i="1"/>
  <c r="S106" i="1"/>
  <c r="S109" i="1"/>
  <c r="S108" i="1"/>
  <c r="S110" i="1"/>
  <c r="Q109" i="1"/>
  <c r="Q110" i="1"/>
  <c r="Q108" i="1"/>
  <c r="P108" i="1"/>
  <c r="P109" i="1"/>
  <c r="P110" i="1"/>
  <c r="U121" i="1"/>
  <c r="U124" i="1"/>
  <c r="U127" i="1"/>
  <c r="U125" i="1"/>
  <c r="U128" i="1"/>
  <c r="P125" i="1"/>
  <c r="P128" i="1"/>
  <c r="P124" i="1"/>
  <c r="P127" i="1"/>
  <c r="L122" i="1"/>
  <c r="L125" i="1"/>
  <c r="L128" i="1"/>
  <c r="L124" i="1"/>
  <c r="L127" i="1"/>
  <c r="M122" i="1"/>
  <c r="M125" i="1"/>
  <c r="M128" i="1"/>
  <c r="M121" i="1"/>
  <c r="M124" i="1"/>
  <c r="M127" i="1"/>
  <c r="E124" i="1"/>
  <c r="E127" i="1"/>
  <c r="E122" i="1"/>
  <c r="E125" i="1"/>
  <c r="E128" i="1"/>
  <c r="N125" i="1"/>
  <c r="N128" i="1"/>
  <c r="N121" i="1"/>
  <c r="N124" i="1"/>
  <c r="N127" i="1"/>
  <c r="V109" i="1"/>
  <c r="V108" i="1"/>
  <c r="V110" i="1"/>
  <c r="E110" i="1"/>
  <c r="O108" i="1"/>
  <c r="O109" i="1"/>
  <c r="I122" i="1"/>
  <c r="I125" i="1"/>
  <c r="I128" i="1"/>
  <c r="R109" i="1"/>
  <c r="M108" i="1"/>
  <c r="M110" i="1"/>
  <c r="R108" i="1"/>
  <c r="H109" i="1"/>
  <c r="H108" i="1"/>
  <c r="H110" i="1"/>
  <c r="F121" i="1"/>
  <c r="F124" i="1"/>
  <c r="F127" i="1"/>
  <c r="F122" i="1"/>
  <c r="F125" i="1"/>
  <c r="F128" i="1"/>
  <c r="V122" i="1"/>
  <c r="V125" i="1"/>
  <c r="V128" i="1"/>
  <c r="V124" i="1"/>
  <c r="V127" i="1"/>
  <c r="S121" i="1"/>
  <c r="S124" i="1"/>
  <c r="S127" i="1"/>
  <c r="AC77" i="1"/>
  <c r="AD77" i="1"/>
  <c r="AE77" i="1"/>
  <c r="AE79" i="1"/>
  <c r="AE80" i="1"/>
  <c r="AE83" i="1"/>
  <c r="AD103" i="1"/>
  <c r="AE100" i="1"/>
  <c r="J83" i="1"/>
  <c r="O116" i="1"/>
  <c r="Q116" i="1"/>
  <c r="G82" i="1"/>
  <c r="U80" i="1"/>
  <c r="U83" i="1"/>
  <c r="U84" i="1"/>
  <c r="G84" i="1"/>
  <c r="N84" i="1"/>
  <c r="J84" i="1"/>
  <c r="N118" i="1"/>
  <c r="T82" i="1"/>
  <c r="F99" i="1"/>
  <c r="U117" i="1"/>
  <c r="V118" i="1"/>
  <c r="R116" i="1"/>
  <c r="F118" i="1"/>
  <c r="G100" i="1"/>
  <c r="L106" i="1"/>
  <c r="P100" i="1"/>
  <c r="S122" i="1"/>
  <c r="S125" i="1"/>
  <c r="S128" i="1"/>
  <c r="T124" i="1"/>
  <c r="T127" i="1"/>
  <c r="T122" i="1"/>
  <c r="T125" i="1"/>
  <c r="T128" i="1"/>
  <c r="E80" i="1"/>
  <c r="E83" i="1"/>
  <c r="E84" i="1"/>
  <c r="W103" i="1"/>
  <c r="W82" i="1"/>
  <c r="W83" i="1"/>
  <c r="V103" i="1"/>
  <c r="W84" i="1"/>
  <c r="X84" i="1"/>
  <c r="X103" i="1"/>
  <c r="W101" i="1"/>
  <c r="W99" i="1"/>
  <c r="W100" i="1"/>
  <c r="W106" i="1"/>
  <c r="W109" i="1"/>
  <c r="W110" i="1"/>
  <c r="W108" i="1"/>
  <c r="W125" i="1"/>
  <c r="W128" i="1"/>
  <c r="W124" i="1"/>
  <c r="W127" i="1"/>
  <c r="AB79" i="1"/>
  <c r="AB113" i="1"/>
  <c r="AB116" i="1"/>
  <c r="AC79" i="1"/>
  <c r="AC113" i="1"/>
  <c r="AC116" i="1"/>
  <c r="AD79" i="1"/>
  <c r="AD113" i="1"/>
  <c r="AD116" i="1"/>
  <c r="AE113" i="1"/>
  <c r="AE116" i="1"/>
  <c r="AB106" i="1"/>
  <c r="AB108" i="1"/>
  <c r="AB80" i="1"/>
  <c r="AB82" i="1"/>
  <c r="AB83" i="1"/>
  <c r="AB84" i="1"/>
  <c r="AA103" i="1"/>
  <c r="AB117" i="1"/>
  <c r="AB99" i="1"/>
  <c r="AB118" i="1"/>
  <c r="AB100" i="1"/>
  <c r="AB109" i="1"/>
  <c r="AB101" i="1"/>
  <c r="AB110" i="1"/>
  <c r="AB122" i="1"/>
  <c r="AB125" i="1"/>
  <c r="AB128" i="1"/>
  <c r="AB121" i="1"/>
  <c r="AB124" i="1"/>
  <c r="AB127" i="1"/>
  <c r="AC80" i="1"/>
  <c r="AC82" i="1"/>
  <c r="AC83" i="1"/>
  <c r="AC84" i="1"/>
  <c r="AC106" i="1"/>
  <c r="AC108" i="1"/>
  <c r="AC117" i="1"/>
  <c r="AC99" i="1"/>
  <c r="AB103" i="1"/>
  <c r="AC118" i="1"/>
  <c r="AC110" i="1"/>
  <c r="AC109" i="1"/>
  <c r="AC101" i="1"/>
  <c r="AC100" i="1"/>
  <c r="AC121" i="1"/>
  <c r="AC124" i="1"/>
  <c r="AC127" i="1"/>
  <c r="AC122" i="1"/>
  <c r="AC125" i="1"/>
  <c r="AC128" i="1"/>
  <c r="AD80" i="1"/>
  <c r="AD82" i="1"/>
  <c r="AD83" i="1"/>
  <c r="AD84" i="1"/>
  <c r="AD118" i="1"/>
  <c r="AD99" i="1"/>
  <c r="N100" i="1"/>
  <c r="F106" i="1"/>
  <c r="E108" i="1"/>
  <c r="G109" i="1"/>
  <c r="AC103" i="1"/>
  <c r="AD106" i="1"/>
  <c r="AD108" i="1"/>
  <c r="AD117" i="1"/>
  <c r="AD101" i="1"/>
  <c r="AD109" i="1"/>
  <c r="AD100" i="1"/>
  <c r="AD110" i="1"/>
  <c r="AD122" i="1"/>
  <c r="AD125" i="1"/>
  <c r="AD128" i="1"/>
  <c r="AD121" i="1"/>
  <c r="AD124" i="1"/>
  <c r="AD127" i="1"/>
  <c r="AE84" i="1"/>
  <c r="AE118" i="1"/>
  <c r="AE117" i="1"/>
  <c r="AE99" i="1"/>
  <c r="AE101" i="1"/>
  <c r="AE106" i="1"/>
  <c r="AE110" i="1"/>
  <c r="AE122" i="1"/>
  <c r="AE125" i="1"/>
  <c r="AE121" i="1"/>
  <c r="AE124" i="1"/>
  <c r="M80" i="1"/>
  <c r="E116" i="1"/>
  <c r="Q82" i="1"/>
  <c r="H116" i="1"/>
  <c r="M113" i="1"/>
  <c r="U82" i="1"/>
  <c r="H83" i="1"/>
  <c r="S80" i="1"/>
  <c r="S82" i="1"/>
  <c r="T117" i="1"/>
  <c r="H82" i="1"/>
  <c r="R82" i="1"/>
  <c r="V116" i="1"/>
  <c r="F82" i="1"/>
  <c r="M103" i="1"/>
  <c r="J101" i="1"/>
  <c r="F103" i="1"/>
  <c r="F116" i="1"/>
  <c r="E118" i="1"/>
  <c r="P118" i="1"/>
  <c r="I117" i="1"/>
  <c r="F101" i="1"/>
  <c r="J100" i="1"/>
  <c r="K103" i="1"/>
  <c r="W118" i="1"/>
  <c r="P99" i="1"/>
  <c r="I118" i="1"/>
  <c r="L118" i="1"/>
  <c r="T103" i="1"/>
  <c r="N99" i="1"/>
  <c r="P82" i="1"/>
  <c r="L116" i="1"/>
  <c r="M82" i="1"/>
  <c r="K116" i="1"/>
  <c r="V82" i="1"/>
  <c r="M83" i="1"/>
  <c r="M99" i="1"/>
  <c r="F117" i="1"/>
  <c r="P101" i="1"/>
  <c r="J117" i="1"/>
  <c r="H118" i="1"/>
  <c r="G117" i="1"/>
  <c r="L109" i="1"/>
  <c r="H117" i="1"/>
  <c r="U116" i="1"/>
  <c r="V117" i="1"/>
  <c r="K82" i="1"/>
  <c r="N117" i="1"/>
  <c r="U100" i="1"/>
  <c r="J99" i="1"/>
  <c r="S83" i="1"/>
  <c r="S100" i="1"/>
  <c r="R103" i="1"/>
  <c r="U99" i="1"/>
  <c r="E101" i="1"/>
  <c r="M101" i="1"/>
  <c r="L110" i="1"/>
  <c r="E99" i="1"/>
  <c r="H84" i="1"/>
  <c r="H101" i="1"/>
  <c r="H99" i="1"/>
  <c r="H100" i="1"/>
  <c r="D103" i="1"/>
  <c r="M118" i="1"/>
  <c r="M117" i="1"/>
  <c r="M116" i="1"/>
  <c r="E100" i="1"/>
  <c r="U103" i="1"/>
  <c r="V100" i="1"/>
  <c r="V99" i="1"/>
  <c r="V101" i="1"/>
  <c r="V84" i="1"/>
  <c r="O82" i="1"/>
  <c r="S84" i="1"/>
  <c r="M84" i="1"/>
  <c r="S99" i="1"/>
  <c r="S101" i="1"/>
  <c r="N116" i="1"/>
  <c r="G103" i="1"/>
  <c r="L108" i="1"/>
  <c r="U101" i="1"/>
  <c r="M100" i="1"/>
  <c r="I103" i="1"/>
  <c r="L103" i="1"/>
  <c r="AE82" i="1"/>
  <c r="AE108" i="1"/>
  <c r="AE109" i="1"/>
  <c r="AE128" i="1"/>
  <c r="AE127" i="1"/>
  <c r="AA79" i="1"/>
  <c r="AA80" i="1"/>
  <c r="AA83" i="1"/>
  <c r="AA84" i="1"/>
  <c r="AA122" i="1"/>
  <c r="AA125" i="1"/>
  <c r="AA128" i="1"/>
  <c r="AA121" i="1"/>
  <c r="AA124" i="1"/>
  <c r="AA127" i="1"/>
  <c r="AA101" i="1"/>
  <c r="AA100" i="1"/>
  <c r="AA99" i="1"/>
  <c r="AA113" i="1"/>
  <c r="AA106" i="1"/>
  <c r="AA108" i="1"/>
  <c r="AA109" i="1"/>
  <c r="AA110" i="1"/>
  <c r="AA116" i="1"/>
  <c r="AA117" i="1"/>
  <c r="AA118" i="1"/>
  <c r="AA82" i="1"/>
  <c r="AA78" i="1"/>
  <c r="AB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AC78" i="1"/>
  <c r="AD78" i="1"/>
  <c r="AE78" i="1"/>
  <c r="Z79" i="1"/>
  <c r="Z122" i="1"/>
  <c r="Z125" i="1"/>
  <c r="Z128" i="1"/>
  <c r="Z106" i="1"/>
  <c r="Z113" i="1"/>
  <c r="Z121" i="1"/>
  <c r="Z124" i="1"/>
  <c r="Z127" i="1"/>
  <c r="Z80" i="1"/>
  <c r="Z109" i="1"/>
  <c r="Y122" i="1"/>
  <c r="Y125" i="1"/>
  <c r="Y128" i="1"/>
  <c r="Y121" i="1"/>
  <c r="Y124" i="1"/>
  <c r="Y127" i="1"/>
  <c r="Y106" i="1"/>
  <c r="Y113" i="1"/>
  <c r="Z82" i="1"/>
  <c r="Z83" i="1"/>
  <c r="Z110" i="1"/>
  <c r="Z108" i="1"/>
  <c r="Z118" i="1"/>
  <c r="S113" i="1"/>
  <c r="S117" i="1"/>
  <c r="L99" i="1"/>
  <c r="R125" i="1"/>
  <c r="I106" i="1"/>
  <c r="T106" i="1"/>
  <c r="U106" i="1"/>
  <c r="G110" i="1"/>
  <c r="G108" i="1"/>
  <c r="Z116" i="1"/>
  <c r="Z117" i="1"/>
  <c r="Y117" i="1"/>
  <c r="Y109" i="1"/>
  <c r="Z100" i="1"/>
  <c r="Y118" i="1"/>
  <c r="Y110" i="1"/>
  <c r="Z101" i="1"/>
  <c r="Y82" i="1"/>
  <c r="Y116" i="1"/>
  <c r="Y108" i="1"/>
  <c r="Z99" i="1"/>
  <c r="Z84" i="1"/>
  <c r="I82" i="1"/>
  <c r="T108" i="1"/>
  <c r="T110" i="1"/>
  <c r="F108" i="1"/>
  <c r="F109" i="1"/>
  <c r="F110" i="1"/>
  <c r="U109" i="1"/>
  <c r="U110" i="1"/>
  <c r="U108" i="1"/>
  <c r="I108" i="1"/>
  <c r="I110" i="1"/>
  <c r="I109" i="1"/>
  <c r="S116" i="1"/>
  <c r="S118" i="1"/>
  <c r="Y103" i="1"/>
  <c r="Z103" i="1"/>
  <c r="R128" i="1"/>
  <c r="T109" i="1"/>
  <c r="E8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<sst xmlns="http://schemas.openxmlformats.org/spreadsheetml/2006/main" count="672" uniqueCount="533">
  <si>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</si>
  <si>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</si>
  <si>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</si>
  <si>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</si>
  <si>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</si>
  <si>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</si>
  <si>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</si>
  <si>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</si>
  <si>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</si>
  <si>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</si>
  <si>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</si>
  <si>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</si>
  <si>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</si>
  <si>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</si>
  <si>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</si>
  <si>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</si>
  <si>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</si>
  <si>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</si>
  <si>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</si>
  <si>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</si>
  <si>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</si>
  <si>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</si>
  <si>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</si>
  <si>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</si>
  <si>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</si>
  <si>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</si>
  <si>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</si>
  <si>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</si>
  <si>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</si>
  <si>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</si>
  <si>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</si>
  <si>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</si>
  <si>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</si>
  <si>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</si>
  <si>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</si>
  <si>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</si>
  <si>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</si>
  <si>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</si>
  <si>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</si>
  <si>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</si>
  <si>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</si>
  <si>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</si>
  <si>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</si>
  <si>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</si>
  <si>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</si>
  <si>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</si>
  <si>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</si>
  <si>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</si>
  <si>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</si>
  <si>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</si>
  <si>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</si>
  <si>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</si>
  <si>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</si>
  <si>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</si>
  <si>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</si>
  <si>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</si>
  <si>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</si>
  <si>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</si>
  <si>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</si>
  <si>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</si>
  <si>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</si>
  <si>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</si>
  <si>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</si>
  <si>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</si>
  <si>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</si>
  <si>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</si>
  <si>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</si>
  <si>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</si>
  <si>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</si>
  <si>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</si>
  <si>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</si>
  <si>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</si>
  <si>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</si>
  <si>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</si>
  <si>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</si>
  <si>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</si>
  <si>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</si>
  <si>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</si>
  <si>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</si>
  <si>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</si>
  <si>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</si>
  <si>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</si>
  <si>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</si>
  <si>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</si>
  <si>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</si>
  <si>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</si>
  <si>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</si>
  <si>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</si>
  <si>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</si>
  <si>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</si>
  <si>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</si>
  <si>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</si>
  <si>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</si>
  <si>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</si>
  <si>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</si>
  <si>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</si>
  <si>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</si>
  <si>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</si>
  <si>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</si>
  <si>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</si>
  <si>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</si>
  <si>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</si>
  <si>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</si>
  <si>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</si>
  <si>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</si>
  <si>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</si>
  <si>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</si>
  <si>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</si>
  <si>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</si>
  <si>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</si>
  <si>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</si>
  <si>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</si>
  <si>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</si>
  <si>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</si>
  <si>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</si>
  <si>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</si>
  <si>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</si>
  <si>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</si>
  <si>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</si>
  <si>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</si>
  <si>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</si>
  <si>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</si>
  <si>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</si>
  <si>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</si>
  <si>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</si>
  <si>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</si>
  <si>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</si>
  <si>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</si>
  <si>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</si>
  <si>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</si>
  <si>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</si>
  <si>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</si>
  <si>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</si>
  <si>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</si>
  <si>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</si>
  <si>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</si>
  <si>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</si>
  <si>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</si>
  <si>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</si>
  <si>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</si>
  <si>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</si>
  <si>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</si>
  <si>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</si>
  <si>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</si>
  <si>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</si>
  <si>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</si>
  <si>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</si>
  <si>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</si>
  <si>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</si>
  <si>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</si>
  <si>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</si>
  <si>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</si>
  <si>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</si>
  <si>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</si>
  <si>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</si>
  <si>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</si>
  <si>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</si>
  <si>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</si>
  <si>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</si>
  <si>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</si>
  <si>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</si>
  <si>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</si>
  <si>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</si>
  <si>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</si>
  <si>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</si>
  <si>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</si>
  <si>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</si>
  <si>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</si>
  <si>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</si>
  <si>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</si>
  <si>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</si>
  <si>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</si>
  <si>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</si>
  <si>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</si>
  <si>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</si>
  <si>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</si>
  <si>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</si>
  <si>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</si>
  <si>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</si>
  <si>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</si>
  <si>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</si>
  <si>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</si>
  <si>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</si>
  <si>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</si>
  <si>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</si>
  <si>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</si>
  <si>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</si>
  <si>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</si>
  <si>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</si>
  <si>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</si>
  <si>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</si>
  <si>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</si>
  <si>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</si>
  <si>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</si>
  <si>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</si>
  <si>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</si>
  <si>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</si>
  <si>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</si>
  <si>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</si>
  <si>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</si>
  <si>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</si>
  <si>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</si>
  <si>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</si>
  <si>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</si>
  <si>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</si>
  <si>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</si>
  <si>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</si>
  <si>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</si>
  <si>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</si>
  <si>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</si>
  <si>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</si>
  <si>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</si>
  <si>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</si>
  <si>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</si>
  <si>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</si>
  <si>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</si>
  <si>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</si>
  <si>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</si>
  <si>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</si>
  <si>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</si>
  <si>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</si>
  <si>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</si>
  <si>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</si>
  <si>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</si>
  <si>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</si>
  <si>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</si>
  <si>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</si>
  <si>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</si>
  <si>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</si>
  <si>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</si>
  <si>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</si>
  <si>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</si>
  <si>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</si>
  <si>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</si>
  <si>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</si>
  <si>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</si>
  <si>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</si>
  <si>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</si>
  <si>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</si>
  <si>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</si>
  <si>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</si>
  <si>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</si>
  <si>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</si>
  <si>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</si>
  <si>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</si>
  <si>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</si>
  <si>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</si>
  <si>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</si>
  <si>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</si>
  <si>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</si>
  <si>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</si>
  <si>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</si>
  <si>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</si>
  <si>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</si>
  <si>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</si>
  <si>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</si>
  <si>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</si>
  <si>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</si>
  <si>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</si>
  <si>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</si>
  <si>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</si>
  <si>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</si>
  <si>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</si>
  <si>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</si>
  <si>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</si>
  <si>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</si>
  <si>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</si>
  <si>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</si>
  <si>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</si>
  <si>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</si>
  <si>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</si>
  <si>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</si>
  <si>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</si>
  <si>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</si>
  <si>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</si>
  <si>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</si>
  <si>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</si>
  <si>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</si>
  <si>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</si>
  <si>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</si>
  <si>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</si>
  <si>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</si>
  <si>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</si>
  <si>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</si>
  <si>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</si>
  <si>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</si>
  <si>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</si>
  <si>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</si>
  <si>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</si>
  <si>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</si>
  <si>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</si>
  <si>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</si>
  <si>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</si>
  <si>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</si>
  <si>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</si>
  <si>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</si>
  <si>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</si>
  <si>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</si>
  <si>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</si>
  <si>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</si>
  <si>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</si>
  <si>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</si>
  <si>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</si>
  <si>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</si>
  <si>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</si>
  <si>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</si>
  <si>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</si>
  <si>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</si>
  <si>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</si>
  <si>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</si>
  <si>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</si>
  <si>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</si>
  <si>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</si>
  <si>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</si>
  <si>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</si>
  <si>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</si>
  <si>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</si>
  <si>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</si>
  <si>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</si>
  <si>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</si>
  <si>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</si>
  <si>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</si>
  <si>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</si>
  <si>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</si>
  <si>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</si>
  <si>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</si>
  <si>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</si>
  <si>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</si>
  <si>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</si>
  <si>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</si>
  <si>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</si>
  <si>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</si>
  <si>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</si>
  <si>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</si>
  <si>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</si>
  <si>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</si>
  <si>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</si>
  <si>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</si>
  <si>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</si>
  <si>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</si>
  <si>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</si>
  <si>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</si>
  <si>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</si>
  <si>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</si>
  <si>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</si>
  <si>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</si>
  <si>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</si>
  <si>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</si>
  <si>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</si>
  <si>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</si>
  <si>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</si>
  <si>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</si>
  <si>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</si>
  <si>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</si>
  <si>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</si>
  <si>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</si>
  <si>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</si>
  <si>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</si>
  <si>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</si>
  <si>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</si>
  <si>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</si>
  <si>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</si>
  <si>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</si>
  <si>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</si>
  <si>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</si>
  <si>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</si>
  <si>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</si>
  <si>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</si>
  <si>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</si>
  <si>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</si>
  <si>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</si>
  <si>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</si>
  <si>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</si>
  <si>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</si>
  <si>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</si>
  <si>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</si>
  <si>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</si>
  <si>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</si>
  <si>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</si>
  <si>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</si>
  <si>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</si>
  <si>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</si>
  <si>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</si>
  <si>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</si>
  <si>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</si>
  <si>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</si>
  <si>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</si>
  <si>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</si>
  <si>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</si>
  <si>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</si>
  <si>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</si>
  <si>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</si>
  <si>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</si>
  <si>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</si>
  <si>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</si>
  <si>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</si>
  <si>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</si>
  <si>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</si>
  <si>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</si>
  <si>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</si>
  <si>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</si>
  <si>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</si>
  <si>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</si>
  <si>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</si>
  <si>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</si>
  <si>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</si>
  <si>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</si>
  <si>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</si>
  <si>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</si>
  <si>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</si>
  <si>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</si>
  <si>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</si>
  <si>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</si>
  <si>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</si>
  <si>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</si>
  <si>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</si>
  <si>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</si>
  <si>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</si>
  <si>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</si>
  <si>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</si>
  <si>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</si>
  <si>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</si>
  <si>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</si>
  <si>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</si>
  <si>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</si>
  <si>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</si>
  <si>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</si>
  <si>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</si>
  <si>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</si>
  <si>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</si>
  <si>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</si>
  <si>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</si>
  <si>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</si>
  <si>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</si>
  <si>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</si>
  <si>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</si>
  <si>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</si>
  <si>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</si>
  <si>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</si>
  <si>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</si>
  <si>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</si>
  <si>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</si>
  <si>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</si>
  <si>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</si>
  <si>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</si>
  <si>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</si>
  <si>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</si>
  <si>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</si>
  <si>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</si>
  <si>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</si>
  <si>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</si>
  <si>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</si>
  <si>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</si>
  <si>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</si>
  <si>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</si>
  <si>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</si>
  <si>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</si>
  <si>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</si>
  <si>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</si>
  <si>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</si>
  <si>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</si>
  <si>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</si>
  <si>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</si>
  <si>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</si>
  <si>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</si>
  <si>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</si>
  <si>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</si>
  <si>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</si>
  <si>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</si>
  <si>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</si>
  <si>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</si>
  <si>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</si>
  <si>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</si>
  <si>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</si>
  <si>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</si>
  <si>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</si>
  <si>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</si>
  <si>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</si>
  <si>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</si>
  <si>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</si>
  <si>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</si>
  <si>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</si>
  <si>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</si>
  <si>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</si>
  <si>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</si>
  <si>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</si>
  <si>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</si>
  <si>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</si>
  <si>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</si>
  <si>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</si>
  <si>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</si>
  <si>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</si>
  <si>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</si>
  <si>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</si>
  <si>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</si>
  <si>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</si>
  <si>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</si>
  <si>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</si>
  <si>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</si>
  <si>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</si>
  <si>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</si>
  <si>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</si>
  <si>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</si>
  <si>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</si>
  <si>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</si>
  <si>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</si>
  <si>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</si>
  <si>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</si>
  <si>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</si>
  <si>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</si>
  <si>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</si>
  <si>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</si>
  <si>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</si>
  <si>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</si>
  <si>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</si>
  <si>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Anand Rathi Share &amp; Stock Brokers Ltd.</t>
  </si>
  <si>
    <t>DATE</t>
  </si>
  <si>
    <t>ADJCLOSE</t>
  </si>
  <si>
    <t>ADJHIGH</t>
  </si>
  <si>
    <t>ADJLOW</t>
  </si>
  <si>
    <t>ADJOPEN</t>
  </si>
  <si>
    <t>CLOSE</t>
  </si>
  <si>
    <t>VOLUME</t>
  </si>
  <si>
    <t>Broking Segment</t>
  </si>
  <si>
    <t>Other income from Operations</t>
  </si>
  <si>
    <t>Non-Broking (Int on margin trading &amp; distribution Income)</t>
  </si>
  <si>
    <t>Sales Break Up</t>
  </si>
  <si>
    <t>Rise in Active clients in Broking</t>
  </si>
  <si>
    <t>Total Clients</t>
  </si>
  <si>
    <t>Assets under custody - crs</t>
  </si>
  <si>
    <t>Assets under distribution - crs</t>
  </si>
  <si>
    <t>MTF Books - crs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</si>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</sst>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0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9" fontId="20" fillId="2" borderId="0" xfId="2" applyNumberFormat="1" applyFont="1" applyFill="1" applyAlignment="1">
      <alignment horizontal="center"/>
    </xf>
    <xf numFmtId="9" fontId="20" fillId="2" borderId="0" xfId="2" applyNumberFormat="1" applyFont="1" applyFill="1" applyAlignment="1"/>
    <xf numFmtId="10" fontId="20" fillId="2" borderId="0" xfId="2" applyNumberFormat="1" applyFont="1" applyFill="1" applyAlignment="1">
      <alignment horizontal="center"/>
    </xf>
    <xf numFmtId="10" fontId="20" fillId="2" borderId="0" xfId="2" applyNumberFormat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8"/>
  <sheetViews>
    <sheetView tabSelected="1" zoomScale="130" zoomScaleNormal="130" workbookViewId="0">
      <pane xSplit="1" ySplit="1" topLeftCell="CY2" activePane="bottomRight" state="frozen"/>
      <selection pane="topRight" activeCell="B1" sqref="B1"/>
      <selection pane="bottomLeft" activeCell="A2" sqref="A2"/>
      <selection pane="bottomRight" activeCell="DF21" sqref="DF21:DF268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34" width="11.140625" style="2"/>
    <col min="35" max="82" width="0" style="2" hidden="1" customWidth="1"/>
    <col min="83" max="90" width="11.140625" style="2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9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 t="s">
        <v>528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>
        <v>999186</v>
      </c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>
        <v>957265</v>
      </c>
      <c r="CK4" s="156">
        <v>992531</v>
      </c>
      <c r="CL4" s="156">
        <v>999186</v>
      </c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 t="s">
        <v>527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>
        <v>127792</v>
      </c>
      <c r="Z5" s="156">
        <v>147942</v>
      </c>
      <c r="AA5" s="157">
        <v>149404</v>
      </c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>
        <v>90901</v>
      </c>
      <c r="CH5" s="156">
        <v>73670</v>
      </c>
      <c r="CI5" s="156"/>
      <c r="CJ5" s="156">
        <v>92326</v>
      </c>
      <c r="CK5" s="156">
        <v>96851</v>
      </c>
      <c r="CL5" s="156">
        <v>85640</v>
      </c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58" customFormat="1" x14ac:dyDescent="0.2">
      <c r="A6" s="155"/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7"/>
      <c r="AB6" s="157"/>
      <c r="AC6" s="157"/>
      <c r="AD6" s="157"/>
      <c r="AE6" s="157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/>
      <c r="CB6" s="156"/>
      <c r="CC6" s="156"/>
      <c r="CD6" s="156"/>
      <c r="CE6" s="156"/>
      <c r="CF6" s="156"/>
      <c r="CG6" s="156"/>
      <c r="CH6" s="156"/>
      <c r="CI6" s="156"/>
      <c r="CJ6" s="156"/>
      <c r="CK6" s="186">
        <f>+CK5/CG5-1</f>
        <v>6.5455825568475623E-2</v>
      </c>
      <c r="CL6" s="186">
        <f>+CL5/CH5-1</f>
        <v>0.16248133568616807</v>
      </c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58" customFormat="1" x14ac:dyDescent="0.2">
      <c r="A7" s="155" t="s">
        <v>526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7"/>
      <c r="AB7" s="157"/>
      <c r="AC7" s="157"/>
      <c r="AD7" s="157"/>
      <c r="AE7" s="157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/>
      <c r="CD7" s="156"/>
      <c r="CE7" s="156"/>
      <c r="CF7" s="156"/>
      <c r="CG7" s="156"/>
      <c r="CH7" s="156"/>
      <c r="CI7" s="156"/>
      <c r="CJ7" s="156"/>
      <c r="CK7" s="156"/>
      <c r="CL7" s="156"/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58" customFormat="1" x14ac:dyDescent="0.2">
      <c r="A8" s="155" t="s">
        <v>523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>
        <v>458</v>
      </c>
      <c r="Z8" s="156">
        <v>510</v>
      </c>
      <c r="AA8" s="157">
        <v>476</v>
      </c>
      <c r="AB8" s="157"/>
      <c r="AC8" s="157"/>
      <c r="AD8" s="157"/>
      <c r="AE8" s="157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/>
      <c r="CB8" s="156"/>
      <c r="CC8" s="156"/>
      <c r="CD8" s="156"/>
      <c r="CE8" s="156"/>
      <c r="CF8" s="156"/>
      <c r="CG8" s="156">
        <v>115</v>
      </c>
      <c r="CH8" s="156">
        <v>105</v>
      </c>
      <c r="CI8" s="156"/>
      <c r="CJ8" s="156">
        <v>116</v>
      </c>
      <c r="CK8" s="156">
        <v>129</v>
      </c>
      <c r="CL8" s="156">
        <v>120</v>
      </c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E8" s="159"/>
    </row>
    <row r="9" spans="1:110" s="158" customFormat="1" x14ac:dyDescent="0.2">
      <c r="A9" s="155" t="s">
        <v>525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>
        <v>132</v>
      </c>
      <c r="Z9" s="156">
        <v>193</v>
      </c>
      <c r="AA9" s="157">
        <v>265</v>
      </c>
      <c r="AB9" s="157"/>
      <c r="AC9" s="157"/>
      <c r="AD9" s="157"/>
      <c r="AE9" s="157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/>
      <c r="CB9" s="156"/>
      <c r="CC9" s="156"/>
      <c r="CD9" s="156"/>
      <c r="CE9" s="156"/>
      <c r="CF9" s="156"/>
      <c r="CG9" s="156">
        <v>48</v>
      </c>
      <c r="CH9" s="156">
        <v>55</v>
      </c>
      <c r="CI9" s="156"/>
      <c r="CJ9" s="156">
        <v>68</v>
      </c>
      <c r="CK9" s="156">
        <v>69</v>
      </c>
      <c r="CL9" s="156">
        <v>78</v>
      </c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E9" s="159"/>
    </row>
    <row r="10" spans="1:110" s="158" customFormat="1" x14ac:dyDescent="0.2">
      <c r="A10" s="155" t="s">
        <v>524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>
        <v>92</v>
      </c>
      <c r="Z10" s="156">
        <v>143</v>
      </c>
      <c r="AA10" s="157">
        <v>192</v>
      </c>
      <c r="AB10" s="157"/>
      <c r="AC10" s="157"/>
      <c r="AD10" s="157"/>
      <c r="AE10" s="157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/>
      <c r="CD10" s="156"/>
      <c r="CE10" s="156"/>
      <c r="CF10" s="156"/>
      <c r="CG10" s="156">
        <v>41</v>
      </c>
      <c r="CH10" s="156">
        <v>39.700000000000003</v>
      </c>
      <c r="CI10" s="156"/>
      <c r="CJ10" s="156">
        <v>43</v>
      </c>
      <c r="CK10" s="156">
        <v>50.6</v>
      </c>
      <c r="CL10" s="156">
        <v>57</v>
      </c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58" customFormat="1" x14ac:dyDescent="0.2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7"/>
      <c r="AB11" s="157"/>
      <c r="AC11" s="157"/>
      <c r="AD11" s="157"/>
      <c r="AE11" s="157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156"/>
      <c r="CG11" s="156"/>
      <c r="CH11" s="156"/>
      <c r="CI11" s="156"/>
      <c r="CJ11" s="156"/>
      <c r="CK11" s="156"/>
      <c r="CL11" s="185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0" s="158" customFormat="1" x14ac:dyDescent="0.2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7"/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56"/>
      <c r="CH12" s="156"/>
      <c r="CI12" s="156"/>
      <c r="CJ12" s="156"/>
      <c r="CK12" s="156"/>
      <c r="CL12" s="156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158" customFormat="1" x14ac:dyDescent="0.2">
      <c r="A13" s="155" t="s">
        <v>529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>
        <v>53884</v>
      </c>
      <c r="Z13" s="156">
        <v>81369</v>
      </c>
      <c r="AA13" s="157">
        <v>94416</v>
      </c>
      <c r="AB13" s="157"/>
      <c r="AC13" s="157"/>
      <c r="AD13" s="157"/>
      <c r="AE13" s="157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56"/>
      <c r="CH13" s="156"/>
      <c r="CI13" s="156"/>
      <c r="CJ13" s="156">
        <v>101960</v>
      </c>
      <c r="CK13" s="156">
        <v>105772</v>
      </c>
      <c r="CL13" s="156">
        <v>94415</v>
      </c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0" s="158" customFormat="1" x14ac:dyDescent="0.2">
      <c r="A14" s="155" t="s">
        <v>530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>
        <v>6459</v>
      </c>
      <c r="AA14" s="157">
        <v>7788</v>
      </c>
      <c r="AB14" s="157"/>
      <c r="AC14" s="157"/>
      <c r="AD14" s="157"/>
      <c r="AE14" s="157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56">
        <v>6335</v>
      </c>
      <c r="CH14" s="156"/>
      <c r="CI14" s="156"/>
      <c r="CJ14" s="156">
        <v>7736</v>
      </c>
      <c r="CK14" s="156">
        <v>8368</v>
      </c>
      <c r="CL14" s="156">
        <v>7787</v>
      </c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0" s="158" customFormat="1" x14ac:dyDescent="0.2">
      <c r="A15" s="155" t="s">
        <v>531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>
        <v>686</v>
      </c>
      <c r="AA15" s="157">
        <v>1101</v>
      </c>
      <c r="AB15" s="157"/>
      <c r="AC15" s="157"/>
      <c r="AD15" s="157"/>
      <c r="AE15" s="157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85"/>
      <c r="CH15" s="156">
        <v>686</v>
      </c>
      <c r="CI15" s="156">
        <v>861</v>
      </c>
      <c r="CJ15" s="156">
        <v>1084</v>
      </c>
      <c r="CK15" s="156">
        <v>1231</v>
      </c>
      <c r="CL15" s="156">
        <v>1102</v>
      </c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</row>
    <row r="16" spans="1:110" s="158" customFormat="1" x14ac:dyDescent="0.2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7"/>
      <c r="AB16" s="157"/>
      <c r="AC16" s="157"/>
      <c r="AD16" s="157"/>
      <c r="AE16" s="157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56"/>
      <c r="CE16" s="156"/>
      <c r="CF16" s="156"/>
      <c r="CG16" s="185"/>
      <c r="CH16" s="156"/>
      <c r="CI16" s="156"/>
      <c r="CJ16" s="156"/>
      <c r="CK16" s="156"/>
      <c r="CL16" s="156"/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E16" s="159"/>
    </row>
    <row r="17" spans="1:110" s="158" customFormat="1" x14ac:dyDescent="0.2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7"/>
      <c r="AB17" s="157"/>
      <c r="AC17" s="157"/>
      <c r="AD17" s="157"/>
      <c r="AE17" s="157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56"/>
      <c r="CB17" s="156"/>
      <c r="CC17" s="156"/>
      <c r="CD17" s="156"/>
      <c r="CE17" s="156"/>
      <c r="CF17" s="156"/>
      <c r="CG17" s="185"/>
      <c r="CH17" s="187" t="e">
        <f t="shared" ref="CH17:CI17" si="33">+CH8/CH13</f>
        <v>#DIV/0!</v>
      </c>
      <c r="CI17" s="187" t="e">
        <f t="shared" si="33"/>
        <v>#DIV/0!</v>
      </c>
      <c r="CJ17" s="188">
        <f t="shared" ref="CJ17:CK17" si="34">+CJ8/CJ13</f>
        <v>1.1377010592389172E-3</v>
      </c>
      <c r="CK17" s="188">
        <f t="shared" si="34"/>
        <v>1.2196044321748666E-3</v>
      </c>
      <c r="CL17" s="188">
        <f>+CL8/CL13</f>
        <v>1.2709844833977651E-3</v>
      </c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E17" s="159"/>
    </row>
    <row r="18" spans="1:110" s="158" customFormat="1" x14ac:dyDescent="0.2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7"/>
      <c r="AB18" s="157"/>
      <c r="AC18" s="157"/>
      <c r="AD18" s="157"/>
      <c r="AE18" s="157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56"/>
      <c r="BZ18" s="156"/>
      <c r="CA18" s="156"/>
      <c r="CB18" s="156"/>
      <c r="CC18" s="156"/>
      <c r="CD18" s="156"/>
      <c r="CE18" s="156"/>
      <c r="CF18" s="156"/>
      <c r="CG18" s="185"/>
      <c r="CH18" s="187" t="e">
        <f t="shared" ref="CH18:CI18" si="35">+CH9/CH14</f>
        <v>#DIV/0!</v>
      </c>
      <c r="CI18" s="187" t="e">
        <f t="shared" si="35"/>
        <v>#DIV/0!</v>
      </c>
      <c r="CJ18" s="188">
        <f t="shared" ref="CJ18:CL19" si="36">+CJ9/CJ14</f>
        <v>8.790072388831437E-3</v>
      </c>
      <c r="CK18" s="188">
        <f t="shared" si="36"/>
        <v>8.2456978967495216E-3</v>
      </c>
      <c r="CL18" s="188">
        <f>+CL9/CL14</f>
        <v>1.001669449081803E-2</v>
      </c>
      <c r="CM18" s="157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E18" s="159"/>
    </row>
    <row r="19" spans="1:110" s="158" customFormat="1" x14ac:dyDescent="0.2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7"/>
      <c r="AB19" s="157"/>
      <c r="AC19" s="157"/>
      <c r="AD19" s="157"/>
      <c r="AE19" s="157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56"/>
      <c r="CC19" s="156"/>
      <c r="CD19" s="156"/>
      <c r="CE19" s="156"/>
      <c r="CF19" s="156"/>
      <c r="CG19" s="156"/>
      <c r="CH19" s="187">
        <f t="shared" ref="CH19:CI19" si="37">+CH10/CH15</f>
        <v>5.7871720116618078E-2</v>
      </c>
      <c r="CI19" s="187">
        <f t="shared" si="37"/>
        <v>0</v>
      </c>
      <c r="CJ19" s="188">
        <f t="shared" si="36"/>
        <v>3.9667896678966787E-2</v>
      </c>
      <c r="CK19" s="188">
        <f t="shared" si="36"/>
        <v>4.1104792851340374E-2</v>
      </c>
      <c r="CL19" s="188">
        <f t="shared" si="36"/>
        <v>5.1724137931034482E-2</v>
      </c>
      <c r="CM19" s="157"/>
      <c r="CN19" s="157"/>
      <c r="CO19" s="157"/>
      <c r="CP19" s="157"/>
      <c r="CQ19" s="157"/>
      <c r="CR19" s="157"/>
      <c r="CS19" s="157"/>
      <c r="CT19" s="157"/>
      <c r="CU19" s="157"/>
      <c r="CV19" s="157"/>
      <c r="CW19" s="157"/>
      <c r="CX19" s="157"/>
      <c r="CY19" s="157"/>
      <c r="CZ19" s="157"/>
      <c r="DA19" s="157"/>
      <c r="DB19" s="157"/>
      <c r="DE19" s="159"/>
    </row>
    <row r="20" spans="1:110" s="106" customFormat="1" x14ac:dyDescent="0.2">
      <c r="A20" s="151" t="s">
        <v>500</v>
      </c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5"/>
      <c r="AB20" s="105"/>
      <c r="AC20" s="105"/>
      <c r="AD20" s="105"/>
      <c r="AE20" s="105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04"/>
      <c r="BV20" s="104"/>
      <c r="BW20" s="104"/>
      <c r="BX20" s="104"/>
      <c r="BY20" s="104"/>
      <c r="BZ20" s="104"/>
      <c r="CA20" s="104"/>
      <c r="CB20" s="104"/>
      <c r="CC20" s="104"/>
      <c r="CD20" s="104"/>
      <c r="CE20" s="104"/>
      <c r="CF20" s="104"/>
      <c r="CG20" s="104"/>
      <c r="CH20" s="104"/>
      <c r="CI20" s="104"/>
      <c r="CJ20" s="104"/>
      <c r="CK20" s="104"/>
      <c r="CL20" s="104"/>
      <c r="CM20" s="105"/>
      <c r="CN20" s="105"/>
      <c r="CO20" s="105"/>
      <c r="CP20" s="105"/>
      <c r="CQ20" s="105"/>
      <c r="CR20" s="105"/>
      <c r="CS20" s="105"/>
      <c r="CT20" s="105"/>
      <c r="CU20" s="105"/>
      <c r="CV20" s="105"/>
      <c r="CW20" s="105"/>
      <c r="CX20" s="105"/>
      <c r="CY20" s="105"/>
      <c r="CZ20" s="105"/>
      <c r="DA20" s="105"/>
      <c r="DB20" s="105"/>
      <c r="DE20" s="118"/>
    </row>
    <row r="21" spans="1:110" s="106" customFormat="1" x14ac:dyDescent="0.2">
      <c r="A21" s="151" t="s">
        <v>485</v>
      </c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05"/>
      <c r="AC21" s="105"/>
      <c r="AD21" s="105"/>
      <c r="AE21" s="105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18"/>
      <c r="BI21" s="118"/>
      <c r="BJ21" s="118"/>
      <c r="BK21" s="118"/>
      <c r="BL21" s="118"/>
      <c r="BM21" s="118"/>
      <c r="BN21" s="118"/>
      <c r="BO21" s="118"/>
      <c r="BP21" s="118"/>
      <c r="BQ21" s="118"/>
      <c r="BR21" s="118"/>
      <c r="BS21" s="118"/>
      <c r="BT21" s="118"/>
      <c r="BU21" s="118"/>
      <c r="BV21" s="118"/>
      <c r="BW21" s="118"/>
      <c r="BX21" s="118"/>
      <c r="BY21" s="118"/>
      <c r="BZ21" s="118"/>
      <c r="CA21" s="118"/>
      <c r="CB21" s="118"/>
      <c r="CC21" s="118"/>
      <c r="CD21" s="118"/>
      <c r="CE21" s="118"/>
      <c r="CF21" s="118"/>
      <c r="CG21" s="118"/>
      <c r="CH21" s="118"/>
      <c r="CI21" s="118"/>
      <c r="CJ21" s="160"/>
      <c r="CK21" s="160"/>
      <c r="CL21" s="160"/>
      <c r="CM21" s="105"/>
      <c r="CN21" s="105"/>
      <c r="CO21" s="105"/>
      <c r="CP21" s="105"/>
      <c r="CQ21" s="105"/>
      <c r="CR21" s="105"/>
      <c r="CS21" s="105"/>
      <c r="CT21" s="105"/>
      <c r="CU21" s="105"/>
      <c r="CV21" s="105"/>
      <c r="CW21" s="105"/>
      <c r="CX21" s="105"/>
      <c r="CY21" s="105"/>
      <c r="CZ21" s="105"/>
      <c r="DA21" s="105"/>
      <c r="DB21" s="105"/>
      <c r="DE21" s="118"/>
    </row>
    <row r="22" spans="1:110" s="25" customFormat="1" outlineLevel="1" x14ac:dyDescent="0.2">
      <c r="A22" s="25" t="s">
        <v>430</v>
      </c>
      <c r="B22" s="25" t="e">
        <f ca="1">'Annual Raw'!C6</f>
        <v>#NAME?</v>
      </c>
      <c r="C22" s="25" t="e">
        <f ca="1">'Annual Raw'!D6</f>
        <v>#NAME?</v>
      </c>
      <c r="D22" s="25" t="e">
        <f ca="1">'Annual Raw'!E6</f>
        <v>#NAME?</v>
      </c>
      <c r="E22" s="25" t="e">
        <f ca="1">'Annual Raw'!F6</f>
        <v>#NAME?</v>
      </c>
      <c r="F22" s="25" t="e">
        <f ca="1">'Annual Raw'!G6</f>
        <v>#NAME?</v>
      </c>
      <c r="G22" s="25" t="e">
        <f ca="1">'Annual Raw'!H6</f>
        <v>#NAME?</v>
      </c>
      <c r="H22" s="25" t="e">
        <f ca="1">'Annual Raw'!I6</f>
        <v>#NAME?</v>
      </c>
      <c r="I22" s="25" t="e">
        <f ca="1">'Annual Raw'!J6</f>
        <v>#NAME?</v>
      </c>
      <c r="J22" s="25" t="e">
        <f ca="1">'Annual Raw'!K6</f>
        <v>#NAME?</v>
      </c>
      <c r="K22" s="25" t="e">
        <f ca="1">'Annual Raw'!L6</f>
        <v>#NAME?</v>
      </c>
      <c r="L22" s="25" t="e">
        <f ca="1">'Annual Raw'!M6</f>
        <v>#NAME?</v>
      </c>
      <c r="M22" s="25" t="e">
        <f ca="1">'Annual Raw'!N6</f>
        <v>#NAME?</v>
      </c>
      <c r="N22" s="25" t="e">
        <f ca="1">'Annual Raw'!O6</f>
        <v>#NAME?</v>
      </c>
      <c r="O22" s="25" t="e">
        <f ca="1">'Annual Raw'!P6</f>
        <v>#NAME?</v>
      </c>
      <c r="P22" s="25" t="e">
        <f ca="1">'Annual Raw'!Q6</f>
        <v>#NAME?</v>
      </c>
      <c r="Q22" s="25" t="e">
        <f ca="1">'Annual Raw'!R6</f>
        <v>#NAME?</v>
      </c>
      <c r="R22" s="25" t="e">
        <f ca="1">'Annual Raw'!S6</f>
        <v>#NAME?</v>
      </c>
      <c r="S22" s="25" t="e">
        <f ca="1">'Annual Raw'!T6</f>
        <v>#NAME?</v>
      </c>
      <c r="T22" s="25" t="e">
        <f ca="1">'Annual Raw'!U6</f>
        <v>#NAME?</v>
      </c>
      <c r="U22" s="25" t="e">
        <f ca="1">'Annual Raw'!V6</f>
        <v>#NAME?</v>
      </c>
      <c r="V22" s="25" t="e">
        <f ca="1">'Annual Raw'!W6</f>
        <v>#NAME?</v>
      </c>
      <c r="W22" s="25" t="e">
        <f ca="1">'Annual Raw'!X6</f>
        <v>#NAME?</v>
      </c>
      <c r="X22" s="25" t="e">
        <f ca="1">'Annual Raw'!Y6</f>
        <v>#NAME?</v>
      </c>
      <c r="Y22" s="25" t="e">
        <f ca="1">'Annual Raw'!Z6</f>
        <v>#NAME?</v>
      </c>
      <c r="Z22" s="25" t="e">
        <f ca="1">'Annual Raw'!AA6</f>
        <v>#NAME?</v>
      </c>
      <c r="AA22" s="25" t="e">
        <f ca="1">'Annual Raw'!AB6</f>
        <v>#NAME?</v>
      </c>
      <c r="AB22" s="17" t="e">
        <f ca="1">+SUM(CM22:CP22)</f>
        <v>#NAME?</v>
      </c>
      <c r="AC22" s="17" t="e">
        <f ca="1">+SUM(CQ22:CT22)</f>
        <v>#NAME?</v>
      </c>
      <c r="AD22" s="17" t="e">
        <f ca="1">+SUM(CU22:CX22)</f>
        <v>#NAME?</v>
      </c>
      <c r="AE22" s="17" t="e">
        <f ca="1">+SUM(CY22:DB22)</f>
        <v>#NAME?</v>
      </c>
      <c r="AI22" s="25" t="e">
        <f ca="1">'QTR Raw'!C6+'QTR Raw'!C8</f>
        <v>#NAME?</v>
      </c>
      <c r="AJ22" s="25" t="e">
        <f ca="1">'QTR Raw'!D6+'QTR Raw'!D8</f>
        <v>#NAME?</v>
      </c>
      <c r="AK22" s="25" t="e">
        <f ca="1">'QTR Raw'!E6+'QTR Raw'!E8</f>
        <v>#NAME?</v>
      </c>
      <c r="AL22" s="25" t="e">
        <f ca="1">'QTR Raw'!F6+'QTR Raw'!F8</f>
        <v>#NAME?</v>
      </c>
      <c r="AM22" s="25" t="e">
        <f ca="1">'QTR Raw'!G6+'QTR Raw'!G8</f>
        <v>#NAME?</v>
      </c>
      <c r="AN22" s="25" t="e">
        <f ca="1">'QTR Raw'!H6+'QTR Raw'!H8</f>
        <v>#NAME?</v>
      </c>
      <c r="AO22" s="25" t="e">
        <f ca="1">'QTR Raw'!I6+'QTR Raw'!I8</f>
        <v>#NAME?</v>
      </c>
      <c r="AP22" s="25" t="e">
        <f ca="1">'QTR Raw'!J6+'QTR Raw'!J8</f>
        <v>#NAME?</v>
      </c>
      <c r="AQ22" s="25" t="e">
        <f ca="1">'QTR Raw'!K6+'QTR Raw'!K8</f>
        <v>#NAME?</v>
      </c>
      <c r="AR22" s="25" t="e">
        <f ca="1">'QTR Raw'!L6+'QTR Raw'!L8</f>
        <v>#NAME?</v>
      </c>
      <c r="AS22" s="25" t="e">
        <f ca="1">'QTR Raw'!M6+'QTR Raw'!M8</f>
        <v>#NAME?</v>
      </c>
      <c r="AT22" s="25" t="e">
        <f ca="1">'QTR Raw'!N6+'QTR Raw'!N8</f>
        <v>#NAME?</v>
      </c>
      <c r="AU22" s="25" t="e">
        <f ca="1">'QTR Raw'!O6+'QTR Raw'!O8</f>
        <v>#NAME?</v>
      </c>
      <c r="AV22" s="25" t="e">
        <f ca="1">'QTR Raw'!P6+'QTR Raw'!P8</f>
        <v>#NAME?</v>
      </c>
      <c r="AW22" s="25" t="e">
        <f ca="1">'QTR Raw'!Q6+'QTR Raw'!Q8</f>
        <v>#NAME?</v>
      </c>
      <c r="AX22" s="25" t="e">
        <f ca="1">'QTR Raw'!R6+'QTR Raw'!R8</f>
        <v>#NAME?</v>
      </c>
      <c r="AY22" s="25" t="e">
        <f ca="1">'QTR Raw'!S6+'QTR Raw'!S8</f>
        <v>#NAME?</v>
      </c>
      <c r="AZ22" s="25" t="e">
        <f ca="1">'QTR Raw'!T6+'QTR Raw'!T8</f>
        <v>#NAME?</v>
      </c>
      <c r="BA22" s="25" t="e">
        <f ca="1">'QTR Raw'!U6+'QTR Raw'!U8</f>
        <v>#NAME?</v>
      </c>
      <c r="BB22" s="25" t="e">
        <f ca="1">'QTR Raw'!V6+'QTR Raw'!V8</f>
        <v>#NAME?</v>
      </c>
      <c r="BC22" s="25" t="e">
        <f ca="1">'QTR Raw'!W6+'QTR Raw'!W8</f>
        <v>#NAME?</v>
      </c>
      <c r="BD22" s="25" t="e">
        <f ca="1">'QTR Raw'!X6+'QTR Raw'!X8</f>
        <v>#NAME?</v>
      </c>
      <c r="BE22" s="25" t="e">
        <f ca="1">'QTR Raw'!Y6+'QTR Raw'!Y8</f>
        <v>#NAME?</v>
      </c>
      <c r="BF22" s="25" t="e">
        <f ca="1">'QTR Raw'!Z6+'QTR Raw'!Z8</f>
        <v>#NAME?</v>
      </c>
      <c r="BG22" s="25" t="e">
        <f ca="1">'QTR Raw'!AA6+'QTR Raw'!AA8</f>
        <v>#NAME?</v>
      </c>
      <c r="BH22" s="25" t="e">
        <f ca="1">'QTR Raw'!AB6+'QTR Raw'!AB8</f>
        <v>#NAME?</v>
      </c>
      <c r="BI22" s="25" t="e">
        <f ca="1">'QTR Raw'!AC6+'QTR Raw'!AC8</f>
        <v>#NAME?</v>
      </c>
      <c r="BJ22" s="25" t="e">
        <f ca="1">'QTR Raw'!AD6+'QTR Raw'!AD8</f>
        <v>#NAME?</v>
      </c>
      <c r="BK22" s="25" t="e">
        <f ca="1">'QTR Raw'!AE6+'QTR Raw'!AE8</f>
        <v>#NAME?</v>
      </c>
      <c r="BL22" s="25" t="e">
        <f ca="1">'QTR Raw'!AF6+'QTR Raw'!AF8</f>
        <v>#NAME?</v>
      </c>
      <c r="BM22" s="25" t="e">
        <f ca="1">'QTR Raw'!AG6+'QTR Raw'!AG8</f>
        <v>#NAME?</v>
      </c>
      <c r="BN22" s="25" t="e">
        <f ca="1">'QTR Raw'!AH6+'QTR Raw'!AH8</f>
        <v>#NAME?</v>
      </c>
      <c r="BO22" s="25" t="e">
        <f ca="1">'QTR Raw'!AI6+'QTR Raw'!AI8</f>
        <v>#NAME?</v>
      </c>
      <c r="BP22" s="25" t="e">
        <f ca="1">'QTR Raw'!AJ6+'QTR Raw'!AJ8</f>
        <v>#NAME?</v>
      </c>
      <c r="BQ22" s="25" t="e">
        <f ca="1">'QTR Raw'!AK6+'QTR Raw'!AK8</f>
        <v>#NAME?</v>
      </c>
      <c r="BR22" s="25" t="e">
        <f ca="1">'QTR Raw'!AL6+'QTR Raw'!AL8</f>
        <v>#NAME?</v>
      </c>
      <c r="BS22" s="25" t="e">
        <f ca="1">'QTR Raw'!AM6+'QTR Raw'!AM8</f>
        <v>#NAME?</v>
      </c>
      <c r="BT22" s="25" t="e">
        <f ca="1">'QTR Raw'!AN6+'QTR Raw'!AN8</f>
        <v>#NAME?</v>
      </c>
      <c r="BU22" s="25" t="e">
        <f ca="1">'QTR Raw'!AO6+'QTR Raw'!AO8</f>
        <v>#NAME?</v>
      </c>
      <c r="BV22" s="25" t="e">
        <f ca="1">'QTR Raw'!AP6+'QTR Raw'!AP8</f>
        <v>#NAME?</v>
      </c>
      <c r="BW22" s="25" t="e">
        <f ca="1">'QTR Raw'!AQ6+'QTR Raw'!AQ8</f>
        <v>#NAME?</v>
      </c>
      <c r="BX22" s="25" t="e">
        <f ca="1">'QTR Raw'!AR6+'QTR Raw'!AR8</f>
        <v>#NAME?</v>
      </c>
      <c r="BY22" s="25" t="e">
        <f ca="1">'QTR Raw'!AS6+'QTR Raw'!AS8</f>
        <v>#NAME?</v>
      </c>
      <c r="BZ22" s="25" t="e">
        <f ca="1">'QTR Raw'!AT6+'QTR Raw'!AT8</f>
        <v>#NAME?</v>
      </c>
      <c r="CA22" s="25" t="e">
        <f ca="1">'QTR Raw'!AU6+'QTR Raw'!AU8</f>
        <v>#NAME?</v>
      </c>
      <c r="CB22" s="25" t="e">
        <f ca="1">'QTR Raw'!AV6+'QTR Raw'!AV8</f>
        <v>#NAME?</v>
      </c>
      <c r="CC22" s="25" t="e">
        <f ca="1">'QTR Raw'!AW6+'QTR Raw'!AW8</f>
        <v>#NAME?</v>
      </c>
      <c r="CD22" s="25" t="e">
        <f ca="1">'QTR Raw'!AX6+'QTR Raw'!AX8</f>
        <v>#NAME?</v>
      </c>
      <c r="CE22" s="25" t="e">
        <f ca="1">'QTR Raw'!AY6+'QTR Raw'!AY8</f>
        <v>#NAME?</v>
      </c>
      <c r="CF22" s="25" t="e">
        <f ca="1">'QTR Raw'!AZ6+'QTR Raw'!AZ8</f>
        <v>#NAME?</v>
      </c>
      <c r="CG22" s="25" t="e">
        <f ca="1">'QTR Raw'!BA6+'QTR Raw'!BA8</f>
        <v>#NAME?</v>
      </c>
      <c r="CH22" s="25">
        <v>199.625</v>
      </c>
      <c r="CI22" s="25" t="e">
        <f ca="1">'QTR Raw'!BC6+'QTR Raw'!BC8</f>
        <v>#NAME?</v>
      </c>
      <c r="CJ22" s="25" t="e">
        <f ca="1">'QTR Raw'!BD6+'QTR Raw'!BD8</f>
        <v>#NAME?</v>
      </c>
      <c r="CK22" s="25" t="e">
        <f ca="1">'QTR Raw'!BE6+'QTR Raw'!BE8</f>
        <v>#NAME?</v>
      </c>
      <c r="CL22" s="25" t="e">
        <f ca="1">'QTR Raw'!BF6+'QTR Raw'!BF8</f>
        <v>#NAME?</v>
      </c>
      <c r="CM22" s="17" t="e">
        <f t="shared" ref="CM22:DB22" ca="1" si="38">+CI24+(CM25*CI24)</f>
        <v>#NAME?</v>
      </c>
      <c r="CN22" s="17" t="e">
        <f t="shared" ca="1" si="38"/>
        <v>#NAME?</v>
      </c>
      <c r="CO22" s="17" t="e">
        <f t="shared" ca="1" si="38"/>
        <v>#NAME?</v>
      </c>
      <c r="CP22" s="17" t="e">
        <f t="shared" ca="1" si="38"/>
        <v>#NAME?</v>
      </c>
      <c r="CQ22" s="17" t="e">
        <f t="shared" ca="1" si="38"/>
        <v>#NAME?</v>
      </c>
      <c r="CR22" s="17" t="e">
        <f t="shared" ca="1" si="38"/>
        <v>#NAME?</v>
      </c>
      <c r="CS22" s="17" t="e">
        <f t="shared" ca="1" si="38"/>
        <v>#NAME?</v>
      </c>
      <c r="CT22" s="17" t="e">
        <f t="shared" ca="1" si="38"/>
        <v>#NAME?</v>
      </c>
      <c r="CU22" s="17" t="e">
        <f t="shared" ca="1" si="38"/>
        <v>#NAME?</v>
      </c>
      <c r="CV22" s="17" t="e">
        <f t="shared" ca="1" si="38"/>
        <v>#NAME?</v>
      </c>
      <c r="CW22" s="17" t="e">
        <f t="shared" ca="1" si="38"/>
        <v>#NAME?</v>
      </c>
      <c r="CX22" s="17" t="e">
        <f t="shared" ca="1" si="38"/>
        <v>#NAME?</v>
      </c>
      <c r="CY22" s="17" t="e">
        <f t="shared" ca="1" si="38"/>
        <v>#NAME?</v>
      </c>
      <c r="CZ22" s="17" t="e">
        <f t="shared" ca="1" si="38"/>
        <v>#NAME?</v>
      </c>
      <c r="DA22" s="17" t="e">
        <f t="shared" ca="1" si="38"/>
        <v>#NAME?</v>
      </c>
      <c r="DB22" s="17" t="e">
        <f t="shared" ca="1" si="38"/>
        <v>#NAME?</v>
      </c>
      <c r="DE22" s="119"/>
      <c r="DF22" s="25">
        <v>932.15700000000004</v>
      </c>
    </row>
    <row r="23" spans="1:110" s="92" customFormat="1" outlineLevel="1" x14ac:dyDescent="0.2">
      <c r="A23" s="92" t="s">
        <v>109</v>
      </c>
      <c r="B23" s="92" t="e">
        <f ca="1">'Annual Raw'!C7+'Annual Raw'!C8+'Annual Raw'!C9</f>
        <v>#NAME?</v>
      </c>
      <c r="C23" s="92" t="e">
        <f ca="1">'Annual Raw'!D7+'Annual Raw'!D8+'Annual Raw'!D9</f>
        <v>#NAME?</v>
      </c>
      <c r="D23" s="92" t="e">
        <f ca="1">'Annual Raw'!E7+'Annual Raw'!E8+'Annual Raw'!E9</f>
        <v>#NAME?</v>
      </c>
      <c r="E23" s="92" t="e">
        <f ca="1">'Annual Raw'!F7+'Annual Raw'!F8+'Annual Raw'!F9</f>
        <v>#NAME?</v>
      </c>
      <c r="F23" s="92" t="e">
        <f ca="1">'Annual Raw'!G7+'Annual Raw'!G8+'Annual Raw'!G9</f>
        <v>#NAME?</v>
      </c>
      <c r="G23" s="92" t="e">
        <f ca="1">'Annual Raw'!H7+'Annual Raw'!H8+'Annual Raw'!H9</f>
        <v>#NAME?</v>
      </c>
      <c r="H23" s="92" t="e">
        <f ca="1">'Annual Raw'!I7+'Annual Raw'!I8+'Annual Raw'!I9</f>
        <v>#NAME?</v>
      </c>
      <c r="I23" s="92" t="e">
        <f ca="1">'Annual Raw'!J7+'Annual Raw'!J8+'Annual Raw'!J9</f>
        <v>#NAME?</v>
      </c>
      <c r="J23" s="92" t="e">
        <f ca="1">'Annual Raw'!K7+'Annual Raw'!K8+'Annual Raw'!K9</f>
        <v>#NAME?</v>
      </c>
      <c r="K23" s="92" t="e">
        <f ca="1">'Annual Raw'!L7+'Annual Raw'!L8+'Annual Raw'!L9</f>
        <v>#NAME?</v>
      </c>
      <c r="L23" s="92" t="e">
        <f ca="1">'Annual Raw'!M7+'Annual Raw'!M8+'Annual Raw'!M9</f>
        <v>#NAME?</v>
      </c>
      <c r="M23" s="92" t="e">
        <f ca="1">'Annual Raw'!N7+'Annual Raw'!N8+'Annual Raw'!N9</f>
        <v>#NAME?</v>
      </c>
      <c r="N23" s="92" t="e">
        <f ca="1">'Annual Raw'!O7+'Annual Raw'!O8+'Annual Raw'!O9</f>
        <v>#NAME?</v>
      </c>
      <c r="O23" s="92" t="e">
        <f ca="1">'Annual Raw'!P7+'Annual Raw'!P8+'Annual Raw'!P9</f>
        <v>#NAME?</v>
      </c>
      <c r="P23" s="92" t="e">
        <f ca="1">'Annual Raw'!Q7+'Annual Raw'!Q8+'Annual Raw'!Q9</f>
        <v>#NAME?</v>
      </c>
      <c r="Q23" s="92" t="e">
        <f ca="1">'Annual Raw'!R7+'Annual Raw'!R8+'Annual Raw'!R9</f>
        <v>#NAME?</v>
      </c>
      <c r="R23" s="92" t="e">
        <f ca="1">'Annual Raw'!S7+'Annual Raw'!S8+'Annual Raw'!S9</f>
        <v>#NAME?</v>
      </c>
      <c r="S23" s="92" t="e">
        <f ca="1">'Annual Raw'!T7+'Annual Raw'!T8+'Annual Raw'!T9</f>
        <v>#NAME?</v>
      </c>
      <c r="T23" s="92" t="e">
        <f ca="1">'Annual Raw'!U7+'Annual Raw'!U8+'Annual Raw'!U9</f>
        <v>#NAME?</v>
      </c>
      <c r="U23" s="92" t="e">
        <f ca="1">'Annual Raw'!V7+'Annual Raw'!V8+'Annual Raw'!V9</f>
        <v>#NAME?</v>
      </c>
      <c r="V23" s="92" t="e">
        <f ca="1">'Annual Raw'!W7+'Annual Raw'!W8+'Annual Raw'!W9</f>
        <v>#NAME?</v>
      </c>
      <c r="W23" s="92" t="e">
        <f ca="1">'Annual Raw'!X7+'Annual Raw'!X8+'Annual Raw'!X9</f>
        <v>#NAME?</v>
      </c>
      <c r="X23" s="92" t="e">
        <f ca="1">'Annual Raw'!Y7+'Annual Raw'!Y8+'Annual Raw'!Y9</f>
        <v>#NAME?</v>
      </c>
      <c r="Y23" s="92" t="e">
        <f ca="1">'Annual Raw'!Z7+'Annual Raw'!Z8+'Annual Raw'!Z9</f>
        <v>#NAME?</v>
      </c>
      <c r="Z23" s="92" t="e">
        <f ca="1">'Annual Raw'!AA7+'Annual Raw'!AA8+'Annual Raw'!AA9</f>
        <v>#NAME?</v>
      </c>
      <c r="AA23" s="92" t="e">
        <f ca="1">'Annual Raw'!AB7+'Annual Raw'!AB8+'Annual Raw'!AB9</f>
        <v>#NAME?</v>
      </c>
      <c r="AB23" s="76">
        <f>+SUM(CM23:CP23)</f>
        <v>0</v>
      </c>
      <c r="AC23" s="76">
        <f>+SUM(CQ23:CT23)</f>
        <v>0</v>
      </c>
      <c r="AD23" s="76">
        <f>+SUM(CU23:CX23)</f>
        <v>0</v>
      </c>
      <c r="AE23" s="76">
        <f>+SUM(CY23:DB23)</f>
        <v>0</v>
      </c>
      <c r="AI23" s="92" t="e">
        <f ca="1">+'QTR Raw'!C20+'QTR Raw'!C19+'QTR Raw'!C13+'QTR Raw'!C7</f>
        <v>#NAME?</v>
      </c>
      <c r="AJ23" s="92" t="e">
        <f ca="1">+'QTR Raw'!D20+'QTR Raw'!D19+'QTR Raw'!D13+'QTR Raw'!D7</f>
        <v>#NAME?</v>
      </c>
      <c r="AK23" s="92" t="e">
        <f ca="1">+'QTR Raw'!E20+'QTR Raw'!E19+'QTR Raw'!E13+'QTR Raw'!E7</f>
        <v>#NAME?</v>
      </c>
      <c r="AL23" s="92" t="e">
        <f ca="1">+'QTR Raw'!F20+'QTR Raw'!F19+'QTR Raw'!F13+'QTR Raw'!F7</f>
        <v>#NAME?</v>
      </c>
      <c r="AM23" s="92" t="e">
        <f ca="1">+'QTR Raw'!G20+'QTR Raw'!G19+'QTR Raw'!G13+'QTR Raw'!G7</f>
        <v>#NAME?</v>
      </c>
      <c r="AN23" s="92" t="e">
        <f ca="1">+'QTR Raw'!H20+'QTR Raw'!H19+'QTR Raw'!H13+'QTR Raw'!H7</f>
        <v>#NAME?</v>
      </c>
      <c r="AO23" s="92" t="e">
        <f ca="1">+'QTR Raw'!I20+'QTR Raw'!I19+'QTR Raw'!I13+'QTR Raw'!I7</f>
        <v>#NAME?</v>
      </c>
      <c r="AP23" s="92" t="e">
        <f ca="1">+'QTR Raw'!J20+'QTR Raw'!J19+'QTR Raw'!J13+'QTR Raw'!J7</f>
        <v>#NAME?</v>
      </c>
      <c r="AQ23" s="92" t="e">
        <f ca="1">+'QTR Raw'!K20+'QTR Raw'!K19+'QTR Raw'!K13+'QTR Raw'!K7</f>
        <v>#NAME?</v>
      </c>
      <c r="AR23" s="92" t="e">
        <f ca="1">+'QTR Raw'!L20+'QTR Raw'!L19+'QTR Raw'!L13+'QTR Raw'!L7</f>
        <v>#NAME?</v>
      </c>
      <c r="AS23" s="92" t="e">
        <f ca="1">+'QTR Raw'!M20+'QTR Raw'!M19+'QTR Raw'!M13+'QTR Raw'!M7</f>
        <v>#NAME?</v>
      </c>
      <c r="AT23" s="92" t="e">
        <f ca="1">+'QTR Raw'!N20+'QTR Raw'!N19+'QTR Raw'!N13+'QTR Raw'!N7</f>
        <v>#NAME?</v>
      </c>
      <c r="AU23" s="92" t="e">
        <f ca="1">+'QTR Raw'!O20+'QTR Raw'!O19+'QTR Raw'!O13+'QTR Raw'!O7</f>
        <v>#NAME?</v>
      </c>
      <c r="AV23" s="92" t="e">
        <f ca="1">+'QTR Raw'!P20+'QTR Raw'!P19+'QTR Raw'!P13+'QTR Raw'!P7</f>
        <v>#NAME?</v>
      </c>
      <c r="AW23" s="92" t="e">
        <f ca="1">+'QTR Raw'!Q20+'QTR Raw'!Q19+'QTR Raw'!Q13+'QTR Raw'!Q7</f>
        <v>#NAME?</v>
      </c>
      <c r="AX23" s="92" t="e">
        <f ca="1">+'QTR Raw'!R20+'QTR Raw'!R19+'QTR Raw'!R13+'QTR Raw'!R7</f>
        <v>#NAME?</v>
      </c>
      <c r="AY23" s="92" t="e">
        <f ca="1">+'QTR Raw'!S20+'QTR Raw'!S19+'QTR Raw'!S13+'QTR Raw'!S7</f>
        <v>#NAME?</v>
      </c>
      <c r="AZ23" s="92" t="e">
        <f ca="1">+'QTR Raw'!T20+'QTR Raw'!T19+'QTR Raw'!T13+'QTR Raw'!T7</f>
        <v>#NAME?</v>
      </c>
      <c r="BA23" s="92" t="e">
        <f ca="1">+'QTR Raw'!U20+'QTR Raw'!U19+'QTR Raw'!U13+'QTR Raw'!U7</f>
        <v>#NAME?</v>
      </c>
      <c r="BB23" s="92" t="e">
        <f ca="1">+'QTR Raw'!V20+'QTR Raw'!V19+'QTR Raw'!V13+'QTR Raw'!V7</f>
        <v>#NAME?</v>
      </c>
      <c r="BC23" s="92" t="e">
        <f ca="1">+'QTR Raw'!W20+'QTR Raw'!W19+'QTR Raw'!W13+'QTR Raw'!W7</f>
        <v>#NAME?</v>
      </c>
      <c r="BD23" s="92" t="e">
        <f ca="1">+'QTR Raw'!X20+'QTR Raw'!X19+'QTR Raw'!X13+'QTR Raw'!X7</f>
        <v>#NAME?</v>
      </c>
      <c r="BE23" s="92" t="e">
        <f ca="1">+'QTR Raw'!Y20+'QTR Raw'!Y19+'QTR Raw'!Y13+'QTR Raw'!Y7</f>
        <v>#NAME?</v>
      </c>
      <c r="BF23" s="92" t="e">
        <f ca="1">+'QTR Raw'!Z20+'QTR Raw'!Z19+'QTR Raw'!Z13+'QTR Raw'!Z7</f>
        <v>#NAME?</v>
      </c>
      <c r="BG23" s="92" t="e">
        <f ca="1">+'QTR Raw'!AA20+'QTR Raw'!AA19+'QTR Raw'!AA13+'QTR Raw'!AA7</f>
        <v>#NAME?</v>
      </c>
      <c r="BH23" s="92" t="e">
        <f ca="1">+'QTR Raw'!AB20+'QTR Raw'!AB19+'QTR Raw'!AB13+'QTR Raw'!AB7</f>
        <v>#NAME?</v>
      </c>
      <c r="BI23" s="92" t="e">
        <f ca="1">+'QTR Raw'!AC20+'QTR Raw'!AC19+'QTR Raw'!AC13+'QTR Raw'!AC7</f>
        <v>#NAME?</v>
      </c>
      <c r="BJ23" s="92" t="e">
        <f ca="1">+'QTR Raw'!AD20+'QTR Raw'!AD19+'QTR Raw'!AD13+'QTR Raw'!AD7</f>
        <v>#NAME?</v>
      </c>
      <c r="BK23" s="92" t="e">
        <f ca="1">+'QTR Raw'!AE20+'QTR Raw'!AE19+'QTR Raw'!AE13+'QTR Raw'!AE7</f>
        <v>#NAME?</v>
      </c>
      <c r="BL23" s="92" t="e">
        <f ca="1">+'QTR Raw'!AF20+'QTR Raw'!AF19+'QTR Raw'!AF13+'QTR Raw'!AF7</f>
        <v>#NAME?</v>
      </c>
      <c r="BM23" s="92" t="e">
        <f ca="1">+'QTR Raw'!AG20+'QTR Raw'!AG19+'QTR Raw'!AG13+'QTR Raw'!AG7</f>
        <v>#NAME?</v>
      </c>
      <c r="BN23" s="92" t="e">
        <f ca="1">+'QTR Raw'!AH20+'QTR Raw'!AH19+'QTR Raw'!AH13+'QTR Raw'!AH7</f>
        <v>#NAME?</v>
      </c>
      <c r="BO23" s="92" t="e">
        <f ca="1">+'QTR Raw'!AI20+'QTR Raw'!AI19+'QTR Raw'!AI13+'QTR Raw'!AI7</f>
        <v>#NAME?</v>
      </c>
      <c r="BP23" s="92" t="e">
        <f ca="1">+'QTR Raw'!AJ20+'QTR Raw'!AJ19+'QTR Raw'!AJ13+'QTR Raw'!AJ7</f>
        <v>#NAME?</v>
      </c>
      <c r="BQ23" s="92" t="e">
        <f ca="1">+'QTR Raw'!AK20+'QTR Raw'!AK19+'QTR Raw'!AK13+'QTR Raw'!AK7</f>
        <v>#NAME?</v>
      </c>
      <c r="BR23" s="92" t="e">
        <f ca="1">+'QTR Raw'!AL20+'QTR Raw'!AL19+'QTR Raw'!AL13+'QTR Raw'!AL7</f>
        <v>#NAME?</v>
      </c>
      <c r="BS23" s="92" t="e">
        <f ca="1">+'QTR Raw'!AM20+'QTR Raw'!AM19+'QTR Raw'!AM13+'QTR Raw'!AM7</f>
        <v>#NAME?</v>
      </c>
      <c r="BT23" s="92" t="e">
        <f ca="1">+'QTR Raw'!AN20+'QTR Raw'!AN19+'QTR Raw'!AN13+'QTR Raw'!AN7</f>
        <v>#NAME?</v>
      </c>
      <c r="BU23" s="92" t="e">
        <f ca="1">+'QTR Raw'!AO20+'QTR Raw'!AO19+'QTR Raw'!AO13+'QTR Raw'!AO7</f>
        <v>#NAME?</v>
      </c>
      <c r="BV23" s="92" t="e">
        <f ca="1">+'QTR Raw'!AP20+'QTR Raw'!AP19+'QTR Raw'!AP13+'QTR Raw'!AP7</f>
        <v>#NAME?</v>
      </c>
      <c r="BW23" s="92" t="e">
        <f ca="1">+'QTR Raw'!AQ20+'QTR Raw'!AQ19+'QTR Raw'!AQ13+'QTR Raw'!AQ7</f>
        <v>#NAME?</v>
      </c>
      <c r="BX23" s="92" t="e">
        <f ca="1">+'QTR Raw'!AR20+'QTR Raw'!AR19+'QTR Raw'!AR13+'QTR Raw'!AR7</f>
        <v>#NAME?</v>
      </c>
      <c r="BY23" s="92" t="e">
        <f ca="1">+'QTR Raw'!AS20+'QTR Raw'!AS19+'QTR Raw'!AS13+'QTR Raw'!AS7</f>
        <v>#NAME?</v>
      </c>
      <c r="BZ23" s="92" t="e">
        <f ca="1">+'QTR Raw'!AT20+'QTR Raw'!AT19+'QTR Raw'!AT13+'QTR Raw'!AT7</f>
        <v>#NAME?</v>
      </c>
      <c r="CA23" s="92" t="e">
        <f ca="1">+'QTR Raw'!AU20+'QTR Raw'!AU19+'QTR Raw'!AU13+'QTR Raw'!AU7</f>
        <v>#NAME?</v>
      </c>
      <c r="CB23" s="92" t="e">
        <f ca="1">+'QTR Raw'!AV20+'QTR Raw'!AV19+'QTR Raw'!AV13+'QTR Raw'!AV7</f>
        <v>#NAME?</v>
      </c>
      <c r="CC23" s="92" t="e">
        <f ca="1">+'QTR Raw'!AW20+'QTR Raw'!AW19+'QTR Raw'!AW13+'QTR Raw'!AW7</f>
        <v>#NAME?</v>
      </c>
      <c r="CD23" s="92" t="e">
        <f ca="1">+'QTR Raw'!AX20+'QTR Raw'!AX19+'QTR Raw'!AX13+'QTR Raw'!AX7</f>
        <v>#NAME?</v>
      </c>
      <c r="CE23" s="92" t="e">
        <f ca="1">+'QTR Raw'!AY20+'QTR Raw'!AY19+'QTR Raw'!AY13+'QTR Raw'!AY7</f>
        <v>#NAME?</v>
      </c>
      <c r="CF23" s="92" t="e">
        <f ca="1">+'QTR Raw'!AZ20+'QTR Raw'!AZ19+'QTR Raw'!AZ13+'QTR Raw'!AZ7</f>
        <v>#NAME?</v>
      </c>
      <c r="CG23" s="92" t="e">
        <f ca="1">+'QTR Raw'!BA20+'QTR Raw'!BA19+'QTR Raw'!BA13+'QTR Raw'!BA7</f>
        <v>#NAME?</v>
      </c>
      <c r="CH23" s="92" t="e">
        <f ca="1">+'QTR Raw'!BB20+'QTR Raw'!BB19+'QTR Raw'!BB13+'QTR Raw'!BB7</f>
        <v>#NAME?</v>
      </c>
      <c r="CI23" s="92" t="e">
        <f ca="1">+'QTR Raw'!BC20+'QTR Raw'!BC19+'QTR Raw'!BC13+'QTR Raw'!BC7</f>
        <v>#NAME?</v>
      </c>
      <c r="CJ23" s="92" t="e">
        <f ca="1">+'QTR Raw'!BD20+'QTR Raw'!BD19+'QTR Raw'!BD13+'QTR Raw'!BD7</f>
        <v>#NAME?</v>
      </c>
      <c r="CK23" s="92" t="e">
        <f ca="1">+'QTR Raw'!BE20+'QTR Raw'!BE19+'QTR Raw'!BE13+'QTR Raw'!BE7</f>
        <v>#NAME?</v>
      </c>
      <c r="CL23" s="92" t="e">
        <f ca="1">+'QTR Raw'!BF20+'QTR Raw'!BF19+'QTR Raw'!BF13+'QTR Raw'!BF7</f>
        <v>#NAME?</v>
      </c>
      <c r="CM23" s="74"/>
      <c r="CN23" s="74"/>
      <c r="CO23" s="74"/>
      <c r="CP23" s="74"/>
      <c r="CQ23" s="74"/>
      <c r="CR23" s="74"/>
      <c r="CS23" s="74"/>
      <c r="CT23" s="74"/>
      <c r="CU23" s="74"/>
      <c r="CV23" s="74"/>
      <c r="CW23" s="74"/>
      <c r="CX23" s="74"/>
      <c r="CY23" s="74"/>
      <c r="CZ23" s="74"/>
      <c r="DA23" s="74"/>
      <c r="DB23" s="74"/>
      <c r="DE23" s="120"/>
      <c r="DF23" s="92">
        <v>0</v>
      </c>
    </row>
    <row r="24" spans="1:110" s="26" customFormat="1" x14ac:dyDescent="0.2">
      <c r="A24" s="26" t="s">
        <v>431</v>
      </c>
      <c r="B24" s="26" t="e">
        <f ca="1">+B22-B23</f>
        <v>#NAME?</v>
      </c>
      <c r="C24" s="26" t="e">
        <f ca="1">+C22-C23</f>
        <v>#NAME?</v>
      </c>
      <c r="D24" s="26" t="e">
        <f t="shared" ref="D24:U24" ca="1" si="39">+D22-D23</f>
        <v>#NAME?</v>
      </c>
      <c r="E24" s="26" t="e">
        <f t="shared" ca="1" si="39"/>
        <v>#NAME?</v>
      </c>
      <c r="F24" s="26" t="e">
        <f t="shared" ca="1" si="39"/>
        <v>#NAME?</v>
      </c>
      <c r="G24" s="26" t="e">
        <f t="shared" ca="1" si="39"/>
        <v>#NAME?</v>
      </c>
      <c r="H24" s="26" t="e">
        <f t="shared" ca="1" si="39"/>
        <v>#NAME?</v>
      </c>
      <c r="I24" s="26" t="e">
        <f t="shared" ca="1" si="39"/>
        <v>#NAME?</v>
      </c>
      <c r="J24" s="26" t="e">
        <f t="shared" ca="1" si="39"/>
        <v>#NAME?</v>
      </c>
      <c r="K24" s="26" t="e">
        <f t="shared" ca="1" si="39"/>
        <v>#NAME?</v>
      </c>
      <c r="L24" s="26" t="e">
        <f t="shared" ca="1" si="39"/>
        <v>#NAME?</v>
      </c>
      <c r="M24" s="26" t="e">
        <f t="shared" ca="1" si="39"/>
        <v>#NAME?</v>
      </c>
      <c r="N24" s="26" t="e">
        <f t="shared" ca="1" si="39"/>
        <v>#NAME?</v>
      </c>
      <c r="O24" s="26" t="e">
        <f t="shared" ca="1" si="39"/>
        <v>#NAME?</v>
      </c>
      <c r="P24" s="26" t="e">
        <f t="shared" ca="1" si="39"/>
        <v>#NAME?</v>
      </c>
      <c r="Q24" s="26" t="e">
        <f t="shared" ca="1" si="39"/>
        <v>#NAME?</v>
      </c>
      <c r="R24" s="26" t="e">
        <f t="shared" ca="1" si="39"/>
        <v>#NAME?</v>
      </c>
      <c r="S24" s="26" t="e">
        <f t="shared" ca="1" si="39"/>
        <v>#NAME?</v>
      </c>
      <c r="T24" s="26" t="e">
        <f t="shared" ca="1" si="39"/>
        <v>#NAME?</v>
      </c>
      <c r="U24" s="26" t="e">
        <f t="shared" ca="1" si="39"/>
        <v>#NAME?</v>
      </c>
      <c r="V24" s="26" t="e">
        <f ca="1">+V22-V23</f>
        <v>#NAME?</v>
      </c>
      <c r="W24" s="26" t="e">
        <f ca="1">+W22-W23</f>
        <v>#NAME?</v>
      </c>
      <c r="X24" s="26" t="e">
        <f ca="1">+X22-X23</f>
        <v>#NAME?</v>
      </c>
      <c r="Y24" s="26" t="e">
        <f ca="1">+Y22-Y23</f>
        <v>#NAME?</v>
      </c>
      <c r="Z24" s="26" t="e">
        <f ca="1">+Z22-Z23</f>
        <v>#NAME?</v>
      </c>
      <c r="AA24" s="26" t="e">
        <f ca="1">+AA22-AA23</f>
        <v>#NAME?</v>
      </c>
      <c r="AB24" s="27" t="e">
        <f t="shared" ref="AB24:AD24" ca="1" si="40">+AB22-AB23</f>
        <v>#NAME?</v>
      </c>
      <c r="AC24" s="27" t="e">
        <f t="shared" ca="1" si="40"/>
        <v>#NAME?</v>
      </c>
      <c r="AD24" s="27" t="e">
        <f t="shared" ca="1" si="40"/>
        <v>#NAME?</v>
      </c>
      <c r="AE24" s="27" t="e">
        <f t="shared" ref="AE24" ca="1" si="41">+AE22-AE23</f>
        <v>#NAME?</v>
      </c>
      <c r="AI24" s="26" t="e">
        <f t="shared" ref="AI24" ca="1" si="42">+AI22-AI23</f>
        <v>#NAME?</v>
      </c>
      <c r="AJ24" s="26" t="e">
        <f t="shared" ref="AJ24" ca="1" si="43">+AJ22-AJ23</f>
        <v>#NAME?</v>
      </c>
      <c r="AK24" s="26" t="e">
        <f t="shared" ref="AK24:AM24" ca="1" si="44">+AK22-AK23</f>
        <v>#NAME?</v>
      </c>
      <c r="AL24" s="26" t="e">
        <f t="shared" ca="1" si="44"/>
        <v>#NAME?</v>
      </c>
      <c r="AM24" s="26" t="e">
        <f t="shared" ca="1" si="44"/>
        <v>#NAME?</v>
      </c>
      <c r="AN24" s="26" t="e">
        <f t="shared" ref="AN24:AO24" ca="1" si="45">+AN22-AN23</f>
        <v>#NAME?</v>
      </c>
      <c r="AO24" s="26" t="e">
        <f t="shared" ca="1" si="45"/>
        <v>#NAME?</v>
      </c>
      <c r="AP24" s="26" t="e">
        <f t="shared" ref="AP24:AW24" ca="1" si="46">+AP22-AP23</f>
        <v>#NAME?</v>
      </c>
      <c r="AQ24" s="26" t="e">
        <f t="shared" ca="1" si="46"/>
        <v>#NAME?</v>
      </c>
      <c r="AR24" s="26" t="e">
        <f t="shared" ca="1" si="46"/>
        <v>#NAME?</v>
      </c>
      <c r="AS24" s="26" t="e">
        <f t="shared" ca="1" si="46"/>
        <v>#NAME?</v>
      </c>
      <c r="AT24" s="26" t="e">
        <f t="shared" ca="1" si="46"/>
        <v>#NAME?</v>
      </c>
      <c r="AU24" s="26" t="e">
        <f t="shared" ca="1" si="46"/>
        <v>#NAME?</v>
      </c>
      <c r="AV24" s="26" t="e">
        <f t="shared" ca="1" si="46"/>
        <v>#NAME?</v>
      </c>
      <c r="AW24" s="26" t="e">
        <f t="shared" ca="1" si="46"/>
        <v>#NAME?</v>
      </c>
      <c r="AX24" s="26" t="e">
        <f t="shared" ref="AX24:CF24" ca="1" si="47">+AX22-AX23</f>
        <v>#NAME?</v>
      </c>
      <c r="AY24" s="26" t="e">
        <f t="shared" ca="1" si="47"/>
        <v>#NAME?</v>
      </c>
      <c r="AZ24" s="26" t="e">
        <f t="shared" ca="1" si="47"/>
        <v>#NAME?</v>
      </c>
      <c r="BA24" s="26" t="e">
        <f t="shared" ca="1" si="47"/>
        <v>#NAME?</v>
      </c>
      <c r="BB24" s="26" t="e">
        <f t="shared" ca="1" si="47"/>
        <v>#NAME?</v>
      </c>
      <c r="BC24" s="26" t="e">
        <f t="shared" ca="1" si="47"/>
        <v>#NAME?</v>
      </c>
      <c r="BD24" s="26" t="e">
        <f t="shared" ca="1" si="47"/>
        <v>#NAME?</v>
      </c>
      <c r="BE24" s="26" t="e">
        <f t="shared" ca="1" si="47"/>
        <v>#NAME?</v>
      </c>
      <c r="BF24" s="26" t="e">
        <f t="shared" ca="1" si="47"/>
        <v>#NAME?</v>
      </c>
      <c r="BG24" s="26" t="e">
        <f t="shared" ca="1" si="47"/>
        <v>#NAME?</v>
      </c>
      <c r="BH24" s="26" t="e">
        <f t="shared" ca="1" si="47"/>
        <v>#NAME?</v>
      </c>
      <c r="BI24" s="26" t="e">
        <f t="shared" ca="1" si="47"/>
        <v>#NAME?</v>
      </c>
      <c r="BJ24" s="26" t="e">
        <f t="shared" ca="1" si="47"/>
        <v>#NAME?</v>
      </c>
      <c r="BK24" s="26" t="e">
        <f t="shared" ca="1" si="47"/>
        <v>#NAME?</v>
      </c>
      <c r="BL24" s="26" t="e">
        <f t="shared" ca="1" si="47"/>
        <v>#NAME?</v>
      </c>
      <c r="BM24" s="26" t="e">
        <f t="shared" ca="1" si="47"/>
        <v>#NAME?</v>
      </c>
      <c r="BN24" s="26" t="e">
        <f t="shared" ca="1" si="47"/>
        <v>#NAME?</v>
      </c>
      <c r="BO24" s="26" t="e">
        <f t="shared" ca="1" si="47"/>
        <v>#NAME?</v>
      </c>
      <c r="BP24" s="26" t="e">
        <f t="shared" ca="1" si="47"/>
        <v>#NAME?</v>
      </c>
      <c r="BQ24" s="26" t="e">
        <f t="shared" ca="1" si="47"/>
        <v>#NAME?</v>
      </c>
      <c r="BR24" s="26" t="e">
        <f t="shared" ca="1" si="47"/>
        <v>#NAME?</v>
      </c>
      <c r="BS24" s="26" t="e">
        <f t="shared" ca="1" si="47"/>
        <v>#NAME?</v>
      </c>
      <c r="BT24" s="26" t="e">
        <f t="shared" ca="1" si="47"/>
        <v>#NAME?</v>
      </c>
      <c r="BU24" s="26" t="e">
        <f t="shared" ca="1" si="47"/>
        <v>#NAME?</v>
      </c>
      <c r="BV24" s="26" t="e">
        <f t="shared" ca="1" si="47"/>
        <v>#NAME?</v>
      </c>
      <c r="BW24" s="26" t="e">
        <f t="shared" ca="1" si="47"/>
        <v>#NAME?</v>
      </c>
      <c r="BX24" s="26" t="e">
        <f t="shared" ca="1" si="47"/>
        <v>#NAME?</v>
      </c>
      <c r="BY24" s="26" t="e">
        <f t="shared" ca="1" si="47"/>
        <v>#NAME?</v>
      </c>
      <c r="BZ24" s="26" t="e">
        <f t="shared" ca="1" si="47"/>
        <v>#NAME?</v>
      </c>
      <c r="CA24" s="26" t="e">
        <f t="shared" ca="1" si="47"/>
        <v>#NAME?</v>
      </c>
      <c r="CB24" s="26" t="e">
        <f t="shared" ca="1" si="47"/>
        <v>#NAME?</v>
      </c>
      <c r="CC24" s="26" t="e">
        <f t="shared" ca="1" si="47"/>
        <v>#NAME?</v>
      </c>
      <c r="CD24" s="26" t="e">
        <f t="shared" ca="1" si="47"/>
        <v>#NAME?</v>
      </c>
      <c r="CE24" s="26" t="e">
        <f t="shared" ca="1" si="47"/>
        <v>#NAME?</v>
      </c>
      <c r="CF24" s="26" t="e">
        <f t="shared" ca="1" si="47"/>
        <v>#NAME?</v>
      </c>
      <c r="CG24" s="26" t="e">
        <f t="shared" ref="CG24:CH24" ca="1" si="48">+CG22-CG23</f>
        <v>#NAME?</v>
      </c>
      <c r="CH24" s="26" t="e">
        <f t="shared" ca="1" si="48"/>
        <v>#NAME?</v>
      </c>
      <c r="CI24" s="26" t="e">
        <f t="shared" ref="CI24:CJ24" ca="1" si="49">+CI22-CI23</f>
        <v>#NAME?</v>
      </c>
      <c r="CJ24" s="26" t="e">
        <f t="shared" ca="1" si="49"/>
        <v>#NAME?</v>
      </c>
      <c r="CK24" s="26" t="e">
        <f t="shared" ref="CK24:CL24" ca="1" si="50">+CK22-CK23</f>
        <v>#NAME?</v>
      </c>
      <c r="CL24" s="26" t="e">
        <f t="shared" ca="1" si="50"/>
        <v>#NAME?</v>
      </c>
      <c r="CM24" s="27" t="e">
        <f t="shared" ref="CM24:DB24" ca="1" si="51">+CM22-CM23</f>
        <v>#NAME?</v>
      </c>
      <c r="CN24" s="27" t="e">
        <f t="shared" ca="1" si="51"/>
        <v>#NAME?</v>
      </c>
      <c r="CO24" s="27" t="e">
        <f t="shared" ca="1" si="51"/>
        <v>#NAME?</v>
      </c>
      <c r="CP24" s="27" t="e">
        <f t="shared" ca="1" si="51"/>
        <v>#NAME?</v>
      </c>
      <c r="CQ24" s="27" t="e">
        <f t="shared" ca="1" si="51"/>
        <v>#NAME?</v>
      </c>
      <c r="CR24" s="27" t="e">
        <f t="shared" ca="1" si="51"/>
        <v>#NAME?</v>
      </c>
      <c r="CS24" s="27" t="e">
        <f t="shared" ca="1" si="51"/>
        <v>#NAME?</v>
      </c>
      <c r="CT24" s="27" t="e">
        <f t="shared" ca="1" si="51"/>
        <v>#NAME?</v>
      </c>
      <c r="CU24" s="27" t="e">
        <f t="shared" ca="1" si="51"/>
        <v>#NAME?</v>
      </c>
      <c r="CV24" s="27" t="e">
        <f t="shared" ca="1" si="51"/>
        <v>#NAME?</v>
      </c>
      <c r="CW24" s="27" t="e">
        <f t="shared" ca="1" si="51"/>
        <v>#NAME?</v>
      </c>
      <c r="CX24" s="27" t="e">
        <f t="shared" ca="1" si="51"/>
        <v>#NAME?</v>
      </c>
      <c r="CY24" s="27" t="e">
        <f t="shared" ca="1" si="51"/>
        <v>#NAME?</v>
      </c>
      <c r="CZ24" s="27" t="e">
        <f t="shared" ca="1" si="51"/>
        <v>#NAME?</v>
      </c>
      <c r="DA24" s="27" t="e">
        <f t="shared" ca="1" si="51"/>
        <v>#NAME?</v>
      </c>
      <c r="DB24" s="27" t="e">
        <f t="shared" ca="1" si="51"/>
        <v>#NAME?</v>
      </c>
      <c r="DE24" s="121"/>
      <c r="DF24" s="26">
        <v>932.15700000000004</v>
      </c>
    </row>
    <row r="25" spans="1:110" s="39" customFormat="1" x14ac:dyDescent="0.2">
      <c r="A25" s="39" t="s">
        <v>484</v>
      </c>
      <c r="C25" s="39" t="e">
        <f t="shared" ref="C25" ca="1" si="52">C24/B24-1</f>
        <v>#NAME?</v>
      </c>
      <c r="D25" s="39" t="e">
        <f t="shared" ref="D25" ca="1" si="53">D24/C24-1</f>
        <v>#NAME?</v>
      </c>
      <c r="E25" s="39" t="e">
        <f t="shared" ref="E25" ca="1" si="54">E24/D24-1</f>
        <v>#NAME?</v>
      </c>
      <c r="F25" s="39" t="e">
        <f t="shared" ref="F25:R25" ca="1" si="55">F24/E24-1</f>
        <v>#NAME?</v>
      </c>
      <c r="G25" s="39" t="e">
        <f t="shared" ca="1" si="55"/>
        <v>#NAME?</v>
      </c>
      <c r="H25" s="39" t="e">
        <f t="shared" ca="1" si="55"/>
        <v>#NAME?</v>
      </c>
      <c r="I25" s="39" t="e">
        <f t="shared" ca="1" si="55"/>
        <v>#NAME?</v>
      </c>
      <c r="J25" s="39" t="e">
        <f t="shared" ca="1" si="55"/>
        <v>#NAME?</v>
      </c>
      <c r="K25" s="39" t="e">
        <f ca="1">K24/J24-1</f>
        <v>#NAME?</v>
      </c>
      <c r="L25" s="39" t="e">
        <f t="shared" ca="1" si="55"/>
        <v>#NAME?</v>
      </c>
      <c r="M25" s="39" t="e">
        <f t="shared" ca="1" si="55"/>
        <v>#NAME?</v>
      </c>
      <c r="N25" s="39" t="e">
        <f t="shared" ca="1" si="55"/>
        <v>#NAME?</v>
      </c>
      <c r="O25" s="39" t="e">
        <f t="shared" ca="1" si="55"/>
        <v>#NAME?</v>
      </c>
      <c r="P25" s="39" t="e">
        <f t="shared" ca="1" si="55"/>
        <v>#NAME?</v>
      </c>
      <c r="Q25" s="39" t="e">
        <f t="shared" ca="1" si="55"/>
        <v>#NAME?</v>
      </c>
      <c r="R25" s="39" t="e">
        <f t="shared" ca="1" si="55"/>
        <v>#NAME?</v>
      </c>
      <c r="S25" s="39" t="e">
        <f t="shared" ref="S25:AA25" ca="1" si="56">S24/R24-1</f>
        <v>#NAME?</v>
      </c>
      <c r="T25" s="39" t="e">
        <f t="shared" ca="1" si="56"/>
        <v>#NAME?</v>
      </c>
      <c r="U25" s="39" t="e">
        <f t="shared" ca="1" si="56"/>
        <v>#NAME?</v>
      </c>
      <c r="V25" s="39" t="e">
        <f t="shared" ca="1" si="56"/>
        <v>#NAME?</v>
      </c>
      <c r="W25" s="39" t="e">
        <f t="shared" ca="1" si="56"/>
        <v>#NAME?</v>
      </c>
      <c r="X25" s="39" t="e">
        <f t="shared" ca="1" si="56"/>
        <v>#NAME?</v>
      </c>
      <c r="Y25" s="39" t="e">
        <f t="shared" ca="1" si="56"/>
        <v>#NAME?</v>
      </c>
      <c r="Z25" s="39" t="e">
        <f t="shared" ca="1" si="56"/>
        <v>#NAME?</v>
      </c>
      <c r="AA25" s="39" t="e">
        <f t="shared" ca="1" si="56"/>
        <v>#NAME?</v>
      </c>
      <c r="AB25" s="40" t="e">
        <f t="shared" ref="AB25" ca="1" si="57">AB24/AA24-1</f>
        <v>#NAME?</v>
      </c>
      <c r="AC25" s="40" t="e">
        <f t="shared" ref="AC25" ca="1" si="58">AC24/AB24-1</f>
        <v>#NAME?</v>
      </c>
      <c r="AD25" s="40" t="e">
        <f t="shared" ref="AD25" ca="1" si="59">AD24/AC24-1</f>
        <v>#NAME?</v>
      </c>
      <c r="AE25" s="40" t="e">
        <f t="shared" ref="AE25" ca="1" si="60">AE24/AD24-1</f>
        <v>#NAME?</v>
      </c>
      <c r="AM25" s="39" t="e">
        <f t="shared" ref="AM25:CI25" ca="1" si="61">+IF(AI24&lt;0,1-AM24/AI24,AM24/AI24-1)</f>
        <v>#NAME?</v>
      </c>
      <c r="AN25" s="39" t="e">
        <f t="shared" ca="1" si="61"/>
        <v>#NAME?</v>
      </c>
      <c r="AO25" s="39" t="e">
        <f t="shared" ca="1" si="61"/>
        <v>#NAME?</v>
      </c>
      <c r="AP25" s="39" t="e">
        <f t="shared" ca="1" si="61"/>
        <v>#NAME?</v>
      </c>
      <c r="AQ25" s="39" t="e">
        <f t="shared" ca="1" si="61"/>
        <v>#NAME?</v>
      </c>
      <c r="AR25" s="39" t="e">
        <f t="shared" ca="1" si="61"/>
        <v>#NAME?</v>
      </c>
      <c r="AS25" s="39" t="e">
        <f t="shared" ca="1" si="61"/>
        <v>#NAME?</v>
      </c>
      <c r="AT25" s="39" t="e">
        <f t="shared" ca="1" si="61"/>
        <v>#NAME?</v>
      </c>
      <c r="AU25" s="39" t="e">
        <f t="shared" ca="1" si="61"/>
        <v>#NAME?</v>
      </c>
      <c r="AV25" s="39" t="e">
        <f t="shared" ca="1" si="61"/>
        <v>#NAME?</v>
      </c>
      <c r="AW25" s="39" t="e">
        <f t="shared" ca="1" si="61"/>
        <v>#NAME?</v>
      </c>
      <c r="AX25" s="39" t="e">
        <f t="shared" ca="1" si="61"/>
        <v>#NAME?</v>
      </c>
      <c r="AY25" s="39" t="e">
        <f t="shared" ca="1" si="61"/>
        <v>#NAME?</v>
      </c>
      <c r="AZ25" s="39" t="e">
        <f t="shared" ca="1" si="61"/>
        <v>#NAME?</v>
      </c>
      <c r="BA25" s="39" t="e">
        <f t="shared" ca="1" si="61"/>
        <v>#NAME?</v>
      </c>
      <c r="BB25" s="39" t="e">
        <f t="shared" ca="1" si="61"/>
        <v>#NAME?</v>
      </c>
      <c r="BC25" s="39" t="e">
        <f t="shared" ca="1" si="61"/>
        <v>#NAME?</v>
      </c>
      <c r="BD25" s="39" t="e">
        <f t="shared" ca="1" si="61"/>
        <v>#NAME?</v>
      </c>
      <c r="BE25" s="39" t="e">
        <f t="shared" ca="1" si="61"/>
        <v>#NAME?</v>
      </c>
      <c r="BF25" s="39" t="e">
        <f t="shared" ca="1" si="61"/>
        <v>#NAME?</v>
      </c>
      <c r="BG25" s="39" t="e">
        <f t="shared" ca="1" si="61"/>
        <v>#NAME?</v>
      </c>
      <c r="BH25" s="39" t="e">
        <f t="shared" ca="1" si="61"/>
        <v>#NAME?</v>
      </c>
      <c r="BI25" s="39" t="e">
        <f t="shared" ca="1" si="61"/>
        <v>#NAME?</v>
      </c>
      <c r="BJ25" s="39" t="e">
        <f t="shared" ca="1" si="61"/>
        <v>#NAME?</v>
      </c>
      <c r="BK25" s="39" t="e">
        <f t="shared" ca="1" si="61"/>
        <v>#NAME?</v>
      </c>
      <c r="BL25" s="39" t="e">
        <f t="shared" ca="1" si="61"/>
        <v>#NAME?</v>
      </c>
      <c r="BM25" s="39" t="e">
        <f t="shared" ca="1" si="61"/>
        <v>#NAME?</v>
      </c>
      <c r="BN25" s="39" t="e">
        <f t="shared" ca="1" si="61"/>
        <v>#NAME?</v>
      </c>
      <c r="BO25" s="39" t="e">
        <f t="shared" ca="1" si="61"/>
        <v>#NAME?</v>
      </c>
      <c r="BP25" s="39" t="e">
        <f t="shared" ca="1" si="61"/>
        <v>#NAME?</v>
      </c>
      <c r="BQ25" s="39" t="e">
        <f t="shared" ca="1" si="61"/>
        <v>#NAME?</v>
      </c>
      <c r="BR25" s="39" t="e">
        <f t="shared" ca="1" si="61"/>
        <v>#NAME?</v>
      </c>
      <c r="BS25" s="39" t="e">
        <f t="shared" ca="1" si="61"/>
        <v>#NAME?</v>
      </c>
      <c r="BT25" s="39" t="e">
        <f t="shared" ca="1" si="61"/>
        <v>#NAME?</v>
      </c>
      <c r="BU25" s="39" t="e">
        <f t="shared" ca="1" si="61"/>
        <v>#NAME?</v>
      </c>
      <c r="BV25" s="39" t="e">
        <f t="shared" ca="1" si="61"/>
        <v>#NAME?</v>
      </c>
      <c r="BW25" s="39" t="e">
        <f t="shared" ca="1" si="61"/>
        <v>#NAME?</v>
      </c>
      <c r="BX25" s="39" t="e">
        <f t="shared" ca="1" si="61"/>
        <v>#NAME?</v>
      </c>
      <c r="BY25" s="39" t="e">
        <f t="shared" ca="1" si="61"/>
        <v>#NAME?</v>
      </c>
      <c r="BZ25" s="39" t="e">
        <f t="shared" ca="1" si="61"/>
        <v>#NAME?</v>
      </c>
      <c r="CA25" s="39" t="e">
        <f t="shared" ca="1" si="61"/>
        <v>#NAME?</v>
      </c>
      <c r="CB25" s="39" t="e">
        <f t="shared" ca="1" si="61"/>
        <v>#NAME?</v>
      </c>
      <c r="CC25" s="39" t="e">
        <f t="shared" ca="1" si="61"/>
        <v>#NAME?</v>
      </c>
      <c r="CD25" s="39" t="e">
        <f t="shared" ca="1" si="61"/>
        <v>#NAME?</v>
      </c>
      <c r="CE25" s="39" t="e">
        <f t="shared" ca="1" si="61"/>
        <v>#NAME?</v>
      </c>
      <c r="CF25" s="39" t="e">
        <f t="shared" ca="1" si="61"/>
        <v>#NAME?</v>
      </c>
      <c r="CG25" s="39" t="e">
        <f t="shared" ca="1" si="61"/>
        <v>#NAME?</v>
      </c>
      <c r="CH25" s="39" t="e">
        <f t="shared" ca="1" si="61"/>
        <v>#NAME?</v>
      </c>
      <c r="CI25" s="39" t="e">
        <f t="shared" ca="1" si="61"/>
        <v>#NAME?</v>
      </c>
      <c r="CJ25" s="39" t="e">
        <f ca="1">+IF(CF24&lt;0,1-CJ24/CF24,CJ24/CF24-1)</f>
        <v>#NAME?</v>
      </c>
      <c r="CK25" s="39" t="e">
        <f ca="1">+IF(CG24&lt;0,1-CK24/CG24,CK24/CG24-1)</f>
        <v>#NAME?</v>
      </c>
      <c r="CL25" s="39" t="e">
        <f ca="1">+IF(CH24&lt;0,1-CL24/CH24,CL24/CH24-1)</f>
        <v>#NAME?</v>
      </c>
      <c r="CM25" s="40">
        <v>0.25</v>
      </c>
      <c r="CN25" s="40" t="e">
        <f t="shared" ref="CN25" ca="1" si="62">+AVERAGE(CJ25:CM25)</f>
        <v>#NAME?</v>
      </c>
      <c r="CO25" s="40" t="e">
        <f t="shared" ref="CO25" ca="1" si="63">+AVERAGE(CK25:CN25)</f>
        <v>#NAME?</v>
      </c>
      <c r="CP25" s="40" t="e">
        <f t="shared" ref="CP25" ca="1" si="64">+AVERAGE(CL25:CO25)</f>
        <v>#NAME?</v>
      </c>
      <c r="CQ25" s="40" t="e">
        <f t="shared" ref="CQ25" ca="1" si="65">+AVERAGE(CM25:CP25)</f>
        <v>#NAME?</v>
      </c>
      <c r="CR25" s="40" t="e">
        <f t="shared" ref="CR25" ca="1" si="66">+AVERAGE(CN25:CQ25)</f>
        <v>#NAME?</v>
      </c>
      <c r="CS25" s="40" t="e">
        <f t="shared" ref="CS25" ca="1" si="67">+AVERAGE(CO25:CR25)</f>
        <v>#NAME?</v>
      </c>
      <c r="CT25" s="40" t="e">
        <f t="shared" ref="CT25" ca="1" si="68">+AVERAGE(CP25:CS25)</f>
        <v>#NAME?</v>
      </c>
      <c r="CU25" s="40" t="e">
        <f t="shared" ref="CU25" ca="1" si="69">+AVERAGE(CQ25:CT25)</f>
        <v>#NAME?</v>
      </c>
      <c r="CV25" s="40" t="e">
        <f t="shared" ref="CV25" ca="1" si="70">+AVERAGE(CR25:CU25)</f>
        <v>#NAME?</v>
      </c>
      <c r="CW25" s="40" t="e">
        <f t="shared" ref="CW25" ca="1" si="71">+AVERAGE(CS25:CV25)</f>
        <v>#NAME?</v>
      </c>
      <c r="CX25" s="40" t="e">
        <f t="shared" ref="CX25" ca="1" si="72">+AVERAGE(CT25:CW25)</f>
        <v>#NAME?</v>
      </c>
      <c r="CY25" s="40" t="e">
        <f t="shared" ref="CY25" ca="1" si="73">+AVERAGE(CU25:CX25)</f>
        <v>#NAME?</v>
      </c>
      <c r="CZ25" s="40" t="e">
        <f t="shared" ref="CZ25" ca="1" si="74">+AVERAGE(CV25:CY25)</f>
        <v>#NAME?</v>
      </c>
      <c r="DA25" s="40" t="e">
        <f t="shared" ref="DA25" ca="1" si="75">+AVERAGE(CW25:CZ25)</f>
        <v>#NAME?</v>
      </c>
      <c r="DB25" s="40" t="e">
        <f t="shared" ref="DB25" ca="1" si="76">+AVERAGE(CX25:DA25)</f>
        <v>#NAME?</v>
      </c>
      <c r="DE25" s="122"/>
      <c r="DF25" s="39">
        <v>0.10223389436891184</v>
      </c>
    </row>
    <row r="26" spans="1:110" s="39" customFormat="1" x14ac:dyDescent="0.2">
      <c r="A26" s="39" t="s">
        <v>446</v>
      </c>
      <c r="AB26" s="40"/>
      <c r="AC26" s="40"/>
      <c r="AD26" s="40"/>
      <c r="AE26" s="40"/>
      <c r="AJ26" s="39" t="e">
        <f t="shared" ref="AJ26:AL26" ca="1" si="77">+IF(AI24&lt;0,1-AJ24/AI24,AJ24/AI24-1)</f>
        <v>#NAME?</v>
      </c>
      <c r="AK26" s="39" t="e">
        <f t="shared" ca="1" si="77"/>
        <v>#NAME?</v>
      </c>
      <c r="AL26" s="39" t="e">
        <f t="shared" ca="1" si="77"/>
        <v>#NAME?</v>
      </c>
      <c r="AM26" s="39" t="e">
        <f t="shared" ref="AM26:CI26" ca="1" si="78">+IF(AL24&lt;0,1-AM24/AL24,AM24/AL24-1)</f>
        <v>#NAME?</v>
      </c>
      <c r="AN26" s="39" t="e">
        <f t="shared" ca="1" si="78"/>
        <v>#NAME?</v>
      </c>
      <c r="AO26" s="39" t="e">
        <f t="shared" ca="1" si="78"/>
        <v>#NAME?</v>
      </c>
      <c r="AP26" s="39" t="e">
        <f t="shared" ca="1" si="78"/>
        <v>#NAME?</v>
      </c>
      <c r="AQ26" s="39" t="e">
        <f t="shared" ca="1" si="78"/>
        <v>#NAME?</v>
      </c>
      <c r="AR26" s="39" t="e">
        <f t="shared" ca="1" si="78"/>
        <v>#NAME?</v>
      </c>
      <c r="AS26" s="39" t="e">
        <f t="shared" ca="1" si="78"/>
        <v>#NAME?</v>
      </c>
      <c r="AT26" s="39" t="e">
        <f t="shared" ca="1" si="78"/>
        <v>#NAME?</v>
      </c>
      <c r="AU26" s="39" t="e">
        <f t="shared" ca="1" si="78"/>
        <v>#NAME?</v>
      </c>
      <c r="AV26" s="39" t="e">
        <f t="shared" ca="1" si="78"/>
        <v>#NAME?</v>
      </c>
      <c r="AW26" s="39" t="e">
        <f t="shared" ca="1" si="78"/>
        <v>#NAME?</v>
      </c>
      <c r="AX26" s="39" t="e">
        <f t="shared" ca="1" si="78"/>
        <v>#NAME?</v>
      </c>
      <c r="AY26" s="39" t="e">
        <f t="shared" ca="1" si="78"/>
        <v>#NAME?</v>
      </c>
      <c r="AZ26" s="39" t="e">
        <f t="shared" ca="1" si="78"/>
        <v>#NAME?</v>
      </c>
      <c r="BA26" s="39" t="e">
        <f t="shared" ca="1" si="78"/>
        <v>#NAME?</v>
      </c>
      <c r="BB26" s="39" t="e">
        <f t="shared" ca="1" si="78"/>
        <v>#NAME?</v>
      </c>
      <c r="BC26" s="39" t="e">
        <f t="shared" ca="1" si="78"/>
        <v>#NAME?</v>
      </c>
      <c r="BD26" s="39" t="e">
        <f t="shared" ca="1" si="78"/>
        <v>#NAME?</v>
      </c>
      <c r="BE26" s="39" t="e">
        <f t="shared" ca="1" si="78"/>
        <v>#NAME?</v>
      </c>
      <c r="BF26" s="39" t="e">
        <f t="shared" ca="1" si="78"/>
        <v>#NAME?</v>
      </c>
      <c r="BG26" s="39" t="e">
        <f t="shared" ca="1" si="78"/>
        <v>#NAME?</v>
      </c>
      <c r="BH26" s="39" t="e">
        <f t="shared" ca="1" si="78"/>
        <v>#NAME?</v>
      </c>
      <c r="BI26" s="39" t="e">
        <f t="shared" ca="1" si="78"/>
        <v>#NAME?</v>
      </c>
      <c r="BJ26" s="39" t="e">
        <f t="shared" ca="1" si="78"/>
        <v>#NAME?</v>
      </c>
      <c r="BK26" s="39" t="e">
        <f t="shared" ca="1" si="78"/>
        <v>#NAME?</v>
      </c>
      <c r="BL26" s="39" t="e">
        <f t="shared" ca="1" si="78"/>
        <v>#NAME?</v>
      </c>
      <c r="BM26" s="39" t="e">
        <f t="shared" ca="1" si="78"/>
        <v>#NAME?</v>
      </c>
      <c r="BN26" s="39" t="e">
        <f t="shared" ca="1" si="78"/>
        <v>#NAME?</v>
      </c>
      <c r="BO26" s="39" t="e">
        <f t="shared" ca="1" si="78"/>
        <v>#NAME?</v>
      </c>
      <c r="BP26" s="39" t="e">
        <f t="shared" ca="1" si="78"/>
        <v>#NAME?</v>
      </c>
      <c r="BQ26" s="39" t="e">
        <f t="shared" ca="1" si="78"/>
        <v>#NAME?</v>
      </c>
      <c r="BR26" s="39" t="e">
        <f t="shared" ca="1" si="78"/>
        <v>#NAME?</v>
      </c>
      <c r="BS26" s="39" t="e">
        <f t="shared" ca="1" si="78"/>
        <v>#NAME?</v>
      </c>
      <c r="BT26" s="39" t="e">
        <f t="shared" ca="1" si="78"/>
        <v>#NAME?</v>
      </c>
      <c r="BU26" s="39" t="e">
        <f t="shared" ca="1" si="78"/>
        <v>#NAME?</v>
      </c>
      <c r="BV26" s="39" t="e">
        <f t="shared" ca="1" si="78"/>
        <v>#NAME?</v>
      </c>
      <c r="BW26" s="39" t="e">
        <f t="shared" ca="1" si="78"/>
        <v>#NAME?</v>
      </c>
      <c r="BX26" s="39" t="e">
        <f t="shared" ca="1" si="78"/>
        <v>#NAME?</v>
      </c>
      <c r="BY26" s="39" t="e">
        <f t="shared" ca="1" si="78"/>
        <v>#NAME?</v>
      </c>
      <c r="BZ26" s="39" t="e">
        <f t="shared" ca="1" si="78"/>
        <v>#NAME?</v>
      </c>
      <c r="CA26" s="39" t="e">
        <f t="shared" ca="1" si="78"/>
        <v>#NAME?</v>
      </c>
      <c r="CB26" s="39" t="e">
        <f t="shared" ca="1" si="78"/>
        <v>#NAME?</v>
      </c>
      <c r="CC26" s="39" t="e">
        <f t="shared" ca="1" si="78"/>
        <v>#NAME?</v>
      </c>
      <c r="CD26" s="39" t="e">
        <f t="shared" ca="1" si="78"/>
        <v>#NAME?</v>
      </c>
      <c r="CE26" s="39" t="e">
        <f t="shared" ca="1" si="78"/>
        <v>#NAME?</v>
      </c>
      <c r="CF26" s="39" t="e">
        <f t="shared" ca="1" si="78"/>
        <v>#NAME?</v>
      </c>
      <c r="CG26" s="39" t="e">
        <f t="shared" ca="1" si="78"/>
        <v>#NAME?</v>
      </c>
      <c r="CH26" s="39" t="e">
        <f t="shared" ca="1" si="78"/>
        <v>#NAME?</v>
      </c>
      <c r="CI26" s="39" t="e">
        <f t="shared" ca="1" si="78"/>
        <v>#NAME?</v>
      </c>
      <c r="CJ26" s="39" t="e">
        <f ca="1">+IF(CI24&lt;0,1-CJ24/CI24,CJ24/CI24-1)</f>
        <v>#NAME?</v>
      </c>
      <c r="CK26" s="39" t="e">
        <f ca="1">+IF(CJ24&lt;0,1-CK24/CJ24,CK24/CJ24-1)</f>
        <v>#NAME?</v>
      </c>
      <c r="CL26" s="39" t="e">
        <f ca="1">+IF(CK24&lt;0,1-CL24/CK24,CL24/CK24-1)</f>
        <v>#NAME?</v>
      </c>
      <c r="CM26" s="40" t="e">
        <f t="shared" ref="CM26" ca="1" si="79">+CM24/CL24-1</f>
        <v>#NAME?</v>
      </c>
      <c r="CN26" s="40" t="e">
        <f t="shared" ref="CN26" ca="1" si="80">+CN24/CM24-1</f>
        <v>#NAME?</v>
      </c>
      <c r="CO26" s="40" t="e">
        <f t="shared" ref="CO26" ca="1" si="81">+CO24/CN24-1</f>
        <v>#NAME?</v>
      </c>
      <c r="CP26" s="40" t="e">
        <f t="shared" ref="CP26" ca="1" si="82">+CP24/CO24-1</f>
        <v>#NAME?</v>
      </c>
      <c r="CQ26" s="40" t="e">
        <f t="shared" ref="CQ26" ca="1" si="83">+CQ24/CP24-1</f>
        <v>#NAME?</v>
      </c>
      <c r="CR26" s="40" t="e">
        <f t="shared" ref="CR26" ca="1" si="84">+CR24/CQ24-1</f>
        <v>#NAME?</v>
      </c>
      <c r="CS26" s="40" t="e">
        <f t="shared" ref="CS26" ca="1" si="85">+CS24/CR24-1</f>
        <v>#NAME?</v>
      </c>
      <c r="CT26" s="40" t="e">
        <f t="shared" ref="CT26" ca="1" si="86">+CT24/CS24-1</f>
        <v>#NAME?</v>
      </c>
      <c r="CU26" s="40" t="e">
        <f t="shared" ref="CU26" ca="1" si="87">+CU24/CT24-1</f>
        <v>#NAME?</v>
      </c>
      <c r="CV26" s="40" t="e">
        <f t="shared" ref="CV26" ca="1" si="88">+CV24/CU24-1</f>
        <v>#NAME?</v>
      </c>
      <c r="CW26" s="40" t="e">
        <f t="shared" ref="CW26" ca="1" si="89">+CW24/CV24-1</f>
        <v>#NAME?</v>
      </c>
      <c r="CX26" s="40" t="e">
        <f t="shared" ref="CX26" ca="1" si="90">+CX24/CW24-1</f>
        <v>#NAME?</v>
      </c>
      <c r="CY26" s="40" t="e">
        <f t="shared" ref="CY26" ca="1" si="91">+CY24/CX24-1</f>
        <v>#NAME?</v>
      </c>
      <c r="CZ26" s="40" t="e">
        <f t="shared" ref="CZ26" ca="1" si="92">+CZ24/CY24-1</f>
        <v>#NAME?</v>
      </c>
      <c r="DA26" s="40" t="e">
        <f t="shared" ref="DA26" ca="1" si="93">+DA24/CZ24-1</f>
        <v>#NAME?</v>
      </c>
      <c r="DB26" s="40" t="e">
        <f t="shared" ref="DB26" ca="1" si="94">+DB24/DA24-1</f>
        <v>#NAME?</v>
      </c>
      <c r="DE26" s="122"/>
    </row>
    <row r="27" spans="1:110" s="23" customFormat="1" outlineLevel="1" x14ac:dyDescent="0.2">
      <c r="A27" s="23" t="s">
        <v>2</v>
      </c>
      <c r="B27" s="23" t="e">
        <f ca="1">'Annual Raw'!C11</f>
        <v>#NAME?</v>
      </c>
      <c r="C27" s="23" t="e">
        <f ca="1">'Annual Raw'!D11</f>
        <v>#NAME?</v>
      </c>
      <c r="D27" s="23" t="e">
        <f ca="1">'Annual Raw'!E11</f>
        <v>#NAME?</v>
      </c>
      <c r="E27" s="23" t="e">
        <f ca="1">'Annual Raw'!F11</f>
        <v>#NAME?</v>
      </c>
      <c r="F27" s="23" t="e">
        <f ca="1">'Annual Raw'!G11</f>
        <v>#NAME?</v>
      </c>
      <c r="G27" s="23" t="e">
        <f ca="1">'Annual Raw'!H11</f>
        <v>#NAME?</v>
      </c>
      <c r="H27" s="23" t="e">
        <f ca="1">'Annual Raw'!I11</f>
        <v>#NAME?</v>
      </c>
      <c r="I27" s="23" t="e">
        <f ca="1">'Annual Raw'!J11</f>
        <v>#NAME?</v>
      </c>
      <c r="J27" s="23" t="e">
        <f ca="1">'Annual Raw'!K11</f>
        <v>#NAME?</v>
      </c>
      <c r="K27" s="23" t="e">
        <f ca="1">'Annual Raw'!L11</f>
        <v>#NAME?</v>
      </c>
      <c r="L27" s="23" t="e">
        <f ca="1">'Annual Raw'!M11</f>
        <v>#NAME?</v>
      </c>
      <c r="M27" s="23" t="e">
        <f ca="1">'Annual Raw'!N11</f>
        <v>#NAME?</v>
      </c>
      <c r="N27" s="23" t="e">
        <f ca="1">'Annual Raw'!O11</f>
        <v>#NAME?</v>
      </c>
      <c r="O27" s="23" t="e">
        <f ca="1">'Annual Raw'!P11</f>
        <v>#NAME?</v>
      </c>
      <c r="P27" s="23" t="e">
        <f ca="1">'Annual Raw'!Q11</f>
        <v>#NAME?</v>
      </c>
      <c r="Q27" s="23" t="e">
        <f ca="1">'Annual Raw'!R11</f>
        <v>#NAME?</v>
      </c>
      <c r="R27" s="23" t="e">
        <f ca="1">'Annual Raw'!S11</f>
        <v>#NAME?</v>
      </c>
      <c r="S27" s="23" t="e">
        <f ca="1">'Annual Raw'!T11</f>
        <v>#NAME?</v>
      </c>
      <c r="T27" s="23" t="e">
        <f ca="1">'Annual Raw'!U11</f>
        <v>#NAME?</v>
      </c>
      <c r="U27" s="23" t="e">
        <f ca="1">'Annual Raw'!V11</f>
        <v>#NAME?</v>
      </c>
      <c r="V27" s="23" t="e">
        <f ca="1">'Annual Raw'!W11</f>
        <v>#NAME?</v>
      </c>
      <c r="W27" s="23" t="e">
        <f ca="1">'Annual Raw'!X11</f>
        <v>#NAME?</v>
      </c>
      <c r="X27" s="23" t="e">
        <f ca="1">'Annual Raw'!Y11</f>
        <v>#NAME?</v>
      </c>
      <c r="Y27" s="23" t="e">
        <f ca="1">'Annual Raw'!Z11</f>
        <v>#NAME?</v>
      </c>
      <c r="Z27" s="23" t="e">
        <f ca="1">'Annual Raw'!AA11</f>
        <v>#NAME?</v>
      </c>
      <c r="AA27" s="23" t="e">
        <f ca="1">'Annual Raw'!AB11</f>
        <v>#NAME?</v>
      </c>
      <c r="AB27" s="76">
        <f>+SUM(CM27:CP27)</f>
        <v>0</v>
      </c>
      <c r="AC27" s="76">
        <f>+SUM(CQ27:CT27)</f>
        <v>0</v>
      </c>
      <c r="AD27" s="76">
        <f>+SUM(CU27:CX27)</f>
        <v>0</v>
      </c>
      <c r="AE27" s="76">
        <f>+SUM(CY27:DB27)</f>
        <v>0</v>
      </c>
      <c r="AI27" s="23" t="e">
        <f ca="1">'QTR Raw'!C10</f>
        <v>#NAME?</v>
      </c>
      <c r="AJ27" s="23" t="e">
        <f ca="1">'QTR Raw'!D10</f>
        <v>#NAME?</v>
      </c>
      <c r="AK27" s="23" t="e">
        <f ca="1">'QTR Raw'!E10</f>
        <v>#NAME?</v>
      </c>
      <c r="AL27" s="23" t="e">
        <f ca="1">'QTR Raw'!F10</f>
        <v>#NAME?</v>
      </c>
      <c r="AM27" s="23" t="e">
        <f ca="1">'QTR Raw'!G10</f>
        <v>#NAME?</v>
      </c>
      <c r="AN27" s="23" t="e">
        <f ca="1">'QTR Raw'!H10</f>
        <v>#NAME?</v>
      </c>
      <c r="AO27" s="23" t="e">
        <f ca="1">'QTR Raw'!I10</f>
        <v>#NAME?</v>
      </c>
      <c r="AP27" s="23" t="e">
        <f ca="1">'QTR Raw'!J10</f>
        <v>#NAME?</v>
      </c>
      <c r="AQ27" s="23" t="e">
        <f ca="1">'QTR Raw'!K10</f>
        <v>#NAME?</v>
      </c>
      <c r="AR27" s="23" t="e">
        <f ca="1">'QTR Raw'!L10</f>
        <v>#NAME?</v>
      </c>
      <c r="AS27" s="23" t="e">
        <f ca="1">'QTR Raw'!M10</f>
        <v>#NAME?</v>
      </c>
      <c r="AT27" s="23" t="e">
        <f ca="1">'QTR Raw'!N10</f>
        <v>#NAME?</v>
      </c>
      <c r="AU27" s="23" t="e">
        <f ca="1">'QTR Raw'!O10</f>
        <v>#NAME?</v>
      </c>
      <c r="AV27" s="23" t="e">
        <f ca="1">'QTR Raw'!P10</f>
        <v>#NAME?</v>
      </c>
      <c r="AW27" s="23" t="e">
        <f ca="1">'QTR Raw'!Q10</f>
        <v>#NAME?</v>
      </c>
      <c r="AX27" s="23" t="e">
        <f ca="1">'QTR Raw'!R10</f>
        <v>#NAME?</v>
      </c>
      <c r="AY27" s="23" t="e">
        <f ca="1">'QTR Raw'!S10</f>
        <v>#NAME?</v>
      </c>
      <c r="AZ27" s="23" t="e">
        <f ca="1">'QTR Raw'!T10</f>
        <v>#NAME?</v>
      </c>
      <c r="BA27" s="23" t="e">
        <f ca="1">'QTR Raw'!U10</f>
        <v>#NAME?</v>
      </c>
      <c r="BB27" s="23" t="e">
        <f ca="1">'QTR Raw'!V10</f>
        <v>#NAME?</v>
      </c>
      <c r="BC27" s="23" t="e">
        <f ca="1">'QTR Raw'!W10</f>
        <v>#NAME?</v>
      </c>
      <c r="BD27" s="23" t="e">
        <f ca="1">'QTR Raw'!X10</f>
        <v>#NAME?</v>
      </c>
      <c r="BE27" s="23" t="e">
        <f ca="1">'QTR Raw'!Y10</f>
        <v>#NAME?</v>
      </c>
      <c r="BF27" s="23" t="e">
        <f ca="1">'QTR Raw'!Z10</f>
        <v>#NAME?</v>
      </c>
      <c r="BG27" s="23" t="e">
        <f ca="1">'QTR Raw'!AA10</f>
        <v>#NAME?</v>
      </c>
      <c r="BH27" s="23" t="e">
        <f ca="1">'QTR Raw'!AB10</f>
        <v>#NAME?</v>
      </c>
      <c r="BI27" s="23" t="e">
        <f ca="1">'QTR Raw'!AC10</f>
        <v>#NAME?</v>
      </c>
      <c r="BJ27" s="23" t="e">
        <f ca="1">'QTR Raw'!AD10</f>
        <v>#NAME?</v>
      </c>
      <c r="BK27" s="23" t="e">
        <f ca="1">'QTR Raw'!AE10</f>
        <v>#NAME?</v>
      </c>
      <c r="BL27" s="23" t="e">
        <f ca="1">'QTR Raw'!AF10</f>
        <v>#NAME?</v>
      </c>
      <c r="BM27" s="23" t="e">
        <f ca="1">'QTR Raw'!AG10</f>
        <v>#NAME?</v>
      </c>
      <c r="BN27" s="23" t="e">
        <f ca="1">'QTR Raw'!AH10</f>
        <v>#NAME?</v>
      </c>
      <c r="BO27" s="23" t="e">
        <f ca="1">'QTR Raw'!AI10</f>
        <v>#NAME?</v>
      </c>
      <c r="BP27" s="23" t="e">
        <f ca="1">'QTR Raw'!AJ10</f>
        <v>#NAME?</v>
      </c>
      <c r="BQ27" s="23" t="e">
        <f ca="1">'QTR Raw'!AK10</f>
        <v>#NAME?</v>
      </c>
      <c r="BR27" s="23" t="e">
        <f ca="1">'QTR Raw'!AL10</f>
        <v>#NAME?</v>
      </c>
      <c r="BS27" s="23" t="e">
        <f ca="1">'QTR Raw'!AM10</f>
        <v>#NAME?</v>
      </c>
      <c r="BT27" s="23" t="e">
        <f ca="1">'QTR Raw'!AN10</f>
        <v>#NAME?</v>
      </c>
      <c r="BU27" s="23" t="e">
        <f ca="1">'QTR Raw'!AO10</f>
        <v>#NAME?</v>
      </c>
      <c r="BV27" s="23" t="e">
        <f ca="1">'QTR Raw'!AP10</f>
        <v>#NAME?</v>
      </c>
      <c r="BW27" s="23" t="e">
        <f ca="1">'QTR Raw'!AQ10</f>
        <v>#NAME?</v>
      </c>
      <c r="BX27" s="23" t="e">
        <f ca="1">'QTR Raw'!AR10</f>
        <v>#NAME?</v>
      </c>
      <c r="BY27" s="23" t="e">
        <f ca="1">'QTR Raw'!AS10</f>
        <v>#NAME?</v>
      </c>
      <c r="BZ27" s="23" t="e">
        <f ca="1">'QTR Raw'!AT10</f>
        <v>#NAME?</v>
      </c>
      <c r="CA27" s="23" t="e">
        <f ca="1">'QTR Raw'!AU10</f>
        <v>#NAME?</v>
      </c>
      <c r="CB27" s="23" t="e">
        <f ca="1">'QTR Raw'!AV10</f>
        <v>#NAME?</v>
      </c>
      <c r="CC27" s="23" t="e">
        <f ca="1">'QTR Raw'!AW10</f>
        <v>#NAME?</v>
      </c>
      <c r="CD27" s="23" t="e">
        <f ca="1">'QTR Raw'!AX10</f>
        <v>#NAME?</v>
      </c>
      <c r="CE27" s="23" t="e">
        <f ca="1">'QTR Raw'!AY10</f>
        <v>#NAME?</v>
      </c>
      <c r="CF27" s="23" t="e">
        <f ca="1">'QTR Raw'!AZ10</f>
        <v>#NAME?</v>
      </c>
      <c r="CG27" s="23" t="e">
        <f ca="1">'QTR Raw'!BA10</f>
        <v>#NAME?</v>
      </c>
      <c r="CH27" s="23" t="e">
        <f ca="1">'QTR Raw'!BB10</f>
        <v>#NAME?</v>
      </c>
      <c r="CI27" s="23" t="e">
        <f ca="1">'QTR Raw'!BC10</f>
        <v>#NAME?</v>
      </c>
      <c r="CJ27" s="23" t="e">
        <f ca="1">'QTR Raw'!BD10</f>
        <v>#NAME?</v>
      </c>
      <c r="CK27" s="23" t="e">
        <f ca="1">'QTR Raw'!BE10</f>
        <v>#NAME?</v>
      </c>
      <c r="CL27" s="23" t="e">
        <f ca="1">'QTR Raw'!BF10</f>
        <v>#NAME?</v>
      </c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E27" s="123"/>
      <c r="DF27" s="23">
        <v>0</v>
      </c>
    </row>
    <row r="28" spans="1:110" s="23" customFormat="1" outlineLevel="1" x14ac:dyDescent="0.2">
      <c r="A28" s="23" t="s">
        <v>3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76">
        <f>+SUM(CM28:CP28)</f>
        <v>0</v>
      </c>
      <c r="AC28" s="76">
        <f>+SUM(CQ28:CT28)</f>
        <v>0</v>
      </c>
      <c r="AD28" s="76">
        <f>+SUM(CU28:CX28)</f>
        <v>0</v>
      </c>
      <c r="AE28" s="76">
        <f>+SUM(CY28:DB28)</f>
        <v>0</v>
      </c>
      <c r="AI28" s="23" t="e">
        <f ca="1">'QTR Raw'!C12</f>
        <v>#NAME?</v>
      </c>
      <c r="AJ28" s="23" t="e">
        <f ca="1">'QTR Raw'!D12</f>
        <v>#NAME?</v>
      </c>
      <c r="AK28" s="23" t="e">
        <f ca="1">'QTR Raw'!E12</f>
        <v>#NAME?</v>
      </c>
      <c r="AL28" s="23" t="e">
        <f ca="1">'QTR Raw'!F12</f>
        <v>#NAME?</v>
      </c>
      <c r="AM28" s="23" t="e">
        <f ca="1">'QTR Raw'!G12</f>
        <v>#NAME?</v>
      </c>
      <c r="AN28" s="23" t="e">
        <f ca="1">'QTR Raw'!H12</f>
        <v>#NAME?</v>
      </c>
      <c r="AO28" s="23" t="e">
        <f ca="1">'QTR Raw'!I12</f>
        <v>#NAME?</v>
      </c>
      <c r="AP28" s="23" t="e">
        <f ca="1">'QTR Raw'!J12</f>
        <v>#NAME?</v>
      </c>
      <c r="AQ28" s="23" t="e">
        <f ca="1">'QTR Raw'!K12</f>
        <v>#NAME?</v>
      </c>
      <c r="AR28" s="23" t="e">
        <f ca="1">'QTR Raw'!L12</f>
        <v>#NAME?</v>
      </c>
      <c r="AS28" s="23" t="e">
        <f ca="1">'QTR Raw'!M12</f>
        <v>#NAME?</v>
      </c>
      <c r="AT28" s="23" t="e">
        <f ca="1">'QTR Raw'!N12</f>
        <v>#NAME?</v>
      </c>
      <c r="AU28" s="23" t="e">
        <f ca="1">'QTR Raw'!O12</f>
        <v>#NAME?</v>
      </c>
      <c r="AV28" s="23" t="e">
        <f ca="1">'QTR Raw'!P12</f>
        <v>#NAME?</v>
      </c>
      <c r="AW28" s="23" t="e">
        <f ca="1">'QTR Raw'!Q12</f>
        <v>#NAME?</v>
      </c>
      <c r="AX28" s="23" t="e">
        <f ca="1">'QTR Raw'!R12</f>
        <v>#NAME?</v>
      </c>
      <c r="AY28" s="23" t="e">
        <f ca="1">'QTR Raw'!S12</f>
        <v>#NAME?</v>
      </c>
      <c r="AZ28" s="23" t="e">
        <f ca="1">'QTR Raw'!T12</f>
        <v>#NAME?</v>
      </c>
      <c r="BA28" s="23" t="e">
        <f ca="1">'QTR Raw'!U12</f>
        <v>#NAME?</v>
      </c>
      <c r="BB28" s="23" t="e">
        <f ca="1">'QTR Raw'!V12</f>
        <v>#NAME?</v>
      </c>
      <c r="BC28" s="23" t="e">
        <f ca="1">'QTR Raw'!W12</f>
        <v>#NAME?</v>
      </c>
      <c r="BD28" s="23" t="e">
        <f ca="1">'QTR Raw'!X12</f>
        <v>#NAME?</v>
      </c>
      <c r="BE28" s="23" t="e">
        <f ca="1">'QTR Raw'!Y12</f>
        <v>#NAME?</v>
      </c>
      <c r="BF28" s="23" t="e">
        <f ca="1">'QTR Raw'!Z12</f>
        <v>#NAME?</v>
      </c>
      <c r="BG28" s="23" t="e">
        <f ca="1">'QTR Raw'!AA12</f>
        <v>#NAME?</v>
      </c>
      <c r="BH28" s="23" t="e">
        <f ca="1">'QTR Raw'!AB12</f>
        <v>#NAME?</v>
      </c>
      <c r="BI28" s="23" t="e">
        <f ca="1">'QTR Raw'!AC12</f>
        <v>#NAME?</v>
      </c>
      <c r="BJ28" s="23" t="e">
        <f ca="1">'QTR Raw'!AD12</f>
        <v>#NAME?</v>
      </c>
      <c r="BK28" s="23" t="e">
        <f ca="1">'QTR Raw'!AE12</f>
        <v>#NAME?</v>
      </c>
      <c r="BL28" s="23" t="e">
        <f ca="1">'QTR Raw'!AF12</f>
        <v>#NAME?</v>
      </c>
      <c r="BM28" s="23" t="e">
        <f ca="1">'QTR Raw'!AG12</f>
        <v>#NAME?</v>
      </c>
      <c r="BN28" s="23" t="e">
        <f ca="1">'QTR Raw'!AH12</f>
        <v>#NAME?</v>
      </c>
      <c r="BO28" s="23" t="e">
        <f ca="1">'QTR Raw'!AI12</f>
        <v>#NAME?</v>
      </c>
      <c r="BP28" s="23" t="e">
        <f ca="1">'QTR Raw'!AJ12</f>
        <v>#NAME?</v>
      </c>
      <c r="BQ28" s="23" t="e">
        <f ca="1">'QTR Raw'!AK12</f>
        <v>#NAME?</v>
      </c>
      <c r="BR28" s="23" t="e">
        <f ca="1">'QTR Raw'!AL12</f>
        <v>#NAME?</v>
      </c>
      <c r="BS28" s="23" t="e">
        <f ca="1">'QTR Raw'!AM12</f>
        <v>#NAME?</v>
      </c>
      <c r="BT28" s="23" t="e">
        <f ca="1">'QTR Raw'!AN12</f>
        <v>#NAME?</v>
      </c>
      <c r="BU28" s="23" t="e">
        <f ca="1">'QTR Raw'!AO12</f>
        <v>#NAME?</v>
      </c>
      <c r="BV28" s="23" t="e">
        <f ca="1">'QTR Raw'!AP12</f>
        <v>#NAME?</v>
      </c>
      <c r="BW28" s="23" t="e">
        <f ca="1">'QTR Raw'!AQ12</f>
        <v>#NAME?</v>
      </c>
      <c r="BX28" s="23" t="e">
        <f ca="1">'QTR Raw'!AR12</f>
        <v>#NAME?</v>
      </c>
      <c r="BY28" s="23" t="e">
        <f ca="1">'QTR Raw'!AS12</f>
        <v>#NAME?</v>
      </c>
      <c r="BZ28" s="23" t="e">
        <f ca="1">'QTR Raw'!AT12</f>
        <v>#NAME?</v>
      </c>
      <c r="CA28" s="23" t="e">
        <f ca="1">'QTR Raw'!AU12</f>
        <v>#NAME?</v>
      </c>
      <c r="CB28" s="23" t="e">
        <f ca="1">'QTR Raw'!AV12</f>
        <v>#NAME?</v>
      </c>
      <c r="CC28" s="23" t="e">
        <f ca="1">'QTR Raw'!AW12</f>
        <v>#NAME?</v>
      </c>
      <c r="CD28" s="23" t="e">
        <f ca="1">'QTR Raw'!AX12</f>
        <v>#NAME?</v>
      </c>
      <c r="CE28" s="23" t="e">
        <f ca="1">'QTR Raw'!AY12</f>
        <v>#NAME?</v>
      </c>
      <c r="CF28" s="23" t="e">
        <f ca="1">'QTR Raw'!AZ12</f>
        <v>#NAME?</v>
      </c>
      <c r="CG28" s="23" t="e">
        <f ca="1">'QTR Raw'!BA12</f>
        <v>#NAME?</v>
      </c>
      <c r="CH28" s="23" t="e">
        <f ca="1">'QTR Raw'!BB12</f>
        <v>#NAME?</v>
      </c>
      <c r="CI28" s="23" t="e">
        <f ca="1">'QTR Raw'!BC12</f>
        <v>#NAME?</v>
      </c>
      <c r="CJ28" s="23" t="e">
        <f ca="1">'QTR Raw'!BD12</f>
        <v>#NAME?</v>
      </c>
      <c r="CK28" s="23" t="e">
        <f ca="1">'QTR Raw'!BE12</f>
        <v>#NAME?</v>
      </c>
      <c r="CL28" s="23" t="e">
        <f ca="1">'QTR Raw'!BF12</f>
        <v>#NAME?</v>
      </c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E28" s="123"/>
      <c r="DF28" s="23">
        <v>0</v>
      </c>
    </row>
    <row r="29" spans="1:110" s="23" customFormat="1" outlineLevel="1" x14ac:dyDescent="0.2">
      <c r="A29" s="23" t="s">
        <v>4</v>
      </c>
      <c r="B29" s="23" t="e">
        <f ca="1">'Annual Raw'!C12</f>
        <v>#NAME?</v>
      </c>
      <c r="C29" s="23" t="e">
        <f ca="1">'Annual Raw'!D12</f>
        <v>#NAME?</v>
      </c>
      <c r="D29" s="23" t="e">
        <f ca="1">'Annual Raw'!E12</f>
        <v>#NAME?</v>
      </c>
      <c r="E29" s="23" t="e">
        <f ca="1">'Annual Raw'!F12</f>
        <v>#NAME?</v>
      </c>
      <c r="F29" s="23" t="e">
        <f ca="1">'Annual Raw'!G12</f>
        <v>#NAME?</v>
      </c>
      <c r="G29" s="23" t="e">
        <f ca="1">'Annual Raw'!H12</f>
        <v>#NAME?</v>
      </c>
      <c r="H29" s="23" t="e">
        <f ca="1">'Annual Raw'!I12</f>
        <v>#NAME?</v>
      </c>
      <c r="I29" s="23" t="e">
        <f ca="1">'Annual Raw'!J12</f>
        <v>#NAME?</v>
      </c>
      <c r="J29" s="23" t="e">
        <f ca="1">'Annual Raw'!K12</f>
        <v>#NAME?</v>
      </c>
      <c r="K29" s="23" t="e">
        <f ca="1">'Annual Raw'!L12</f>
        <v>#NAME?</v>
      </c>
      <c r="L29" s="23" t="e">
        <f ca="1">'Annual Raw'!M12</f>
        <v>#NAME?</v>
      </c>
      <c r="M29" s="23" t="e">
        <f ca="1">'Annual Raw'!N12</f>
        <v>#NAME?</v>
      </c>
      <c r="N29" s="23" t="e">
        <f ca="1">'Annual Raw'!O12</f>
        <v>#NAME?</v>
      </c>
      <c r="O29" s="23" t="e">
        <f ca="1">'Annual Raw'!P12</f>
        <v>#NAME?</v>
      </c>
      <c r="P29" s="23" t="e">
        <f ca="1">'Annual Raw'!Q12</f>
        <v>#NAME?</v>
      </c>
      <c r="Q29" s="23" t="e">
        <f ca="1">'Annual Raw'!R12</f>
        <v>#NAME?</v>
      </c>
      <c r="R29" s="23" t="e">
        <f ca="1">'Annual Raw'!S12</f>
        <v>#NAME?</v>
      </c>
      <c r="S29" s="23" t="e">
        <f ca="1">'Annual Raw'!T12</f>
        <v>#NAME?</v>
      </c>
      <c r="T29" s="23" t="e">
        <f ca="1">'Annual Raw'!U12</f>
        <v>#NAME?</v>
      </c>
      <c r="U29" s="23" t="e">
        <f ca="1">'Annual Raw'!V12</f>
        <v>#NAME?</v>
      </c>
      <c r="V29" s="23" t="e">
        <f ca="1">'Annual Raw'!W12</f>
        <v>#NAME?</v>
      </c>
      <c r="W29" s="23" t="e">
        <f ca="1">'Annual Raw'!X12</f>
        <v>#NAME?</v>
      </c>
      <c r="X29" s="23" t="e">
        <f ca="1">'Annual Raw'!Y12</f>
        <v>#NAME?</v>
      </c>
      <c r="Y29" s="23" t="e">
        <f ca="1">'Annual Raw'!Z12</f>
        <v>#NAME?</v>
      </c>
      <c r="Z29" s="23" t="e">
        <f ca="1">'Annual Raw'!AA12</f>
        <v>#NAME?</v>
      </c>
      <c r="AA29" s="23" t="e">
        <f ca="1">'Annual Raw'!AB12</f>
        <v>#NAME?</v>
      </c>
      <c r="AB29" s="24" t="e">
        <f ca="1">+SUM(CM29:CP29)</f>
        <v>#NAME?</v>
      </c>
      <c r="AC29" s="24" t="e">
        <f ca="1">+SUM(CQ29:CT29)</f>
        <v>#NAME?</v>
      </c>
      <c r="AD29" s="24" t="e">
        <f ca="1">+SUM(CU29:CX29)</f>
        <v>#NAME?</v>
      </c>
      <c r="AE29" s="24" t="e">
        <f ca="1">+SUM(CY29:DB29)</f>
        <v>#NAME?</v>
      </c>
      <c r="AI29" s="23" t="e">
        <f ca="1">'QTR Raw'!C11</f>
        <v>#NAME?</v>
      </c>
      <c r="AJ29" s="23" t="e">
        <f ca="1">'QTR Raw'!D11</f>
        <v>#NAME?</v>
      </c>
      <c r="AK29" s="23" t="e">
        <f ca="1">'QTR Raw'!E11</f>
        <v>#NAME?</v>
      </c>
      <c r="AL29" s="23" t="e">
        <f ca="1">'QTR Raw'!F11</f>
        <v>#NAME?</v>
      </c>
      <c r="AM29" s="23" t="e">
        <f ca="1">'QTR Raw'!G11</f>
        <v>#NAME?</v>
      </c>
      <c r="AN29" s="23" t="e">
        <f ca="1">'QTR Raw'!H11</f>
        <v>#NAME?</v>
      </c>
      <c r="AO29" s="23" t="e">
        <f ca="1">'QTR Raw'!I11</f>
        <v>#NAME?</v>
      </c>
      <c r="AP29" s="23" t="e">
        <f ca="1">'QTR Raw'!J11</f>
        <v>#NAME?</v>
      </c>
      <c r="AQ29" s="23" t="e">
        <f ca="1">'QTR Raw'!K11</f>
        <v>#NAME?</v>
      </c>
      <c r="AR29" s="23" t="e">
        <f ca="1">'QTR Raw'!L11</f>
        <v>#NAME?</v>
      </c>
      <c r="AS29" s="23" t="e">
        <f ca="1">'QTR Raw'!M11</f>
        <v>#NAME?</v>
      </c>
      <c r="AT29" s="23" t="e">
        <f ca="1">'QTR Raw'!N11</f>
        <v>#NAME?</v>
      </c>
      <c r="AU29" s="23" t="e">
        <f ca="1">'QTR Raw'!O11</f>
        <v>#NAME?</v>
      </c>
      <c r="AV29" s="23" t="e">
        <f ca="1">'QTR Raw'!P11</f>
        <v>#NAME?</v>
      </c>
      <c r="AW29" s="23" t="e">
        <f ca="1">'QTR Raw'!Q11</f>
        <v>#NAME?</v>
      </c>
      <c r="AX29" s="23" t="e">
        <f ca="1">'QTR Raw'!R11</f>
        <v>#NAME?</v>
      </c>
      <c r="AY29" s="23" t="e">
        <f ca="1">'QTR Raw'!S11</f>
        <v>#NAME?</v>
      </c>
      <c r="AZ29" s="23" t="e">
        <f ca="1">'QTR Raw'!T11</f>
        <v>#NAME?</v>
      </c>
      <c r="BA29" s="23" t="e">
        <f ca="1">'QTR Raw'!U11</f>
        <v>#NAME?</v>
      </c>
      <c r="BB29" s="23" t="e">
        <f ca="1">'QTR Raw'!V11</f>
        <v>#NAME?</v>
      </c>
      <c r="BC29" s="23" t="e">
        <f ca="1">'QTR Raw'!W11</f>
        <v>#NAME?</v>
      </c>
      <c r="BD29" s="23" t="e">
        <f ca="1">'QTR Raw'!X11</f>
        <v>#NAME?</v>
      </c>
      <c r="BE29" s="23" t="e">
        <f ca="1">'QTR Raw'!Y11</f>
        <v>#NAME?</v>
      </c>
      <c r="BF29" s="23" t="e">
        <f ca="1">'QTR Raw'!Z11</f>
        <v>#NAME?</v>
      </c>
      <c r="BG29" s="23" t="e">
        <f ca="1">'QTR Raw'!AA11</f>
        <v>#NAME?</v>
      </c>
      <c r="BH29" s="23" t="e">
        <f ca="1">'QTR Raw'!AB11</f>
        <v>#NAME?</v>
      </c>
      <c r="BI29" s="23" t="e">
        <f ca="1">'QTR Raw'!AC11</f>
        <v>#NAME?</v>
      </c>
      <c r="BJ29" s="23" t="e">
        <f ca="1">'QTR Raw'!AD11</f>
        <v>#NAME?</v>
      </c>
      <c r="BK29" s="23" t="e">
        <f ca="1">'QTR Raw'!AE11</f>
        <v>#NAME?</v>
      </c>
      <c r="BL29" s="23" t="e">
        <f ca="1">'QTR Raw'!AF11</f>
        <v>#NAME?</v>
      </c>
      <c r="BM29" s="23" t="e">
        <f ca="1">'QTR Raw'!AG11</f>
        <v>#NAME?</v>
      </c>
      <c r="BN29" s="23" t="e">
        <f ca="1">'QTR Raw'!AH11</f>
        <v>#NAME?</v>
      </c>
      <c r="BO29" s="23" t="e">
        <f ca="1">'QTR Raw'!AI11</f>
        <v>#NAME?</v>
      </c>
      <c r="BP29" s="23" t="e">
        <f ca="1">'QTR Raw'!AJ11</f>
        <v>#NAME?</v>
      </c>
      <c r="BQ29" s="23" t="e">
        <f ca="1">'QTR Raw'!AK11</f>
        <v>#NAME?</v>
      </c>
      <c r="BR29" s="23" t="e">
        <f ca="1">'QTR Raw'!AL11</f>
        <v>#NAME?</v>
      </c>
      <c r="BS29" s="23" t="e">
        <f ca="1">'QTR Raw'!AM11</f>
        <v>#NAME?</v>
      </c>
      <c r="BT29" s="23" t="e">
        <f ca="1">'QTR Raw'!AN11</f>
        <v>#NAME?</v>
      </c>
      <c r="BU29" s="23" t="e">
        <f ca="1">'QTR Raw'!AO11</f>
        <v>#NAME?</v>
      </c>
      <c r="BV29" s="23" t="e">
        <f ca="1">'QTR Raw'!AP11</f>
        <v>#NAME?</v>
      </c>
      <c r="BW29" s="23" t="e">
        <f ca="1">'QTR Raw'!AQ11</f>
        <v>#NAME?</v>
      </c>
      <c r="BX29" s="23" t="e">
        <f ca="1">'QTR Raw'!AR11</f>
        <v>#NAME?</v>
      </c>
      <c r="BY29" s="23" t="e">
        <f ca="1">'QTR Raw'!AS11</f>
        <v>#NAME?</v>
      </c>
      <c r="BZ29" s="23" t="e">
        <f ca="1">'QTR Raw'!AT11</f>
        <v>#NAME?</v>
      </c>
      <c r="CA29" s="23" t="e">
        <f ca="1">'QTR Raw'!AU11</f>
        <v>#NAME?</v>
      </c>
      <c r="CB29" s="23" t="e">
        <f ca="1">'QTR Raw'!AV11</f>
        <v>#NAME?</v>
      </c>
      <c r="CC29" s="23" t="e">
        <f ca="1">'QTR Raw'!AW11</f>
        <v>#NAME?</v>
      </c>
      <c r="CD29" s="23" t="e">
        <f ca="1">'QTR Raw'!AX11</f>
        <v>#NAME?</v>
      </c>
      <c r="CE29" s="23" t="e">
        <f ca="1">'QTR Raw'!AY11</f>
        <v>#NAME?</v>
      </c>
      <c r="CF29" s="23" t="e">
        <f ca="1">'QTR Raw'!AZ11</f>
        <v>#NAME?</v>
      </c>
      <c r="CG29" s="23" t="e">
        <f ca="1">'QTR Raw'!BA11</f>
        <v>#NAME?</v>
      </c>
      <c r="CH29" s="23" t="e">
        <f ca="1">'QTR Raw'!BB11</f>
        <v>#NAME?</v>
      </c>
      <c r="CI29" s="23" t="e">
        <f ca="1">'QTR Raw'!BC11</f>
        <v>#NAME?</v>
      </c>
      <c r="CJ29" s="23" t="e">
        <f ca="1">'QTR Raw'!BD11</f>
        <v>#NAME?</v>
      </c>
      <c r="CK29" s="23" t="e">
        <f ca="1">'QTR Raw'!BE11</f>
        <v>#NAME?</v>
      </c>
      <c r="CL29" s="23" t="e">
        <f ca="1">'QTR Raw'!BF11</f>
        <v>#NAME?</v>
      </c>
      <c r="CM29" s="24" t="e">
        <f t="shared" ref="CM29:DB29" ca="1" si="95">+CM24-CM30</f>
        <v>#NAME?</v>
      </c>
      <c r="CN29" s="24" t="e">
        <f t="shared" ca="1" si="95"/>
        <v>#NAME?</v>
      </c>
      <c r="CO29" s="24" t="e">
        <f t="shared" ca="1" si="95"/>
        <v>#NAME?</v>
      </c>
      <c r="CP29" s="24" t="e">
        <f t="shared" ca="1" si="95"/>
        <v>#NAME?</v>
      </c>
      <c r="CQ29" s="24" t="e">
        <f t="shared" ca="1" si="95"/>
        <v>#NAME?</v>
      </c>
      <c r="CR29" s="24" t="e">
        <f t="shared" ca="1" si="95"/>
        <v>#NAME?</v>
      </c>
      <c r="CS29" s="24" t="e">
        <f t="shared" ca="1" si="95"/>
        <v>#NAME?</v>
      </c>
      <c r="CT29" s="24" t="e">
        <f t="shared" ca="1" si="95"/>
        <v>#NAME?</v>
      </c>
      <c r="CU29" s="24" t="e">
        <f t="shared" ca="1" si="95"/>
        <v>#NAME?</v>
      </c>
      <c r="CV29" s="24" t="e">
        <f t="shared" ca="1" si="95"/>
        <v>#NAME?</v>
      </c>
      <c r="CW29" s="24" t="e">
        <f t="shared" ca="1" si="95"/>
        <v>#NAME?</v>
      </c>
      <c r="CX29" s="24" t="e">
        <f t="shared" ca="1" si="95"/>
        <v>#NAME?</v>
      </c>
      <c r="CY29" s="24" t="e">
        <f t="shared" ca="1" si="95"/>
        <v>#NAME?</v>
      </c>
      <c r="CZ29" s="24" t="e">
        <f t="shared" ca="1" si="95"/>
        <v>#NAME?</v>
      </c>
      <c r="DA29" s="24" t="e">
        <f t="shared" ca="1" si="95"/>
        <v>#NAME?</v>
      </c>
      <c r="DB29" s="24" t="e">
        <f t="shared" ca="1" si="95"/>
        <v>#NAME?</v>
      </c>
      <c r="DE29" s="123"/>
      <c r="DF29" s="23">
        <v>0</v>
      </c>
    </row>
    <row r="30" spans="1:110" s="31" customFormat="1" x14ac:dyDescent="0.2">
      <c r="A30" s="31" t="s">
        <v>5</v>
      </c>
      <c r="B30" s="31" t="e">
        <f t="shared" ref="B30:T30" ca="1" si="96">B24-B27-B29-B28</f>
        <v>#NAME?</v>
      </c>
      <c r="C30" s="31" t="e">
        <f t="shared" ca="1" si="96"/>
        <v>#NAME?</v>
      </c>
      <c r="D30" s="31" t="e">
        <f t="shared" ca="1" si="96"/>
        <v>#NAME?</v>
      </c>
      <c r="E30" s="31" t="e">
        <f t="shared" ca="1" si="96"/>
        <v>#NAME?</v>
      </c>
      <c r="F30" s="31" t="e">
        <f t="shared" ca="1" si="96"/>
        <v>#NAME?</v>
      </c>
      <c r="G30" s="31" t="e">
        <f t="shared" ca="1" si="96"/>
        <v>#NAME?</v>
      </c>
      <c r="H30" s="31" t="e">
        <f t="shared" ca="1" si="96"/>
        <v>#NAME?</v>
      </c>
      <c r="I30" s="31" t="e">
        <f t="shared" ca="1" si="96"/>
        <v>#NAME?</v>
      </c>
      <c r="J30" s="31" t="e">
        <f t="shared" ca="1" si="96"/>
        <v>#NAME?</v>
      </c>
      <c r="K30" s="31" t="e">
        <f t="shared" ca="1" si="96"/>
        <v>#NAME?</v>
      </c>
      <c r="L30" s="31" t="e">
        <f t="shared" ca="1" si="96"/>
        <v>#NAME?</v>
      </c>
      <c r="M30" s="31" t="e">
        <f t="shared" ca="1" si="96"/>
        <v>#NAME?</v>
      </c>
      <c r="N30" s="31" t="e">
        <f t="shared" ca="1" si="96"/>
        <v>#NAME?</v>
      </c>
      <c r="O30" s="31" t="e">
        <f t="shared" ca="1" si="96"/>
        <v>#NAME?</v>
      </c>
      <c r="P30" s="31" t="e">
        <f t="shared" ca="1" si="96"/>
        <v>#NAME?</v>
      </c>
      <c r="Q30" s="31" t="e">
        <f t="shared" ca="1" si="96"/>
        <v>#NAME?</v>
      </c>
      <c r="R30" s="31" t="e">
        <f t="shared" ca="1" si="96"/>
        <v>#NAME?</v>
      </c>
      <c r="S30" s="31" t="e">
        <f t="shared" ca="1" si="96"/>
        <v>#NAME?</v>
      </c>
      <c r="T30" s="31" t="e">
        <f t="shared" ca="1" si="96"/>
        <v>#NAME?</v>
      </c>
      <c r="U30" s="31" t="e">
        <f t="shared" ref="U30:Z30" ca="1" si="97">U24-U27-U29-U28</f>
        <v>#NAME?</v>
      </c>
      <c r="V30" s="31" t="e">
        <f t="shared" ca="1" si="97"/>
        <v>#NAME?</v>
      </c>
      <c r="W30" s="31" t="e">
        <f t="shared" ca="1" si="97"/>
        <v>#NAME?</v>
      </c>
      <c r="X30" s="31" t="e">
        <f t="shared" ca="1" si="97"/>
        <v>#NAME?</v>
      </c>
      <c r="Y30" s="31" t="e">
        <f t="shared" ca="1" si="97"/>
        <v>#NAME?</v>
      </c>
      <c r="Z30" s="31" t="e">
        <f t="shared" ca="1" si="97"/>
        <v>#NAME?</v>
      </c>
      <c r="AA30" s="31" t="e">
        <f t="shared" ref="AA30" ca="1" si="98">AA24-AA27-AA29-AA28</f>
        <v>#NAME?</v>
      </c>
      <c r="AB30" s="32" t="e">
        <f t="shared" ref="AA30:AD30" ca="1" si="99">AB24-AB27-AB29-AB28</f>
        <v>#NAME?</v>
      </c>
      <c r="AC30" s="32" t="e">
        <f t="shared" ca="1" si="99"/>
        <v>#NAME?</v>
      </c>
      <c r="AD30" s="32" t="e">
        <f t="shared" ca="1" si="99"/>
        <v>#NAME?</v>
      </c>
      <c r="AE30" s="32" t="e">
        <f t="shared" ref="AE30" ca="1" si="100">AE24-AE27-AE29-AE28</f>
        <v>#NAME?</v>
      </c>
      <c r="AI30" s="31" t="e">
        <f t="shared" ref="AI30" ca="1" si="101">AI24-AI27-AI29-AI28</f>
        <v>#NAME?</v>
      </c>
      <c r="AJ30" s="31" t="e">
        <f t="shared" ref="AJ30" ca="1" si="102">AJ24-AJ27-AJ29-AJ28</f>
        <v>#NAME?</v>
      </c>
      <c r="AK30" s="31" t="e">
        <f t="shared" ref="AK30:AM30" ca="1" si="103">AK24-AK27-AK29-AK28</f>
        <v>#NAME?</v>
      </c>
      <c r="AL30" s="31" t="e">
        <f t="shared" ca="1" si="103"/>
        <v>#NAME?</v>
      </c>
      <c r="AM30" s="31" t="e">
        <f t="shared" ca="1" si="103"/>
        <v>#NAME?</v>
      </c>
      <c r="AN30" s="31" t="e">
        <f t="shared" ref="AN30:AO30" ca="1" si="104">AN24-AN27-AN29-AN28</f>
        <v>#NAME?</v>
      </c>
      <c r="AO30" s="31" t="e">
        <f t="shared" ca="1" si="104"/>
        <v>#NAME?</v>
      </c>
      <c r="AP30" s="31" t="e">
        <f t="shared" ref="AP30:CD30" ca="1" si="105">AP24-AP27-AP29-AP28</f>
        <v>#NAME?</v>
      </c>
      <c r="AQ30" s="31" t="e">
        <f t="shared" ca="1" si="105"/>
        <v>#NAME?</v>
      </c>
      <c r="AR30" s="31" t="e">
        <f t="shared" ca="1" si="105"/>
        <v>#NAME?</v>
      </c>
      <c r="AS30" s="31" t="e">
        <f t="shared" ca="1" si="105"/>
        <v>#NAME?</v>
      </c>
      <c r="AT30" s="31" t="e">
        <f t="shared" ca="1" si="105"/>
        <v>#NAME?</v>
      </c>
      <c r="AU30" s="31" t="e">
        <f t="shared" ca="1" si="105"/>
        <v>#NAME?</v>
      </c>
      <c r="AV30" s="31" t="e">
        <f t="shared" ca="1" si="105"/>
        <v>#NAME?</v>
      </c>
      <c r="AW30" s="31" t="e">
        <f t="shared" ca="1" si="105"/>
        <v>#NAME?</v>
      </c>
      <c r="AX30" s="31" t="e">
        <f t="shared" ca="1" si="105"/>
        <v>#NAME?</v>
      </c>
      <c r="AY30" s="31" t="e">
        <f t="shared" ca="1" si="105"/>
        <v>#NAME?</v>
      </c>
      <c r="AZ30" s="31" t="e">
        <f t="shared" ca="1" si="105"/>
        <v>#NAME?</v>
      </c>
      <c r="BA30" s="31" t="e">
        <f t="shared" ca="1" si="105"/>
        <v>#NAME?</v>
      </c>
      <c r="BB30" s="31" t="e">
        <f t="shared" ca="1" si="105"/>
        <v>#NAME?</v>
      </c>
      <c r="BC30" s="31" t="e">
        <f t="shared" ca="1" si="105"/>
        <v>#NAME?</v>
      </c>
      <c r="BD30" s="31" t="e">
        <f t="shared" ca="1" si="105"/>
        <v>#NAME?</v>
      </c>
      <c r="BE30" s="31" t="e">
        <f t="shared" ca="1" si="105"/>
        <v>#NAME?</v>
      </c>
      <c r="BF30" s="31" t="e">
        <f t="shared" ca="1" si="105"/>
        <v>#NAME?</v>
      </c>
      <c r="BG30" s="31" t="e">
        <f t="shared" ca="1" si="105"/>
        <v>#NAME?</v>
      </c>
      <c r="BH30" s="31" t="e">
        <f t="shared" ca="1" si="105"/>
        <v>#NAME?</v>
      </c>
      <c r="BI30" s="31" t="e">
        <f t="shared" ca="1" si="105"/>
        <v>#NAME?</v>
      </c>
      <c r="BJ30" s="31" t="e">
        <f t="shared" ca="1" si="105"/>
        <v>#NAME?</v>
      </c>
      <c r="BK30" s="31" t="e">
        <f t="shared" ca="1" si="105"/>
        <v>#NAME?</v>
      </c>
      <c r="BL30" s="31" t="e">
        <f t="shared" ca="1" si="105"/>
        <v>#NAME?</v>
      </c>
      <c r="BM30" s="31" t="e">
        <f t="shared" ca="1" si="105"/>
        <v>#NAME?</v>
      </c>
      <c r="BN30" s="31" t="e">
        <f t="shared" ca="1" si="105"/>
        <v>#NAME?</v>
      </c>
      <c r="BO30" s="31" t="e">
        <f t="shared" ca="1" si="105"/>
        <v>#NAME?</v>
      </c>
      <c r="BP30" s="31" t="e">
        <f t="shared" ca="1" si="105"/>
        <v>#NAME?</v>
      </c>
      <c r="BQ30" s="31" t="e">
        <f t="shared" ca="1" si="105"/>
        <v>#NAME?</v>
      </c>
      <c r="BR30" s="31" t="e">
        <f t="shared" ca="1" si="105"/>
        <v>#NAME?</v>
      </c>
      <c r="BS30" s="31" t="e">
        <f t="shared" ca="1" si="105"/>
        <v>#NAME?</v>
      </c>
      <c r="BT30" s="31" t="e">
        <f t="shared" ca="1" si="105"/>
        <v>#NAME?</v>
      </c>
      <c r="BU30" s="31" t="e">
        <f t="shared" ca="1" si="105"/>
        <v>#NAME?</v>
      </c>
      <c r="BV30" s="31" t="e">
        <f t="shared" ca="1" si="105"/>
        <v>#NAME?</v>
      </c>
      <c r="BW30" s="31" t="e">
        <f t="shared" ca="1" si="105"/>
        <v>#NAME?</v>
      </c>
      <c r="BX30" s="31" t="e">
        <f t="shared" ca="1" si="105"/>
        <v>#NAME?</v>
      </c>
      <c r="BY30" s="31" t="e">
        <f t="shared" ca="1" si="105"/>
        <v>#NAME?</v>
      </c>
      <c r="BZ30" s="31" t="e">
        <f t="shared" ca="1" si="105"/>
        <v>#NAME?</v>
      </c>
      <c r="CA30" s="31" t="e">
        <f t="shared" ca="1" si="105"/>
        <v>#NAME?</v>
      </c>
      <c r="CB30" s="31" t="e">
        <f t="shared" ca="1" si="105"/>
        <v>#NAME?</v>
      </c>
      <c r="CC30" s="31" t="e">
        <f t="shared" ca="1" si="105"/>
        <v>#NAME?</v>
      </c>
      <c r="CD30" s="31" t="e">
        <f t="shared" ca="1" si="105"/>
        <v>#NAME?</v>
      </c>
      <c r="CE30" s="31" t="e">
        <f t="shared" ref="CE30:CF30" ca="1" si="106">CE24-CE27-CE29-CE28</f>
        <v>#NAME?</v>
      </c>
      <c r="CF30" s="31" t="e">
        <f t="shared" ca="1" si="106"/>
        <v>#NAME?</v>
      </c>
      <c r="CG30" s="31" t="e">
        <f t="shared" ref="CG30:CH30" ca="1" si="107">CG24-CG27-CG29-CG28</f>
        <v>#NAME?</v>
      </c>
      <c r="CH30" s="31" t="e">
        <f t="shared" ca="1" si="107"/>
        <v>#NAME?</v>
      </c>
      <c r="CI30" s="31" t="e">
        <f t="shared" ref="CI30:CJ30" ca="1" si="108">CI24-CI27-CI29-CI28</f>
        <v>#NAME?</v>
      </c>
      <c r="CJ30" s="31" t="e">
        <f t="shared" ca="1" si="108"/>
        <v>#NAME?</v>
      </c>
      <c r="CK30" s="31" t="e">
        <f t="shared" ref="CK30:CL30" ca="1" si="109">CK24-CK27-CK29-CK28</f>
        <v>#NAME?</v>
      </c>
      <c r="CL30" s="31" t="e">
        <f t="shared" ca="1" si="109"/>
        <v>#NAME?</v>
      </c>
      <c r="CM30" s="32" t="e">
        <f t="shared" ref="CM30:DB30" ca="1" si="110">+CM31*CM24</f>
        <v>#NAME?</v>
      </c>
      <c r="CN30" s="32" t="e">
        <f t="shared" ca="1" si="110"/>
        <v>#NAME?</v>
      </c>
      <c r="CO30" s="32" t="e">
        <f t="shared" ca="1" si="110"/>
        <v>#NAME?</v>
      </c>
      <c r="CP30" s="32" t="e">
        <f t="shared" ca="1" si="110"/>
        <v>#NAME?</v>
      </c>
      <c r="CQ30" s="32" t="e">
        <f t="shared" ca="1" si="110"/>
        <v>#NAME?</v>
      </c>
      <c r="CR30" s="32" t="e">
        <f t="shared" ca="1" si="110"/>
        <v>#NAME?</v>
      </c>
      <c r="CS30" s="32" t="e">
        <f t="shared" ca="1" si="110"/>
        <v>#NAME?</v>
      </c>
      <c r="CT30" s="32" t="e">
        <f t="shared" ca="1" si="110"/>
        <v>#NAME?</v>
      </c>
      <c r="CU30" s="32" t="e">
        <f t="shared" ca="1" si="110"/>
        <v>#NAME?</v>
      </c>
      <c r="CV30" s="32" t="e">
        <f t="shared" ca="1" si="110"/>
        <v>#NAME?</v>
      </c>
      <c r="CW30" s="32" t="e">
        <f t="shared" ca="1" si="110"/>
        <v>#NAME?</v>
      </c>
      <c r="CX30" s="32" t="e">
        <f t="shared" ca="1" si="110"/>
        <v>#NAME?</v>
      </c>
      <c r="CY30" s="32" t="e">
        <f t="shared" ca="1" si="110"/>
        <v>#NAME?</v>
      </c>
      <c r="CZ30" s="32" t="e">
        <f t="shared" ca="1" si="110"/>
        <v>#NAME?</v>
      </c>
      <c r="DA30" s="32" t="e">
        <f t="shared" ca="1" si="110"/>
        <v>#NAME?</v>
      </c>
      <c r="DB30" s="32" t="e">
        <f t="shared" ca="1" si="110"/>
        <v>#NAME?</v>
      </c>
      <c r="DE30" s="124"/>
      <c r="DF30" s="31">
        <v>932.15700000000004</v>
      </c>
    </row>
    <row r="31" spans="1:110" s="41" customFormat="1" x14ac:dyDescent="0.2">
      <c r="A31" s="41" t="s">
        <v>6</v>
      </c>
      <c r="B31" s="41" t="e">
        <f ca="1">B30/B24</f>
        <v>#NAME?</v>
      </c>
      <c r="C31" s="41" t="e">
        <f t="shared" ref="C31:U31" ca="1" si="111">C30/C24</f>
        <v>#NAME?</v>
      </c>
      <c r="D31" s="41" t="e">
        <f t="shared" ca="1" si="111"/>
        <v>#NAME?</v>
      </c>
      <c r="E31" s="41" t="e">
        <f t="shared" ca="1" si="111"/>
        <v>#NAME?</v>
      </c>
      <c r="F31" s="41" t="e">
        <f t="shared" ca="1" si="111"/>
        <v>#NAME?</v>
      </c>
      <c r="G31" s="41" t="e">
        <f t="shared" ca="1" si="111"/>
        <v>#NAME?</v>
      </c>
      <c r="H31" s="41" t="e">
        <f t="shared" ca="1" si="111"/>
        <v>#NAME?</v>
      </c>
      <c r="I31" s="41" t="e">
        <f t="shared" ca="1" si="111"/>
        <v>#NAME?</v>
      </c>
      <c r="J31" s="41" t="e">
        <f t="shared" ca="1" si="111"/>
        <v>#NAME?</v>
      </c>
      <c r="K31" s="41" t="e">
        <f t="shared" ca="1" si="111"/>
        <v>#NAME?</v>
      </c>
      <c r="L31" s="41" t="e">
        <f t="shared" ca="1" si="111"/>
        <v>#NAME?</v>
      </c>
      <c r="M31" s="41" t="e">
        <f t="shared" ca="1" si="111"/>
        <v>#NAME?</v>
      </c>
      <c r="N31" s="41" t="e">
        <f t="shared" ca="1" si="111"/>
        <v>#NAME?</v>
      </c>
      <c r="O31" s="41" t="e">
        <f t="shared" ca="1" si="111"/>
        <v>#NAME?</v>
      </c>
      <c r="P31" s="41" t="e">
        <f t="shared" ca="1" si="111"/>
        <v>#NAME?</v>
      </c>
      <c r="Q31" s="41" t="e">
        <f t="shared" ca="1" si="111"/>
        <v>#NAME?</v>
      </c>
      <c r="R31" s="41" t="e">
        <f t="shared" ca="1" si="111"/>
        <v>#NAME?</v>
      </c>
      <c r="S31" s="41" t="e">
        <f t="shared" ca="1" si="111"/>
        <v>#NAME?</v>
      </c>
      <c r="T31" s="41" t="e">
        <f t="shared" ca="1" si="111"/>
        <v>#NAME?</v>
      </c>
      <c r="U31" s="41" t="e">
        <f t="shared" ca="1" si="111"/>
        <v>#NAME?</v>
      </c>
      <c r="V31" s="41" t="e">
        <f ca="1">V30/V24</f>
        <v>#NAME?</v>
      </c>
      <c r="W31" s="41" t="e">
        <f ca="1">W30/W24</f>
        <v>#NAME?</v>
      </c>
      <c r="X31" s="41" t="e">
        <f ca="1">X30/X24</f>
        <v>#NAME?</v>
      </c>
      <c r="Y31" s="41" t="e">
        <f ca="1">Y30/Y24</f>
        <v>#NAME?</v>
      </c>
      <c r="Z31" s="41" t="e">
        <f ca="1">Z30/Z24</f>
        <v>#NAME?</v>
      </c>
      <c r="AA31" s="41" t="e">
        <f ca="1">AA30/AA24</f>
        <v>#NAME?</v>
      </c>
      <c r="AB31" s="42" t="e">
        <f t="shared" ref="AA31:AD31" ca="1" si="112">AB30/AB24</f>
        <v>#NAME?</v>
      </c>
      <c r="AC31" s="42" t="e">
        <f t="shared" ca="1" si="112"/>
        <v>#NAME?</v>
      </c>
      <c r="AD31" s="42" t="e">
        <f t="shared" ca="1" si="112"/>
        <v>#NAME?</v>
      </c>
      <c r="AE31" s="42" t="e">
        <f t="shared" ref="AE31" ca="1" si="113">AE30/AE24</f>
        <v>#NAME?</v>
      </c>
      <c r="AI31" s="41" t="e">
        <f t="shared" ref="AI31" ca="1" si="114">AI30/AI24</f>
        <v>#NAME?</v>
      </c>
      <c r="AJ31" s="41" t="e">
        <f t="shared" ref="AJ31" ca="1" si="115">AJ30/AJ24</f>
        <v>#NAME?</v>
      </c>
      <c r="AK31" s="41" t="e">
        <f t="shared" ref="AK31:AM31" ca="1" si="116">AK30/AK24</f>
        <v>#NAME?</v>
      </c>
      <c r="AL31" s="41" t="e">
        <f t="shared" ca="1" si="116"/>
        <v>#NAME?</v>
      </c>
      <c r="AM31" s="41" t="e">
        <f t="shared" ca="1" si="116"/>
        <v>#NAME?</v>
      </c>
      <c r="AN31" s="41" t="e">
        <f t="shared" ref="AN31:AO31" ca="1" si="117">AN30/AN24</f>
        <v>#NAME?</v>
      </c>
      <c r="AO31" s="41" t="e">
        <f t="shared" ca="1" si="117"/>
        <v>#NAME?</v>
      </c>
      <c r="AP31" s="41" t="e">
        <f t="shared" ref="AP31:CD31" ca="1" si="118">AP30/AP24</f>
        <v>#NAME?</v>
      </c>
      <c r="AQ31" s="41" t="e">
        <f t="shared" ca="1" si="118"/>
        <v>#NAME?</v>
      </c>
      <c r="AR31" s="41" t="e">
        <f t="shared" ca="1" si="118"/>
        <v>#NAME?</v>
      </c>
      <c r="AS31" s="41" t="e">
        <f t="shared" ca="1" si="118"/>
        <v>#NAME?</v>
      </c>
      <c r="AT31" s="41" t="e">
        <f t="shared" ca="1" si="118"/>
        <v>#NAME?</v>
      </c>
      <c r="AU31" s="41" t="e">
        <f t="shared" ca="1" si="118"/>
        <v>#NAME?</v>
      </c>
      <c r="AV31" s="41" t="e">
        <f t="shared" ca="1" si="118"/>
        <v>#NAME?</v>
      </c>
      <c r="AW31" s="41" t="e">
        <f t="shared" ca="1" si="118"/>
        <v>#NAME?</v>
      </c>
      <c r="AX31" s="41" t="e">
        <f t="shared" ca="1" si="118"/>
        <v>#NAME?</v>
      </c>
      <c r="AY31" s="41" t="e">
        <f t="shared" ca="1" si="118"/>
        <v>#NAME?</v>
      </c>
      <c r="AZ31" s="41" t="e">
        <f t="shared" ca="1" si="118"/>
        <v>#NAME?</v>
      </c>
      <c r="BA31" s="41" t="e">
        <f t="shared" ca="1" si="118"/>
        <v>#NAME?</v>
      </c>
      <c r="BB31" s="41" t="e">
        <f t="shared" ca="1" si="118"/>
        <v>#NAME?</v>
      </c>
      <c r="BC31" s="41" t="e">
        <f t="shared" ca="1" si="118"/>
        <v>#NAME?</v>
      </c>
      <c r="BD31" s="41" t="e">
        <f t="shared" ca="1" si="118"/>
        <v>#NAME?</v>
      </c>
      <c r="BE31" s="41" t="e">
        <f t="shared" ca="1" si="118"/>
        <v>#NAME?</v>
      </c>
      <c r="BF31" s="41" t="e">
        <f t="shared" ca="1" si="118"/>
        <v>#NAME?</v>
      </c>
      <c r="BG31" s="41" t="e">
        <f t="shared" ca="1" si="118"/>
        <v>#NAME?</v>
      </c>
      <c r="BH31" s="41" t="e">
        <f t="shared" ca="1" si="118"/>
        <v>#NAME?</v>
      </c>
      <c r="BI31" s="41" t="e">
        <f t="shared" ca="1" si="118"/>
        <v>#NAME?</v>
      </c>
      <c r="BJ31" s="41" t="e">
        <f t="shared" ca="1" si="118"/>
        <v>#NAME?</v>
      </c>
      <c r="BK31" s="41" t="e">
        <f t="shared" ca="1" si="118"/>
        <v>#NAME?</v>
      </c>
      <c r="BL31" s="41" t="e">
        <f t="shared" ca="1" si="118"/>
        <v>#NAME?</v>
      </c>
      <c r="BM31" s="41" t="e">
        <f t="shared" ca="1" si="118"/>
        <v>#NAME?</v>
      </c>
      <c r="BN31" s="41" t="e">
        <f t="shared" ca="1" si="118"/>
        <v>#NAME?</v>
      </c>
      <c r="BO31" s="41" t="e">
        <f t="shared" ca="1" si="118"/>
        <v>#NAME?</v>
      </c>
      <c r="BP31" s="41" t="e">
        <f t="shared" ca="1" si="118"/>
        <v>#NAME?</v>
      </c>
      <c r="BQ31" s="41" t="e">
        <f t="shared" ca="1" si="118"/>
        <v>#NAME?</v>
      </c>
      <c r="BR31" s="41" t="e">
        <f t="shared" ca="1" si="118"/>
        <v>#NAME?</v>
      </c>
      <c r="BS31" s="41" t="e">
        <f t="shared" ca="1" si="118"/>
        <v>#NAME?</v>
      </c>
      <c r="BT31" s="41" t="e">
        <f t="shared" ca="1" si="118"/>
        <v>#NAME?</v>
      </c>
      <c r="BU31" s="41" t="e">
        <f t="shared" ca="1" si="118"/>
        <v>#NAME?</v>
      </c>
      <c r="BV31" s="41" t="e">
        <f t="shared" ca="1" si="118"/>
        <v>#NAME?</v>
      </c>
      <c r="BW31" s="41" t="e">
        <f t="shared" ca="1" si="118"/>
        <v>#NAME?</v>
      </c>
      <c r="BX31" s="41" t="e">
        <f t="shared" ca="1" si="118"/>
        <v>#NAME?</v>
      </c>
      <c r="BY31" s="41" t="e">
        <f t="shared" ca="1" si="118"/>
        <v>#NAME?</v>
      </c>
      <c r="BZ31" s="41" t="e">
        <f t="shared" ca="1" si="118"/>
        <v>#NAME?</v>
      </c>
      <c r="CA31" s="41" t="e">
        <f t="shared" ca="1" si="118"/>
        <v>#NAME?</v>
      </c>
      <c r="CB31" s="41" t="e">
        <f t="shared" ca="1" si="118"/>
        <v>#NAME?</v>
      </c>
      <c r="CC31" s="41" t="e">
        <f t="shared" ca="1" si="118"/>
        <v>#NAME?</v>
      </c>
      <c r="CD31" s="41" t="e">
        <f t="shared" ca="1" si="118"/>
        <v>#NAME?</v>
      </c>
      <c r="CE31" s="41" t="e">
        <f t="shared" ref="CE31:CF31" ca="1" si="119">CE30/CE24</f>
        <v>#NAME?</v>
      </c>
      <c r="CF31" s="41" t="e">
        <f t="shared" ca="1" si="119"/>
        <v>#NAME?</v>
      </c>
      <c r="CG31" s="41" t="e">
        <f t="shared" ref="CG31:CH31" ca="1" si="120">CG30/CG24</f>
        <v>#NAME?</v>
      </c>
      <c r="CH31" s="41" t="e">
        <f t="shared" ca="1" si="120"/>
        <v>#NAME?</v>
      </c>
      <c r="CI31" s="41" t="e">
        <f t="shared" ref="CI31:CJ31" ca="1" si="121">CI30/CI24</f>
        <v>#NAME?</v>
      </c>
      <c r="CJ31" s="41" t="e">
        <f t="shared" ca="1" si="121"/>
        <v>#NAME?</v>
      </c>
      <c r="CK31" s="41" t="e">
        <f t="shared" ref="CK31:CL31" ca="1" si="122">CK30/CK24</f>
        <v>#NAME?</v>
      </c>
      <c r="CL31" s="41" t="e">
        <f t="shared" ca="1" si="122"/>
        <v>#NAME?</v>
      </c>
      <c r="CM31" s="42" t="e">
        <f t="shared" ref="CM31:DB31" ca="1" si="123">AVERAGE(CI31:CL31)</f>
        <v>#NAME?</v>
      </c>
      <c r="CN31" s="42" t="e">
        <f t="shared" ca="1" si="123"/>
        <v>#NAME?</v>
      </c>
      <c r="CO31" s="42" t="e">
        <f t="shared" ca="1" si="123"/>
        <v>#NAME?</v>
      </c>
      <c r="CP31" s="42" t="e">
        <f t="shared" ca="1" si="123"/>
        <v>#NAME?</v>
      </c>
      <c r="CQ31" s="42" t="e">
        <f t="shared" ca="1" si="123"/>
        <v>#NAME?</v>
      </c>
      <c r="CR31" s="42" t="e">
        <f t="shared" ca="1" si="123"/>
        <v>#NAME?</v>
      </c>
      <c r="CS31" s="42" t="e">
        <f t="shared" ca="1" si="123"/>
        <v>#NAME?</v>
      </c>
      <c r="CT31" s="42" t="e">
        <f t="shared" ca="1" si="123"/>
        <v>#NAME?</v>
      </c>
      <c r="CU31" s="42" t="e">
        <f t="shared" ca="1" si="123"/>
        <v>#NAME?</v>
      </c>
      <c r="CV31" s="42" t="e">
        <f t="shared" ca="1" si="123"/>
        <v>#NAME?</v>
      </c>
      <c r="CW31" s="42" t="e">
        <f t="shared" ca="1" si="123"/>
        <v>#NAME?</v>
      </c>
      <c r="CX31" s="42" t="e">
        <f t="shared" ca="1" si="123"/>
        <v>#NAME?</v>
      </c>
      <c r="CY31" s="42" t="e">
        <f t="shared" ca="1" si="123"/>
        <v>#NAME?</v>
      </c>
      <c r="CZ31" s="42" t="e">
        <f t="shared" ca="1" si="123"/>
        <v>#NAME?</v>
      </c>
      <c r="DA31" s="42" t="e">
        <f t="shared" ca="1" si="123"/>
        <v>#NAME?</v>
      </c>
      <c r="DB31" s="42" t="e">
        <f t="shared" ca="1" si="123"/>
        <v>#NAME?</v>
      </c>
      <c r="DE31" s="125"/>
      <c r="DF31" s="41">
        <v>1</v>
      </c>
    </row>
    <row r="32" spans="1:110" s="39" customFormat="1" x14ac:dyDescent="0.2">
      <c r="A32" s="39" t="s">
        <v>447</v>
      </c>
      <c r="C32" s="39" t="e">
        <f t="shared" ref="C32:AE32" ca="1" si="124">+IF(B30&lt;0,1-C30/B30,C30/B30-1)</f>
        <v>#NAME?</v>
      </c>
      <c r="D32" s="39" t="e">
        <f t="shared" ca="1" si="124"/>
        <v>#NAME?</v>
      </c>
      <c r="E32" s="39" t="e">
        <f t="shared" ca="1" si="124"/>
        <v>#NAME?</v>
      </c>
      <c r="F32" s="39" t="e">
        <f t="shared" ca="1" si="124"/>
        <v>#NAME?</v>
      </c>
      <c r="G32" s="39" t="e">
        <f t="shared" ca="1" si="124"/>
        <v>#NAME?</v>
      </c>
      <c r="H32" s="39" t="e">
        <f t="shared" ca="1" si="124"/>
        <v>#NAME?</v>
      </c>
      <c r="I32" s="39" t="e">
        <f t="shared" ca="1" si="124"/>
        <v>#NAME?</v>
      </c>
      <c r="J32" s="39" t="e">
        <f t="shared" ca="1" si="124"/>
        <v>#NAME?</v>
      </c>
      <c r="K32" s="39" t="e">
        <f t="shared" ca="1" si="124"/>
        <v>#NAME?</v>
      </c>
      <c r="L32" s="39" t="e">
        <f t="shared" ca="1" si="124"/>
        <v>#NAME?</v>
      </c>
      <c r="M32" s="39" t="e">
        <f t="shared" ca="1" si="124"/>
        <v>#NAME?</v>
      </c>
      <c r="N32" s="39" t="e">
        <f t="shared" ca="1" si="124"/>
        <v>#NAME?</v>
      </c>
      <c r="O32" s="39" t="e">
        <f t="shared" ca="1" si="124"/>
        <v>#NAME?</v>
      </c>
      <c r="P32" s="39" t="e">
        <f t="shared" ca="1" si="124"/>
        <v>#NAME?</v>
      </c>
      <c r="Q32" s="39" t="e">
        <f t="shared" ca="1" si="124"/>
        <v>#NAME?</v>
      </c>
      <c r="R32" s="39" t="e">
        <f t="shared" ca="1" si="124"/>
        <v>#NAME?</v>
      </c>
      <c r="S32" s="39" t="e">
        <f t="shared" ca="1" si="124"/>
        <v>#NAME?</v>
      </c>
      <c r="T32" s="39" t="e">
        <f t="shared" ca="1" si="124"/>
        <v>#NAME?</v>
      </c>
      <c r="U32" s="39" t="e">
        <f t="shared" ca="1" si="124"/>
        <v>#NAME?</v>
      </c>
      <c r="V32" s="39" t="e">
        <f t="shared" ca="1" si="124"/>
        <v>#NAME?</v>
      </c>
      <c r="W32" s="39" t="e">
        <f t="shared" ca="1" si="124"/>
        <v>#NAME?</v>
      </c>
      <c r="X32" s="39" t="e">
        <f t="shared" ca="1" si="124"/>
        <v>#NAME?</v>
      </c>
      <c r="Y32" s="39" t="e">
        <f t="shared" ca="1" si="124"/>
        <v>#NAME?</v>
      </c>
      <c r="Z32" s="39" t="e">
        <f t="shared" ca="1" si="124"/>
        <v>#NAME?</v>
      </c>
      <c r="AA32" s="39" t="e">
        <f t="shared" ca="1" si="124"/>
        <v>#NAME?</v>
      </c>
      <c r="AB32" s="40" t="e">
        <f t="shared" ca="1" si="124"/>
        <v>#NAME?</v>
      </c>
      <c r="AC32" s="40" t="e">
        <f t="shared" ca="1" si="124"/>
        <v>#NAME?</v>
      </c>
      <c r="AD32" s="40" t="e">
        <f t="shared" ca="1" si="124"/>
        <v>#NAME?</v>
      </c>
      <c r="AE32" s="40" t="e">
        <f t="shared" ca="1" si="124"/>
        <v>#NAME?</v>
      </c>
      <c r="AM32" s="39" t="e">
        <f ca="1">+IF(AI30&lt;0,1-AM30/AI30,AM30/AI30-1)</f>
        <v>#NAME?</v>
      </c>
      <c r="AN32" s="39" t="e">
        <f t="shared" ref="AN32" ca="1" si="125">+IF(AJ30&lt;0,1-AN30/AJ30,AN30/AJ30-1)</f>
        <v>#NAME?</v>
      </c>
      <c r="AO32" s="39" t="e">
        <f t="shared" ref="AO32" ca="1" si="126">+IF(AK30&lt;0,1-AO30/AK30,AO30/AK30-1)</f>
        <v>#NAME?</v>
      </c>
      <c r="AP32" s="39" t="e">
        <f t="shared" ref="AP32" ca="1" si="127">+IF(AL30&lt;0,1-AP30/AL30,AP30/AL30-1)</f>
        <v>#NAME?</v>
      </c>
      <c r="AQ32" s="39" t="e">
        <f t="shared" ref="AQ32" ca="1" si="128">+IF(AM30&lt;0,1-AQ30/AM30,AQ30/AM30-1)</f>
        <v>#NAME?</v>
      </c>
      <c r="AR32" s="39" t="e">
        <f t="shared" ref="AR32" ca="1" si="129">+IF(AN30&lt;0,1-AR30/AN30,AR30/AN30-1)</f>
        <v>#NAME?</v>
      </c>
      <c r="AS32" s="39" t="e">
        <f t="shared" ref="AS32" ca="1" si="130">+IF(AO30&lt;0,1-AS30/AO30,AS30/AO30-1)</f>
        <v>#NAME?</v>
      </c>
      <c r="AT32" s="39" t="e">
        <f t="shared" ref="AT32" ca="1" si="131">+IF(AP30&lt;0,1-AT30/AP30,AT30/AP30-1)</f>
        <v>#NAME?</v>
      </c>
      <c r="AU32" s="39" t="e">
        <f t="shared" ref="AU32" ca="1" si="132">+IF(AQ30&lt;0,1-AU30/AQ30,AU30/AQ30-1)</f>
        <v>#NAME?</v>
      </c>
      <c r="AV32" s="39" t="e">
        <f t="shared" ref="AV32" ca="1" si="133">+IF(AR30&lt;0,1-AV30/AR30,AV30/AR30-1)</f>
        <v>#NAME?</v>
      </c>
      <c r="AW32" s="39" t="e">
        <f t="shared" ref="AW32" ca="1" si="134">+IF(AS30&lt;0,1-AW30/AS30,AW30/AS30-1)</f>
        <v>#NAME?</v>
      </c>
      <c r="AX32" s="39" t="e">
        <f t="shared" ref="AX32" ca="1" si="135">+IF(AT30&lt;0,1-AX30/AT30,AX30/AT30-1)</f>
        <v>#NAME?</v>
      </c>
      <c r="AY32" s="39" t="e">
        <f t="shared" ref="AY32" ca="1" si="136">+IF(AU30&lt;0,1-AY30/AU30,AY30/AU30-1)</f>
        <v>#NAME?</v>
      </c>
      <c r="AZ32" s="39" t="e">
        <f t="shared" ref="AZ32" ca="1" si="137">+IF(AV30&lt;0,1-AZ30/AV30,AZ30/AV30-1)</f>
        <v>#NAME?</v>
      </c>
      <c r="BA32" s="39" t="e">
        <f t="shared" ref="BA32" ca="1" si="138">+IF(AW30&lt;0,1-BA30/AW30,BA30/AW30-1)</f>
        <v>#NAME?</v>
      </c>
      <c r="BB32" s="39" t="e">
        <f t="shared" ref="BB32" ca="1" si="139">+IF(AX30&lt;0,1-BB30/AX30,BB30/AX30-1)</f>
        <v>#NAME?</v>
      </c>
      <c r="BC32" s="39" t="e">
        <f t="shared" ref="BC32" ca="1" si="140">+IF(AY30&lt;0,1-BC30/AY30,BC30/AY30-1)</f>
        <v>#NAME?</v>
      </c>
      <c r="BD32" s="39" t="e">
        <f t="shared" ref="BD32" ca="1" si="141">+IF(AZ30&lt;0,1-BD30/AZ30,BD30/AZ30-1)</f>
        <v>#NAME?</v>
      </c>
      <c r="BE32" s="39" t="e">
        <f t="shared" ref="BE32" ca="1" si="142">+IF(BA30&lt;0,1-BE30/BA30,BE30/BA30-1)</f>
        <v>#NAME?</v>
      </c>
      <c r="BF32" s="39" t="e">
        <f t="shared" ref="BF32" ca="1" si="143">+IF(BB30&lt;0,1-BF30/BB30,BF30/BB30-1)</f>
        <v>#NAME?</v>
      </c>
      <c r="BG32" s="39" t="e">
        <f t="shared" ref="BG32" ca="1" si="144">+IF(BC30&lt;0,1-BG30/BC30,BG30/BC30-1)</f>
        <v>#NAME?</v>
      </c>
      <c r="BH32" s="39" t="e">
        <f t="shared" ref="BH32" ca="1" si="145">+IF(BD30&lt;0,1-BH30/BD30,BH30/BD30-1)</f>
        <v>#NAME?</v>
      </c>
      <c r="BI32" s="39" t="e">
        <f t="shared" ref="BI32" ca="1" si="146">+IF(BE30&lt;0,1-BI30/BE30,BI30/BE30-1)</f>
        <v>#NAME?</v>
      </c>
      <c r="BJ32" s="39" t="e">
        <f t="shared" ref="BJ32" ca="1" si="147">+IF(BF30&lt;0,1-BJ30/BF30,BJ30/BF30-1)</f>
        <v>#NAME?</v>
      </c>
      <c r="BK32" s="39" t="e">
        <f t="shared" ref="BK32" ca="1" si="148">+IF(BG30&lt;0,1-BK30/BG30,BK30/BG30-1)</f>
        <v>#NAME?</v>
      </c>
      <c r="BL32" s="39" t="e">
        <f t="shared" ref="BL32" ca="1" si="149">+IF(BH30&lt;0,1-BL30/BH30,BL30/BH30-1)</f>
        <v>#NAME?</v>
      </c>
      <c r="BM32" s="39" t="e">
        <f t="shared" ref="BM32" ca="1" si="150">+IF(BI30&lt;0,1-BM30/BI30,BM30/BI30-1)</f>
        <v>#NAME?</v>
      </c>
      <c r="BN32" s="39" t="e">
        <f t="shared" ref="BN32" ca="1" si="151">+IF(BJ30&lt;0,1-BN30/BJ30,BN30/BJ30-1)</f>
        <v>#NAME?</v>
      </c>
      <c r="BO32" s="39" t="e">
        <f t="shared" ref="BO32" ca="1" si="152">+IF(BK30&lt;0,1-BO30/BK30,BO30/BK30-1)</f>
        <v>#NAME?</v>
      </c>
      <c r="BP32" s="39" t="e">
        <f t="shared" ref="BP32" ca="1" si="153">+IF(BL30&lt;0,1-BP30/BL30,BP30/BL30-1)</f>
        <v>#NAME?</v>
      </c>
      <c r="BQ32" s="39" t="e">
        <f t="shared" ref="BQ32" ca="1" si="154">+IF(BM30&lt;0,1-BQ30/BM30,BQ30/BM30-1)</f>
        <v>#NAME?</v>
      </c>
      <c r="BR32" s="39" t="e">
        <f t="shared" ref="BR32" ca="1" si="155">+IF(BN30&lt;0,1-BR30/BN30,BR30/BN30-1)</f>
        <v>#NAME?</v>
      </c>
      <c r="BS32" s="39" t="e">
        <f t="shared" ref="BS32" ca="1" si="156">+IF(BO30&lt;0,1-BS30/BO30,BS30/BO30-1)</f>
        <v>#NAME?</v>
      </c>
      <c r="BT32" s="39" t="e">
        <f t="shared" ref="BT32" ca="1" si="157">+IF(BP30&lt;0,1-BT30/BP30,BT30/BP30-1)</f>
        <v>#NAME?</v>
      </c>
      <c r="BU32" s="39" t="e">
        <f t="shared" ref="BU32" ca="1" si="158">+IF(BQ30&lt;0,1-BU30/BQ30,BU30/BQ30-1)</f>
        <v>#NAME?</v>
      </c>
      <c r="BV32" s="39" t="e">
        <f t="shared" ref="BV32" ca="1" si="159">+IF(BR30&lt;0,1-BV30/BR30,BV30/BR30-1)</f>
        <v>#NAME?</v>
      </c>
      <c r="BW32" s="39" t="e">
        <f t="shared" ref="BW32" ca="1" si="160">+IF(BS30&lt;0,1-BW30/BS30,BW30/BS30-1)</f>
        <v>#NAME?</v>
      </c>
      <c r="BX32" s="39" t="e">
        <f t="shared" ref="BX32" ca="1" si="161">+IF(BT30&lt;0,1-BX30/BT30,BX30/BT30-1)</f>
        <v>#NAME?</v>
      </c>
      <c r="BY32" s="39" t="e">
        <f t="shared" ref="BY32" ca="1" si="162">+IF(BU30&lt;0,1-BY30/BU30,BY30/BU30-1)</f>
        <v>#NAME?</v>
      </c>
      <c r="BZ32" s="39" t="e">
        <f t="shared" ref="BZ32" ca="1" si="163">+IF(BV30&lt;0,1-BZ30/BV30,BZ30/BV30-1)</f>
        <v>#NAME?</v>
      </c>
      <c r="CA32" s="39" t="e">
        <f t="shared" ref="CA32" ca="1" si="164">+IF(BW30&lt;0,1-CA30/BW30,CA30/BW30-1)</f>
        <v>#NAME?</v>
      </c>
      <c r="CB32" s="39" t="e">
        <f t="shared" ref="CB32" ca="1" si="165">+IF(BX30&lt;0,1-CB30/BX30,CB30/BX30-1)</f>
        <v>#NAME?</v>
      </c>
      <c r="CC32" s="39" t="e">
        <f t="shared" ref="CC32" ca="1" si="166">+IF(BY30&lt;0,1-CC30/BY30,CC30/BY30-1)</f>
        <v>#NAME?</v>
      </c>
      <c r="CD32" s="39" t="e">
        <f t="shared" ref="CD32" ca="1" si="167">+IF(BZ30&lt;0,1-CD30/BZ30,CD30/BZ30-1)</f>
        <v>#NAME?</v>
      </c>
      <c r="CE32" s="39" t="e">
        <f t="shared" ref="CE32" ca="1" si="168">+IF(CA30&lt;0,1-CE30/CA30,CE30/CA30-1)</f>
        <v>#NAME?</v>
      </c>
      <c r="CF32" s="39" t="e">
        <f t="shared" ref="CF32" ca="1" si="169">+IF(CB30&lt;0,1-CF30/CB30,CF30/CB30-1)</f>
        <v>#NAME?</v>
      </c>
      <c r="CG32" s="39" t="e">
        <f t="shared" ref="CG32" ca="1" si="170">+IF(CC30&lt;0,1-CG30/CC30,CG30/CC30-1)</f>
        <v>#NAME?</v>
      </c>
      <c r="CH32" s="39" t="e">
        <f t="shared" ref="CH32:CL32" ca="1" si="171">+IF(CD30&lt;0,1-CH30/CD30,CH30/CD30-1)</f>
        <v>#NAME?</v>
      </c>
      <c r="CI32" s="39" t="e">
        <f t="shared" ca="1" si="171"/>
        <v>#NAME?</v>
      </c>
      <c r="CJ32" s="39" t="e">
        <f t="shared" ca="1" si="171"/>
        <v>#NAME?</v>
      </c>
      <c r="CK32" s="39" t="e">
        <f t="shared" ca="1" si="171"/>
        <v>#NAME?</v>
      </c>
      <c r="CL32" s="39" t="e">
        <f t="shared" ca="1" si="171"/>
        <v>#NAME?</v>
      </c>
      <c r="CM32" s="40" t="e">
        <f t="shared" ref="CM32" ca="1" si="172">+CM30/CI30-1</f>
        <v>#NAME?</v>
      </c>
      <c r="CN32" s="40" t="e">
        <f t="shared" ref="CN32" ca="1" si="173">+CN30/CJ30-1</f>
        <v>#NAME?</v>
      </c>
      <c r="CO32" s="40" t="e">
        <f t="shared" ref="CO32" ca="1" si="174">+CO30/CK30-1</f>
        <v>#NAME?</v>
      </c>
      <c r="CP32" s="40" t="e">
        <f t="shared" ref="CP32" ca="1" si="175">+CP30/CL30-1</f>
        <v>#NAME?</v>
      </c>
      <c r="CQ32" s="40" t="e">
        <f t="shared" ref="CQ32" ca="1" si="176">+CQ30/CM30-1</f>
        <v>#NAME?</v>
      </c>
      <c r="CR32" s="40" t="e">
        <f t="shared" ref="CR32" ca="1" si="177">+CR30/CN30-1</f>
        <v>#NAME?</v>
      </c>
      <c r="CS32" s="40" t="e">
        <f t="shared" ref="CS32" ca="1" si="178">+CS30/CO30-1</f>
        <v>#NAME?</v>
      </c>
      <c r="CT32" s="40" t="e">
        <f t="shared" ref="CT32" ca="1" si="179">+CT30/CP30-1</f>
        <v>#NAME?</v>
      </c>
      <c r="CU32" s="40" t="e">
        <f t="shared" ref="CU32" ca="1" si="180">+CU30/CQ30-1</f>
        <v>#NAME?</v>
      </c>
      <c r="CV32" s="40" t="e">
        <f t="shared" ref="CV32" ca="1" si="181">+CV30/CR30-1</f>
        <v>#NAME?</v>
      </c>
      <c r="CW32" s="40" t="e">
        <f t="shared" ref="CW32" ca="1" si="182">+CW30/CS30-1</f>
        <v>#NAME?</v>
      </c>
      <c r="CX32" s="40" t="e">
        <f t="shared" ref="CX32" ca="1" si="183">+CX30/CT30-1</f>
        <v>#NAME?</v>
      </c>
      <c r="CY32" s="40" t="e">
        <f t="shared" ref="CY32" ca="1" si="184">+CY30/CU30-1</f>
        <v>#NAME?</v>
      </c>
      <c r="CZ32" s="40" t="e">
        <f t="shared" ref="CZ32" ca="1" si="185">+CZ30/CV30-1</f>
        <v>#NAME?</v>
      </c>
      <c r="DA32" s="40" t="e">
        <f t="shared" ref="DA32" ca="1" si="186">+DA30/CW30-1</f>
        <v>#NAME?</v>
      </c>
      <c r="DB32" s="40" t="e">
        <f t="shared" ref="DB32" ca="1" si="187">+DB30/CX30-1</f>
        <v>#NAME?</v>
      </c>
      <c r="DE32" s="122"/>
      <c r="DF32" s="39">
        <v>0.10223389436891184</v>
      </c>
    </row>
    <row r="33" spans="1:110" s="39" customFormat="1" x14ac:dyDescent="0.2">
      <c r="A33" s="39" t="s">
        <v>448</v>
      </c>
      <c r="AB33" s="40"/>
      <c r="AC33" s="40"/>
      <c r="AD33" s="40"/>
      <c r="AE33" s="40"/>
      <c r="AJ33" s="39" t="e">
        <f ca="1">+IF(AI30&lt;0,1-AJ30/AI30,AJ30/AI30-1)</f>
        <v>#NAME?</v>
      </c>
      <c r="AK33" s="39" t="e">
        <f t="shared" ref="AK33" ca="1" si="188">+IF(AJ30&lt;0,1-AK30/AJ30,AK30/AJ30-1)</f>
        <v>#NAME?</v>
      </c>
      <c r="AL33" s="39" t="e">
        <f t="shared" ref="AL33" ca="1" si="189">+IF(AK30&lt;0,1-AL30/AK30,AL30/AK30-1)</f>
        <v>#NAME?</v>
      </c>
      <c r="AM33" s="39" t="e">
        <f t="shared" ref="AM33" ca="1" si="190">+IF(AL30&lt;0,1-AM30/AL30,AM30/AL30-1)</f>
        <v>#NAME?</v>
      </c>
      <c r="AN33" s="39" t="e">
        <f t="shared" ref="AN33" ca="1" si="191">+IF(AM30&lt;0,1-AN30/AM30,AN30/AM30-1)</f>
        <v>#NAME?</v>
      </c>
      <c r="AO33" s="39" t="e">
        <f t="shared" ref="AO33" ca="1" si="192">+IF(AN30&lt;0,1-AO30/AN30,AO30/AN30-1)</f>
        <v>#NAME?</v>
      </c>
      <c r="AP33" s="39" t="e">
        <f t="shared" ref="AP33" ca="1" si="193">+IF(AO30&lt;0,1-AP30/AO30,AP30/AO30-1)</f>
        <v>#NAME?</v>
      </c>
      <c r="AQ33" s="39" t="e">
        <f t="shared" ref="AQ33" ca="1" si="194">+IF(AP30&lt;0,1-AQ30/AP30,AQ30/AP30-1)</f>
        <v>#NAME?</v>
      </c>
      <c r="AR33" s="39" t="e">
        <f t="shared" ref="AR33" ca="1" si="195">+IF(AQ30&lt;0,1-AR30/AQ30,AR30/AQ30-1)</f>
        <v>#NAME?</v>
      </c>
      <c r="AS33" s="39" t="e">
        <f t="shared" ref="AS33" ca="1" si="196">+IF(AR30&lt;0,1-AS30/AR30,AS30/AR30-1)</f>
        <v>#NAME?</v>
      </c>
      <c r="AT33" s="39" t="e">
        <f t="shared" ref="AT33" ca="1" si="197">+IF(AS30&lt;0,1-AT30/AS30,AT30/AS30-1)</f>
        <v>#NAME?</v>
      </c>
      <c r="AU33" s="39" t="e">
        <f t="shared" ref="AU33" ca="1" si="198">+IF(AT30&lt;0,1-AU30/AT30,AU30/AT30-1)</f>
        <v>#NAME?</v>
      </c>
      <c r="AV33" s="39" t="e">
        <f t="shared" ref="AV33" ca="1" si="199">+IF(AU30&lt;0,1-AV30/AU30,AV30/AU30-1)</f>
        <v>#NAME?</v>
      </c>
      <c r="AW33" s="39" t="e">
        <f t="shared" ref="AW33" ca="1" si="200">+IF(AV30&lt;0,1-AW30/AV30,AW30/AV30-1)</f>
        <v>#NAME?</v>
      </c>
      <c r="AX33" s="39" t="e">
        <f t="shared" ref="AX33" ca="1" si="201">+IF(AW30&lt;0,1-AX30/AW30,AX30/AW30-1)</f>
        <v>#NAME?</v>
      </c>
      <c r="AY33" s="39" t="e">
        <f t="shared" ref="AY33" ca="1" si="202">+IF(AX30&lt;0,1-AY30/AX30,AY30/AX30-1)</f>
        <v>#NAME?</v>
      </c>
      <c r="AZ33" s="39" t="e">
        <f t="shared" ref="AZ33" ca="1" si="203">+IF(AY30&lt;0,1-AZ30/AY30,AZ30/AY30-1)</f>
        <v>#NAME?</v>
      </c>
      <c r="BA33" s="39" t="e">
        <f t="shared" ref="BA33" ca="1" si="204">+IF(AZ30&lt;0,1-BA30/AZ30,BA30/AZ30-1)</f>
        <v>#NAME?</v>
      </c>
      <c r="BB33" s="39" t="e">
        <f t="shared" ref="BB33" ca="1" si="205">+IF(BA30&lt;0,1-BB30/BA30,BB30/BA30-1)</f>
        <v>#NAME?</v>
      </c>
      <c r="BC33" s="39" t="e">
        <f t="shared" ref="BC33" ca="1" si="206">+IF(BB30&lt;0,1-BC30/BB30,BC30/BB30-1)</f>
        <v>#NAME?</v>
      </c>
      <c r="BD33" s="39" t="e">
        <f t="shared" ref="BD33" ca="1" si="207">+IF(BC30&lt;0,1-BD30/BC30,BD30/BC30-1)</f>
        <v>#NAME?</v>
      </c>
      <c r="BE33" s="39" t="e">
        <f t="shared" ref="BE33" ca="1" si="208">+IF(BD30&lt;0,1-BE30/BD30,BE30/BD30-1)</f>
        <v>#NAME?</v>
      </c>
      <c r="BF33" s="39" t="e">
        <f t="shared" ref="BF33" ca="1" si="209">+IF(BE30&lt;0,1-BF30/BE30,BF30/BE30-1)</f>
        <v>#NAME?</v>
      </c>
      <c r="BG33" s="39" t="e">
        <f t="shared" ref="BG33" ca="1" si="210">+IF(BF30&lt;0,1-BG30/BF30,BG30/BF30-1)</f>
        <v>#NAME?</v>
      </c>
      <c r="BH33" s="39" t="e">
        <f t="shared" ref="BH33" ca="1" si="211">+IF(BG30&lt;0,1-BH30/BG30,BH30/BG30-1)</f>
        <v>#NAME?</v>
      </c>
      <c r="BI33" s="39" t="e">
        <f t="shared" ref="BI33" ca="1" si="212">+IF(BH30&lt;0,1-BI30/BH30,BI30/BH30-1)</f>
        <v>#NAME?</v>
      </c>
      <c r="BJ33" s="39" t="e">
        <f t="shared" ref="BJ33" ca="1" si="213">+IF(BI30&lt;0,1-BJ30/BI30,BJ30/BI30-1)</f>
        <v>#NAME?</v>
      </c>
      <c r="BK33" s="39" t="e">
        <f t="shared" ref="BK33" ca="1" si="214">+IF(BJ30&lt;0,1-BK30/BJ30,BK30/BJ30-1)</f>
        <v>#NAME?</v>
      </c>
      <c r="BL33" s="39" t="e">
        <f t="shared" ref="BL33" ca="1" si="215">+IF(BK30&lt;0,1-BL30/BK30,BL30/BK30-1)</f>
        <v>#NAME?</v>
      </c>
      <c r="BM33" s="39" t="e">
        <f t="shared" ref="BM33" ca="1" si="216">+IF(BL30&lt;0,1-BM30/BL30,BM30/BL30-1)</f>
        <v>#NAME?</v>
      </c>
      <c r="BN33" s="39" t="e">
        <f t="shared" ref="BN33" ca="1" si="217">+IF(BM30&lt;0,1-BN30/BM30,BN30/BM30-1)</f>
        <v>#NAME?</v>
      </c>
      <c r="BO33" s="39" t="e">
        <f t="shared" ref="BO33" ca="1" si="218">+IF(BN30&lt;0,1-BO30/BN30,BO30/BN30-1)</f>
        <v>#NAME?</v>
      </c>
      <c r="BP33" s="39" t="e">
        <f t="shared" ref="BP33" ca="1" si="219">+IF(BO30&lt;0,1-BP30/BO30,BP30/BO30-1)</f>
        <v>#NAME?</v>
      </c>
      <c r="BQ33" s="39" t="e">
        <f t="shared" ref="BQ33" ca="1" si="220">+IF(BP30&lt;0,1-BQ30/BP30,BQ30/BP30-1)</f>
        <v>#NAME?</v>
      </c>
      <c r="BR33" s="39" t="e">
        <f t="shared" ref="BR33" ca="1" si="221">+IF(BQ30&lt;0,1-BR30/BQ30,BR30/BQ30-1)</f>
        <v>#NAME?</v>
      </c>
      <c r="BS33" s="39" t="e">
        <f t="shared" ref="BS33" ca="1" si="222">+IF(BR30&lt;0,1-BS30/BR30,BS30/BR30-1)</f>
        <v>#NAME?</v>
      </c>
      <c r="BT33" s="39" t="e">
        <f t="shared" ref="BT33" ca="1" si="223">+IF(BS30&lt;0,1-BT30/BS30,BT30/BS30-1)</f>
        <v>#NAME?</v>
      </c>
      <c r="BU33" s="39" t="e">
        <f t="shared" ref="BU33" ca="1" si="224">+IF(BT30&lt;0,1-BU30/BT30,BU30/BT30-1)</f>
        <v>#NAME?</v>
      </c>
      <c r="BV33" s="39" t="e">
        <f t="shared" ref="BV33" ca="1" si="225">+IF(BU30&lt;0,1-BV30/BU30,BV30/BU30-1)</f>
        <v>#NAME?</v>
      </c>
      <c r="BW33" s="39" t="e">
        <f t="shared" ref="BW33" ca="1" si="226">+IF(BV30&lt;0,1-BW30/BV30,BW30/BV30-1)</f>
        <v>#NAME?</v>
      </c>
      <c r="BX33" s="39" t="e">
        <f t="shared" ref="BX33" ca="1" si="227">+IF(BW30&lt;0,1-BX30/BW30,BX30/BW30-1)</f>
        <v>#NAME?</v>
      </c>
      <c r="BY33" s="39" t="e">
        <f t="shared" ref="BY33" ca="1" si="228">+IF(BX30&lt;0,1-BY30/BX30,BY30/BX30-1)</f>
        <v>#NAME?</v>
      </c>
      <c r="BZ33" s="39" t="e">
        <f t="shared" ref="BZ33" ca="1" si="229">+IF(BY30&lt;0,1-BZ30/BY30,BZ30/BY30-1)</f>
        <v>#NAME?</v>
      </c>
      <c r="CA33" s="39" t="e">
        <f t="shared" ref="CA33" ca="1" si="230">+IF(BZ30&lt;0,1-CA30/BZ30,CA30/BZ30-1)</f>
        <v>#NAME?</v>
      </c>
      <c r="CB33" s="39" t="e">
        <f t="shared" ref="CB33" ca="1" si="231">+IF(CA30&lt;0,1-CB30/CA30,CB30/CA30-1)</f>
        <v>#NAME?</v>
      </c>
      <c r="CC33" s="39" t="e">
        <f t="shared" ref="CC33" ca="1" si="232">+IF(CB30&lt;0,1-CC30/CB30,CC30/CB30-1)</f>
        <v>#NAME?</v>
      </c>
      <c r="CD33" s="39" t="e">
        <f t="shared" ref="CD33" ca="1" si="233">+IF(CC30&lt;0,1-CD30/CC30,CD30/CC30-1)</f>
        <v>#NAME?</v>
      </c>
      <c r="CE33" s="39" t="e">
        <f t="shared" ref="CE33" ca="1" si="234">+IF(CD30&lt;0,1-CE30/CD30,CE30/CD30-1)</f>
        <v>#NAME?</v>
      </c>
      <c r="CF33" s="39" t="e">
        <f t="shared" ref="CF33" ca="1" si="235">+IF(CE30&lt;0,1-CF30/CE30,CF30/CE30-1)</f>
        <v>#NAME?</v>
      </c>
      <c r="CG33" s="39" t="e">
        <f t="shared" ref="CG33" ca="1" si="236">+IF(CF30&lt;0,1-CG30/CF30,CG30/CF30-1)</f>
        <v>#NAME?</v>
      </c>
      <c r="CH33" s="39" t="e">
        <f t="shared" ref="CH33:CL33" ca="1" si="237">+IF(CG30&lt;0,1-CH30/CG30,CH30/CG30-1)</f>
        <v>#NAME?</v>
      </c>
      <c r="CI33" s="39" t="e">
        <f t="shared" ca="1" si="237"/>
        <v>#NAME?</v>
      </c>
      <c r="CJ33" s="39" t="e">
        <f t="shared" ca="1" si="237"/>
        <v>#NAME?</v>
      </c>
      <c r="CK33" s="39" t="e">
        <f t="shared" ca="1" si="237"/>
        <v>#NAME?</v>
      </c>
      <c r="CL33" s="39" t="e">
        <f t="shared" ca="1" si="237"/>
        <v>#NAME?</v>
      </c>
      <c r="CM33" s="40" t="e">
        <f t="shared" ref="CM33" ca="1" si="238">+CM30/CL30-1</f>
        <v>#NAME?</v>
      </c>
      <c r="CN33" s="40" t="e">
        <f t="shared" ref="CN33" ca="1" si="239">+CN30/CM30-1</f>
        <v>#NAME?</v>
      </c>
      <c r="CO33" s="40" t="e">
        <f t="shared" ref="CO33" ca="1" si="240">+CO30/CN30-1</f>
        <v>#NAME?</v>
      </c>
      <c r="CP33" s="40" t="e">
        <f t="shared" ref="CP33" ca="1" si="241">+CP30/CO30-1</f>
        <v>#NAME?</v>
      </c>
      <c r="CQ33" s="40" t="e">
        <f t="shared" ref="CQ33" ca="1" si="242">+CQ30/CP30-1</f>
        <v>#NAME?</v>
      </c>
      <c r="CR33" s="40" t="e">
        <f t="shared" ref="CR33" ca="1" si="243">+CR30/CQ30-1</f>
        <v>#NAME?</v>
      </c>
      <c r="CS33" s="40" t="e">
        <f t="shared" ref="CS33" ca="1" si="244">+CS30/CR30-1</f>
        <v>#NAME?</v>
      </c>
      <c r="CT33" s="40" t="e">
        <f t="shared" ref="CT33" ca="1" si="245">+CT30/CS30-1</f>
        <v>#NAME?</v>
      </c>
      <c r="CU33" s="40" t="e">
        <f t="shared" ref="CU33" ca="1" si="246">+CU30/CT30-1</f>
        <v>#NAME?</v>
      </c>
      <c r="CV33" s="40" t="e">
        <f t="shared" ref="CV33" ca="1" si="247">+CV30/CU30-1</f>
        <v>#NAME?</v>
      </c>
      <c r="CW33" s="40" t="e">
        <f t="shared" ref="CW33" ca="1" si="248">+CW30/CV30-1</f>
        <v>#NAME?</v>
      </c>
      <c r="CX33" s="40" t="e">
        <f t="shared" ref="CX33" ca="1" si="249">+CX30/CW30-1</f>
        <v>#NAME?</v>
      </c>
      <c r="CY33" s="40" t="e">
        <f t="shared" ref="CY33" ca="1" si="250">+CY30/CX30-1</f>
        <v>#NAME?</v>
      </c>
      <c r="CZ33" s="40" t="e">
        <f t="shared" ref="CZ33" ca="1" si="251">+CZ30/CY30-1</f>
        <v>#NAME?</v>
      </c>
      <c r="DA33" s="40" t="e">
        <f t="shared" ref="DA33" ca="1" si="252">+DA30/CZ30-1</f>
        <v>#NAME?</v>
      </c>
      <c r="DB33" s="40" t="e">
        <f t="shared" ref="DB33" ca="1" si="253">+DB30/DA30-1</f>
        <v>#NAME?</v>
      </c>
      <c r="DE33" s="122"/>
    </row>
    <row r="34" spans="1:110" s="23" customFormat="1" outlineLevel="1" x14ac:dyDescent="0.2">
      <c r="A34" s="23" t="s">
        <v>8</v>
      </c>
      <c r="B34" s="23" t="e">
        <f ca="1">'Annual Raw'!C14</f>
        <v>#NAME?</v>
      </c>
      <c r="C34" s="23" t="e">
        <f ca="1">'Annual Raw'!D14</f>
        <v>#NAME?</v>
      </c>
      <c r="D34" s="23" t="e">
        <f ca="1">'Annual Raw'!E14</f>
        <v>#NAME?</v>
      </c>
      <c r="E34" s="23" t="e">
        <f ca="1">'Annual Raw'!F14</f>
        <v>#NAME?</v>
      </c>
      <c r="F34" s="23" t="e">
        <f ca="1">'Annual Raw'!G14</f>
        <v>#NAME?</v>
      </c>
      <c r="G34" s="23" t="e">
        <f ca="1">'Annual Raw'!H14</f>
        <v>#NAME?</v>
      </c>
      <c r="H34" s="23" t="e">
        <f ca="1">'Annual Raw'!I14</f>
        <v>#NAME?</v>
      </c>
      <c r="I34" s="23" t="e">
        <f ca="1">'Annual Raw'!J14</f>
        <v>#NAME?</v>
      </c>
      <c r="J34" s="23" t="e">
        <f ca="1">'Annual Raw'!K14</f>
        <v>#NAME?</v>
      </c>
      <c r="K34" s="23" t="e">
        <f ca="1">'Annual Raw'!L14</f>
        <v>#NAME?</v>
      </c>
      <c r="L34" s="23" t="e">
        <f ca="1">'Annual Raw'!M14</f>
        <v>#NAME?</v>
      </c>
      <c r="M34" s="23" t="e">
        <f ca="1">'Annual Raw'!N14</f>
        <v>#NAME?</v>
      </c>
      <c r="N34" s="23" t="e">
        <f ca="1">'Annual Raw'!O14</f>
        <v>#NAME?</v>
      </c>
      <c r="O34" s="23" t="e">
        <f ca="1">'Annual Raw'!P14</f>
        <v>#NAME?</v>
      </c>
      <c r="P34" s="23" t="e">
        <f ca="1">'Annual Raw'!Q14</f>
        <v>#NAME?</v>
      </c>
      <c r="Q34" s="23" t="e">
        <f ca="1">'Annual Raw'!R14</f>
        <v>#NAME?</v>
      </c>
      <c r="R34" s="23" t="e">
        <f ca="1">'Annual Raw'!S14</f>
        <v>#NAME?</v>
      </c>
      <c r="S34" s="23" t="e">
        <f ca="1">'Annual Raw'!T14</f>
        <v>#NAME?</v>
      </c>
      <c r="T34" s="23" t="e">
        <f ca="1">'Annual Raw'!U14</f>
        <v>#NAME?</v>
      </c>
      <c r="U34" s="23" t="e">
        <f ca="1">'Annual Raw'!V14</f>
        <v>#NAME?</v>
      </c>
      <c r="V34" s="23" t="e">
        <f ca="1">'Annual Raw'!W14</f>
        <v>#NAME?</v>
      </c>
      <c r="W34" s="23" t="e">
        <f ca="1">'Annual Raw'!X14</f>
        <v>#NAME?</v>
      </c>
      <c r="X34" s="23" t="e">
        <f ca="1">'Annual Raw'!Y14</f>
        <v>#NAME?</v>
      </c>
      <c r="Y34" s="23" t="e">
        <f ca="1">'Annual Raw'!Z14</f>
        <v>#NAME?</v>
      </c>
      <c r="Z34" s="23" t="e">
        <f ca="1">'Annual Raw'!AA14</f>
        <v>#NAME?</v>
      </c>
      <c r="AA34" s="23" t="e">
        <f ca="1">'Annual Raw'!AB14</f>
        <v>#NAME?</v>
      </c>
      <c r="AB34" s="76" t="e">
        <f t="shared" ref="AB34:AB39" ca="1" si="254">+SUM(CM34:CP34)</f>
        <v>#NAME?</v>
      </c>
      <c r="AC34" s="76" t="e">
        <f t="shared" ref="AC34:AC39" ca="1" si="255">+SUM(CQ34:CT34)</f>
        <v>#NAME?</v>
      </c>
      <c r="AD34" s="76" t="e">
        <f t="shared" ref="AD34:AD39" ca="1" si="256">+SUM(CU34:CX34)</f>
        <v>#NAME?</v>
      </c>
      <c r="AE34" s="76" t="e">
        <f t="shared" ref="AE34:AE39" ca="1" si="257">+SUM(CY34:DB34)</f>
        <v>#NAME?</v>
      </c>
      <c r="AI34" s="23" t="e">
        <f ca="1">'QTR Raw'!C16</f>
        <v>#NAME?</v>
      </c>
      <c r="AJ34" s="23" t="e">
        <f ca="1">'QTR Raw'!D16</f>
        <v>#NAME?</v>
      </c>
      <c r="AK34" s="23" t="e">
        <f ca="1">'QTR Raw'!E16</f>
        <v>#NAME?</v>
      </c>
      <c r="AL34" s="23" t="e">
        <f ca="1">'QTR Raw'!F16</f>
        <v>#NAME?</v>
      </c>
      <c r="AM34" s="23" t="e">
        <f ca="1">'QTR Raw'!G16</f>
        <v>#NAME?</v>
      </c>
      <c r="AN34" s="23" t="e">
        <f ca="1">'QTR Raw'!H16</f>
        <v>#NAME?</v>
      </c>
      <c r="AO34" s="23" t="e">
        <f ca="1">'QTR Raw'!I16</f>
        <v>#NAME?</v>
      </c>
      <c r="AP34" s="23" t="e">
        <f ca="1">'QTR Raw'!J16</f>
        <v>#NAME?</v>
      </c>
      <c r="AQ34" s="23" t="e">
        <f ca="1">'QTR Raw'!K16</f>
        <v>#NAME?</v>
      </c>
      <c r="AR34" s="23" t="e">
        <f ca="1">'QTR Raw'!L16</f>
        <v>#NAME?</v>
      </c>
      <c r="AS34" s="23" t="e">
        <f ca="1">'QTR Raw'!M16</f>
        <v>#NAME?</v>
      </c>
      <c r="AT34" s="23" t="e">
        <f ca="1">'QTR Raw'!N16</f>
        <v>#NAME?</v>
      </c>
      <c r="AU34" s="23" t="e">
        <f ca="1">'QTR Raw'!O16</f>
        <v>#NAME?</v>
      </c>
      <c r="AV34" s="23" t="e">
        <f ca="1">'QTR Raw'!P16</f>
        <v>#NAME?</v>
      </c>
      <c r="AW34" s="23" t="e">
        <f ca="1">'QTR Raw'!Q16</f>
        <v>#NAME?</v>
      </c>
      <c r="AX34" s="23" t="e">
        <f ca="1">'QTR Raw'!R16</f>
        <v>#NAME?</v>
      </c>
      <c r="AY34" s="23" t="e">
        <f ca="1">'QTR Raw'!S16</f>
        <v>#NAME?</v>
      </c>
      <c r="AZ34" s="23" t="e">
        <f ca="1">'QTR Raw'!T16</f>
        <v>#NAME?</v>
      </c>
      <c r="BA34" s="23" t="e">
        <f ca="1">'QTR Raw'!U16</f>
        <v>#NAME?</v>
      </c>
      <c r="BB34" s="23" t="e">
        <f ca="1">'QTR Raw'!V16</f>
        <v>#NAME?</v>
      </c>
      <c r="BC34" s="23" t="e">
        <f ca="1">'QTR Raw'!W16</f>
        <v>#NAME?</v>
      </c>
      <c r="BD34" s="23" t="e">
        <f ca="1">'QTR Raw'!X16</f>
        <v>#NAME?</v>
      </c>
      <c r="BE34" s="23" t="e">
        <f ca="1">'QTR Raw'!Y16</f>
        <v>#NAME?</v>
      </c>
      <c r="BF34" s="23" t="e">
        <f ca="1">'QTR Raw'!Z16</f>
        <v>#NAME?</v>
      </c>
      <c r="BG34" s="23" t="e">
        <f ca="1">'QTR Raw'!AA16</f>
        <v>#NAME?</v>
      </c>
      <c r="BH34" s="23" t="e">
        <f ca="1">'QTR Raw'!AB16</f>
        <v>#NAME?</v>
      </c>
      <c r="BI34" s="23" t="e">
        <f ca="1">'QTR Raw'!AC16</f>
        <v>#NAME?</v>
      </c>
      <c r="BJ34" s="23" t="e">
        <f ca="1">'QTR Raw'!AD16</f>
        <v>#NAME?</v>
      </c>
      <c r="BK34" s="23" t="e">
        <f ca="1">'QTR Raw'!AE16</f>
        <v>#NAME?</v>
      </c>
      <c r="BL34" s="23" t="e">
        <f ca="1">'QTR Raw'!AF16</f>
        <v>#NAME?</v>
      </c>
      <c r="BM34" s="23" t="e">
        <f ca="1">'QTR Raw'!AG16</f>
        <v>#NAME?</v>
      </c>
      <c r="BN34" s="23" t="e">
        <f ca="1">'QTR Raw'!AH16</f>
        <v>#NAME?</v>
      </c>
      <c r="BO34" s="23" t="e">
        <f ca="1">'QTR Raw'!AI16</f>
        <v>#NAME?</v>
      </c>
      <c r="BP34" s="23" t="e">
        <f ca="1">'QTR Raw'!AJ16</f>
        <v>#NAME?</v>
      </c>
      <c r="BQ34" s="23" t="e">
        <f ca="1">'QTR Raw'!AK16</f>
        <v>#NAME?</v>
      </c>
      <c r="BR34" s="23" t="e">
        <f ca="1">'QTR Raw'!AL16</f>
        <v>#NAME?</v>
      </c>
      <c r="BS34" s="23" t="e">
        <f ca="1">'QTR Raw'!AM16</f>
        <v>#NAME?</v>
      </c>
      <c r="BT34" s="23" t="e">
        <f ca="1">'QTR Raw'!AN16</f>
        <v>#NAME?</v>
      </c>
      <c r="BU34" s="23" t="e">
        <f ca="1">'QTR Raw'!AO16</f>
        <v>#NAME?</v>
      </c>
      <c r="BV34" s="23" t="e">
        <f ca="1">'QTR Raw'!AP16</f>
        <v>#NAME?</v>
      </c>
      <c r="BW34" s="23" t="e">
        <f ca="1">'QTR Raw'!AQ16</f>
        <v>#NAME?</v>
      </c>
      <c r="BX34" s="23" t="e">
        <f ca="1">'QTR Raw'!AR16</f>
        <v>#NAME?</v>
      </c>
      <c r="BY34" s="23" t="e">
        <f ca="1">'QTR Raw'!AS16</f>
        <v>#NAME?</v>
      </c>
      <c r="BZ34" s="23" t="e">
        <f ca="1">'QTR Raw'!AT16</f>
        <v>#NAME?</v>
      </c>
      <c r="CA34" s="23" t="e">
        <f ca="1">'QTR Raw'!AU16</f>
        <v>#NAME?</v>
      </c>
      <c r="CB34" s="23" t="e">
        <f ca="1">'QTR Raw'!AV16</f>
        <v>#NAME?</v>
      </c>
      <c r="CC34" s="23" t="e">
        <f ca="1">'QTR Raw'!AW16</f>
        <v>#NAME?</v>
      </c>
      <c r="CD34" s="23" t="e">
        <f ca="1">'QTR Raw'!AX16</f>
        <v>#NAME?</v>
      </c>
      <c r="CE34" s="23" t="e">
        <f ca="1">'QTR Raw'!AY16</f>
        <v>#NAME?</v>
      </c>
      <c r="CF34" s="23" t="e">
        <f ca="1">'QTR Raw'!AZ16</f>
        <v>#NAME?</v>
      </c>
      <c r="CG34" s="23" t="e">
        <f ca="1">'QTR Raw'!BA16</f>
        <v>#NAME?</v>
      </c>
      <c r="CH34" s="23">
        <v>66.834000000000003</v>
      </c>
      <c r="CI34" s="23" t="e">
        <f ca="1">'QTR Raw'!BC16</f>
        <v>#NAME?</v>
      </c>
      <c r="CJ34" s="23" t="e">
        <f ca="1">'QTR Raw'!BD16</f>
        <v>#NAME?</v>
      </c>
      <c r="CK34" s="23" t="e">
        <f ca="1">'QTR Raw'!BE16</f>
        <v>#NAME?</v>
      </c>
      <c r="CL34" s="23" t="e">
        <f ca="1">'QTR Raw'!BF16</f>
        <v>#NAME?</v>
      </c>
      <c r="CM34" s="24" t="e">
        <f t="shared" ref="CM34:DB34" ca="1" si="258">CI34*107%</f>
        <v>#NAME?</v>
      </c>
      <c r="CN34" s="24" t="e">
        <f t="shared" ca="1" si="258"/>
        <v>#NAME?</v>
      </c>
      <c r="CO34" s="24" t="e">
        <f t="shared" ca="1" si="258"/>
        <v>#NAME?</v>
      </c>
      <c r="CP34" s="24" t="e">
        <f t="shared" ca="1" si="258"/>
        <v>#NAME?</v>
      </c>
      <c r="CQ34" s="24" t="e">
        <f t="shared" ca="1" si="258"/>
        <v>#NAME?</v>
      </c>
      <c r="CR34" s="24" t="e">
        <f t="shared" ca="1" si="258"/>
        <v>#NAME?</v>
      </c>
      <c r="CS34" s="24" t="e">
        <f t="shared" ca="1" si="258"/>
        <v>#NAME?</v>
      </c>
      <c r="CT34" s="24" t="e">
        <f t="shared" ca="1" si="258"/>
        <v>#NAME?</v>
      </c>
      <c r="CU34" s="24" t="e">
        <f t="shared" ca="1" si="258"/>
        <v>#NAME?</v>
      </c>
      <c r="CV34" s="24" t="e">
        <f t="shared" ca="1" si="258"/>
        <v>#NAME?</v>
      </c>
      <c r="CW34" s="24" t="e">
        <f t="shared" ca="1" si="258"/>
        <v>#NAME?</v>
      </c>
      <c r="CX34" s="24" t="e">
        <f t="shared" ca="1" si="258"/>
        <v>#NAME?</v>
      </c>
      <c r="CY34" s="24" t="e">
        <f t="shared" ca="1" si="258"/>
        <v>#NAME?</v>
      </c>
      <c r="CZ34" s="24" t="e">
        <f t="shared" ca="1" si="258"/>
        <v>#NAME?</v>
      </c>
      <c r="DA34" s="24" t="e">
        <f t="shared" ca="1" si="258"/>
        <v>#NAME?</v>
      </c>
      <c r="DB34" s="24" t="e">
        <f t="shared" ca="1" si="258"/>
        <v>#NAME?</v>
      </c>
      <c r="DE34" s="123"/>
      <c r="DF34" s="23">
        <v>303.29599999999999</v>
      </c>
    </row>
    <row r="35" spans="1:110" s="23" customFormat="1" outlineLevel="1" x14ac:dyDescent="0.2">
      <c r="A35" s="23" t="s">
        <v>10</v>
      </c>
      <c r="B35" s="23" t="e">
        <f ca="1">'Annual Raw'!C17</f>
        <v>#NAME?</v>
      </c>
      <c r="C35" s="23" t="e">
        <f ca="1">'Annual Raw'!D17</f>
        <v>#NAME?</v>
      </c>
      <c r="D35" s="23" t="e">
        <f ca="1">'Annual Raw'!E17</f>
        <v>#NAME?</v>
      </c>
      <c r="E35" s="23" t="e">
        <f ca="1">'Annual Raw'!F17</f>
        <v>#NAME?</v>
      </c>
      <c r="F35" s="23" t="e">
        <f ca="1">'Annual Raw'!G17</f>
        <v>#NAME?</v>
      </c>
      <c r="G35" s="23" t="e">
        <f ca="1">'Annual Raw'!H17</f>
        <v>#NAME?</v>
      </c>
      <c r="H35" s="23" t="e">
        <f ca="1">'Annual Raw'!I17</f>
        <v>#NAME?</v>
      </c>
      <c r="I35" s="23" t="e">
        <f ca="1">'Annual Raw'!J17</f>
        <v>#NAME?</v>
      </c>
      <c r="J35" s="23" t="e">
        <f ca="1">'Annual Raw'!K17</f>
        <v>#NAME?</v>
      </c>
      <c r="K35" s="23" t="e">
        <f ca="1">'Annual Raw'!L17</f>
        <v>#NAME?</v>
      </c>
      <c r="L35" s="23" t="e">
        <f ca="1">'Annual Raw'!M17</f>
        <v>#NAME?</v>
      </c>
      <c r="M35" s="23" t="e">
        <f ca="1">'Annual Raw'!N17</f>
        <v>#NAME?</v>
      </c>
      <c r="N35" s="23" t="e">
        <f ca="1">'Annual Raw'!O17</f>
        <v>#NAME?</v>
      </c>
      <c r="O35" s="23" t="e">
        <f ca="1">'Annual Raw'!P17</f>
        <v>#NAME?</v>
      </c>
      <c r="P35" s="23" t="e">
        <f ca="1">'Annual Raw'!Q17</f>
        <v>#NAME?</v>
      </c>
      <c r="Q35" s="23" t="e">
        <f ca="1">'Annual Raw'!R17</f>
        <v>#NAME?</v>
      </c>
      <c r="R35" s="23" t="e">
        <f ca="1">'Annual Raw'!S17</f>
        <v>#NAME?</v>
      </c>
      <c r="S35" s="23" t="e">
        <f ca="1">'Annual Raw'!T17</f>
        <v>#NAME?</v>
      </c>
      <c r="T35" s="23" t="e">
        <f ca="1">'Annual Raw'!U17</f>
        <v>#NAME?</v>
      </c>
      <c r="U35" s="23" t="e">
        <f ca="1">'Annual Raw'!V17</f>
        <v>#NAME?</v>
      </c>
      <c r="V35" s="23" t="e">
        <f ca="1">'Annual Raw'!W17</f>
        <v>#NAME?</v>
      </c>
      <c r="W35" s="23" t="e">
        <f ca="1">'Annual Raw'!X17</f>
        <v>#NAME?</v>
      </c>
      <c r="X35" s="23" t="e">
        <f ca="1">'Annual Raw'!Y17</f>
        <v>#NAME?</v>
      </c>
      <c r="Y35" s="23" t="e">
        <f ca="1">'Annual Raw'!Z17</f>
        <v>#NAME?</v>
      </c>
      <c r="Z35" s="23" t="e">
        <f ca="1">'Annual Raw'!AA17</f>
        <v>#NAME?</v>
      </c>
      <c r="AA35" s="23" t="e">
        <f ca="1">'Annual Raw'!AB17</f>
        <v>#NAME?</v>
      </c>
      <c r="AB35" s="76">
        <f t="shared" si="254"/>
        <v>0</v>
      </c>
      <c r="AC35" s="76">
        <f t="shared" si="255"/>
        <v>0</v>
      </c>
      <c r="AD35" s="76">
        <f t="shared" si="256"/>
        <v>0</v>
      </c>
      <c r="AE35" s="76">
        <f t="shared" si="257"/>
        <v>0</v>
      </c>
      <c r="AI35" s="23" t="e">
        <f ca="1">'QTR Raw'!C17</f>
        <v>#NAME?</v>
      </c>
      <c r="AJ35" s="23" t="e">
        <f ca="1">'QTR Raw'!D17</f>
        <v>#NAME?</v>
      </c>
      <c r="AK35" s="23" t="e">
        <f ca="1">'QTR Raw'!E17</f>
        <v>#NAME?</v>
      </c>
      <c r="AL35" s="23" t="e">
        <f ca="1">'QTR Raw'!F17</f>
        <v>#NAME?</v>
      </c>
      <c r="AM35" s="23" t="e">
        <f ca="1">'QTR Raw'!G17</f>
        <v>#NAME?</v>
      </c>
      <c r="AN35" s="23" t="e">
        <f ca="1">'QTR Raw'!H17</f>
        <v>#NAME?</v>
      </c>
      <c r="AO35" s="23" t="e">
        <f ca="1">'QTR Raw'!I17</f>
        <v>#NAME?</v>
      </c>
      <c r="AP35" s="23" t="e">
        <f ca="1">'QTR Raw'!J17</f>
        <v>#NAME?</v>
      </c>
      <c r="AQ35" s="23" t="e">
        <f ca="1">'QTR Raw'!K17</f>
        <v>#NAME?</v>
      </c>
      <c r="AR35" s="23" t="e">
        <f ca="1">'QTR Raw'!L17</f>
        <v>#NAME?</v>
      </c>
      <c r="AS35" s="23" t="e">
        <f ca="1">'QTR Raw'!M17</f>
        <v>#NAME?</v>
      </c>
      <c r="AT35" s="23" t="e">
        <f ca="1">'QTR Raw'!N17</f>
        <v>#NAME?</v>
      </c>
      <c r="AU35" s="23" t="e">
        <f ca="1">'QTR Raw'!O17</f>
        <v>#NAME?</v>
      </c>
      <c r="AV35" s="23" t="e">
        <f ca="1">'QTR Raw'!P17</f>
        <v>#NAME?</v>
      </c>
      <c r="AW35" s="23" t="e">
        <f ca="1">'QTR Raw'!Q17</f>
        <v>#NAME?</v>
      </c>
      <c r="AX35" s="23" t="e">
        <f ca="1">'QTR Raw'!R17</f>
        <v>#NAME?</v>
      </c>
      <c r="AY35" s="23" t="e">
        <f ca="1">'QTR Raw'!S17</f>
        <v>#NAME?</v>
      </c>
      <c r="AZ35" s="23" t="e">
        <f ca="1">'QTR Raw'!T17</f>
        <v>#NAME?</v>
      </c>
      <c r="BA35" s="23" t="e">
        <f ca="1">'QTR Raw'!U17</f>
        <v>#NAME?</v>
      </c>
      <c r="BB35" s="23" t="e">
        <f ca="1">'QTR Raw'!V17</f>
        <v>#NAME?</v>
      </c>
      <c r="BC35" s="23" t="e">
        <f ca="1">'QTR Raw'!W17</f>
        <v>#NAME?</v>
      </c>
      <c r="BD35" s="23" t="e">
        <f ca="1">'QTR Raw'!X17</f>
        <v>#NAME?</v>
      </c>
      <c r="BE35" s="23" t="e">
        <f ca="1">'QTR Raw'!Y17</f>
        <v>#NAME?</v>
      </c>
      <c r="BF35" s="23" t="e">
        <f ca="1">'QTR Raw'!Z17</f>
        <v>#NAME?</v>
      </c>
      <c r="BG35" s="23" t="e">
        <f ca="1">'QTR Raw'!AA17</f>
        <v>#NAME?</v>
      </c>
      <c r="BH35" s="23" t="e">
        <f ca="1">'QTR Raw'!AB17</f>
        <v>#NAME?</v>
      </c>
      <c r="BI35" s="23" t="e">
        <f ca="1">'QTR Raw'!AC17</f>
        <v>#NAME?</v>
      </c>
      <c r="BJ35" s="23" t="e">
        <f ca="1">'QTR Raw'!AD17</f>
        <v>#NAME?</v>
      </c>
      <c r="BK35" s="23" t="e">
        <f ca="1">'QTR Raw'!AE17</f>
        <v>#NAME?</v>
      </c>
      <c r="BL35" s="23" t="e">
        <f ca="1">'QTR Raw'!AF17</f>
        <v>#NAME?</v>
      </c>
      <c r="BM35" s="23" t="e">
        <f ca="1">'QTR Raw'!AG17</f>
        <v>#NAME?</v>
      </c>
      <c r="BN35" s="23" t="e">
        <f ca="1">'QTR Raw'!AH17</f>
        <v>#NAME?</v>
      </c>
      <c r="BO35" s="23" t="e">
        <f ca="1">'QTR Raw'!AI17</f>
        <v>#NAME?</v>
      </c>
      <c r="BP35" s="23" t="e">
        <f ca="1">'QTR Raw'!AJ17</f>
        <v>#NAME?</v>
      </c>
      <c r="BQ35" s="23" t="e">
        <f ca="1">'QTR Raw'!AK17</f>
        <v>#NAME?</v>
      </c>
      <c r="BR35" s="23" t="e">
        <f ca="1">'QTR Raw'!AL17</f>
        <v>#NAME?</v>
      </c>
      <c r="BS35" s="23" t="e">
        <f ca="1">'QTR Raw'!AM17</f>
        <v>#NAME?</v>
      </c>
      <c r="BT35" s="23" t="e">
        <f ca="1">'QTR Raw'!AN17</f>
        <v>#NAME?</v>
      </c>
      <c r="BU35" s="23" t="e">
        <f ca="1">'QTR Raw'!AO17</f>
        <v>#NAME?</v>
      </c>
      <c r="BV35" s="23" t="e">
        <f ca="1">'QTR Raw'!AP17</f>
        <v>#NAME?</v>
      </c>
      <c r="BW35" s="23" t="e">
        <f ca="1">'QTR Raw'!AQ17</f>
        <v>#NAME?</v>
      </c>
      <c r="BX35" s="23" t="e">
        <f ca="1">'QTR Raw'!AR17</f>
        <v>#NAME?</v>
      </c>
      <c r="BY35" s="23" t="e">
        <f ca="1">'QTR Raw'!AS17</f>
        <v>#NAME?</v>
      </c>
      <c r="BZ35" s="23" t="e">
        <f ca="1">'QTR Raw'!AT17</f>
        <v>#NAME?</v>
      </c>
      <c r="CA35" s="23" t="e">
        <f ca="1">'QTR Raw'!AU17</f>
        <v>#NAME?</v>
      </c>
      <c r="CB35" s="23" t="e">
        <f ca="1">'QTR Raw'!AV17</f>
        <v>#NAME?</v>
      </c>
      <c r="CC35" s="23" t="e">
        <f ca="1">'QTR Raw'!AW17</f>
        <v>#NAME?</v>
      </c>
      <c r="CD35" s="23" t="e">
        <f ca="1">'QTR Raw'!AX17</f>
        <v>#NAME?</v>
      </c>
      <c r="CE35" s="23" t="e">
        <f ca="1">'QTR Raw'!AY17</f>
        <v>#NAME?</v>
      </c>
      <c r="CF35" s="23" t="e">
        <f ca="1">'QTR Raw'!AZ17</f>
        <v>#NAME?</v>
      </c>
      <c r="CG35" s="23" t="e">
        <f ca="1">'QTR Raw'!BA17</f>
        <v>#NAME?</v>
      </c>
      <c r="CH35" s="23">
        <v>23.9</v>
      </c>
      <c r="CI35" s="23" t="e">
        <f ca="1">'QTR Raw'!BC17</f>
        <v>#NAME?</v>
      </c>
      <c r="CJ35" s="23" t="e">
        <f ca="1">'QTR Raw'!BD17</f>
        <v>#NAME?</v>
      </c>
      <c r="CK35" s="23" t="e">
        <f ca="1">'QTR Raw'!BE17</f>
        <v>#NAME?</v>
      </c>
      <c r="CL35" s="23" t="e">
        <f ca="1">'QTR Raw'!BF17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98.548000000000002</v>
      </c>
    </row>
    <row r="36" spans="1:110" s="23" customFormat="1" outlineLevel="1" x14ac:dyDescent="0.2">
      <c r="A36" s="23" t="s">
        <v>12</v>
      </c>
      <c r="B36" s="23" t="e">
        <f ca="1">'Annual Raw'!C19-'Annual Raw'!C20</f>
        <v>#NAME?</v>
      </c>
      <c r="C36" s="23" t="e">
        <f ca="1">'Annual Raw'!D19-'Annual Raw'!D20</f>
        <v>#NAME?</v>
      </c>
      <c r="D36" s="23" t="e">
        <f ca="1">'Annual Raw'!E19-'Annual Raw'!E20</f>
        <v>#NAME?</v>
      </c>
      <c r="E36" s="23" t="e">
        <f ca="1">'Annual Raw'!F19-'Annual Raw'!F20</f>
        <v>#NAME?</v>
      </c>
      <c r="F36" s="23" t="e">
        <f ca="1">'Annual Raw'!G19-'Annual Raw'!G20</f>
        <v>#NAME?</v>
      </c>
      <c r="G36" s="23" t="e">
        <f ca="1">'Annual Raw'!H19-'Annual Raw'!H20</f>
        <v>#NAME?</v>
      </c>
      <c r="H36" s="23" t="e">
        <f ca="1">'Annual Raw'!I19-'Annual Raw'!I20</f>
        <v>#NAME?</v>
      </c>
      <c r="I36" s="23" t="e">
        <f ca="1">'Annual Raw'!J19-'Annual Raw'!J20</f>
        <v>#NAME?</v>
      </c>
      <c r="J36" s="23" t="e">
        <f ca="1">'Annual Raw'!K19-'Annual Raw'!K20</f>
        <v>#NAME?</v>
      </c>
      <c r="K36" s="23" t="e">
        <f ca="1">'Annual Raw'!L19-'Annual Raw'!L20</f>
        <v>#NAME?</v>
      </c>
      <c r="L36" s="23" t="e">
        <f ca="1">'Annual Raw'!M19-'Annual Raw'!M20</f>
        <v>#NAME?</v>
      </c>
      <c r="M36" s="23" t="e">
        <f ca="1">'Annual Raw'!N19-'Annual Raw'!N20</f>
        <v>#NAME?</v>
      </c>
      <c r="N36" s="23" t="e">
        <f ca="1">'Annual Raw'!O19-'Annual Raw'!O20</f>
        <v>#NAME?</v>
      </c>
      <c r="O36" s="23" t="e">
        <f ca="1">'Annual Raw'!P19-'Annual Raw'!P20</f>
        <v>#NAME?</v>
      </c>
      <c r="P36" s="23" t="e">
        <f ca="1">'Annual Raw'!Q19-'Annual Raw'!Q20</f>
        <v>#NAME?</v>
      </c>
      <c r="Q36" s="23" t="e">
        <f ca="1">'Annual Raw'!R19-'Annual Raw'!R20</f>
        <v>#NAME?</v>
      </c>
      <c r="R36" s="23" t="e">
        <f ca="1">'Annual Raw'!S19-'Annual Raw'!S20</f>
        <v>#NAME?</v>
      </c>
      <c r="S36" s="23" t="e">
        <f ca="1">'Annual Raw'!T19-'Annual Raw'!T20</f>
        <v>#NAME?</v>
      </c>
      <c r="T36" s="23" t="e">
        <f ca="1">'Annual Raw'!U19-'Annual Raw'!U20</f>
        <v>#NAME?</v>
      </c>
      <c r="U36" s="23" t="e">
        <f ca="1">'Annual Raw'!V19-'Annual Raw'!V20</f>
        <v>#NAME?</v>
      </c>
      <c r="V36" s="23" t="e">
        <f ca="1">'Annual Raw'!W19-'Annual Raw'!W20</f>
        <v>#NAME?</v>
      </c>
      <c r="W36" s="23" t="e">
        <f ca="1">'Annual Raw'!X19-'Annual Raw'!X20</f>
        <v>#NAME?</v>
      </c>
      <c r="X36" s="23" t="e">
        <f ca="1">'Annual Raw'!Y19-'Annual Raw'!Y20</f>
        <v>#NAME?</v>
      </c>
      <c r="Y36" s="23" t="e">
        <f ca="1">'Annual Raw'!Z19-'Annual Raw'!Z20</f>
        <v>#NAME?</v>
      </c>
      <c r="Z36" s="23" t="e">
        <f ca="1">'Annual Raw'!AA19-'Annual Raw'!AA20</f>
        <v>#NAME?</v>
      </c>
      <c r="AA36" s="23" t="e">
        <f ca="1">'Annual Raw'!AB19-'Annual Raw'!AB20</f>
        <v>#NAME?</v>
      </c>
      <c r="AB36" s="76">
        <f t="shared" si="254"/>
        <v>0</v>
      </c>
      <c r="AC36" s="76">
        <f t="shared" si="255"/>
        <v>0</v>
      </c>
      <c r="AD36" s="76">
        <f t="shared" si="256"/>
        <v>0</v>
      </c>
      <c r="AE36" s="76">
        <f t="shared" si="257"/>
        <v>0</v>
      </c>
      <c r="AI36" s="23" t="e">
        <f ca="1">+'QTR Raw'!C21</f>
        <v>#NAME?</v>
      </c>
      <c r="AJ36" s="23" t="e">
        <f ca="1">+'QTR Raw'!D21</f>
        <v>#NAME?</v>
      </c>
      <c r="AK36" s="23" t="e">
        <f ca="1">+'QTR Raw'!E21</f>
        <v>#NAME?</v>
      </c>
      <c r="AL36" s="23" t="e">
        <f ca="1">+'QTR Raw'!F21</f>
        <v>#NAME?</v>
      </c>
      <c r="AM36" s="23" t="e">
        <f ca="1">+'QTR Raw'!G21</f>
        <v>#NAME?</v>
      </c>
      <c r="AN36" s="23" t="e">
        <f ca="1">+'QTR Raw'!H21</f>
        <v>#NAME?</v>
      </c>
      <c r="AO36" s="23" t="e">
        <f ca="1">+'QTR Raw'!I21</f>
        <v>#NAME?</v>
      </c>
      <c r="AP36" s="23" t="e">
        <f ca="1">+'QTR Raw'!J21</f>
        <v>#NAME?</v>
      </c>
      <c r="AQ36" s="23" t="e">
        <f ca="1">+'QTR Raw'!K21</f>
        <v>#NAME?</v>
      </c>
      <c r="AR36" s="23" t="e">
        <f ca="1">+'QTR Raw'!L21</f>
        <v>#NAME?</v>
      </c>
      <c r="AS36" s="23" t="e">
        <f ca="1">+'QTR Raw'!M21</f>
        <v>#NAME?</v>
      </c>
      <c r="AT36" s="23" t="e">
        <f ca="1">+'QTR Raw'!N21</f>
        <v>#NAME?</v>
      </c>
      <c r="AU36" s="23" t="e">
        <f ca="1">+'QTR Raw'!O21</f>
        <v>#NAME?</v>
      </c>
      <c r="AV36" s="23" t="e">
        <f ca="1">+'QTR Raw'!P21</f>
        <v>#NAME?</v>
      </c>
      <c r="AW36" s="23" t="e">
        <f ca="1">+'QTR Raw'!Q21</f>
        <v>#NAME?</v>
      </c>
      <c r="AX36" s="23" t="e">
        <f ca="1">+'QTR Raw'!R21</f>
        <v>#NAME?</v>
      </c>
      <c r="AY36" s="23" t="e">
        <f ca="1">+'QTR Raw'!S21</f>
        <v>#NAME?</v>
      </c>
      <c r="AZ36" s="23" t="e">
        <f ca="1">+'QTR Raw'!T21</f>
        <v>#NAME?</v>
      </c>
      <c r="BA36" s="23" t="e">
        <f ca="1">+'QTR Raw'!U21</f>
        <v>#NAME?</v>
      </c>
      <c r="BB36" s="23" t="e">
        <f ca="1">+'QTR Raw'!V21</f>
        <v>#NAME?</v>
      </c>
      <c r="BC36" s="23" t="e">
        <f ca="1">+'QTR Raw'!W21</f>
        <v>#NAME?</v>
      </c>
      <c r="BD36" s="23" t="e">
        <f ca="1">+'QTR Raw'!X21</f>
        <v>#NAME?</v>
      </c>
      <c r="BE36" s="23" t="e">
        <f ca="1">+'QTR Raw'!Y21</f>
        <v>#NAME?</v>
      </c>
      <c r="BF36" s="23" t="e">
        <f ca="1">+'QTR Raw'!Z21</f>
        <v>#NAME?</v>
      </c>
      <c r="BG36" s="23" t="e">
        <f ca="1">+'QTR Raw'!AA21</f>
        <v>#NAME?</v>
      </c>
      <c r="BH36" s="23" t="e">
        <f ca="1">+'QTR Raw'!AB21</f>
        <v>#NAME?</v>
      </c>
      <c r="BI36" s="23" t="e">
        <f ca="1">+'QTR Raw'!AC21</f>
        <v>#NAME?</v>
      </c>
      <c r="BJ36" s="23" t="e">
        <f ca="1">+'QTR Raw'!AD21</f>
        <v>#NAME?</v>
      </c>
      <c r="BK36" s="23" t="e">
        <f ca="1">+'QTR Raw'!AE21</f>
        <v>#NAME?</v>
      </c>
      <c r="BL36" s="23" t="e">
        <f ca="1">+'QTR Raw'!AF21</f>
        <v>#NAME?</v>
      </c>
      <c r="BM36" s="23" t="e">
        <f ca="1">+'QTR Raw'!AG21</f>
        <v>#NAME?</v>
      </c>
      <c r="BN36" s="23" t="e">
        <f ca="1">+'QTR Raw'!AH21</f>
        <v>#NAME?</v>
      </c>
      <c r="BO36" s="23" t="e">
        <f ca="1">+'QTR Raw'!AI21</f>
        <v>#NAME?</v>
      </c>
      <c r="BP36" s="23" t="e">
        <f ca="1">+'QTR Raw'!AJ21</f>
        <v>#NAME?</v>
      </c>
      <c r="BQ36" s="23" t="e">
        <f ca="1">+'QTR Raw'!AK21</f>
        <v>#NAME?</v>
      </c>
      <c r="BR36" s="23" t="e">
        <f ca="1">+'QTR Raw'!AL21</f>
        <v>#NAME?</v>
      </c>
      <c r="BS36" s="23" t="e">
        <f ca="1">+'QTR Raw'!AM21</f>
        <v>#NAME?</v>
      </c>
      <c r="BT36" s="23" t="e">
        <f ca="1">+'QTR Raw'!AN21</f>
        <v>#NAME?</v>
      </c>
      <c r="BU36" s="23" t="e">
        <f ca="1">+'QTR Raw'!AO21</f>
        <v>#NAME?</v>
      </c>
      <c r="BV36" s="23" t="e">
        <f ca="1">+'QTR Raw'!AP21</f>
        <v>#NAME?</v>
      </c>
      <c r="BW36" s="23" t="e">
        <f ca="1">+'QTR Raw'!AQ21</f>
        <v>#NAME?</v>
      </c>
      <c r="BX36" s="23" t="e">
        <f ca="1">+'QTR Raw'!AR21</f>
        <v>#NAME?</v>
      </c>
      <c r="BY36" s="23" t="e">
        <f ca="1">+'QTR Raw'!AS21</f>
        <v>#NAME?</v>
      </c>
      <c r="BZ36" s="23" t="e">
        <f ca="1">+'QTR Raw'!AT21</f>
        <v>#NAME?</v>
      </c>
      <c r="CA36" s="23" t="e">
        <f ca="1">+'QTR Raw'!AU21</f>
        <v>#NAME?</v>
      </c>
      <c r="CB36" s="23" t="e">
        <f ca="1">+'QTR Raw'!AV21</f>
        <v>#NAME?</v>
      </c>
      <c r="CC36" s="23" t="e">
        <f ca="1">+'QTR Raw'!AW21</f>
        <v>#NAME?</v>
      </c>
      <c r="CD36" s="23" t="e">
        <f ca="1">+'QTR Raw'!AX21</f>
        <v>#NAME?</v>
      </c>
      <c r="CE36" s="23" t="e">
        <f ca="1">+'QTR Raw'!AY21</f>
        <v>#NAME?</v>
      </c>
      <c r="CF36" s="23" t="e">
        <f ca="1">+'QTR Raw'!AZ21</f>
        <v>#NAME?</v>
      </c>
      <c r="CG36" s="23" t="e">
        <f ca="1">+'QTR Raw'!BA21</f>
        <v>#NAME?</v>
      </c>
      <c r="CH36" s="23">
        <v>-0.28999999999999998</v>
      </c>
      <c r="CI36" s="23" t="e">
        <f ca="1">+'QTR Raw'!BC21</f>
        <v>#NAME?</v>
      </c>
      <c r="CJ36" s="23" t="e">
        <f ca="1">+'QTR Raw'!BD21</f>
        <v>#NAME?</v>
      </c>
      <c r="CK36" s="23" t="e">
        <f ca="1">+'QTR Raw'!BE21</f>
        <v>#NAME?</v>
      </c>
      <c r="CL36" s="23" t="e">
        <f ca="1">+'QTR Raw'!BF21</f>
        <v>#NAME?</v>
      </c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E36" s="123"/>
      <c r="DF36" s="23">
        <v>1.3</v>
      </c>
    </row>
    <row r="37" spans="1:110" s="23" customFormat="1" outlineLevel="1" x14ac:dyDescent="0.2">
      <c r="A37" s="23" t="s">
        <v>9</v>
      </c>
      <c r="B37" s="23" t="e">
        <f ca="1">'Annual Raw'!C15+'Annual Raw'!C16</f>
        <v>#NAME?</v>
      </c>
      <c r="C37" s="23" t="e">
        <f ca="1">'Annual Raw'!D15+'Annual Raw'!D16</f>
        <v>#NAME?</v>
      </c>
      <c r="D37" s="23" t="e">
        <f ca="1">'Annual Raw'!E15+'Annual Raw'!E16</f>
        <v>#NAME?</v>
      </c>
      <c r="E37" s="23" t="e">
        <f ca="1">'Annual Raw'!F15+'Annual Raw'!F16</f>
        <v>#NAME?</v>
      </c>
      <c r="F37" s="23" t="e">
        <f ca="1">'Annual Raw'!G15+'Annual Raw'!G16</f>
        <v>#NAME?</v>
      </c>
      <c r="G37" s="23" t="e">
        <f ca="1">'Annual Raw'!H15+'Annual Raw'!H16</f>
        <v>#NAME?</v>
      </c>
      <c r="H37" s="23" t="e">
        <f ca="1">'Annual Raw'!I15+'Annual Raw'!I16</f>
        <v>#NAME?</v>
      </c>
      <c r="I37" s="23" t="e">
        <f ca="1">'Annual Raw'!J15+'Annual Raw'!J16</f>
        <v>#NAME?</v>
      </c>
      <c r="J37" s="23" t="e">
        <f ca="1">'Annual Raw'!K15+'Annual Raw'!K16</f>
        <v>#NAME?</v>
      </c>
      <c r="K37" s="23" t="e">
        <f ca="1">'Annual Raw'!L15+'Annual Raw'!L16</f>
        <v>#NAME?</v>
      </c>
      <c r="L37" s="23" t="e">
        <f ca="1">'Annual Raw'!M15+'Annual Raw'!M16</f>
        <v>#NAME?</v>
      </c>
      <c r="M37" s="23" t="e">
        <f ca="1">'Annual Raw'!N15+'Annual Raw'!N16</f>
        <v>#NAME?</v>
      </c>
      <c r="N37" s="23" t="e">
        <f ca="1">'Annual Raw'!O15+'Annual Raw'!O16</f>
        <v>#NAME?</v>
      </c>
      <c r="O37" s="23" t="e">
        <f ca="1">'Annual Raw'!P15+'Annual Raw'!P16</f>
        <v>#NAME?</v>
      </c>
      <c r="P37" s="23" t="e">
        <f ca="1">'Annual Raw'!Q15+'Annual Raw'!Q16</f>
        <v>#NAME?</v>
      </c>
      <c r="Q37" s="23" t="e">
        <f ca="1">'Annual Raw'!R15+'Annual Raw'!R16</f>
        <v>#NAME?</v>
      </c>
      <c r="R37" s="23" t="e">
        <f ca="1">'Annual Raw'!S15+'Annual Raw'!S16</f>
        <v>#NAME?</v>
      </c>
      <c r="S37" s="23" t="e">
        <f ca="1">'Annual Raw'!T15+'Annual Raw'!T16</f>
        <v>#NAME?</v>
      </c>
      <c r="T37" s="23" t="e">
        <f ca="1">'Annual Raw'!U15+'Annual Raw'!U16</f>
        <v>#NAME?</v>
      </c>
      <c r="U37" s="23" t="e">
        <f ca="1">'Annual Raw'!V15+'Annual Raw'!V16</f>
        <v>#NAME?</v>
      </c>
      <c r="V37" s="23" t="e">
        <f ca="1">'Annual Raw'!W15+'Annual Raw'!W16</f>
        <v>#NAME?</v>
      </c>
      <c r="W37" s="23" t="e">
        <f ca="1">'Annual Raw'!X15+'Annual Raw'!X16</f>
        <v>#NAME?</v>
      </c>
      <c r="X37" s="23" t="e">
        <f ca="1">'Annual Raw'!Y15+'Annual Raw'!Y16</f>
        <v>#NAME?</v>
      </c>
      <c r="Y37" s="23" t="e">
        <f ca="1">'Annual Raw'!Z15+'Annual Raw'!Z16</f>
        <v>#NAME?</v>
      </c>
      <c r="Z37" s="23" t="e">
        <f ca="1">'Annual Raw'!AA15+'Annual Raw'!AA16</f>
        <v>#NAME?</v>
      </c>
      <c r="AA37" s="23" t="e">
        <f ca="1">'Annual Raw'!AB15+'Annual Raw'!AB16</f>
        <v>#NAME?</v>
      </c>
      <c r="AB37" s="76" t="e">
        <f t="shared" ca="1" si="254"/>
        <v>#NAME?</v>
      </c>
      <c r="AC37" s="76" t="e">
        <f t="shared" ca="1" si="255"/>
        <v>#NAME?</v>
      </c>
      <c r="AD37" s="76" t="e">
        <f t="shared" ca="1" si="256"/>
        <v>#NAME?</v>
      </c>
      <c r="AE37" s="76" t="e">
        <f t="shared" ca="1" si="257"/>
        <v>#NAME?</v>
      </c>
      <c r="AI37" s="23" t="e">
        <f ca="1">'QTR Raw'!C14</f>
        <v>#NAME?</v>
      </c>
      <c r="AJ37" s="23" t="e">
        <f ca="1">'QTR Raw'!D14</f>
        <v>#NAME?</v>
      </c>
      <c r="AK37" s="23" t="e">
        <f ca="1">'QTR Raw'!E14</f>
        <v>#NAME?</v>
      </c>
      <c r="AL37" s="23" t="e">
        <f ca="1">'QTR Raw'!F14</f>
        <v>#NAME?</v>
      </c>
      <c r="AM37" s="23" t="e">
        <f ca="1">'QTR Raw'!G14</f>
        <v>#NAME?</v>
      </c>
      <c r="AN37" s="23" t="e">
        <f ca="1">'QTR Raw'!H14</f>
        <v>#NAME?</v>
      </c>
      <c r="AO37" s="23" t="e">
        <f ca="1">'QTR Raw'!I14</f>
        <v>#NAME?</v>
      </c>
      <c r="AP37" s="23" t="e">
        <f ca="1">'QTR Raw'!J14</f>
        <v>#NAME?</v>
      </c>
      <c r="AQ37" s="23" t="e">
        <f ca="1">'QTR Raw'!K14</f>
        <v>#NAME?</v>
      </c>
      <c r="AR37" s="23" t="e">
        <f ca="1">'QTR Raw'!L14</f>
        <v>#NAME?</v>
      </c>
      <c r="AS37" s="23" t="e">
        <f ca="1">'QTR Raw'!M14</f>
        <v>#NAME?</v>
      </c>
      <c r="AT37" s="23" t="e">
        <f ca="1">'QTR Raw'!N14</f>
        <v>#NAME?</v>
      </c>
      <c r="AU37" s="23" t="e">
        <f ca="1">'QTR Raw'!O14</f>
        <v>#NAME?</v>
      </c>
      <c r="AV37" s="23" t="e">
        <f ca="1">'QTR Raw'!P14</f>
        <v>#NAME?</v>
      </c>
      <c r="AW37" s="23" t="e">
        <f ca="1">'QTR Raw'!Q14</f>
        <v>#NAME?</v>
      </c>
      <c r="AX37" s="23" t="e">
        <f ca="1">'QTR Raw'!R14</f>
        <v>#NAME?</v>
      </c>
      <c r="AY37" s="23" t="e">
        <f ca="1">'QTR Raw'!S14</f>
        <v>#NAME?</v>
      </c>
      <c r="AZ37" s="23" t="e">
        <f ca="1">'QTR Raw'!T14</f>
        <v>#NAME?</v>
      </c>
      <c r="BA37" s="23" t="e">
        <f ca="1">'QTR Raw'!U14</f>
        <v>#NAME?</v>
      </c>
      <c r="BB37" s="23" t="e">
        <f ca="1">'QTR Raw'!V14</f>
        <v>#NAME?</v>
      </c>
      <c r="BC37" s="23" t="e">
        <f ca="1">'QTR Raw'!W14</f>
        <v>#NAME?</v>
      </c>
      <c r="BD37" s="23" t="e">
        <f ca="1">'QTR Raw'!X14</f>
        <v>#NAME?</v>
      </c>
      <c r="BE37" s="23" t="e">
        <f ca="1">'QTR Raw'!Y14</f>
        <v>#NAME?</v>
      </c>
      <c r="BF37" s="23" t="e">
        <f ca="1">'QTR Raw'!Z14</f>
        <v>#NAME?</v>
      </c>
      <c r="BG37" s="23" t="e">
        <f ca="1">'QTR Raw'!AA14</f>
        <v>#NAME?</v>
      </c>
      <c r="BH37" s="23" t="e">
        <f ca="1">'QTR Raw'!AB14</f>
        <v>#NAME?</v>
      </c>
      <c r="BI37" s="23" t="e">
        <f ca="1">'QTR Raw'!AC14</f>
        <v>#NAME?</v>
      </c>
      <c r="BJ37" s="23" t="e">
        <f ca="1">'QTR Raw'!AD14</f>
        <v>#NAME?</v>
      </c>
      <c r="BK37" s="23" t="e">
        <f ca="1">'QTR Raw'!AE14</f>
        <v>#NAME?</v>
      </c>
      <c r="BL37" s="23" t="e">
        <f ca="1">'QTR Raw'!AF14</f>
        <v>#NAME?</v>
      </c>
      <c r="BM37" s="23" t="e">
        <f ca="1">'QTR Raw'!AG14</f>
        <v>#NAME?</v>
      </c>
      <c r="BN37" s="23" t="e">
        <f ca="1">'QTR Raw'!AH14</f>
        <v>#NAME?</v>
      </c>
      <c r="BO37" s="23" t="e">
        <f ca="1">'QTR Raw'!AI14</f>
        <v>#NAME?</v>
      </c>
      <c r="BP37" s="23" t="e">
        <f ca="1">'QTR Raw'!AJ14</f>
        <v>#NAME?</v>
      </c>
      <c r="BQ37" s="23" t="e">
        <f ca="1">'QTR Raw'!AK14</f>
        <v>#NAME?</v>
      </c>
      <c r="BR37" s="23" t="e">
        <f ca="1">'QTR Raw'!AL14</f>
        <v>#NAME?</v>
      </c>
      <c r="BS37" s="23" t="e">
        <f ca="1">'QTR Raw'!AM14</f>
        <v>#NAME?</v>
      </c>
      <c r="BT37" s="23" t="e">
        <f ca="1">'QTR Raw'!AN14</f>
        <v>#NAME?</v>
      </c>
      <c r="BU37" s="23" t="e">
        <f ca="1">'QTR Raw'!AO14</f>
        <v>#NAME?</v>
      </c>
      <c r="BV37" s="23" t="e">
        <f ca="1">'QTR Raw'!AP14</f>
        <v>#NAME?</v>
      </c>
      <c r="BW37" s="23" t="e">
        <f ca="1">'QTR Raw'!AQ14</f>
        <v>#NAME?</v>
      </c>
      <c r="BX37" s="23" t="e">
        <f ca="1">'QTR Raw'!AR14</f>
        <v>#NAME?</v>
      </c>
      <c r="BY37" s="23" t="e">
        <f ca="1">'QTR Raw'!AS14</f>
        <v>#NAME?</v>
      </c>
      <c r="BZ37" s="23" t="e">
        <f ca="1">'QTR Raw'!AT14</f>
        <v>#NAME?</v>
      </c>
      <c r="CA37" s="23" t="e">
        <f ca="1">'QTR Raw'!AU14</f>
        <v>#NAME?</v>
      </c>
      <c r="CB37" s="23" t="e">
        <f ca="1">'QTR Raw'!AV14</f>
        <v>#NAME?</v>
      </c>
      <c r="CC37" s="23" t="e">
        <f ca="1">'QTR Raw'!AW14</f>
        <v>#NAME?</v>
      </c>
      <c r="CD37" s="23" t="e">
        <f ca="1">'QTR Raw'!AX14</f>
        <v>#NAME?</v>
      </c>
      <c r="CE37" s="23" t="e">
        <f ca="1">'QTR Raw'!AY14</f>
        <v>#NAME?</v>
      </c>
      <c r="CF37" s="23" t="e">
        <f ca="1">'QTR Raw'!AZ14</f>
        <v>#NAME?</v>
      </c>
      <c r="CG37" s="23" t="e">
        <f ca="1">'QTR Raw'!BA14</f>
        <v>#NAME?</v>
      </c>
      <c r="CH37" s="23">
        <v>36.28</v>
      </c>
      <c r="CI37" s="23" t="e">
        <f ca="1">'QTR Raw'!BC14</f>
        <v>#NAME?</v>
      </c>
      <c r="CJ37" s="23" t="e">
        <f ca="1">'QTR Raw'!BD14</f>
        <v>#NAME?</v>
      </c>
      <c r="CK37" s="23" t="e">
        <f ca="1">'QTR Raw'!BE14</f>
        <v>#NAME?</v>
      </c>
      <c r="CL37" s="23" t="e">
        <f ca="1">'QTR Raw'!BF14</f>
        <v>#NAME?</v>
      </c>
      <c r="CM37" s="24" t="e">
        <f t="shared" ref="CM37:DB37" ca="1" si="259">CM40-CM34-CM35-CM36-CM38-CM39</f>
        <v>#NAME?</v>
      </c>
      <c r="CN37" s="24" t="e">
        <f t="shared" ca="1" si="259"/>
        <v>#NAME?</v>
      </c>
      <c r="CO37" s="24" t="e">
        <f t="shared" ca="1" si="259"/>
        <v>#NAME?</v>
      </c>
      <c r="CP37" s="24" t="e">
        <f t="shared" ca="1" si="259"/>
        <v>#NAME?</v>
      </c>
      <c r="CQ37" s="24" t="e">
        <f t="shared" ca="1" si="259"/>
        <v>#NAME?</v>
      </c>
      <c r="CR37" s="24" t="e">
        <f t="shared" ca="1" si="259"/>
        <v>#NAME?</v>
      </c>
      <c r="CS37" s="24" t="e">
        <f t="shared" ca="1" si="259"/>
        <v>#NAME?</v>
      </c>
      <c r="CT37" s="24" t="e">
        <f t="shared" ca="1" si="259"/>
        <v>#NAME?</v>
      </c>
      <c r="CU37" s="24" t="e">
        <f t="shared" ca="1" si="259"/>
        <v>#NAME?</v>
      </c>
      <c r="CV37" s="24" t="e">
        <f t="shared" ca="1" si="259"/>
        <v>#NAME?</v>
      </c>
      <c r="CW37" s="24" t="e">
        <f t="shared" ca="1" si="259"/>
        <v>#NAME?</v>
      </c>
      <c r="CX37" s="24" t="e">
        <f t="shared" ca="1" si="259"/>
        <v>#NAME?</v>
      </c>
      <c r="CY37" s="24" t="e">
        <f t="shared" ca="1" si="259"/>
        <v>#NAME?</v>
      </c>
      <c r="CZ37" s="24" t="e">
        <f t="shared" ca="1" si="259"/>
        <v>#NAME?</v>
      </c>
      <c r="DA37" s="24" t="e">
        <f t="shared" ca="1" si="259"/>
        <v>#NAME?</v>
      </c>
      <c r="DB37" s="24" t="e">
        <f t="shared" ca="1" si="259"/>
        <v>#NAME?</v>
      </c>
      <c r="DE37" s="123"/>
      <c r="DF37" s="23">
        <v>150.14400000000001</v>
      </c>
    </row>
    <row r="38" spans="1:110" s="23" customFormat="1" outlineLevel="1" x14ac:dyDescent="0.2">
      <c r="A38" s="23" t="s">
        <v>7</v>
      </c>
      <c r="B38" s="23" t="e">
        <f ca="1">'Annual Raw'!C13</f>
        <v>#NAME?</v>
      </c>
      <c r="C38" s="23" t="e">
        <f ca="1">'Annual Raw'!D13</f>
        <v>#NAME?</v>
      </c>
      <c r="D38" s="23" t="e">
        <f ca="1">'Annual Raw'!E13</f>
        <v>#NAME?</v>
      </c>
      <c r="E38" s="23" t="e">
        <f ca="1">'Annual Raw'!F13</f>
        <v>#NAME?</v>
      </c>
      <c r="F38" s="23" t="e">
        <f ca="1">'Annual Raw'!G13</f>
        <v>#NAME?</v>
      </c>
      <c r="G38" s="23" t="e">
        <f ca="1">'Annual Raw'!H13</f>
        <v>#NAME?</v>
      </c>
      <c r="H38" s="23" t="e">
        <f ca="1">'Annual Raw'!I13</f>
        <v>#NAME?</v>
      </c>
      <c r="I38" s="23" t="e">
        <f ca="1">'Annual Raw'!J13</f>
        <v>#NAME?</v>
      </c>
      <c r="J38" s="23" t="e">
        <f ca="1">'Annual Raw'!K13</f>
        <v>#NAME?</v>
      </c>
      <c r="K38" s="23" t="e">
        <f ca="1">'Annual Raw'!L13</f>
        <v>#NAME?</v>
      </c>
      <c r="L38" s="23" t="e">
        <f ca="1">'Annual Raw'!M13</f>
        <v>#NAME?</v>
      </c>
      <c r="M38" s="23" t="e">
        <f ca="1">'Annual Raw'!N13</f>
        <v>#NAME?</v>
      </c>
      <c r="N38" s="23" t="e">
        <f ca="1">'Annual Raw'!O13</f>
        <v>#NAME?</v>
      </c>
      <c r="O38" s="23" t="e">
        <f ca="1">'Annual Raw'!P13</f>
        <v>#NAME?</v>
      </c>
      <c r="P38" s="23" t="e">
        <f ca="1">'Annual Raw'!Q13</f>
        <v>#NAME?</v>
      </c>
      <c r="Q38" s="23" t="e">
        <f ca="1">'Annual Raw'!R13</f>
        <v>#NAME?</v>
      </c>
      <c r="R38" s="23" t="e">
        <f ca="1">'Annual Raw'!S13</f>
        <v>#NAME?</v>
      </c>
      <c r="S38" s="23" t="e">
        <f ca="1">'Annual Raw'!T13</f>
        <v>#NAME?</v>
      </c>
      <c r="T38" s="23" t="e">
        <f ca="1">'Annual Raw'!U13</f>
        <v>#NAME?</v>
      </c>
      <c r="U38" s="23" t="e">
        <f ca="1">'Annual Raw'!V13</f>
        <v>#NAME?</v>
      </c>
      <c r="V38" s="23" t="e">
        <f ca="1">'Annual Raw'!W13</f>
        <v>#NAME?</v>
      </c>
      <c r="W38" s="23" t="e">
        <f ca="1">'Annual Raw'!X13</f>
        <v>#NAME?</v>
      </c>
      <c r="X38" s="23" t="e">
        <f ca="1">'Annual Raw'!Y13</f>
        <v>#NAME?</v>
      </c>
      <c r="Y38" s="23" t="e">
        <f ca="1">'Annual Raw'!Z13</f>
        <v>#NAME?</v>
      </c>
      <c r="Z38" s="23" t="e">
        <f ca="1">'Annual Raw'!AA13</f>
        <v>#NAME?</v>
      </c>
      <c r="AA38" s="23" t="e">
        <f ca="1">'Annual Raw'!AB13</f>
        <v>#NAME?</v>
      </c>
      <c r="AB38" s="76">
        <f t="shared" si="254"/>
        <v>0</v>
      </c>
      <c r="AC38" s="76">
        <f t="shared" si="255"/>
        <v>0</v>
      </c>
      <c r="AD38" s="76">
        <f t="shared" si="256"/>
        <v>0</v>
      </c>
      <c r="AE38" s="76">
        <f t="shared" si="257"/>
        <v>0</v>
      </c>
      <c r="AI38" s="23" t="e">
        <f ca="1">'QTR Raw'!C15</f>
        <v>#NAME?</v>
      </c>
      <c r="AJ38" s="23" t="e">
        <f ca="1">'QTR Raw'!D15</f>
        <v>#NAME?</v>
      </c>
      <c r="AK38" s="23" t="e">
        <f ca="1">'QTR Raw'!E15</f>
        <v>#NAME?</v>
      </c>
      <c r="AL38" s="23" t="e">
        <f ca="1">'QTR Raw'!F15</f>
        <v>#NAME?</v>
      </c>
      <c r="AM38" s="23" t="e">
        <f ca="1">'QTR Raw'!G15</f>
        <v>#NAME?</v>
      </c>
      <c r="AN38" s="23" t="e">
        <f ca="1">'QTR Raw'!H15</f>
        <v>#NAME?</v>
      </c>
      <c r="AO38" s="23" t="e">
        <f ca="1">'QTR Raw'!I15</f>
        <v>#NAME?</v>
      </c>
      <c r="AP38" s="23" t="e">
        <f ca="1">'QTR Raw'!J15</f>
        <v>#NAME?</v>
      </c>
      <c r="AQ38" s="23" t="e">
        <f ca="1">'QTR Raw'!K15</f>
        <v>#NAME?</v>
      </c>
      <c r="AR38" s="23" t="e">
        <f ca="1">'QTR Raw'!L15</f>
        <v>#NAME?</v>
      </c>
      <c r="AS38" s="23" t="e">
        <f ca="1">'QTR Raw'!M15</f>
        <v>#NAME?</v>
      </c>
      <c r="AT38" s="23" t="e">
        <f ca="1">'QTR Raw'!N15</f>
        <v>#NAME?</v>
      </c>
      <c r="AU38" s="23" t="e">
        <f ca="1">'QTR Raw'!O15</f>
        <v>#NAME?</v>
      </c>
      <c r="AV38" s="23" t="e">
        <f ca="1">'QTR Raw'!P15</f>
        <v>#NAME?</v>
      </c>
      <c r="AW38" s="23" t="e">
        <f ca="1">'QTR Raw'!Q15</f>
        <v>#NAME?</v>
      </c>
      <c r="AX38" s="23" t="e">
        <f ca="1">'QTR Raw'!R15</f>
        <v>#NAME?</v>
      </c>
      <c r="AY38" s="23" t="e">
        <f ca="1">'QTR Raw'!S15</f>
        <v>#NAME?</v>
      </c>
      <c r="AZ38" s="23" t="e">
        <f ca="1">'QTR Raw'!T15</f>
        <v>#NAME?</v>
      </c>
      <c r="BA38" s="23" t="e">
        <f ca="1">'QTR Raw'!U15</f>
        <v>#NAME?</v>
      </c>
      <c r="BB38" s="23" t="e">
        <f ca="1">'QTR Raw'!V15</f>
        <v>#NAME?</v>
      </c>
      <c r="BC38" s="23" t="e">
        <f ca="1">'QTR Raw'!W15</f>
        <v>#NAME?</v>
      </c>
      <c r="BD38" s="23" t="e">
        <f ca="1">'QTR Raw'!X15</f>
        <v>#NAME?</v>
      </c>
      <c r="BE38" s="23" t="e">
        <f ca="1">'QTR Raw'!Y15</f>
        <v>#NAME?</v>
      </c>
      <c r="BF38" s="23" t="e">
        <f ca="1">'QTR Raw'!Z15</f>
        <v>#NAME?</v>
      </c>
      <c r="BG38" s="23" t="e">
        <f ca="1">'QTR Raw'!AA15</f>
        <v>#NAME?</v>
      </c>
      <c r="BH38" s="23" t="e">
        <f ca="1">'QTR Raw'!AB15</f>
        <v>#NAME?</v>
      </c>
      <c r="BI38" s="23" t="e">
        <f ca="1">'QTR Raw'!AC15</f>
        <v>#NAME?</v>
      </c>
      <c r="BJ38" s="23" t="e">
        <f ca="1">'QTR Raw'!AD15</f>
        <v>#NAME?</v>
      </c>
      <c r="BK38" s="23" t="e">
        <f ca="1">'QTR Raw'!AE15</f>
        <v>#NAME?</v>
      </c>
      <c r="BL38" s="23" t="e">
        <f ca="1">'QTR Raw'!AF15</f>
        <v>#NAME?</v>
      </c>
      <c r="BM38" s="23" t="e">
        <f ca="1">'QTR Raw'!AG15</f>
        <v>#NAME?</v>
      </c>
      <c r="BN38" s="23" t="e">
        <f ca="1">'QTR Raw'!AH15</f>
        <v>#NAME?</v>
      </c>
      <c r="BO38" s="23" t="e">
        <f ca="1">'QTR Raw'!AI15</f>
        <v>#NAME?</v>
      </c>
      <c r="BP38" s="23" t="e">
        <f ca="1">'QTR Raw'!AJ15</f>
        <v>#NAME?</v>
      </c>
      <c r="BQ38" s="23" t="e">
        <f ca="1">'QTR Raw'!AK15</f>
        <v>#NAME?</v>
      </c>
      <c r="BR38" s="23" t="e">
        <f ca="1">'QTR Raw'!AL15</f>
        <v>#NAME?</v>
      </c>
      <c r="BS38" s="23" t="e">
        <f ca="1">'QTR Raw'!AM15</f>
        <v>#NAME?</v>
      </c>
      <c r="BT38" s="23" t="e">
        <f ca="1">'QTR Raw'!AN15</f>
        <v>#NAME?</v>
      </c>
      <c r="BU38" s="23" t="e">
        <f ca="1">'QTR Raw'!AO15</f>
        <v>#NAME?</v>
      </c>
      <c r="BV38" s="23" t="e">
        <f ca="1">'QTR Raw'!AP15</f>
        <v>#NAME?</v>
      </c>
      <c r="BW38" s="23" t="e">
        <f ca="1">'QTR Raw'!AQ15</f>
        <v>#NAME?</v>
      </c>
      <c r="BX38" s="23" t="e">
        <f ca="1">'QTR Raw'!AR15</f>
        <v>#NAME?</v>
      </c>
      <c r="BY38" s="23" t="e">
        <f ca="1">'QTR Raw'!AS15</f>
        <v>#NAME?</v>
      </c>
      <c r="BZ38" s="23" t="e">
        <f ca="1">'QTR Raw'!AT15</f>
        <v>#NAME?</v>
      </c>
      <c r="CA38" s="23" t="e">
        <f ca="1">'QTR Raw'!AU15</f>
        <v>#NAME?</v>
      </c>
      <c r="CB38" s="23" t="e">
        <f ca="1">'QTR Raw'!AV15</f>
        <v>#NAME?</v>
      </c>
      <c r="CC38" s="23" t="e">
        <f ca="1">'QTR Raw'!AW15</f>
        <v>#NAME?</v>
      </c>
      <c r="CD38" s="23" t="e">
        <f ca="1">'QTR Raw'!AX15</f>
        <v>#NAME?</v>
      </c>
      <c r="CE38" s="23" t="e">
        <f ca="1">'QTR Raw'!AY15</f>
        <v>#NAME?</v>
      </c>
      <c r="CF38" s="23" t="e">
        <f ca="1">'QTR Raw'!AZ15</f>
        <v>#NAME?</v>
      </c>
      <c r="CG38" s="23" t="e">
        <f ca="1">'QTR Raw'!BA15</f>
        <v>#NAME?</v>
      </c>
      <c r="CH38" s="23" t="e">
        <f ca="1">'QTR Raw'!BB15</f>
        <v>#NAME?</v>
      </c>
      <c r="CI38" s="23" t="e">
        <f ca="1">'QTR Raw'!BC15</f>
        <v>#NAME?</v>
      </c>
      <c r="CJ38" s="23" t="e">
        <f ca="1">'QTR Raw'!BD15</f>
        <v>#NAME?</v>
      </c>
      <c r="CK38" s="23" t="e">
        <f ca="1">'QTR Raw'!BE15</f>
        <v>#NAME?</v>
      </c>
      <c r="CL38" s="23" t="e">
        <f ca="1">'QTR Raw'!BF15</f>
        <v>#NAME?</v>
      </c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E38" s="123"/>
      <c r="DF38" s="23">
        <v>0</v>
      </c>
    </row>
    <row r="39" spans="1:110" s="23" customFormat="1" outlineLevel="1" x14ac:dyDescent="0.2">
      <c r="A39" s="23" t="s">
        <v>11</v>
      </c>
      <c r="B39" s="23" t="e">
        <f ca="1">'Annual Raw'!C18</f>
        <v>#NAME?</v>
      </c>
      <c r="C39" s="23" t="e">
        <f ca="1">'Annual Raw'!D18</f>
        <v>#NAME?</v>
      </c>
      <c r="D39" s="23" t="e">
        <f ca="1">'Annual Raw'!E18</f>
        <v>#NAME?</v>
      </c>
      <c r="E39" s="23" t="e">
        <f ca="1">'Annual Raw'!F18</f>
        <v>#NAME?</v>
      </c>
      <c r="F39" s="23" t="e">
        <f ca="1">'Annual Raw'!G18</f>
        <v>#NAME?</v>
      </c>
      <c r="G39" s="23" t="e">
        <f ca="1">'Annual Raw'!H18</f>
        <v>#NAME?</v>
      </c>
      <c r="H39" s="23" t="e">
        <f ca="1">'Annual Raw'!I18</f>
        <v>#NAME?</v>
      </c>
      <c r="I39" s="23" t="e">
        <f ca="1">'Annual Raw'!J18</f>
        <v>#NAME?</v>
      </c>
      <c r="J39" s="23" t="e">
        <f ca="1">'Annual Raw'!K18</f>
        <v>#NAME?</v>
      </c>
      <c r="K39" s="23" t="e">
        <f ca="1">'Annual Raw'!L18</f>
        <v>#NAME?</v>
      </c>
      <c r="L39" s="23" t="e">
        <f ca="1">'Annual Raw'!M18</f>
        <v>#NAME?</v>
      </c>
      <c r="M39" s="23" t="e">
        <f ca="1">'Annual Raw'!N18</f>
        <v>#NAME?</v>
      </c>
      <c r="N39" s="23" t="e">
        <f ca="1">'Annual Raw'!O18</f>
        <v>#NAME?</v>
      </c>
      <c r="O39" s="23" t="e">
        <f ca="1">'Annual Raw'!P18</f>
        <v>#NAME?</v>
      </c>
      <c r="P39" s="23" t="e">
        <f ca="1">'Annual Raw'!Q18</f>
        <v>#NAME?</v>
      </c>
      <c r="Q39" s="23" t="e">
        <f ca="1">'Annual Raw'!R18</f>
        <v>#NAME?</v>
      </c>
      <c r="R39" s="23" t="e">
        <f ca="1">'Annual Raw'!S18</f>
        <v>#NAME?</v>
      </c>
      <c r="S39" s="23" t="e">
        <f ca="1">'Annual Raw'!T18</f>
        <v>#NAME?</v>
      </c>
      <c r="T39" s="23" t="e">
        <f ca="1">'Annual Raw'!U18</f>
        <v>#NAME?</v>
      </c>
      <c r="U39" s="23" t="e">
        <f ca="1">'Annual Raw'!V18</f>
        <v>#NAME?</v>
      </c>
      <c r="V39" s="23" t="e">
        <f ca="1">'Annual Raw'!W18</f>
        <v>#NAME?</v>
      </c>
      <c r="W39" s="23" t="e">
        <f ca="1">'Annual Raw'!X18</f>
        <v>#NAME?</v>
      </c>
      <c r="X39" s="23" t="e">
        <f ca="1">'Annual Raw'!Y18</f>
        <v>#NAME?</v>
      </c>
      <c r="Y39" s="23" t="e">
        <f ca="1">'Annual Raw'!Z18</f>
        <v>#NAME?</v>
      </c>
      <c r="Z39" s="23" t="e">
        <f ca="1">'Annual Raw'!AA18</f>
        <v>#NAME?</v>
      </c>
      <c r="AA39" s="23" t="e">
        <f ca="1">'Annual Raw'!AB18</f>
        <v>#NAME?</v>
      </c>
      <c r="AB39" s="76">
        <f t="shared" si="254"/>
        <v>0</v>
      </c>
      <c r="AC39" s="76">
        <f t="shared" si="255"/>
        <v>0</v>
      </c>
      <c r="AD39" s="76">
        <f t="shared" si="256"/>
        <v>0</v>
      </c>
      <c r="AE39" s="76">
        <f t="shared" si="257"/>
        <v>0</v>
      </c>
      <c r="AI39" s="23" t="e">
        <f ca="1">'QTR Raw'!C18</f>
        <v>#NAME?</v>
      </c>
      <c r="AJ39" s="23" t="e">
        <f ca="1">'QTR Raw'!D18</f>
        <v>#NAME?</v>
      </c>
      <c r="AK39" s="23" t="e">
        <f ca="1">'QTR Raw'!E18</f>
        <v>#NAME?</v>
      </c>
      <c r="AL39" s="23" t="e">
        <f ca="1">'QTR Raw'!F18</f>
        <v>#NAME?</v>
      </c>
      <c r="AM39" s="23" t="e">
        <f ca="1">'QTR Raw'!G18</f>
        <v>#NAME?</v>
      </c>
      <c r="AN39" s="23" t="e">
        <f ca="1">'QTR Raw'!H18</f>
        <v>#NAME?</v>
      </c>
      <c r="AO39" s="23" t="e">
        <f ca="1">'QTR Raw'!I18</f>
        <v>#NAME?</v>
      </c>
      <c r="AP39" s="23" t="e">
        <f ca="1">'QTR Raw'!J18</f>
        <v>#NAME?</v>
      </c>
      <c r="AQ39" s="23" t="e">
        <f ca="1">'QTR Raw'!K18</f>
        <v>#NAME?</v>
      </c>
      <c r="AR39" s="23" t="e">
        <f ca="1">'QTR Raw'!L18</f>
        <v>#NAME?</v>
      </c>
      <c r="AS39" s="23" t="e">
        <f ca="1">'QTR Raw'!M18</f>
        <v>#NAME?</v>
      </c>
      <c r="AT39" s="23" t="e">
        <f ca="1">'QTR Raw'!N18</f>
        <v>#NAME?</v>
      </c>
      <c r="AU39" s="23" t="e">
        <f ca="1">'QTR Raw'!O18</f>
        <v>#NAME?</v>
      </c>
      <c r="AV39" s="23" t="e">
        <f ca="1">'QTR Raw'!P18</f>
        <v>#NAME?</v>
      </c>
      <c r="AW39" s="23" t="e">
        <f ca="1">'QTR Raw'!Q18</f>
        <v>#NAME?</v>
      </c>
      <c r="AX39" s="23" t="e">
        <f ca="1">'QTR Raw'!R18</f>
        <v>#NAME?</v>
      </c>
      <c r="AY39" s="23" t="e">
        <f ca="1">'QTR Raw'!S18</f>
        <v>#NAME?</v>
      </c>
      <c r="AZ39" s="23" t="e">
        <f ca="1">'QTR Raw'!T18</f>
        <v>#NAME?</v>
      </c>
      <c r="BA39" s="23" t="e">
        <f ca="1">'QTR Raw'!U18</f>
        <v>#NAME?</v>
      </c>
      <c r="BB39" s="23" t="e">
        <f ca="1">'QTR Raw'!V18</f>
        <v>#NAME?</v>
      </c>
      <c r="BC39" s="23" t="e">
        <f ca="1">'QTR Raw'!W18</f>
        <v>#NAME?</v>
      </c>
      <c r="BD39" s="23" t="e">
        <f ca="1">'QTR Raw'!X18</f>
        <v>#NAME?</v>
      </c>
      <c r="BE39" s="23" t="e">
        <f ca="1">'QTR Raw'!Y18</f>
        <v>#NAME?</v>
      </c>
      <c r="BF39" s="23" t="e">
        <f ca="1">'QTR Raw'!Z18</f>
        <v>#NAME?</v>
      </c>
      <c r="BG39" s="23" t="e">
        <f ca="1">'QTR Raw'!AA18</f>
        <v>#NAME?</v>
      </c>
      <c r="BH39" s="23" t="e">
        <f ca="1">'QTR Raw'!AB18</f>
        <v>#NAME?</v>
      </c>
      <c r="BI39" s="23" t="e">
        <f ca="1">'QTR Raw'!AC18</f>
        <v>#NAME?</v>
      </c>
      <c r="BJ39" s="23" t="e">
        <f ca="1">'QTR Raw'!AD18</f>
        <v>#NAME?</v>
      </c>
      <c r="BK39" s="23" t="e">
        <f ca="1">'QTR Raw'!AE18</f>
        <v>#NAME?</v>
      </c>
      <c r="BL39" s="23" t="e">
        <f ca="1">'QTR Raw'!AF18</f>
        <v>#NAME?</v>
      </c>
      <c r="BM39" s="23" t="e">
        <f ca="1">'QTR Raw'!AG18</f>
        <v>#NAME?</v>
      </c>
      <c r="BN39" s="23" t="e">
        <f ca="1">'QTR Raw'!AH18</f>
        <v>#NAME?</v>
      </c>
      <c r="BO39" s="23" t="e">
        <f ca="1">'QTR Raw'!AI18</f>
        <v>#NAME?</v>
      </c>
      <c r="BP39" s="23" t="e">
        <f ca="1">'QTR Raw'!AJ18</f>
        <v>#NAME?</v>
      </c>
      <c r="BQ39" s="23" t="e">
        <f ca="1">'QTR Raw'!AK18</f>
        <v>#NAME?</v>
      </c>
      <c r="BR39" s="23" t="e">
        <f ca="1">'QTR Raw'!AL18</f>
        <v>#NAME?</v>
      </c>
      <c r="BS39" s="23" t="e">
        <f ca="1">'QTR Raw'!AM18</f>
        <v>#NAME?</v>
      </c>
      <c r="BT39" s="23" t="e">
        <f ca="1">'QTR Raw'!AN18</f>
        <v>#NAME?</v>
      </c>
      <c r="BU39" s="23" t="e">
        <f ca="1">'QTR Raw'!AO18</f>
        <v>#NAME?</v>
      </c>
      <c r="BV39" s="23" t="e">
        <f ca="1">'QTR Raw'!AP18</f>
        <v>#NAME?</v>
      </c>
      <c r="BW39" s="23" t="e">
        <f ca="1">'QTR Raw'!AQ18</f>
        <v>#NAME?</v>
      </c>
      <c r="BX39" s="23" t="e">
        <f ca="1">'QTR Raw'!AR18</f>
        <v>#NAME?</v>
      </c>
      <c r="BY39" s="23" t="e">
        <f ca="1">'QTR Raw'!AS18</f>
        <v>#NAME?</v>
      </c>
      <c r="BZ39" s="23" t="e">
        <f ca="1">'QTR Raw'!AT18</f>
        <v>#NAME?</v>
      </c>
      <c r="CA39" s="23" t="e">
        <f ca="1">'QTR Raw'!AU18</f>
        <v>#NAME?</v>
      </c>
      <c r="CB39" s="23" t="e">
        <f ca="1">'QTR Raw'!AV18</f>
        <v>#NAME?</v>
      </c>
      <c r="CC39" s="23" t="e">
        <f ca="1">'QTR Raw'!AW18</f>
        <v>#NAME?</v>
      </c>
      <c r="CD39" s="23" t="e">
        <f ca="1">'QTR Raw'!AX18</f>
        <v>#NAME?</v>
      </c>
      <c r="CE39" s="23" t="e">
        <f ca="1">'QTR Raw'!AY18</f>
        <v>#NAME?</v>
      </c>
      <c r="CF39" s="23" t="e">
        <f ca="1">'QTR Raw'!AZ18</f>
        <v>#NAME?</v>
      </c>
      <c r="CG39" s="23" t="e">
        <f ca="1">'QTR Raw'!BA18</f>
        <v>#NAME?</v>
      </c>
      <c r="CH39" s="23" t="e">
        <f ca="1">'QTR Raw'!BB18</f>
        <v>#NAME?</v>
      </c>
      <c r="CI39" s="23" t="e">
        <f ca="1">'QTR Raw'!BC18</f>
        <v>#NAME?</v>
      </c>
      <c r="CJ39" s="23" t="e">
        <f ca="1">'QTR Raw'!BD18</f>
        <v>#NAME?</v>
      </c>
      <c r="CK39" s="23" t="e">
        <f ca="1">'QTR Raw'!BE18</f>
        <v>#NAME?</v>
      </c>
      <c r="CL39" s="23" t="e">
        <f ca="1">'QTR Raw'!BF18</f>
        <v>#NAME?</v>
      </c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E39" s="123"/>
      <c r="DF39" s="23">
        <v>0</v>
      </c>
    </row>
    <row r="40" spans="1:110" s="22" customFormat="1" x14ac:dyDescent="0.2">
      <c r="A40" s="33" t="s">
        <v>348</v>
      </c>
      <c r="B40" s="22" t="e">
        <f t="shared" ref="B40:E40" ca="1" si="260">+SUM(B34:B39)</f>
        <v>#NAME?</v>
      </c>
      <c r="C40" s="22" t="e">
        <f t="shared" ca="1" si="260"/>
        <v>#NAME?</v>
      </c>
      <c r="D40" s="22" t="e">
        <f t="shared" ca="1" si="260"/>
        <v>#NAME?</v>
      </c>
      <c r="E40" s="22" t="e">
        <f t="shared" ca="1" si="260"/>
        <v>#NAME?</v>
      </c>
      <c r="F40" s="22" t="e">
        <f t="shared" ref="F40:AE40" ca="1" si="261">+SUM(F34:F39)</f>
        <v>#NAME?</v>
      </c>
      <c r="G40" s="22" t="e">
        <f t="shared" ca="1" si="261"/>
        <v>#NAME?</v>
      </c>
      <c r="H40" s="22" t="e">
        <f t="shared" ca="1" si="261"/>
        <v>#NAME?</v>
      </c>
      <c r="I40" s="22" t="e">
        <f t="shared" ca="1" si="261"/>
        <v>#NAME?</v>
      </c>
      <c r="J40" s="22" t="e">
        <f t="shared" ca="1" si="261"/>
        <v>#NAME?</v>
      </c>
      <c r="K40" s="22" t="e">
        <f t="shared" ca="1" si="261"/>
        <v>#NAME?</v>
      </c>
      <c r="L40" s="22" t="e">
        <f t="shared" ca="1" si="261"/>
        <v>#NAME?</v>
      </c>
      <c r="M40" s="22" t="e">
        <f t="shared" ca="1" si="261"/>
        <v>#NAME?</v>
      </c>
      <c r="N40" s="22" t="e">
        <f t="shared" ca="1" si="261"/>
        <v>#NAME?</v>
      </c>
      <c r="O40" s="22" t="e">
        <f t="shared" ca="1" si="261"/>
        <v>#NAME?</v>
      </c>
      <c r="P40" s="22" t="e">
        <f t="shared" ca="1" si="261"/>
        <v>#NAME?</v>
      </c>
      <c r="Q40" s="22" t="e">
        <f t="shared" ca="1" si="261"/>
        <v>#NAME?</v>
      </c>
      <c r="R40" s="22" t="e">
        <f t="shared" ca="1" si="261"/>
        <v>#NAME?</v>
      </c>
      <c r="S40" s="22" t="e">
        <f t="shared" ca="1" si="261"/>
        <v>#NAME?</v>
      </c>
      <c r="T40" s="22" t="e">
        <f t="shared" ca="1" si="261"/>
        <v>#NAME?</v>
      </c>
      <c r="U40" s="22" t="e">
        <f t="shared" ca="1" si="261"/>
        <v>#NAME?</v>
      </c>
      <c r="V40" s="22" t="e">
        <f t="shared" ca="1" si="261"/>
        <v>#NAME?</v>
      </c>
      <c r="W40" s="22" t="e">
        <f t="shared" ca="1" si="261"/>
        <v>#NAME?</v>
      </c>
      <c r="X40" s="22" t="e">
        <f t="shared" ca="1" si="261"/>
        <v>#NAME?</v>
      </c>
      <c r="Y40" s="22" t="e">
        <f t="shared" ca="1" si="261"/>
        <v>#NAME?</v>
      </c>
      <c r="Z40" s="22" t="e">
        <f t="shared" ref="Z40:AA40" ca="1" si="262">+SUM(Z34:Z39)</f>
        <v>#NAME?</v>
      </c>
      <c r="AA40" s="22" t="e">
        <f t="shared" ca="1" si="262"/>
        <v>#NAME?</v>
      </c>
      <c r="AB40" s="21" t="e">
        <f t="shared" ca="1" si="261"/>
        <v>#NAME?</v>
      </c>
      <c r="AC40" s="21" t="e">
        <f t="shared" ca="1" si="261"/>
        <v>#NAME?</v>
      </c>
      <c r="AD40" s="21" t="e">
        <f t="shared" ca="1" si="261"/>
        <v>#NAME?</v>
      </c>
      <c r="AE40" s="21" t="e">
        <f t="shared" ca="1" si="261"/>
        <v>#NAME?</v>
      </c>
      <c r="AI40" s="22" t="e">
        <f t="shared" ref="AI40:BN40" ca="1" si="263">+SUM(AI34:AI39)</f>
        <v>#NAME?</v>
      </c>
      <c r="AJ40" s="22" t="e">
        <f t="shared" ca="1" si="263"/>
        <v>#NAME?</v>
      </c>
      <c r="AK40" s="22" t="e">
        <f t="shared" ca="1" si="263"/>
        <v>#NAME?</v>
      </c>
      <c r="AL40" s="22" t="e">
        <f t="shared" ca="1" si="263"/>
        <v>#NAME?</v>
      </c>
      <c r="AM40" s="22" t="e">
        <f t="shared" ca="1" si="263"/>
        <v>#NAME?</v>
      </c>
      <c r="AN40" s="22" t="e">
        <f t="shared" ca="1" si="263"/>
        <v>#NAME?</v>
      </c>
      <c r="AO40" s="22" t="e">
        <f t="shared" ca="1" si="263"/>
        <v>#NAME?</v>
      </c>
      <c r="AP40" s="22" t="e">
        <f t="shared" ca="1" si="263"/>
        <v>#NAME?</v>
      </c>
      <c r="AQ40" s="22" t="e">
        <f t="shared" ca="1" si="263"/>
        <v>#NAME?</v>
      </c>
      <c r="AR40" s="22" t="e">
        <f t="shared" ca="1" si="263"/>
        <v>#NAME?</v>
      </c>
      <c r="AS40" s="22" t="e">
        <f t="shared" ca="1" si="263"/>
        <v>#NAME?</v>
      </c>
      <c r="AT40" s="22" t="e">
        <f t="shared" ca="1" si="263"/>
        <v>#NAME?</v>
      </c>
      <c r="AU40" s="22" t="e">
        <f t="shared" ca="1" si="263"/>
        <v>#NAME?</v>
      </c>
      <c r="AV40" s="22" t="e">
        <f t="shared" ca="1" si="263"/>
        <v>#NAME?</v>
      </c>
      <c r="AW40" s="22" t="e">
        <f t="shared" ca="1" si="263"/>
        <v>#NAME?</v>
      </c>
      <c r="AX40" s="22" t="e">
        <f t="shared" ca="1" si="263"/>
        <v>#NAME?</v>
      </c>
      <c r="AY40" s="22" t="e">
        <f t="shared" ca="1" si="263"/>
        <v>#NAME?</v>
      </c>
      <c r="AZ40" s="22" t="e">
        <f t="shared" ca="1" si="263"/>
        <v>#NAME?</v>
      </c>
      <c r="BA40" s="22" t="e">
        <f t="shared" ca="1" si="263"/>
        <v>#NAME?</v>
      </c>
      <c r="BB40" s="22" t="e">
        <f t="shared" ca="1" si="263"/>
        <v>#NAME?</v>
      </c>
      <c r="BC40" s="22" t="e">
        <f t="shared" ca="1" si="263"/>
        <v>#NAME?</v>
      </c>
      <c r="BD40" s="22" t="e">
        <f t="shared" ca="1" si="263"/>
        <v>#NAME?</v>
      </c>
      <c r="BE40" s="22" t="e">
        <f t="shared" ca="1" si="263"/>
        <v>#NAME?</v>
      </c>
      <c r="BF40" s="22" t="e">
        <f t="shared" ca="1" si="263"/>
        <v>#NAME?</v>
      </c>
      <c r="BG40" s="22" t="e">
        <f t="shared" ca="1" si="263"/>
        <v>#NAME?</v>
      </c>
      <c r="BH40" s="22" t="e">
        <f t="shared" ca="1" si="263"/>
        <v>#NAME?</v>
      </c>
      <c r="BI40" s="22" t="e">
        <f t="shared" ca="1" si="263"/>
        <v>#NAME?</v>
      </c>
      <c r="BJ40" s="22" t="e">
        <f t="shared" ca="1" si="263"/>
        <v>#NAME?</v>
      </c>
      <c r="BK40" s="22" t="e">
        <f t="shared" ca="1" si="263"/>
        <v>#NAME?</v>
      </c>
      <c r="BL40" s="22" t="e">
        <f t="shared" ca="1" si="263"/>
        <v>#NAME?</v>
      </c>
      <c r="BM40" s="22" t="e">
        <f t="shared" ca="1" si="263"/>
        <v>#NAME?</v>
      </c>
      <c r="BN40" s="22" t="e">
        <f t="shared" ca="1" si="263"/>
        <v>#NAME?</v>
      </c>
      <c r="BO40" s="22" t="e">
        <f t="shared" ref="BO40:CH40" ca="1" si="264">+SUM(BO34:BO39)</f>
        <v>#NAME?</v>
      </c>
      <c r="BP40" s="22" t="e">
        <f t="shared" ca="1" si="264"/>
        <v>#NAME?</v>
      </c>
      <c r="BQ40" s="22" t="e">
        <f t="shared" ca="1" si="264"/>
        <v>#NAME?</v>
      </c>
      <c r="BR40" s="22" t="e">
        <f t="shared" ca="1" si="264"/>
        <v>#NAME?</v>
      </c>
      <c r="BS40" s="22" t="e">
        <f t="shared" ca="1" si="264"/>
        <v>#NAME?</v>
      </c>
      <c r="BT40" s="22" t="e">
        <f t="shared" ca="1" si="264"/>
        <v>#NAME?</v>
      </c>
      <c r="BU40" s="22" t="e">
        <f t="shared" ca="1" si="264"/>
        <v>#NAME?</v>
      </c>
      <c r="BV40" s="22" t="e">
        <f t="shared" ca="1" si="264"/>
        <v>#NAME?</v>
      </c>
      <c r="BW40" s="22" t="e">
        <f t="shared" ca="1" si="264"/>
        <v>#NAME?</v>
      </c>
      <c r="BX40" s="22" t="e">
        <f t="shared" ca="1" si="264"/>
        <v>#NAME?</v>
      </c>
      <c r="BY40" s="22" t="e">
        <f t="shared" ca="1" si="264"/>
        <v>#NAME?</v>
      </c>
      <c r="BZ40" s="22" t="e">
        <f t="shared" ca="1" si="264"/>
        <v>#NAME?</v>
      </c>
      <c r="CA40" s="22" t="e">
        <f t="shared" ca="1" si="264"/>
        <v>#NAME?</v>
      </c>
      <c r="CB40" s="22" t="e">
        <f t="shared" ca="1" si="264"/>
        <v>#NAME?</v>
      </c>
      <c r="CC40" s="22" t="e">
        <f t="shared" ca="1" si="264"/>
        <v>#NAME?</v>
      </c>
      <c r="CD40" s="22" t="e">
        <f t="shared" ca="1" si="264"/>
        <v>#NAME?</v>
      </c>
      <c r="CE40" s="22" t="e">
        <f t="shared" ca="1" si="264"/>
        <v>#NAME?</v>
      </c>
      <c r="CF40" s="22" t="e">
        <f t="shared" ca="1" si="264"/>
        <v>#NAME?</v>
      </c>
      <c r="CG40" s="22" t="e">
        <f t="shared" ca="1" si="264"/>
        <v>#NAME?</v>
      </c>
      <c r="CH40" s="22" t="e">
        <f t="shared" ca="1" si="264"/>
        <v>#NAME?</v>
      </c>
      <c r="CI40" s="22" t="e">
        <f t="shared" ref="CI40:CJ40" ca="1" si="265">+SUM(CI34:CI39)</f>
        <v>#NAME?</v>
      </c>
      <c r="CJ40" s="22" t="e">
        <f t="shared" ca="1" si="265"/>
        <v>#NAME?</v>
      </c>
      <c r="CK40" s="22" t="e">
        <f t="shared" ref="CK40:CL40" ca="1" si="266">+SUM(CK34:CK39)</f>
        <v>#NAME?</v>
      </c>
      <c r="CL40" s="22" t="e">
        <f t="shared" ca="1" si="266"/>
        <v>#NAME?</v>
      </c>
      <c r="CM40" s="21" t="e">
        <f t="shared" ref="CM40:DB40" ca="1" si="267">CM41*CM24</f>
        <v>#NAME?</v>
      </c>
      <c r="CN40" s="21" t="e">
        <f t="shared" ca="1" si="267"/>
        <v>#NAME?</v>
      </c>
      <c r="CO40" s="21" t="e">
        <f t="shared" ca="1" si="267"/>
        <v>#NAME?</v>
      </c>
      <c r="CP40" s="21" t="e">
        <f t="shared" ca="1" si="267"/>
        <v>#NAME?</v>
      </c>
      <c r="CQ40" s="21" t="e">
        <f t="shared" ca="1" si="267"/>
        <v>#NAME?</v>
      </c>
      <c r="CR40" s="21" t="e">
        <f t="shared" ca="1" si="267"/>
        <v>#NAME?</v>
      </c>
      <c r="CS40" s="21" t="e">
        <f t="shared" ca="1" si="267"/>
        <v>#NAME?</v>
      </c>
      <c r="CT40" s="21" t="e">
        <f t="shared" ca="1" si="267"/>
        <v>#NAME?</v>
      </c>
      <c r="CU40" s="21" t="e">
        <f t="shared" ca="1" si="267"/>
        <v>#NAME?</v>
      </c>
      <c r="CV40" s="21" t="e">
        <f t="shared" ca="1" si="267"/>
        <v>#NAME?</v>
      </c>
      <c r="CW40" s="21" t="e">
        <f t="shared" ca="1" si="267"/>
        <v>#NAME?</v>
      </c>
      <c r="CX40" s="21" t="e">
        <f t="shared" ca="1" si="267"/>
        <v>#NAME?</v>
      </c>
      <c r="CY40" s="21" t="e">
        <f t="shared" ca="1" si="267"/>
        <v>#NAME?</v>
      </c>
      <c r="CZ40" s="21" t="e">
        <f t="shared" ca="1" si="267"/>
        <v>#NAME?</v>
      </c>
      <c r="DA40" s="21" t="e">
        <f t="shared" ca="1" si="267"/>
        <v>#NAME?</v>
      </c>
      <c r="DB40" s="21" t="e">
        <f t="shared" ca="1" si="267"/>
        <v>#NAME?</v>
      </c>
      <c r="DE40" s="126"/>
      <c r="DF40" s="22">
        <v>553.28800000000001</v>
      </c>
    </row>
    <row r="41" spans="1:110" s="44" customFormat="1" x14ac:dyDescent="0.2">
      <c r="A41" s="43" t="s">
        <v>349</v>
      </c>
      <c r="B41" s="44" t="e">
        <f t="shared" ref="B41:E41" ca="1" si="268">B40/B24</f>
        <v>#NAME?</v>
      </c>
      <c r="C41" s="44" t="e">
        <f t="shared" ca="1" si="268"/>
        <v>#NAME?</v>
      </c>
      <c r="D41" s="44" t="e">
        <f t="shared" ca="1" si="268"/>
        <v>#NAME?</v>
      </c>
      <c r="E41" s="44" t="e">
        <f t="shared" ca="1" si="268"/>
        <v>#NAME?</v>
      </c>
      <c r="F41" s="44" t="e">
        <f t="shared" ref="F41:AE41" ca="1" si="269">F40/F24</f>
        <v>#NAME?</v>
      </c>
      <c r="G41" s="44" t="e">
        <f t="shared" ca="1" si="269"/>
        <v>#NAME?</v>
      </c>
      <c r="H41" s="44" t="e">
        <f t="shared" ca="1" si="269"/>
        <v>#NAME?</v>
      </c>
      <c r="I41" s="44" t="e">
        <f t="shared" ca="1" si="269"/>
        <v>#NAME?</v>
      </c>
      <c r="J41" s="44" t="e">
        <f t="shared" ca="1" si="269"/>
        <v>#NAME?</v>
      </c>
      <c r="K41" s="44" t="e">
        <f t="shared" ca="1" si="269"/>
        <v>#NAME?</v>
      </c>
      <c r="L41" s="44" t="e">
        <f t="shared" ca="1" si="269"/>
        <v>#NAME?</v>
      </c>
      <c r="M41" s="44" t="e">
        <f t="shared" ca="1" si="269"/>
        <v>#NAME?</v>
      </c>
      <c r="N41" s="44" t="e">
        <f t="shared" ca="1" si="269"/>
        <v>#NAME?</v>
      </c>
      <c r="O41" s="44" t="e">
        <f t="shared" ca="1" si="269"/>
        <v>#NAME?</v>
      </c>
      <c r="P41" s="44" t="e">
        <f t="shared" ca="1" si="269"/>
        <v>#NAME?</v>
      </c>
      <c r="Q41" s="44" t="e">
        <f t="shared" ca="1" si="269"/>
        <v>#NAME?</v>
      </c>
      <c r="R41" s="44" t="e">
        <f t="shared" ca="1" si="269"/>
        <v>#NAME?</v>
      </c>
      <c r="S41" s="44" t="e">
        <f t="shared" ca="1" si="269"/>
        <v>#NAME?</v>
      </c>
      <c r="T41" s="44" t="e">
        <f t="shared" ca="1" si="269"/>
        <v>#NAME?</v>
      </c>
      <c r="U41" s="44" t="e">
        <f t="shared" ca="1" si="269"/>
        <v>#NAME?</v>
      </c>
      <c r="V41" s="44" t="e">
        <f t="shared" ca="1" si="269"/>
        <v>#NAME?</v>
      </c>
      <c r="W41" s="44" t="e">
        <f t="shared" ca="1" si="269"/>
        <v>#NAME?</v>
      </c>
      <c r="X41" s="44" t="e">
        <f t="shared" ca="1" si="269"/>
        <v>#NAME?</v>
      </c>
      <c r="Y41" s="44" t="e">
        <f t="shared" ca="1" si="269"/>
        <v>#NAME?</v>
      </c>
      <c r="Z41" s="44" t="e">
        <f t="shared" ref="Z41:AA41" ca="1" si="270">Z40/Z24</f>
        <v>#NAME?</v>
      </c>
      <c r="AA41" s="44" t="e">
        <f t="shared" ca="1" si="270"/>
        <v>#NAME?</v>
      </c>
      <c r="AB41" s="52" t="e">
        <f t="shared" ca="1" si="269"/>
        <v>#NAME?</v>
      </c>
      <c r="AC41" s="52" t="e">
        <f t="shared" ca="1" si="269"/>
        <v>#NAME?</v>
      </c>
      <c r="AD41" s="52" t="e">
        <f t="shared" ca="1" si="269"/>
        <v>#NAME?</v>
      </c>
      <c r="AE41" s="52" t="e">
        <f t="shared" ca="1" si="269"/>
        <v>#NAME?</v>
      </c>
      <c r="AI41" s="44" t="e">
        <f t="shared" ref="AI41:BN41" ca="1" si="271">AI40/AI24</f>
        <v>#NAME?</v>
      </c>
      <c r="AJ41" s="44" t="e">
        <f t="shared" ca="1" si="271"/>
        <v>#NAME?</v>
      </c>
      <c r="AK41" s="44" t="e">
        <f t="shared" ca="1" si="271"/>
        <v>#NAME?</v>
      </c>
      <c r="AL41" s="44" t="e">
        <f t="shared" ca="1" si="271"/>
        <v>#NAME?</v>
      </c>
      <c r="AM41" s="44" t="e">
        <f t="shared" ca="1" si="271"/>
        <v>#NAME?</v>
      </c>
      <c r="AN41" s="44" t="e">
        <f t="shared" ca="1" si="271"/>
        <v>#NAME?</v>
      </c>
      <c r="AO41" s="44" t="e">
        <f t="shared" ca="1" si="271"/>
        <v>#NAME?</v>
      </c>
      <c r="AP41" s="44" t="e">
        <f t="shared" ca="1" si="271"/>
        <v>#NAME?</v>
      </c>
      <c r="AQ41" s="44" t="e">
        <f t="shared" ca="1" si="271"/>
        <v>#NAME?</v>
      </c>
      <c r="AR41" s="44" t="e">
        <f t="shared" ca="1" si="271"/>
        <v>#NAME?</v>
      </c>
      <c r="AS41" s="44" t="e">
        <f t="shared" ca="1" si="271"/>
        <v>#NAME?</v>
      </c>
      <c r="AT41" s="44" t="e">
        <f t="shared" ca="1" si="271"/>
        <v>#NAME?</v>
      </c>
      <c r="AU41" s="44" t="e">
        <f t="shared" ca="1" si="271"/>
        <v>#NAME?</v>
      </c>
      <c r="AV41" s="44" t="e">
        <f t="shared" ca="1" si="271"/>
        <v>#NAME?</v>
      </c>
      <c r="AW41" s="44" t="e">
        <f t="shared" ca="1" si="271"/>
        <v>#NAME?</v>
      </c>
      <c r="AX41" s="44" t="e">
        <f t="shared" ca="1" si="271"/>
        <v>#NAME?</v>
      </c>
      <c r="AY41" s="44" t="e">
        <f t="shared" ca="1" si="271"/>
        <v>#NAME?</v>
      </c>
      <c r="AZ41" s="44" t="e">
        <f t="shared" ca="1" si="271"/>
        <v>#NAME?</v>
      </c>
      <c r="BA41" s="44" t="e">
        <f t="shared" ca="1" si="271"/>
        <v>#NAME?</v>
      </c>
      <c r="BB41" s="44" t="e">
        <f t="shared" ca="1" si="271"/>
        <v>#NAME?</v>
      </c>
      <c r="BC41" s="44" t="e">
        <f t="shared" ca="1" si="271"/>
        <v>#NAME?</v>
      </c>
      <c r="BD41" s="44" t="e">
        <f t="shared" ca="1" si="271"/>
        <v>#NAME?</v>
      </c>
      <c r="BE41" s="44" t="e">
        <f t="shared" ca="1" si="271"/>
        <v>#NAME?</v>
      </c>
      <c r="BF41" s="44" t="e">
        <f t="shared" ca="1" si="271"/>
        <v>#NAME?</v>
      </c>
      <c r="BG41" s="44" t="e">
        <f t="shared" ca="1" si="271"/>
        <v>#NAME?</v>
      </c>
      <c r="BH41" s="44" t="e">
        <f t="shared" ca="1" si="271"/>
        <v>#NAME?</v>
      </c>
      <c r="BI41" s="44" t="e">
        <f t="shared" ca="1" si="271"/>
        <v>#NAME?</v>
      </c>
      <c r="BJ41" s="44" t="e">
        <f t="shared" ca="1" si="271"/>
        <v>#NAME?</v>
      </c>
      <c r="BK41" s="44" t="e">
        <f t="shared" ca="1" si="271"/>
        <v>#NAME?</v>
      </c>
      <c r="BL41" s="44" t="e">
        <f t="shared" ca="1" si="271"/>
        <v>#NAME?</v>
      </c>
      <c r="BM41" s="44" t="e">
        <f t="shared" ca="1" si="271"/>
        <v>#NAME?</v>
      </c>
      <c r="BN41" s="44" t="e">
        <f t="shared" ca="1" si="271"/>
        <v>#NAME?</v>
      </c>
      <c r="BO41" s="44" t="e">
        <f t="shared" ref="BO41:CH41" ca="1" si="272">BO40/BO24</f>
        <v>#NAME?</v>
      </c>
      <c r="BP41" s="44" t="e">
        <f t="shared" ca="1" si="272"/>
        <v>#NAME?</v>
      </c>
      <c r="BQ41" s="44" t="e">
        <f t="shared" ca="1" si="272"/>
        <v>#NAME?</v>
      </c>
      <c r="BR41" s="44" t="e">
        <f t="shared" ca="1" si="272"/>
        <v>#NAME?</v>
      </c>
      <c r="BS41" s="44" t="e">
        <f t="shared" ca="1" si="272"/>
        <v>#NAME?</v>
      </c>
      <c r="BT41" s="44" t="e">
        <f t="shared" ca="1" si="272"/>
        <v>#NAME?</v>
      </c>
      <c r="BU41" s="44" t="e">
        <f t="shared" ca="1" si="272"/>
        <v>#NAME?</v>
      </c>
      <c r="BV41" s="44" t="e">
        <f t="shared" ca="1" si="272"/>
        <v>#NAME?</v>
      </c>
      <c r="BW41" s="44" t="e">
        <f t="shared" ca="1" si="272"/>
        <v>#NAME?</v>
      </c>
      <c r="BX41" s="44" t="e">
        <f t="shared" ca="1" si="272"/>
        <v>#NAME?</v>
      </c>
      <c r="BY41" s="44" t="e">
        <f t="shared" ca="1" si="272"/>
        <v>#NAME?</v>
      </c>
      <c r="BZ41" s="44" t="e">
        <f t="shared" ca="1" si="272"/>
        <v>#NAME?</v>
      </c>
      <c r="CA41" s="44" t="e">
        <f t="shared" ca="1" si="272"/>
        <v>#NAME?</v>
      </c>
      <c r="CB41" s="44" t="e">
        <f t="shared" ca="1" si="272"/>
        <v>#NAME?</v>
      </c>
      <c r="CC41" s="44" t="e">
        <f t="shared" ca="1" si="272"/>
        <v>#NAME?</v>
      </c>
      <c r="CD41" s="44" t="e">
        <f t="shared" ca="1" si="272"/>
        <v>#NAME?</v>
      </c>
      <c r="CE41" s="44" t="e">
        <f t="shared" ca="1" si="272"/>
        <v>#NAME?</v>
      </c>
      <c r="CF41" s="44" t="e">
        <f t="shared" ca="1" si="272"/>
        <v>#NAME?</v>
      </c>
      <c r="CG41" s="44" t="e">
        <f t="shared" ca="1" si="272"/>
        <v>#NAME?</v>
      </c>
      <c r="CH41" s="44" t="e">
        <f t="shared" ca="1" si="272"/>
        <v>#NAME?</v>
      </c>
      <c r="CI41" s="44" t="e">
        <f t="shared" ref="CI41:CJ41" ca="1" si="273">CI40/CI24</f>
        <v>#NAME?</v>
      </c>
      <c r="CJ41" s="44" t="e">
        <f t="shared" ca="1" si="273"/>
        <v>#NAME?</v>
      </c>
      <c r="CK41" s="44" t="e">
        <f t="shared" ref="CK41:CL41" ca="1" si="274">CK40/CK24</f>
        <v>#NAME?</v>
      </c>
      <c r="CL41" s="44" t="e">
        <f t="shared" ca="1" si="274"/>
        <v>#NAME?</v>
      </c>
      <c r="CM41" s="52" t="e">
        <f ca="1">CL41</f>
        <v>#NAME?</v>
      </c>
      <c r="CN41" s="52" t="e">
        <f t="shared" ref="CN41:DB41" ca="1" si="275">AVERAGE(CJ41:CM41)</f>
        <v>#NAME?</v>
      </c>
      <c r="CO41" s="52" t="e">
        <f t="shared" ca="1" si="275"/>
        <v>#NAME?</v>
      </c>
      <c r="CP41" s="52" t="e">
        <f t="shared" ca="1" si="275"/>
        <v>#NAME?</v>
      </c>
      <c r="CQ41" s="52" t="e">
        <f t="shared" ca="1" si="275"/>
        <v>#NAME?</v>
      </c>
      <c r="CR41" s="52" t="e">
        <f t="shared" ca="1" si="275"/>
        <v>#NAME?</v>
      </c>
      <c r="CS41" s="52" t="e">
        <f t="shared" ca="1" si="275"/>
        <v>#NAME?</v>
      </c>
      <c r="CT41" s="52" t="e">
        <f t="shared" ca="1" si="275"/>
        <v>#NAME?</v>
      </c>
      <c r="CU41" s="52" t="e">
        <f t="shared" ca="1" si="275"/>
        <v>#NAME?</v>
      </c>
      <c r="CV41" s="52" t="e">
        <f t="shared" ca="1" si="275"/>
        <v>#NAME?</v>
      </c>
      <c r="CW41" s="52" t="e">
        <f t="shared" ca="1" si="275"/>
        <v>#NAME?</v>
      </c>
      <c r="CX41" s="52" t="e">
        <f t="shared" ca="1" si="275"/>
        <v>#NAME?</v>
      </c>
      <c r="CY41" s="52" t="e">
        <f t="shared" ca="1" si="275"/>
        <v>#NAME?</v>
      </c>
      <c r="CZ41" s="52" t="e">
        <f t="shared" ca="1" si="275"/>
        <v>#NAME?</v>
      </c>
      <c r="DA41" s="52" t="e">
        <f t="shared" ca="1" si="275"/>
        <v>#NAME?</v>
      </c>
      <c r="DB41" s="52" t="e">
        <f t="shared" ca="1" si="275"/>
        <v>#NAME?</v>
      </c>
      <c r="DE41" s="128"/>
      <c r="DF41" s="44">
        <v>0.59355666481075608</v>
      </c>
    </row>
    <row r="42" spans="1:110" s="26" customFormat="1" x14ac:dyDescent="0.2">
      <c r="A42" s="34" t="s">
        <v>13</v>
      </c>
      <c r="B42" s="26" t="e">
        <f t="shared" ref="B42:E42" ca="1" si="276">B30-B40</f>
        <v>#NAME?</v>
      </c>
      <c r="C42" s="26" t="e">
        <f t="shared" ca="1" si="276"/>
        <v>#NAME?</v>
      </c>
      <c r="D42" s="26" t="e">
        <f t="shared" ca="1" si="276"/>
        <v>#NAME?</v>
      </c>
      <c r="E42" s="26" t="e">
        <f t="shared" ca="1" si="276"/>
        <v>#NAME?</v>
      </c>
      <c r="F42" s="26" t="e">
        <f t="shared" ref="F42:AE42" ca="1" si="277">F30-F40</f>
        <v>#NAME?</v>
      </c>
      <c r="G42" s="26" t="e">
        <f t="shared" ca="1" si="277"/>
        <v>#NAME?</v>
      </c>
      <c r="H42" s="26" t="e">
        <f t="shared" ca="1" si="277"/>
        <v>#NAME?</v>
      </c>
      <c r="I42" s="26" t="e">
        <f t="shared" ca="1" si="277"/>
        <v>#NAME?</v>
      </c>
      <c r="J42" s="26" t="e">
        <f t="shared" ca="1" si="277"/>
        <v>#NAME?</v>
      </c>
      <c r="K42" s="26" t="e">
        <f t="shared" ca="1" si="277"/>
        <v>#NAME?</v>
      </c>
      <c r="L42" s="26" t="e">
        <f t="shared" ca="1" si="277"/>
        <v>#NAME?</v>
      </c>
      <c r="M42" s="26" t="e">
        <f t="shared" ca="1" si="277"/>
        <v>#NAME?</v>
      </c>
      <c r="N42" s="26" t="e">
        <f t="shared" ca="1" si="277"/>
        <v>#NAME?</v>
      </c>
      <c r="O42" s="26" t="e">
        <f t="shared" ca="1" si="277"/>
        <v>#NAME?</v>
      </c>
      <c r="P42" s="26" t="e">
        <f t="shared" ca="1" si="277"/>
        <v>#NAME?</v>
      </c>
      <c r="Q42" s="26" t="e">
        <f t="shared" ca="1" si="277"/>
        <v>#NAME?</v>
      </c>
      <c r="R42" s="26" t="e">
        <f t="shared" ca="1" si="277"/>
        <v>#NAME?</v>
      </c>
      <c r="S42" s="26" t="e">
        <f t="shared" ca="1" si="277"/>
        <v>#NAME?</v>
      </c>
      <c r="T42" s="26" t="e">
        <f t="shared" ca="1" si="277"/>
        <v>#NAME?</v>
      </c>
      <c r="U42" s="26" t="e">
        <f t="shared" ca="1" si="277"/>
        <v>#NAME?</v>
      </c>
      <c r="V42" s="26" t="e">
        <f t="shared" ca="1" si="277"/>
        <v>#NAME?</v>
      </c>
      <c r="W42" s="26" t="e">
        <f t="shared" ca="1" si="277"/>
        <v>#NAME?</v>
      </c>
      <c r="X42" s="26" t="e">
        <f t="shared" ca="1" si="277"/>
        <v>#NAME?</v>
      </c>
      <c r="Y42" s="26" t="e">
        <f t="shared" ca="1" si="277"/>
        <v>#NAME?</v>
      </c>
      <c r="Z42" s="26" t="e">
        <f t="shared" ref="Z42:AA42" ca="1" si="278">Z30-Z40</f>
        <v>#NAME?</v>
      </c>
      <c r="AA42" s="26" t="e">
        <f t="shared" ca="1" si="278"/>
        <v>#NAME?</v>
      </c>
      <c r="AB42" s="27" t="e">
        <f t="shared" ca="1" si="277"/>
        <v>#NAME?</v>
      </c>
      <c r="AC42" s="27" t="e">
        <f t="shared" ca="1" si="277"/>
        <v>#NAME?</v>
      </c>
      <c r="AD42" s="27" t="e">
        <f t="shared" ca="1" si="277"/>
        <v>#NAME?</v>
      </c>
      <c r="AE42" s="27" t="e">
        <f t="shared" ca="1" si="277"/>
        <v>#NAME?</v>
      </c>
      <c r="AI42" s="26" t="e">
        <f t="shared" ref="AI42:BN42" ca="1" si="279">AI30-AI40</f>
        <v>#NAME?</v>
      </c>
      <c r="AJ42" s="26" t="e">
        <f t="shared" ca="1" si="279"/>
        <v>#NAME?</v>
      </c>
      <c r="AK42" s="26" t="e">
        <f t="shared" ca="1" si="279"/>
        <v>#NAME?</v>
      </c>
      <c r="AL42" s="26" t="e">
        <f t="shared" ca="1" si="279"/>
        <v>#NAME?</v>
      </c>
      <c r="AM42" s="26" t="e">
        <f t="shared" ca="1" si="279"/>
        <v>#NAME?</v>
      </c>
      <c r="AN42" s="26" t="e">
        <f t="shared" ca="1" si="279"/>
        <v>#NAME?</v>
      </c>
      <c r="AO42" s="26" t="e">
        <f t="shared" ca="1" si="279"/>
        <v>#NAME?</v>
      </c>
      <c r="AP42" s="26" t="e">
        <f t="shared" ca="1" si="279"/>
        <v>#NAME?</v>
      </c>
      <c r="AQ42" s="26" t="e">
        <f t="shared" ca="1" si="279"/>
        <v>#NAME?</v>
      </c>
      <c r="AR42" s="26" t="e">
        <f t="shared" ca="1" si="279"/>
        <v>#NAME?</v>
      </c>
      <c r="AS42" s="26" t="e">
        <f t="shared" ca="1" si="279"/>
        <v>#NAME?</v>
      </c>
      <c r="AT42" s="26" t="e">
        <f t="shared" ca="1" si="279"/>
        <v>#NAME?</v>
      </c>
      <c r="AU42" s="26" t="e">
        <f t="shared" ca="1" si="279"/>
        <v>#NAME?</v>
      </c>
      <c r="AV42" s="26" t="e">
        <f t="shared" ca="1" si="279"/>
        <v>#NAME?</v>
      </c>
      <c r="AW42" s="26" t="e">
        <f t="shared" ca="1" si="279"/>
        <v>#NAME?</v>
      </c>
      <c r="AX42" s="26" t="e">
        <f t="shared" ca="1" si="279"/>
        <v>#NAME?</v>
      </c>
      <c r="AY42" s="26" t="e">
        <f t="shared" ca="1" si="279"/>
        <v>#NAME?</v>
      </c>
      <c r="AZ42" s="26" t="e">
        <f t="shared" ca="1" si="279"/>
        <v>#NAME?</v>
      </c>
      <c r="BA42" s="26" t="e">
        <f t="shared" ca="1" si="279"/>
        <v>#NAME?</v>
      </c>
      <c r="BB42" s="26" t="e">
        <f t="shared" ca="1" si="279"/>
        <v>#NAME?</v>
      </c>
      <c r="BC42" s="26" t="e">
        <f t="shared" ca="1" si="279"/>
        <v>#NAME?</v>
      </c>
      <c r="BD42" s="26" t="e">
        <f t="shared" ca="1" si="279"/>
        <v>#NAME?</v>
      </c>
      <c r="BE42" s="26" t="e">
        <f t="shared" ca="1" si="279"/>
        <v>#NAME?</v>
      </c>
      <c r="BF42" s="26" t="e">
        <f t="shared" ca="1" si="279"/>
        <v>#NAME?</v>
      </c>
      <c r="BG42" s="26" t="e">
        <f t="shared" ca="1" si="279"/>
        <v>#NAME?</v>
      </c>
      <c r="BH42" s="26" t="e">
        <f t="shared" ca="1" si="279"/>
        <v>#NAME?</v>
      </c>
      <c r="BI42" s="26" t="e">
        <f t="shared" ca="1" si="279"/>
        <v>#NAME?</v>
      </c>
      <c r="BJ42" s="26" t="e">
        <f t="shared" ca="1" si="279"/>
        <v>#NAME?</v>
      </c>
      <c r="BK42" s="26" t="e">
        <f t="shared" ca="1" si="279"/>
        <v>#NAME?</v>
      </c>
      <c r="BL42" s="26" t="e">
        <f t="shared" ca="1" si="279"/>
        <v>#NAME?</v>
      </c>
      <c r="BM42" s="26" t="e">
        <f t="shared" ca="1" si="279"/>
        <v>#NAME?</v>
      </c>
      <c r="BN42" s="26" t="e">
        <f t="shared" ca="1" si="279"/>
        <v>#NAME?</v>
      </c>
      <c r="BO42" s="26" t="e">
        <f t="shared" ref="BO42:CT42" ca="1" si="280">BO30-BO40</f>
        <v>#NAME?</v>
      </c>
      <c r="BP42" s="26" t="e">
        <f t="shared" ca="1" si="280"/>
        <v>#NAME?</v>
      </c>
      <c r="BQ42" s="26" t="e">
        <f t="shared" ca="1" si="280"/>
        <v>#NAME?</v>
      </c>
      <c r="BR42" s="26" t="e">
        <f t="shared" ca="1" si="280"/>
        <v>#NAME?</v>
      </c>
      <c r="BS42" s="26" t="e">
        <f t="shared" ca="1" si="280"/>
        <v>#NAME?</v>
      </c>
      <c r="BT42" s="26" t="e">
        <f t="shared" ca="1" si="280"/>
        <v>#NAME?</v>
      </c>
      <c r="BU42" s="26" t="e">
        <f t="shared" ca="1" si="280"/>
        <v>#NAME?</v>
      </c>
      <c r="BV42" s="26" t="e">
        <f t="shared" ca="1" si="280"/>
        <v>#NAME?</v>
      </c>
      <c r="BW42" s="26" t="e">
        <f t="shared" ca="1" si="280"/>
        <v>#NAME?</v>
      </c>
      <c r="BX42" s="26" t="e">
        <f t="shared" ca="1" si="280"/>
        <v>#NAME?</v>
      </c>
      <c r="BY42" s="26" t="e">
        <f t="shared" ca="1" si="280"/>
        <v>#NAME?</v>
      </c>
      <c r="BZ42" s="26" t="e">
        <f t="shared" ca="1" si="280"/>
        <v>#NAME?</v>
      </c>
      <c r="CA42" s="26" t="e">
        <f t="shared" ca="1" si="280"/>
        <v>#NAME?</v>
      </c>
      <c r="CB42" s="26" t="e">
        <f t="shared" ca="1" si="280"/>
        <v>#NAME?</v>
      </c>
      <c r="CC42" s="26" t="e">
        <f t="shared" ca="1" si="280"/>
        <v>#NAME?</v>
      </c>
      <c r="CD42" s="26" t="e">
        <f t="shared" ca="1" si="280"/>
        <v>#NAME?</v>
      </c>
      <c r="CE42" s="26" t="e">
        <f t="shared" ca="1" si="280"/>
        <v>#NAME?</v>
      </c>
      <c r="CF42" s="26" t="e">
        <f t="shared" ca="1" si="280"/>
        <v>#NAME?</v>
      </c>
      <c r="CG42" s="26" t="e">
        <f t="shared" ca="1" si="280"/>
        <v>#NAME?</v>
      </c>
      <c r="CH42" s="26" t="e">
        <f t="shared" ca="1" si="280"/>
        <v>#NAME?</v>
      </c>
      <c r="CI42" s="26" t="e">
        <f t="shared" ref="CI42:CJ42" ca="1" si="281">CI30-CI40</f>
        <v>#NAME?</v>
      </c>
      <c r="CJ42" s="26" t="e">
        <f t="shared" ca="1" si="281"/>
        <v>#NAME?</v>
      </c>
      <c r="CK42" s="26" t="e">
        <f t="shared" ref="CK42:CL42" ca="1" si="282">CK30-CK40</f>
        <v>#NAME?</v>
      </c>
      <c r="CL42" s="26" t="e">
        <f t="shared" ca="1" si="282"/>
        <v>#NAME?</v>
      </c>
      <c r="CM42" s="27" t="e">
        <f t="shared" ca="1" si="280"/>
        <v>#NAME?</v>
      </c>
      <c r="CN42" s="27" t="e">
        <f t="shared" ca="1" si="280"/>
        <v>#NAME?</v>
      </c>
      <c r="CO42" s="27" t="e">
        <f t="shared" ca="1" si="280"/>
        <v>#NAME?</v>
      </c>
      <c r="CP42" s="27" t="e">
        <f t="shared" ca="1" si="280"/>
        <v>#NAME?</v>
      </c>
      <c r="CQ42" s="27" t="e">
        <f t="shared" ca="1" si="280"/>
        <v>#NAME?</v>
      </c>
      <c r="CR42" s="27" t="e">
        <f t="shared" ca="1" si="280"/>
        <v>#NAME?</v>
      </c>
      <c r="CS42" s="27" t="e">
        <f t="shared" ca="1" si="280"/>
        <v>#NAME?</v>
      </c>
      <c r="CT42" s="27" t="e">
        <f t="shared" ca="1" si="280"/>
        <v>#NAME?</v>
      </c>
      <c r="CU42" s="27" t="e">
        <f t="shared" ref="CU42:DB42" ca="1" si="283">CU30-CU40</f>
        <v>#NAME?</v>
      </c>
      <c r="CV42" s="27" t="e">
        <f t="shared" ca="1" si="283"/>
        <v>#NAME?</v>
      </c>
      <c r="CW42" s="27" t="e">
        <f t="shared" ca="1" si="283"/>
        <v>#NAME?</v>
      </c>
      <c r="CX42" s="27" t="e">
        <f t="shared" ca="1" si="283"/>
        <v>#NAME?</v>
      </c>
      <c r="CY42" s="27" t="e">
        <f t="shared" ca="1" si="283"/>
        <v>#NAME?</v>
      </c>
      <c r="CZ42" s="27" t="e">
        <f t="shared" ca="1" si="283"/>
        <v>#NAME?</v>
      </c>
      <c r="DA42" s="27" t="e">
        <f t="shared" ca="1" si="283"/>
        <v>#NAME?</v>
      </c>
      <c r="DB42" s="27" t="e">
        <f t="shared" ca="1" si="283"/>
        <v>#NAME?</v>
      </c>
      <c r="DE42" s="121"/>
      <c r="DF42" s="26">
        <v>378.86900000000003</v>
      </c>
    </row>
    <row r="43" spans="1:110" s="168" customFormat="1" x14ac:dyDescent="0.2">
      <c r="A43" s="165" t="s">
        <v>14</v>
      </c>
      <c r="B43" s="166" t="e">
        <f t="shared" ref="B43:E43" ca="1" si="284">B42/B24</f>
        <v>#NAME?</v>
      </c>
      <c r="C43" s="166" t="e">
        <f t="shared" ca="1" si="284"/>
        <v>#NAME?</v>
      </c>
      <c r="D43" s="166" t="e">
        <f t="shared" ca="1" si="284"/>
        <v>#NAME?</v>
      </c>
      <c r="E43" s="166" t="e">
        <f t="shared" ca="1" si="284"/>
        <v>#NAME?</v>
      </c>
      <c r="F43" s="166" t="e">
        <f t="shared" ref="F43:AE43" ca="1" si="285">F42/F24</f>
        <v>#NAME?</v>
      </c>
      <c r="G43" s="166" t="e">
        <f t="shared" ca="1" si="285"/>
        <v>#NAME?</v>
      </c>
      <c r="H43" s="166" t="e">
        <f t="shared" ca="1" si="285"/>
        <v>#NAME?</v>
      </c>
      <c r="I43" s="166" t="e">
        <f t="shared" ca="1" si="285"/>
        <v>#NAME?</v>
      </c>
      <c r="J43" s="166" t="e">
        <f t="shared" ca="1" si="285"/>
        <v>#NAME?</v>
      </c>
      <c r="K43" s="166" t="e">
        <f t="shared" ca="1" si="285"/>
        <v>#NAME?</v>
      </c>
      <c r="L43" s="166" t="e">
        <f t="shared" ca="1" si="285"/>
        <v>#NAME?</v>
      </c>
      <c r="M43" s="166" t="e">
        <f t="shared" ca="1" si="285"/>
        <v>#NAME?</v>
      </c>
      <c r="N43" s="166" t="e">
        <f t="shared" ca="1" si="285"/>
        <v>#NAME?</v>
      </c>
      <c r="O43" s="166" t="e">
        <f t="shared" ca="1" si="285"/>
        <v>#NAME?</v>
      </c>
      <c r="P43" s="166" t="e">
        <f t="shared" ca="1" si="285"/>
        <v>#NAME?</v>
      </c>
      <c r="Q43" s="166" t="e">
        <f t="shared" ca="1" si="285"/>
        <v>#NAME?</v>
      </c>
      <c r="R43" s="166" t="e">
        <f t="shared" ca="1" si="285"/>
        <v>#NAME?</v>
      </c>
      <c r="S43" s="166" t="e">
        <f t="shared" ca="1" si="285"/>
        <v>#NAME?</v>
      </c>
      <c r="T43" s="166" t="e">
        <f t="shared" ca="1" si="285"/>
        <v>#NAME?</v>
      </c>
      <c r="U43" s="166" t="e">
        <f t="shared" ca="1" si="285"/>
        <v>#NAME?</v>
      </c>
      <c r="V43" s="166" t="e">
        <f t="shared" ca="1" si="285"/>
        <v>#NAME?</v>
      </c>
      <c r="W43" s="166" t="e">
        <f t="shared" ca="1" si="285"/>
        <v>#NAME?</v>
      </c>
      <c r="X43" s="166" t="e">
        <f t="shared" ca="1" si="285"/>
        <v>#NAME?</v>
      </c>
      <c r="Y43" s="166" t="e">
        <f t="shared" ca="1" si="285"/>
        <v>#NAME?</v>
      </c>
      <c r="Z43" s="166" t="e">
        <f t="shared" ref="Z43:AA43" ca="1" si="286">Z42/Z24</f>
        <v>#NAME?</v>
      </c>
      <c r="AA43" s="166" t="e">
        <f t="shared" ca="1" si="286"/>
        <v>#NAME?</v>
      </c>
      <c r="AB43" s="167" t="e">
        <f t="shared" ca="1" si="285"/>
        <v>#NAME?</v>
      </c>
      <c r="AC43" s="167" t="e">
        <f t="shared" ca="1" si="285"/>
        <v>#NAME?</v>
      </c>
      <c r="AD43" s="167" t="e">
        <f t="shared" ca="1" si="285"/>
        <v>#NAME?</v>
      </c>
      <c r="AE43" s="167" t="e">
        <f t="shared" ca="1" si="285"/>
        <v>#NAME?</v>
      </c>
      <c r="AI43" s="166" t="e">
        <f t="shared" ref="AI43:BN43" ca="1" si="287">AI42/AI24</f>
        <v>#NAME?</v>
      </c>
      <c r="AJ43" s="166" t="e">
        <f t="shared" ca="1" si="287"/>
        <v>#NAME?</v>
      </c>
      <c r="AK43" s="166" t="e">
        <f t="shared" ca="1" si="287"/>
        <v>#NAME?</v>
      </c>
      <c r="AL43" s="166" t="e">
        <f t="shared" ca="1" si="287"/>
        <v>#NAME?</v>
      </c>
      <c r="AM43" s="166" t="e">
        <f t="shared" ca="1" si="287"/>
        <v>#NAME?</v>
      </c>
      <c r="AN43" s="166" t="e">
        <f t="shared" ca="1" si="287"/>
        <v>#NAME?</v>
      </c>
      <c r="AO43" s="166" t="e">
        <f t="shared" ca="1" si="287"/>
        <v>#NAME?</v>
      </c>
      <c r="AP43" s="166" t="e">
        <f t="shared" ca="1" si="287"/>
        <v>#NAME?</v>
      </c>
      <c r="AQ43" s="166" t="e">
        <f t="shared" ca="1" si="287"/>
        <v>#NAME?</v>
      </c>
      <c r="AR43" s="166" t="e">
        <f t="shared" ca="1" si="287"/>
        <v>#NAME?</v>
      </c>
      <c r="AS43" s="166" t="e">
        <f t="shared" ca="1" si="287"/>
        <v>#NAME?</v>
      </c>
      <c r="AT43" s="166" t="e">
        <f t="shared" ca="1" si="287"/>
        <v>#NAME?</v>
      </c>
      <c r="AU43" s="166" t="e">
        <f t="shared" ca="1" si="287"/>
        <v>#NAME?</v>
      </c>
      <c r="AV43" s="166" t="e">
        <f t="shared" ca="1" si="287"/>
        <v>#NAME?</v>
      </c>
      <c r="AW43" s="166" t="e">
        <f t="shared" ca="1" si="287"/>
        <v>#NAME?</v>
      </c>
      <c r="AX43" s="166" t="e">
        <f t="shared" ca="1" si="287"/>
        <v>#NAME?</v>
      </c>
      <c r="AY43" s="166" t="e">
        <f t="shared" ca="1" si="287"/>
        <v>#NAME?</v>
      </c>
      <c r="AZ43" s="166" t="e">
        <f t="shared" ca="1" si="287"/>
        <v>#NAME?</v>
      </c>
      <c r="BA43" s="166" t="e">
        <f t="shared" ca="1" si="287"/>
        <v>#NAME?</v>
      </c>
      <c r="BB43" s="166" t="e">
        <f t="shared" ca="1" si="287"/>
        <v>#NAME?</v>
      </c>
      <c r="BC43" s="166" t="e">
        <f t="shared" ca="1" si="287"/>
        <v>#NAME?</v>
      </c>
      <c r="BD43" s="166" t="e">
        <f t="shared" ca="1" si="287"/>
        <v>#NAME?</v>
      </c>
      <c r="BE43" s="166" t="e">
        <f t="shared" ca="1" si="287"/>
        <v>#NAME?</v>
      </c>
      <c r="BF43" s="166" t="e">
        <f t="shared" ca="1" si="287"/>
        <v>#NAME?</v>
      </c>
      <c r="BG43" s="166" t="e">
        <f t="shared" ca="1" si="287"/>
        <v>#NAME?</v>
      </c>
      <c r="BH43" s="166" t="e">
        <f t="shared" ca="1" si="287"/>
        <v>#NAME?</v>
      </c>
      <c r="BI43" s="166" t="e">
        <f t="shared" ca="1" si="287"/>
        <v>#NAME?</v>
      </c>
      <c r="BJ43" s="166" t="e">
        <f t="shared" ca="1" si="287"/>
        <v>#NAME?</v>
      </c>
      <c r="BK43" s="166" t="e">
        <f t="shared" ca="1" si="287"/>
        <v>#NAME?</v>
      </c>
      <c r="BL43" s="166" t="e">
        <f t="shared" ca="1" si="287"/>
        <v>#NAME?</v>
      </c>
      <c r="BM43" s="166" t="e">
        <f t="shared" ca="1" si="287"/>
        <v>#NAME?</v>
      </c>
      <c r="BN43" s="166" t="e">
        <f t="shared" ca="1" si="287"/>
        <v>#NAME?</v>
      </c>
      <c r="BO43" s="166" t="e">
        <f t="shared" ref="BO43:CT43" ca="1" si="288">BO42/BO24</f>
        <v>#NAME?</v>
      </c>
      <c r="BP43" s="166" t="e">
        <f t="shared" ca="1" si="288"/>
        <v>#NAME?</v>
      </c>
      <c r="BQ43" s="166" t="e">
        <f t="shared" ca="1" si="288"/>
        <v>#NAME?</v>
      </c>
      <c r="BR43" s="166" t="e">
        <f t="shared" ca="1" si="288"/>
        <v>#NAME?</v>
      </c>
      <c r="BS43" s="166" t="e">
        <f t="shared" ca="1" si="288"/>
        <v>#NAME?</v>
      </c>
      <c r="BT43" s="166" t="e">
        <f t="shared" ca="1" si="288"/>
        <v>#NAME?</v>
      </c>
      <c r="BU43" s="166" t="e">
        <f t="shared" ca="1" si="288"/>
        <v>#NAME?</v>
      </c>
      <c r="BV43" s="166" t="e">
        <f t="shared" ca="1" si="288"/>
        <v>#NAME?</v>
      </c>
      <c r="BW43" s="166" t="e">
        <f t="shared" ca="1" si="288"/>
        <v>#NAME?</v>
      </c>
      <c r="BX43" s="166" t="e">
        <f t="shared" ca="1" si="288"/>
        <v>#NAME?</v>
      </c>
      <c r="BY43" s="166" t="e">
        <f t="shared" ca="1" si="288"/>
        <v>#NAME?</v>
      </c>
      <c r="BZ43" s="166" t="e">
        <f t="shared" ca="1" si="288"/>
        <v>#NAME?</v>
      </c>
      <c r="CA43" s="166" t="e">
        <f t="shared" ca="1" si="288"/>
        <v>#NAME?</v>
      </c>
      <c r="CB43" s="166" t="e">
        <f t="shared" ca="1" si="288"/>
        <v>#NAME?</v>
      </c>
      <c r="CC43" s="166" t="e">
        <f t="shared" ca="1" si="288"/>
        <v>#NAME?</v>
      </c>
      <c r="CD43" s="166" t="e">
        <f t="shared" ca="1" si="288"/>
        <v>#NAME?</v>
      </c>
      <c r="CE43" s="166" t="e">
        <f t="shared" ca="1" si="288"/>
        <v>#NAME?</v>
      </c>
      <c r="CF43" s="166" t="e">
        <f t="shared" ca="1" si="288"/>
        <v>#NAME?</v>
      </c>
      <c r="CG43" s="166" t="e">
        <f t="shared" ca="1" si="288"/>
        <v>#NAME?</v>
      </c>
      <c r="CH43" s="166" t="e">
        <f t="shared" ca="1" si="288"/>
        <v>#NAME?</v>
      </c>
      <c r="CI43" s="166" t="e">
        <f t="shared" ref="CI43:CJ43" ca="1" si="289">CI42/CI24</f>
        <v>#NAME?</v>
      </c>
      <c r="CJ43" s="166" t="e">
        <f t="shared" ca="1" si="289"/>
        <v>#NAME?</v>
      </c>
      <c r="CK43" s="166" t="e">
        <f t="shared" ref="CK43:CL43" ca="1" si="290">CK42/CK24</f>
        <v>#NAME?</v>
      </c>
      <c r="CL43" s="166" t="e">
        <f t="shared" ca="1" si="290"/>
        <v>#NAME?</v>
      </c>
      <c r="CM43" s="167" t="e">
        <f t="shared" ca="1" si="288"/>
        <v>#NAME?</v>
      </c>
      <c r="CN43" s="167" t="e">
        <f t="shared" ca="1" si="288"/>
        <v>#NAME?</v>
      </c>
      <c r="CO43" s="167" t="e">
        <f t="shared" ca="1" si="288"/>
        <v>#NAME?</v>
      </c>
      <c r="CP43" s="167" t="e">
        <f t="shared" ca="1" si="288"/>
        <v>#NAME?</v>
      </c>
      <c r="CQ43" s="167" t="e">
        <f t="shared" ca="1" si="288"/>
        <v>#NAME?</v>
      </c>
      <c r="CR43" s="167" t="e">
        <f t="shared" ca="1" si="288"/>
        <v>#NAME?</v>
      </c>
      <c r="CS43" s="167" t="e">
        <f t="shared" ca="1" si="288"/>
        <v>#NAME?</v>
      </c>
      <c r="CT43" s="167" t="e">
        <f t="shared" ca="1" si="288"/>
        <v>#NAME?</v>
      </c>
      <c r="CU43" s="167" t="e">
        <f t="shared" ref="CU43:DB43" ca="1" si="291">CU42/CU24</f>
        <v>#NAME?</v>
      </c>
      <c r="CV43" s="167" t="e">
        <f t="shared" ca="1" si="291"/>
        <v>#NAME?</v>
      </c>
      <c r="CW43" s="167" t="e">
        <f t="shared" ca="1" si="291"/>
        <v>#NAME?</v>
      </c>
      <c r="CX43" s="167" t="e">
        <f t="shared" ca="1" si="291"/>
        <v>#NAME?</v>
      </c>
      <c r="CY43" s="167" t="e">
        <f t="shared" ca="1" si="291"/>
        <v>#NAME?</v>
      </c>
      <c r="CZ43" s="167" t="e">
        <f t="shared" ca="1" si="291"/>
        <v>#NAME?</v>
      </c>
      <c r="DA43" s="167" t="e">
        <f t="shared" ca="1" si="291"/>
        <v>#NAME?</v>
      </c>
      <c r="DB43" s="167" t="e">
        <f t="shared" ca="1" si="291"/>
        <v>#NAME?</v>
      </c>
      <c r="DE43" s="169"/>
      <c r="DF43" s="168">
        <v>0.40644333518924386</v>
      </c>
    </row>
    <row r="44" spans="1:110" s="38" customFormat="1" x14ac:dyDescent="0.2">
      <c r="A44" s="39" t="s">
        <v>449</v>
      </c>
      <c r="B44" s="39"/>
      <c r="C44" s="39" t="e">
        <f t="shared" ref="C44:E44" ca="1" si="292">+IF(B42&lt;0,1-C42/B42,C42/B42-1)</f>
        <v>#NAME?</v>
      </c>
      <c r="D44" s="39" t="e">
        <f t="shared" ca="1" si="292"/>
        <v>#NAME?</v>
      </c>
      <c r="E44" s="39" t="e">
        <f t="shared" ca="1" si="292"/>
        <v>#NAME?</v>
      </c>
      <c r="F44" s="39" t="e">
        <f t="shared" ref="F44:Y44" ca="1" si="293">+IF(E42&lt;0,1-F42/E42,F42/E42-1)</f>
        <v>#NAME?</v>
      </c>
      <c r="G44" s="39" t="e">
        <f t="shared" ca="1" si="293"/>
        <v>#NAME?</v>
      </c>
      <c r="H44" s="39" t="e">
        <f t="shared" ca="1" si="293"/>
        <v>#NAME?</v>
      </c>
      <c r="I44" s="39" t="e">
        <f t="shared" ca="1" si="293"/>
        <v>#NAME?</v>
      </c>
      <c r="J44" s="39" t="e">
        <f t="shared" ca="1" si="293"/>
        <v>#NAME?</v>
      </c>
      <c r="K44" s="39" t="e">
        <f t="shared" ca="1" si="293"/>
        <v>#NAME?</v>
      </c>
      <c r="L44" s="39" t="e">
        <f t="shared" ca="1" si="293"/>
        <v>#NAME?</v>
      </c>
      <c r="M44" s="39" t="e">
        <f t="shared" ca="1" si="293"/>
        <v>#NAME?</v>
      </c>
      <c r="N44" s="39" t="e">
        <f t="shared" ca="1" si="293"/>
        <v>#NAME?</v>
      </c>
      <c r="O44" s="39" t="e">
        <f t="shared" ca="1" si="293"/>
        <v>#NAME?</v>
      </c>
      <c r="P44" s="39" t="e">
        <f t="shared" ca="1" si="293"/>
        <v>#NAME?</v>
      </c>
      <c r="Q44" s="39" t="e">
        <f t="shared" ca="1" si="293"/>
        <v>#NAME?</v>
      </c>
      <c r="R44" s="39" t="e">
        <f t="shared" ca="1" si="293"/>
        <v>#NAME?</v>
      </c>
      <c r="S44" s="39" t="e">
        <f t="shared" ca="1" si="293"/>
        <v>#NAME?</v>
      </c>
      <c r="T44" s="39" t="e">
        <f t="shared" ca="1" si="293"/>
        <v>#NAME?</v>
      </c>
      <c r="U44" s="39" t="e">
        <f t="shared" ca="1" si="293"/>
        <v>#NAME?</v>
      </c>
      <c r="V44" s="39" t="e">
        <f t="shared" ca="1" si="293"/>
        <v>#NAME?</v>
      </c>
      <c r="W44" s="39" t="e">
        <f t="shared" ca="1" si="293"/>
        <v>#NAME?</v>
      </c>
      <c r="X44" s="39" t="e">
        <f t="shared" ca="1" si="293"/>
        <v>#NAME?</v>
      </c>
      <c r="Y44" s="39" t="e">
        <f t="shared" ca="1" si="293"/>
        <v>#NAME?</v>
      </c>
      <c r="Z44" s="39" t="e">
        <f t="shared" ref="Z44:AE44" ca="1" si="294">+IF(Y42&lt;0,1-Z42/Y42,Z42/Y42-1)</f>
        <v>#NAME?</v>
      </c>
      <c r="AA44" s="39" t="e">
        <f t="shared" ca="1" si="294"/>
        <v>#NAME?</v>
      </c>
      <c r="AB44" s="40" t="e">
        <f t="shared" ca="1" si="294"/>
        <v>#NAME?</v>
      </c>
      <c r="AC44" s="40" t="e">
        <f t="shared" ca="1" si="294"/>
        <v>#NAME?</v>
      </c>
      <c r="AD44" s="40" t="e">
        <f t="shared" ca="1" si="294"/>
        <v>#NAME?</v>
      </c>
      <c r="AE44" s="40" t="e">
        <f t="shared" ca="1" si="294"/>
        <v>#NAME?</v>
      </c>
      <c r="AI44" s="39"/>
      <c r="AJ44" s="39"/>
      <c r="AK44" s="39"/>
      <c r="AL44" s="39"/>
      <c r="AM44" s="39" t="e">
        <f ca="1">+IF(AI42&lt;0,1-AM42/AI42,AM42/AI42-1)</f>
        <v>#NAME?</v>
      </c>
      <c r="AN44" s="39" t="e">
        <f t="shared" ref="AN44" ca="1" si="295">+IF(AJ42&lt;0,1-AN42/AJ42,AN42/AJ42-1)</f>
        <v>#NAME?</v>
      </c>
      <c r="AO44" s="39" t="e">
        <f t="shared" ref="AO44" ca="1" si="296">+IF(AK42&lt;0,1-AO42/AK42,AO42/AK42-1)</f>
        <v>#NAME?</v>
      </c>
      <c r="AP44" s="39" t="e">
        <f t="shared" ref="AP44" ca="1" si="297">+IF(AL42&lt;0,1-AP42/AL42,AP42/AL42-1)</f>
        <v>#NAME?</v>
      </c>
      <c r="AQ44" s="39" t="e">
        <f t="shared" ref="AQ44" ca="1" si="298">+IF(AM42&lt;0,1-AQ42/AM42,AQ42/AM42-1)</f>
        <v>#NAME?</v>
      </c>
      <c r="AR44" s="39" t="e">
        <f t="shared" ref="AR44" ca="1" si="299">+IF(AN42&lt;0,1-AR42/AN42,AR42/AN42-1)</f>
        <v>#NAME?</v>
      </c>
      <c r="AS44" s="39" t="e">
        <f t="shared" ref="AS44" ca="1" si="300">+IF(AO42&lt;0,1-AS42/AO42,AS42/AO42-1)</f>
        <v>#NAME?</v>
      </c>
      <c r="AT44" s="39" t="e">
        <f t="shared" ref="AT44" ca="1" si="301">+IF(AP42&lt;0,1-AT42/AP42,AT42/AP42-1)</f>
        <v>#NAME?</v>
      </c>
      <c r="AU44" s="39" t="e">
        <f t="shared" ref="AU44" ca="1" si="302">+IF(AQ42&lt;0,1-AU42/AQ42,AU42/AQ42-1)</f>
        <v>#NAME?</v>
      </c>
      <c r="AV44" s="39" t="e">
        <f t="shared" ref="AV44" ca="1" si="303">+IF(AR42&lt;0,1-AV42/AR42,AV42/AR42-1)</f>
        <v>#NAME?</v>
      </c>
      <c r="AW44" s="39" t="e">
        <f t="shared" ref="AW44" ca="1" si="304">+IF(AS42&lt;0,1-AW42/AS42,AW42/AS42-1)</f>
        <v>#NAME?</v>
      </c>
      <c r="AX44" s="39" t="e">
        <f t="shared" ref="AX44" ca="1" si="305">+IF(AT42&lt;0,1-AX42/AT42,AX42/AT42-1)</f>
        <v>#NAME?</v>
      </c>
      <c r="AY44" s="39" t="e">
        <f t="shared" ref="AY44" ca="1" si="306">+IF(AU42&lt;0,1-AY42/AU42,AY42/AU42-1)</f>
        <v>#NAME?</v>
      </c>
      <c r="AZ44" s="39" t="e">
        <f t="shared" ref="AZ44" ca="1" si="307">+IF(AV42&lt;0,1-AZ42/AV42,AZ42/AV42-1)</f>
        <v>#NAME?</v>
      </c>
      <c r="BA44" s="39" t="e">
        <f t="shared" ref="BA44" ca="1" si="308">+IF(AW42&lt;0,1-BA42/AW42,BA42/AW42-1)</f>
        <v>#NAME?</v>
      </c>
      <c r="BB44" s="39" t="e">
        <f t="shared" ref="BB44" ca="1" si="309">+IF(AX42&lt;0,1-BB42/AX42,BB42/AX42-1)</f>
        <v>#NAME?</v>
      </c>
      <c r="BC44" s="39" t="e">
        <f t="shared" ref="BC44" ca="1" si="310">+IF(AY42&lt;0,1-BC42/AY42,BC42/AY42-1)</f>
        <v>#NAME?</v>
      </c>
      <c r="BD44" s="39" t="e">
        <f t="shared" ref="BD44" ca="1" si="311">+IF(AZ42&lt;0,1-BD42/AZ42,BD42/AZ42-1)</f>
        <v>#NAME?</v>
      </c>
      <c r="BE44" s="39" t="e">
        <f t="shared" ref="BE44" ca="1" si="312">+IF(BA42&lt;0,1-BE42/BA42,BE42/BA42-1)</f>
        <v>#NAME?</v>
      </c>
      <c r="BF44" s="39" t="e">
        <f t="shared" ref="BF44" ca="1" si="313">+IF(BB42&lt;0,1-BF42/BB42,BF42/BB42-1)</f>
        <v>#NAME?</v>
      </c>
      <c r="BG44" s="39" t="e">
        <f t="shared" ref="BG44" ca="1" si="314">+IF(BC42&lt;0,1-BG42/BC42,BG42/BC42-1)</f>
        <v>#NAME?</v>
      </c>
      <c r="BH44" s="39" t="e">
        <f t="shared" ref="BH44" ca="1" si="315">+IF(BD42&lt;0,1-BH42/BD42,BH42/BD42-1)</f>
        <v>#NAME?</v>
      </c>
      <c r="BI44" s="39" t="e">
        <f t="shared" ref="BI44" ca="1" si="316">+IF(BE42&lt;0,1-BI42/BE42,BI42/BE42-1)</f>
        <v>#NAME?</v>
      </c>
      <c r="BJ44" s="39" t="e">
        <f t="shared" ref="BJ44" ca="1" si="317">+IF(BF42&lt;0,1-BJ42/BF42,BJ42/BF42-1)</f>
        <v>#NAME?</v>
      </c>
      <c r="BK44" s="39" t="e">
        <f t="shared" ref="BK44" ca="1" si="318">+IF(BG42&lt;0,1-BK42/BG42,BK42/BG42-1)</f>
        <v>#NAME?</v>
      </c>
      <c r="BL44" s="39" t="e">
        <f t="shared" ref="BL44" ca="1" si="319">+IF(BH42&lt;0,1-BL42/BH42,BL42/BH42-1)</f>
        <v>#NAME?</v>
      </c>
      <c r="BM44" s="39" t="e">
        <f t="shared" ref="BM44" ca="1" si="320">+IF(BI42&lt;0,1-BM42/BI42,BM42/BI42-1)</f>
        <v>#NAME?</v>
      </c>
      <c r="BN44" s="39" t="e">
        <f t="shared" ref="BN44" ca="1" si="321">+IF(BJ42&lt;0,1-BN42/BJ42,BN42/BJ42-1)</f>
        <v>#NAME?</v>
      </c>
      <c r="BO44" s="39" t="e">
        <f t="shared" ref="BO44" ca="1" si="322">+IF(BK42&lt;0,1-BO42/BK42,BO42/BK42-1)</f>
        <v>#NAME?</v>
      </c>
      <c r="BP44" s="39" t="e">
        <f t="shared" ref="BP44" ca="1" si="323">+IF(BL42&lt;0,1-BP42/BL42,BP42/BL42-1)</f>
        <v>#NAME?</v>
      </c>
      <c r="BQ44" s="39" t="e">
        <f t="shared" ref="BQ44" ca="1" si="324">+IF(BM42&lt;0,1-BQ42/BM42,BQ42/BM42-1)</f>
        <v>#NAME?</v>
      </c>
      <c r="BR44" s="39" t="e">
        <f t="shared" ref="BR44" ca="1" si="325">+IF(BN42&lt;0,1-BR42/BN42,BR42/BN42-1)</f>
        <v>#NAME?</v>
      </c>
      <c r="BS44" s="39" t="e">
        <f t="shared" ref="BS44" ca="1" si="326">+IF(BO42&lt;0,1-BS42/BO42,BS42/BO42-1)</f>
        <v>#NAME?</v>
      </c>
      <c r="BT44" s="39" t="e">
        <f t="shared" ref="BT44" ca="1" si="327">+IF(BP42&lt;0,1-BT42/BP42,BT42/BP42-1)</f>
        <v>#NAME?</v>
      </c>
      <c r="BU44" s="39" t="e">
        <f t="shared" ref="BU44" ca="1" si="328">+IF(BQ42&lt;0,1-BU42/BQ42,BU42/BQ42-1)</f>
        <v>#NAME?</v>
      </c>
      <c r="BV44" s="39" t="e">
        <f t="shared" ref="BV44" ca="1" si="329">+IF(BR42&lt;0,1-BV42/BR42,BV42/BR42-1)</f>
        <v>#NAME?</v>
      </c>
      <c r="BW44" s="39" t="e">
        <f t="shared" ref="BW44" ca="1" si="330">+IF(BS42&lt;0,1-BW42/BS42,BW42/BS42-1)</f>
        <v>#NAME?</v>
      </c>
      <c r="BX44" s="39" t="e">
        <f t="shared" ref="BX44" ca="1" si="331">+IF(BT42&lt;0,1-BX42/BT42,BX42/BT42-1)</f>
        <v>#NAME?</v>
      </c>
      <c r="BY44" s="39" t="e">
        <f t="shared" ref="BY44" ca="1" si="332">+IF(BU42&lt;0,1-BY42/BU42,BY42/BU42-1)</f>
        <v>#NAME?</v>
      </c>
      <c r="BZ44" s="39" t="e">
        <f t="shared" ref="BZ44" ca="1" si="333">+IF(BV42&lt;0,1-BZ42/BV42,BZ42/BV42-1)</f>
        <v>#NAME?</v>
      </c>
      <c r="CA44" s="39" t="e">
        <f t="shared" ref="CA44" ca="1" si="334">+IF(BW42&lt;0,1-CA42/BW42,CA42/BW42-1)</f>
        <v>#NAME?</v>
      </c>
      <c r="CB44" s="39" t="e">
        <f t="shared" ref="CB44" ca="1" si="335">+IF(BX42&lt;0,1-CB42/BX42,CB42/BX42-1)</f>
        <v>#NAME?</v>
      </c>
      <c r="CC44" s="39" t="e">
        <f t="shared" ref="CC44" ca="1" si="336">+IF(BY42&lt;0,1-CC42/BY42,CC42/BY42-1)</f>
        <v>#NAME?</v>
      </c>
      <c r="CD44" s="39" t="e">
        <f t="shared" ref="CD44" ca="1" si="337">+IF(BZ42&lt;0,1-CD42/BZ42,CD42/BZ42-1)</f>
        <v>#NAME?</v>
      </c>
      <c r="CE44" s="39" t="e">
        <f t="shared" ref="CE44" ca="1" si="338">+IF(CA42&lt;0,1-CE42/CA42,CE42/CA42-1)</f>
        <v>#NAME?</v>
      </c>
      <c r="CF44" s="39" t="e">
        <f t="shared" ref="CF44" ca="1" si="339">+IF(CB42&lt;0,1-CF42/CB42,CF42/CB42-1)</f>
        <v>#NAME?</v>
      </c>
      <c r="CG44" s="39" t="e">
        <f t="shared" ref="CG44" ca="1" si="340">+IF(CC42&lt;0,1-CG42/CC42,CG42/CC42-1)</f>
        <v>#NAME?</v>
      </c>
      <c r="CH44" s="39" t="e">
        <f t="shared" ref="CH44:CL44" ca="1" si="341">+IF(CD42&lt;0,1-CH42/CD42,CH42/CD42-1)</f>
        <v>#NAME?</v>
      </c>
      <c r="CI44" s="39" t="e">
        <f t="shared" ca="1" si="341"/>
        <v>#NAME?</v>
      </c>
      <c r="CJ44" s="39" t="e">
        <f t="shared" ca="1" si="341"/>
        <v>#NAME?</v>
      </c>
      <c r="CK44" s="39" t="e">
        <f t="shared" ca="1" si="341"/>
        <v>#NAME?</v>
      </c>
      <c r="CL44" s="39" t="e">
        <f t="shared" ca="1" si="341"/>
        <v>#NAME?</v>
      </c>
      <c r="CM44" s="40" t="e">
        <f t="shared" ref="CM44" ca="1" si="342">+CM42/CI42-1</f>
        <v>#NAME?</v>
      </c>
      <c r="CN44" s="40" t="e">
        <f t="shared" ref="CN44" ca="1" si="343">+CN42/CJ42-1</f>
        <v>#NAME?</v>
      </c>
      <c r="CO44" s="40" t="e">
        <f t="shared" ref="CO44" ca="1" si="344">+CO42/CK42-1</f>
        <v>#NAME?</v>
      </c>
      <c r="CP44" s="40" t="e">
        <f t="shared" ref="CP44" ca="1" si="345">+CP42/CL42-1</f>
        <v>#NAME?</v>
      </c>
      <c r="CQ44" s="40" t="e">
        <f t="shared" ref="CQ44" ca="1" si="346">+CQ42/CM42-1</f>
        <v>#NAME?</v>
      </c>
      <c r="CR44" s="40" t="e">
        <f t="shared" ref="CR44" ca="1" si="347">+CR42/CN42-1</f>
        <v>#NAME?</v>
      </c>
      <c r="CS44" s="40" t="e">
        <f t="shared" ref="CS44" ca="1" si="348">+CS42/CO42-1</f>
        <v>#NAME?</v>
      </c>
      <c r="CT44" s="40" t="e">
        <f t="shared" ref="CT44" ca="1" si="349">+CT42/CP42-1</f>
        <v>#NAME?</v>
      </c>
      <c r="CU44" s="40" t="e">
        <f t="shared" ref="CU44" ca="1" si="350">+CU42/CQ42-1</f>
        <v>#NAME?</v>
      </c>
      <c r="CV44" s="40" t="e">
        <f t="shared" ref="CV44" ca="1" si="351">+CV42/CR42-1</f>
        <v>#NAME?</v>
      </c>
      <c r="CW44" s="40" t="e">
        <f t="shared" ref="CW44" ca="1" si="352">+CW42/CS42-1</f>
        <v>#NAME?</v>
      </c>
      <c r="CX44" s="40" t="e">
        <f t="shared" ref="CX44" ca="1" si="353">+CX42/CT42-1</f>
        <v>#NAME?</v>
      </c>
      <c r="CY44" s="40" t="e">
        <f t="shared" ref="CY44" ca="1" si="354">+CY42/CU42-1</f>
        <v>#NAME?</v>
      </c>
      <c r="CZ44" s="40" t="e">
        <f t="shared" ref="CZ44" ca="1" si="355">+CZ42/CV42-1</f>
        <v>#NAME?</v>
      </c>
      <c r="DA44" s="40" t="e">
        <f t="shared" ref="DA44" ca="1" si="356">+DA42/CW42-1</f>
        <v>#NAME?</v>
      </c>
      <c r="DB44" s="40" t="e">
        <f t="shared" ref="DB44" ca="1" si="357">+DB42/CX42-1</f>
        <v>#NAME?</v>
      </c>
      <c r="DE44" s="122"/>
      <c r="DF44" s="38">
        <v>0.21718331850147976</v>
      </c>
    </row>
    <row r="45" spans="1:110" s="38" customFormat="1" x14ac:dyDescent="0.2">
      <c r="A45" s="39" t="s">
        <v>450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40"/>
      <c r="AC45" s="40"/>
      <c r="AD45" s="40"/>
      <c r="AE45" s="40"/>
      <c r="AI45" s="39"/>
      <c r="AJ45" s="39" t="e">
        <f ca="1">+IF(AI42&lt;0,1-AJ42/AI42,AJ42/AI42-1)</f>
        <v>#NAME?</v>
      </c>
      <c r="AK45" s="39" t="e">
        <f t="shared" ref="AK45:AM45" ca="1" si="358">+IF(AJ42&lt;0,1-AK42/AJ42,AK42/AJ42-1)</f>
        <v>#NAME?</v>
      </c>
      <c r="AL45" s="39" t="e">
        <f t="shared" ca="1" si="358"/>
        <v>#NAME?</v>
      </c>
      <c r="AM45" s="39" t="e">
        <f t="shared" ca="1" si="358"/>
        <v>#NAME?</v>
      </c>
      <c r="AN45" s="39" t="e">
        <f t="shared" ref="AN45" ca="1" si="359">+IF(AM42&lt;0,1-AN42/AM42,AN42/AM42-1)</f>
        <v>#NAME?</v>
      </c>
      <c r="AO45" s="39" t="e">
        <f t="shared" ref="AO45" ca="1" si="360">+IF(AN42&lt;0,1-AO42/AN42,AO42/AN42-1)</f>
        <v>#NAME?</v>
      </c>
      <c r="AP45" s="39" t="e">
        <f t="shared" ref="AP45" ca="1" si="361">+IF(AO42&lt;0,1-AP42/AO42,AP42/AO42-1)</f>
        <v>#NAME?</v>
      </c>
      <c r="AQ45" s="39" t="e">
        <f t="shared" ref="AQ45" ca="1" si="362">+IF(AP42&lt;0,1-AQ42/AP42,AQ42/AP42-1)</f>
        <v>#NAME?</v>
      </c>
      <c r="AR45" s="39" t="e">
        <f t="shared" ref="AR45" ca="1" si="363">+IF(AQ42&lt;0,1-AR42/AQ42,AR42/AQ42-1)</f>
        <v>#NAME?</v>
      </c>
      <c r="AS45" s="39" t="e">
        <f t="shared" ref="AS45" ca="1" si="364">+IF(AR42&lt;0,1-AS42/AR42,AS42/AR42-1)</f>
        <v>#NAME?</v>
      </c>
      <c r="AT45" s="39" t="e">
        <f t="shared" ref="AT45" ca="1" si="365">+IF(AS42&lt;0,1-AT42/AS42,AT42/AS42-1)</f>
        <v>#NAME?</v>
      </c>
      <c r="AU45" s="39" t="e">
        <f t="shared" ref="AU45" ca="1" si="366">+IF(AT42&lt;0,1-AU42/AT42,AU42/AT42-1)</f>
        <v>#NAME?</v>
      </c>
      <c r="AV45" s="39" t="e">
        <f t="shared" ref="AV45" ca="1" si="367">+IF(AU42&lt;0,1-AV42/AU42,AV42/AU42-1)</f>
        <v>#NAME?</v>
      </c>
      <c r="AW45" s="39" t="e">
        <f t="shared" ref="AW45" ca="1" si="368">+IF(AV42&lt;0,1-AW42/AV42,AW42/AV42-1)</f>
        <v>#NAME?</v>
      </c>
      <c r="AX45" s="39" t="e">
        <f t="shared" ref="AX45" ca="1" si="369">+IF(AW42&lt;0,1-AX42/AW42,AX42/AW42-1)</f>
        <v>#NAME?</v>
      </c>
      <c r="AY45" s="39" t="e">
        <f t="shared" ref="AY45" ca="1" si="370">+IF(AX42&lt;0,1-AY42/AX42,AY42/AX42-1)</f>
        <v>#NAME?</v>
      </c>
      <c r="AZ45" s="39" t="e">
        <f t="shared" ref="AZ45" ca="1" si="371">+IF(AY42&lt;0,1-AZ42/AY42,AZ42/AY42-1)</f>
        <v>#NAME?</v>
      </c>
      <c r="BA45" s="39" t="e">
        <f t="shared" ref="BA45" ca="1" si="372">+IF(AZ42&lt;0,1-BA42/AZ42,BA42/AZ42-1)</f>
        <v>#NAME?</v>
      </c>
      <c r="BB45" s="39" t="e">
        <f t="shared" ref="BB45" ca="1" si="373">+IF(BA42&lt;0,1-BB42/BA42,BB42/BA42-1)</f>
        <v>#NAME?</v>
      </c>
      <c r="BC45" s="39" t="e">
        <f t="shared" ref="BC45" ca="1" si="374">+IF(BB42&lt;0,1-BC42/BB42,BC42/BB42-1)</f>
        <v>#NAME?</v>
      </c>
      <c r="BD45" s="39" t="e">
        <f t="shared" ref="BD45" ca="1" si="375">+IF(BC42&lt;0,1-BD42/BC42,BD42/BC42-1)</f>
        <v>#NAME?</v>
      </c>
      <c r="BE45" s="39" t="e">
        <f t="shared" ref="BE45" ca="1" si="376">+IF(BD42&lt;0,1-BE42/BD42,BE42/BD42-1)</f>
        <v>#NAME?</v>
      </c>
      <c r="BF45" s="39" t="e">
        <f t="shared" ref="BF45" ca="1" si="377">+IF(BE42&lt;0,1-BF42/BE42,BF42/BE42-1)</f>
        <v>#NAME?</v>
      </c>
      <c r="BG45" s="39" t="e">
        <f t="shared" ref="BG45" ca="1" si="378">+IF(BF42&lt;0,1-BG42/BF42,BG42/BF42-1)</f>
        <v>#NAME?</v>
      </c>
      <c r="BH45" s="39" t="e">
        <f t="shared" ref="BH45" ca="1" si="379">+IF(BG42&lt;0,1-BH42/BG42,BH42/BG42-1)</f>
        <v>#NAME?</v>
      </c>
      <c r="BI45" s="39" t="e">
        <f t="shared" ref="BI45" ca="1" si="380">+IF(BH42&lt;0,1-BI42/BH42,BI42/BH42-1)</f>
        <v>#NAME?</v>
      </c>
      <c r="BJ45" s="39" t="e">
        <f t="shared" ref="BJ45" ca="1" si="381">+IF(BI42&lt;0,1-BJ42/BI42,BJ42/BI42-1)</f>
        <v>#NAME?</v>
      </c>
      <c r="BK45" s="39" t="e">
        <f t="shared" ref="BK45" ca="1" si="382">+IF(BJ42&lt;0,1-BK42/BJ42,BK42/BJ42-1)</f>
        <v>#NAME?</v>
      </c>
      <c r="BL45" s="39" t="e">
        <f t="shared" ref="BL45" ca="1" si="383">+IF(BK42&lt;0,1-BL42/BK42,BL42/BK42-1)</f>
        <v>#NAME?</v>
      </c>
      <c r="BM45" s="39" t="e">
        <f t="shared" ref="BM45" ca="1" si="384">+IF(BL42&lt;0,1-BM42/BL42,BM42/BL42-1)</f>
        <v>#NAME?</v>
      </c>
      <c r="BN45" s="39" t="e">
        <f t="shared" ref="BN45" ca="1" si="385">+IF(BM42&lt;0,1-BN42/BM42,BN42/BM42-1)</f>
        <v>#NAME?</v>
      </c>
      <c r="BO45" s="39" t="e">
        <f t="shared" ref="BO45" ca="1" si="386">+IF(BN42&lt;0,1-BO42/BN42,BO42/BN42-1)</f>
        <v>#NAME?</v>
      </c>
      <c r="BP45" s="39" t="e">
        <f t="shared" ref="BP45" ca="1" si="387">+IF(BO42&lt;0,1-BP42/BO42,BP42/BO42-1)</f>
        <v>#NAME?</v>
      </c>
      <c r="BQ45" s="39" t="e">
        <f t="shared" ref="BQ45" ca="1" si="388">+IF(BP42&lt;0,1-BQ42/BP42,BQ42/BP42-1)</f>
        <v>#NAME?</v>
      </c>
      <c r="BR45" s="39" t="e">
        <f t="shared" ref="BR45" ca="1" si="389">+IF(BQ42&lt;0,1-BR42/BQ42,BR42/BQ42-1)</f>
        <v>#NAME?</v>
      </c>
      <c r="BS45" s="39" t="e">
        <f t="shared" ref="BS45" ca="1" si="390">+IF(BR42&lt;0,1-BS42/BR42,BS42/BR42-1)</f>
        <v>#NAME?</v>
      </c>
      <c r="BT45" s="39" t="e">
        <f t="shared" ref="BT45" ca="1" si="391">+IF(BS42&lt;0,1-BT42/BS42,BT42/BS42-1)</f>
        <v>#NAME?</v>
      </c>
      <c r="BU45" s="39" t="e">
        <f t="shared" ref="BU45" ca="1" si="392">+IF(BT42&lt;0,1-BU42/BT42,BU42/BT42-1)</f>
        <v>#NAME?</v>
      </c>
      <c r="BV45" s="39" t="e">
        <f t="shared" ref="BV45" ca="1" si="393">+IF(BU42&lt;0,1-BV42/BU42,BV42/BU42-1)</f>
        <v>#NAME?</v>
      </c>
      <c r="BW45" s="39" t="e">
        <f t="shared" ref="BW45" ca="1" si="394">+IF(BV42&lt;0,1-BW42/BV42,BW42/BV42-1)</f>
        <v>#NAME?</v>
      </c>
      <c r="BX45" s="39" t="e">
        <f t="shared" ref="BX45" ca="1" si="395">+IF(BW42&lt;0,1-BX42/BW42,BX42/BW42-1)</f>
        <v>#NAME?</v>
      </c>
      <c r="BY45" s="39" t="e">
        <f t="shared" ref="BY45" ca="1" si="396">+IF(BX42&lt;0,1-BY42/BX42,BY42/BX42-1)</f>
        <v>#NAME?</v>
      </c>
      <c r="BZ45" s="39" t="e">
        <f t="shared" ref="BZ45" ca="1" si="397">+IF(BY42&lt;0,1-BZ42/BY42,BZ42/BY42-1)</f>
        <v>#NAME?</v>
      </c>
      <c r="CA45" s="39" t="e">
        <f t="shared" ref="CA45" ca="1" si="398">+IF(BZ42&lt;0,1-CA42/BZ42,CA42/BZ42-1)</f>
        <v>#NAME?</v>
      </c>
      <c r="CB45" s="39" t="e">
        <f t="shared" ref="CB45" ca="1" si="399">+IF(CA42&lt;0,1-CB42/CA42,CB42/CA42-1)</f>
        <v>#NAME?</v>
      </c>
      <c r="CC45" s="39" t="e">
        <f t="shared" ref="CC45" ca="1" si="400">+IF(CB42&lt;0,1-CC42/CB42,CC42/CB42-1)</f>
        <v>#NAME?</v>
      </c>
      <c r="CD45" s="39" t="e">
        <f t="shared" ref="CD45" ca="1" si="401">+IF(CC42&lt;0,1-CD42/CC42,CD42/CC42-1)</f>
        <v>#NAME?</v>
      </c>
      <c r="CE45" s="39" t="e">
        <f t="shared" ref="CE45" ca="1" si="402">+IF(CD42&lt;0,1-CE42/CD42,CE42/CD42-1)</f>
        <v>#NAME?</v>
      </c>
      <c r="CF45" s="39" t="e">
        <f t="shared" ref="CF45" ca="1" si="403">+IF(CE42&lt;0,1-CF42/CE42,CF42/CE42-1)</f>
        <v>#NAME?</v>
      </c>
      <c r="CG45" s="39" t="e">
        <f t="shared" ref="CG45" ca="1" si="404">+IF(CF42&lt;0,1-CG42/CF42,CG42/CF42-1)</f>
        <v>#NAME?</v>
      </c>
      <c r="CH45" s="39" t="e">
        <f t="shared" ref="CH45:CI45" ca="1" si="405">+IF(CG42&lt;0,1-CH42/CG42,CH42/CG42-1)</f>
        <v>#NAME?</v>
      </c>
      <c r="CI45" s="39" t="e">
        <f t="shared" ca="1" si="405"/>
        <v>#NAME?</v>
      </c>
      <c r="CJ45" s="39" t="e">
        <f ca="1">+IF(CI42&gt;1,CJ42/CI42-1,1-CJ42/CI42)</f>
        <v>#NAME?</v>
      </c>
      <c r="CK45" s="39" t="e">
        <f ca="1">+IF(CJ42&gt;1,CK42/CJ42-1,1-CK42/CJ42)</f>
        <v>#NAME?</v>
      </c>
      <c r="CL45" s="39" t="e">
        <f ca="1">+IF(CK42&gt;1,CL42/CK42-1,1-CL42/CK42)</f>
        <v>#NAME?</v>
      </c>
      <c r="CM45" s="40" t="e">
        <f t="shared" ref="CM45" ca="1" si="406">+CM42/CL42-1</f>
        <v>#NAME?</v>
      </c>
      <c r="CN45" s="40" t="e">
        <f t="shared" ref="CN45" ca="1" si="407">+CN42/CM42-1</f>
        <v>#NAME?</v>
      </c>
      <c r="CO45" s="40" t="e">
        <f t="shared" ref="CO45" ca="1" si="408">+CO42/CN42-1</f>
        <v>#NAME?</v>
      </c>
      <c r="CP45" s="40" t="e">
        <f t="shared" ref="CP45" ca="1" si="409">+CP42/CO42-1</f>
        <v>#NAME?</v>
      </c>
      <c r="CQ45" s="40" t="e">
        <f t="shared" ref="CQ45" ca="1" si="410">+CQ42/CP42-1</f>
        <v>#NAME?</v>
      </c>
      <c r="CR45" s="40" t="e">
        <f t="shared" ref="CR45" ca="1" si="411">+CR42/CQ42-1</f>
        <v>#NAME?</v>
      </c>
      <c r="CS45" s="40" t="e">
        <f t="shared" ref="CS45" ca="1" si="412">+CS42/CR42-1</f>
        <v>#NAME?</v>
      </c>
      <c r="CT45" s="40" t="e">
        <f t="shared" ref="CT45" ca="1" si="413">+CT42/CS42-1</f>
        <v>#NAME?</v>
      </c>
      <c r="CU45" s="40" t="e">
        <f t="shared" ref="CU45" ca="1" si="414">+CU42/CT42-1</f>
        <v>#NAME?</v>
      </c>
      <c r="CV45" s="40" t="e">
        <f t="shared" ref="CV45" ca="1" si="415">+CV42/CU42-1</f>
        <v>#NAME?</v>
      </c>
      <c r="CW45" s="40" t="e">
        <f t="shared" ref="CW45" ca="1" si="416">+CW42/CV42-1</f>
        <v>#NAME?</v>
      </c>
      <c r="CX45" s="40" t="e">
        <f t="shared" ref="CX45" ca="1" si="417">+CX42/CW42-1</f>
        <v>#NAME?</v>
      </c>
      <c r="CY45" s="40" t="e">
        <f t="shared" ref="CY45" ca="1" si="418">+CY42/CX42-1</f>
        <v>#NAME?</v>
      </c>
      <c r="CZ45" s="40" t="e">
        <f t="shared" ref="CZ45" ca="1" si="419">+CZ42/CY42-1</f>
        <v>#NAME?</v>
      </c>
      <c r="DA45" s="40" t="e">
        <f t="shared" ref="DA45" ca="1" si="420">+DA42/CZ42-1</f>
        <v>#NAME?</v>
      </c>
      <c r="DB45" s="40" t="e">
        <f t="shared" ref="DB45" ca="1" si="421">+DB42/DA42-1</f>
        <v>#NAME?</v>
      </c>
      <c r="DE45" s="122"/>
    </row>
    <row r="46" spans="1:110" s="23" customFormat="1" x14ac:dyDescent="0.2">
      <c r="A46" s="23" t="s">
        <v>15</v>
      </c>
      <c r="B46" s="23" t="e">
        <f ca="1">'Annual Raw'!C27</f>
        <v>#NAME?</v>
      </c>
      <c r="C46" s="23" t="e">
        <f ca="1">'Annual Raw'!D27</f>
        <v>#NAME?</v>
      </c>
      <c r="D46" s="23" t="e">
        <f ca="1">'Annual Raw'!E27</f>
        <v>#NAME?</v>
      </c>
      <c r="E46" s="23" t="e">
        <f ca="1">'Annual Raw'!F27</f>
        <v>#NAME?</v>
      </c>
      <c r="F46" s="23" t="e">
        <f ca="1">'Annual Raw'!G27</f>
        <v>#NAME?</v>
      </c>
      <c r="G46" s="23" t="e">
        <f ca="1">'Annual Raw'!H27</f>
        <v>#NAME?</v>
      </c>
      <c r="H46" s="23" t="e">
        <f ca="1">'Annual Raw'!I27</f>
        <v>#NAME?</v>
      </c>
      <c r="I46" s="23" t="e">
        <f ca="1">'Annual Raw'!J27</f>
        <v>#NAME?</v>
      </c>
      <c r="J46" s="23" t="e">
        <f ca="1">'Annual Raw'!K27</f>
        <v>#NAME?</v>
      </c>
      <c r="K46" s="23" t="e">
        <f ca="1">'Annual Raw'!L27</f>
        <v>#NAME?</v>
      </c>
      <c r="L46" s="23" t="e">
        <f ca="1">'Annual Raw'!M27</f>
        <v>#NAME?</v>
      </c>
      <c r="M46" s="23" t="e">
        <f ca="1">'Annual Raw'!N27</f>
        <v>#NAME?</v>
      </c>
      <c r="N46" s="23" t="e">
        <f ca="1">'Annual Raw'!O27</f>
        <v>#NAME?</v>
      </c>
      <c r="O46" s="23" t="e">
        <f ca="1">'Annual Raw'!P27</f>
        <v>#NAME?</v>
      </c>
      <c r="P46" s="23" t="e">
        <f ca="1">'Annual Raw'!Q27</f>
        <v>#NAME?</v>
      </c>
      <c r="Q46" s="23" t="e">
        <f ca="1">'Annual Raw'!R27</f>
        <v>#NAME?</v>
      </c>
      <c r="R46" s="23" t="e">
        <f ca="1">'Annual Raw'!S27</f>
        <v>#NAME?</v>
      </c>
      <c r="S46" s="23" t="e">
        <f ca="1">'Annual Raw'!T27</f>
        <v>#NAME?</v>
      </c>
      <c r="T46" s="23" t="e">
        <f ca="1">'Annual Raw'!U27</f>
        <v>#NAME?</v>
      </c>
      <c r="U46" s="23" t="e">
        <f ca="1">'Annual Raw'!V27</f>
        <v>#NAME?</v>
      </c>
      <c r="V46" s="23" t="e">
        <f ca="1">'Annual Raw'!W27</f>
        <v>#NAME?</v>
      </c>
      <c r="W46" s="23" t="e">
        <f ca="1">'Annual Raw'!X27</f>
        <v>#NAME?</v>
      </c>
      <c r="X46" s="23" t="e">
        <f ca="1">'Annual Raw'!Y27</f>
        <v>#NAME?</v>
      </c>
      <c r="Y46" s="23" t="e">
        <f ca="1">'Annual Raw'!Z27</f>
        <v>#NAME?</v>
      </c>
      <c r="Z46" s="23" t="e">
        <f ca="1">'Annual Raw'!AA27</f>
        <v>#NAME?</v>
      </c>
      <c r="AA46" s="23" t="e">
        <f ca="1">'Annual Raw'!AB27</f>
        <v>#NAME?</v>
      </c>
      <c r="AB46" s="76" t="e">
        <f ca="1">+SUM(CM46:CP46)</f>
        <v>#NAME?</v>
      </c>
      <c r="AC46" s="76" t="e">
        <f ca="1">+SUM(CQ46:CT46)</f>
        <v>#NAME?</v>
      </c>
      <c r="AD46" s="76" t="e">
        <f ca="1">+SUM(CU46:CX46)</f>
        <v>#NAME?</v>
      </c>
      <c r="AE46" s="76" t="e">
        <f ca="1">+SUM(CY46:DB46)</f>
        <v>#NAME?</v>
      </c>
      <c r="AI46" s="23" t="e">
        <f ca="1">'QTR Raw'!C28</f>
        <v>#NAME?</v>
      </c>
      <c r="AJ46" s="23" t="e">
        <f ca="1">'QTR Raw'!D28</f>
        <v>#NAME?</v>
      </c>
      <c r="AK46" s="23" t="e">
        <f ca="1">'QTR Raw'!E28</f>
        <v>#NAME?</v>
      </c>
      <c r="AL46" s="23" t="e">
        <f ca="1">'QTR Raw'!F28</f>
        <v>#NAME?</v>
      </c>
      <c r="AM46" s="23" t="e">
        <f ca="1">'QTR Raw'!G28</f>
        <v>#NAME?</v>
      </c>
      <c r="AN46" s="23" t="e">
        <f ca="1">'QTR Raw'!H28</f>
        <v>#NAME?</v>
      </c>
      <c r="AO46" s="23" t="e">
        <f ca="1">'QTR Raw'!I28</f>
        <v>#NAME?</v>
      </c>
      <c r="AP46" s="23" t="e">
        <f ca="1">'QTR Raw'!J28</f>
        <v>#NAME?</v>
      </c>
      <c r="AQ46" s="23" t="e">
        <f ca="1">'QTR Raw'!K28</f>
        <v>#NAME?</v>
      </c>
      <c r="AR46" s="23" t="e">
        <f ca="1">'QTR Raw'!L28</f>
        <v>#NAME?</v>
      </c>
      <c r="AS46" s="23" t="e">
        <f ca="1">'QTR Raw'!M28</f>
        <v>#NAME?</v>
      </c>
      <c r="AT46" s="23" t="e">
        <f ca="1">'QTR Raw'!N28</f>
        <v>#NAME?</v>
      </c>
      <c r="AU46" s="23" t="e">
        <f ca="1">'QTR Raw'!O28</f>
        <v>#NAME?</v>
      </c>
      <c r="AV46" s="23" t="e">
        <f ca="1">'QTR Raw'!P28</f>
        <v>#NAME?</v>
      </c>
      <c r="AW46" s="23" t="e">
        <f ca="1">'QTR Raw'!Q28</f>
        <v>#NAME?</v>
      </c>
      <c r="AX46" s="23" t="e">
        <f ca="1">'QTR Raw'!R28</f>
        <v>#NAME?</v>
      </c>
      <c r="AY46" s="23" t="e">
        <f ca="1">'QTR Raw'!S28</f>
        <v>#NAME?</v>
      </c>
      <c r="AZ46" s="23" t="e">
        <f ca="1">'QTR Raw'!T28</f>
        <v>#NAME?</v>
      </c>
      <c r="BA46" s="23" t="e">
        <f ca="1">'QTR Raw'!U28</f>
        <v>#NAME?</v>
      </c>
      <c r="BB46" s="23" t="e">
        <f ca="1">'QTR Raw'!V28</f>
        <v>#NAME?</v>
      </c>
      <c r="BC46" s="23" t="e">
        <f ca="1">'QTR Raw'!W28</f>
        <v>#NAME?</v>
      </c>
      <c r="BD46" s="23" t="e">
        <f ca="1">'QTR Raw'!X28</f>
        <v>#NAME?</v>
      </c>
      <c r="BE46" s="23" t="e">
        <f ca="1">'QTR Raw'!Y28</f>
        <v>#NAME?</v>
      </c>
      <c r="BF46" s="23" t="e">
        <f ca="1">'QTR Raw'!Z28</f>
        <v>#NAME?</v>
      </c>
      <c r="BG46" s="23" t="e">
        <f ca="1">'QTR Raw'!AA28</f>
        <v>#NAME?</v>
      </c>
      <c r="BH46" s="23" t="e">
        <f ca="1">'QTR Raw'!AB28</f>
        <v>#NAME?</v>
      </c>
      <c r="BI46" s="23" t="e">
        <f ca="1">'QTR Raw'!AC28</f>
        <v>#NAME?</v>
      </c>
      <c r="BJ46" s="23" t="e">
        <f ca="1">'QTR Raw'!AD28</f>
        <v>#NAME?</v>
      </c>
      <c r="BK46" s="23" t="e">
        <f ca="1">'QTR Raw'!AE28</f>
        <v>#NAME?</v>
      </c>
      <c r="BL46" s="23" t="e">
        <f ca="1">'QTR Raw'!AF28</f>
        <v>#NAME?</v>
      </c>
      <c r="BM46" s="23" t="e">
        <f ca="1">'QTR Raw'!AG28</f>
        <v>#NAME?</v>
      </c>
      <c r="BN46" s="23" t="e">
        <f ca="1">'QTR Raw'!AH28</f>
        <v>#NAME?</v>
      </c>
      <c r="BO46" s="23" t="e">
        <f ca="1">'QTR Raw'!AI28</f>
        <v>#NAME?</v>
      </c>
      <c r="BP46" s="23" t="e">
        <f ca="1">'QTR Raw'!AJ28</f>
        <v>#NAME?</v>
      </c>
      <c r="BQ46" s="23" t="e">
        <f ca="1">'QTR Raw'!AK28</f>
        <v>#NAME?</v>
      </c>
      <c r="BR46" s="23" t="e">
        <f ca="1">'QTR Raw'!AL28</f>
        <v>#NAME?</v>
      </c>
      <c r="BS46" s="23" t="e">
        <f ca="1">'QTR Raw'!AM28</f>
        <v>#NAME?</v>
      </c>
      <c r="BT46" s="23" t="e">
        <f ca="1">'QTR Raw'!AN28</f>
        <v>#NAME?</v>
      </c>
      <c r="BU46" s="23" t="e">
        <f ca="1">'QTR Raw'!AO28</f>
        <v>#NAME?</v>
      </c>
      <c r="BV46" s="23" t="e">
        <f ca="1">'QTR Raw'!AP28</f>
        <v>#NAME?</v>
      </c>
      <c r="BW46" s="23" t="e">
        <f ca="1">'QTR Raw'!AQ28</f>
        <v>#NAME?</v>
      </c>
      <c r="BX46" s="23" t="e">
        <f ca="1">'QTR Raw'!AR28</f>
        <v>#NAME?</v>
      </c>
      <c r="BY46" s="23" t="e">
        <f ca="1">'QTR Raw'!AS28</f>
        <v>#NAME?</v>
      </c>
      <c r="BZ46" s="23" t="e">
        <f ca="1">'QTR Raw'!AT28</f>
        <v>#NAME?</v>
      </c>
      <c r="CA46" s="23" t="e">
        <f ca="1">'QTR Raw'!AU28</f>
        <v>#NAME?</v>
      </c>
      <c r="CB46" s="23" t="e">
        <f ca="1">'QTR Raw'!AV28</f>
        <v>#NAME?</v>
      </c>
      <c r="CC46" s="23" t="e">
        <f ca="1">'QTR Raw'!AW28</f>
        <v>#NAME?</v>
      </c>
      <c r="CD46" s="23" t="e">
        <f ca="1">'QTR Raw'!AX28</f>
        <v>#NAME?</v>
      </c>
      <c r="CE46" s="23" t="e">
        <f ca="1">'QTR Raw'!AY28</f>
        <v>#NAME?</v>
      </c>
      <c r="CF46" s="23" t="e">
        <f ca="1">'QTR Raw'!AZ28</f>
        <v>#NAME?</v>
      </c>
      <c r="CG46" s="23" t="e">
        <f ca="1">'QTR Raw'!BA28</f>
        <v>#NAME?</v>
      </c>
      <c r="CH46" s="23">
        <v>8.5</v>
      </c>
      <c r="CI46" s="23" t="e">
        <f ca="1">'QTR Raw'!BC28</f>
        <v>#NAME?</v>
      </c>
      <c r="CJ46" s="23" t="e">
        <f ca="1">'QTR Raw'!BD28</f>
        <v>#NAME?</v>
      </c>
      <c r="CK46" s="23" t="e">
        <f ca="1">'QTR Raw'!BE28</f>
        <v>#NAME?</v>
      </c>
      <c r="CL46" s="23" t="e">
        <f ca="1">'QTR Raw'!BF28</f>
        <v>#NAME?</v>
      </c>
      <c r="CM46" s="24" t="e">
        <f t="shared" ref="CM46:DB46" ca="1" si="422">CM47*CL148</f>
        <v>#NAME?</v>
      </c>
      <c r="CN46" s="24" t="e">
        <f t="shared" ca="1" si="422"/>
        <v>#NAME?</v>
      </c>
      <c r="CO46" s="24" t="e">
        <f t="shared" ca="1" si="422"/>
        <v>#NAME?</v>
      </c>
      <c r="CP46" s="24" t="e">
        <f t="shared" ca="1" si="422"/>
        <v>#NAME?</v>
      </c>
      <c r="CQ46" s="24" t="e">
        <f t="shared" ca="1" si="422"/>
        <v>#NAME?</v>
      </c>
      <c r="CR46" s="24" t="e">
        <f t="shared" ca="1" si="422"/>
        <v>#NAME?</v>
      </c>
      <c r="CS46" s="24" t="e">
        <f t="shared" ca="1" si="422"/>
        <v>#NAME?</v>
      </c>
      <c r="CT46" s="24" t="e">
        <f t="shared" ca="1" si="422"/>
        <v>#NAME?</v>
      </c>
      <c r="CU46" s="24" t="e">
        <f t="shared" ca="1" si="422"/>
        <v>#NAME?</v>
      </c>
      <c r="CV46" s="24" t="e">
        <f t="shared" ca="1" si="422"/>
        <v>#NAME?</v>
      </c>
      <c r="CW46" s="24" t="e">
        <f t="shared" ca="1" si="422"/>
        <v>#NAME?</v>
      </c>
      <c r="CX46" s="24" t="e">
        <f t="shared" ca="1" si="422"/>
        <v>#NAME?</v>
      </c>
      <c r="CY46" s="24" t="e">
        <f t="shared" ca="1" si="422"/>
        <v>#NAME?</v>
      </c>
      <c r="CZ46" s="24" t="e">
        <f t="shared" ca="1" si="422"/>
        <v>#NAME?</v>
      </c>
      <c r="DA46" s="24" t="e">
        <f t="shared" ca="1" si="422"/>
        <v>#NAME?</v>
      </c>
      <c r="DB46" s="24" t="e">
        <f t="shared" ca="1" si="422"/>
        <v>#NAME?</v>
      </c>
      <c r="DE46" s="123"/>
      <c r="DF46" s="23">
        <v>26.137</v>
      </c>
    </row>
    <row r="47" spans="1:110" s="46" customFormat="1" x14ac:dyDescent="0.2">
      <c r="A47" s="46" t="s">
        <v>483</v>
      </c>
      <c r="B47" s="46" t="e">
        <f t="shared" ref="B47:D47" ca="1" si="423">+B46/B148</f>
        <v>#NAME?</v>
      </c>
      <c r="C47" s="46" t="e">
        <f t="shared" ca="1" si="423"/>
        <v>#NAME?</v>
      </c>
      <c r="D47" s="46" t="e">
        <f t="shared" ca="1" si="423"/>
        <v>#NAME?</v>
      </c>
      <c r="E47" s="46" t="e">
        <f t="shared" ref="E47:AE47" ca="1" si="424">+E46/E148</f>
        <v>#NAME?</v>
      </c>
      <c r="F47" s="46" t="e">
        <f t="shared" ca="1" si="424"/>
        <v>#NAME?</v>
      </c>
      <c r="G47" s="46" t="e">
        <f t="shared" ca="1" si="424"/>
        <v>#NAME?</v>
      </c>
      <c r="H47" s="46" t="e">
        <f t="shared" ca="1" si="424"/>
        <v>#NAME?</v>
      </c>
      <c r="I47" s="46" t="e">
        <f t="shared" ca="1" si="424"/>
        <v>#NAME?</v>
      </c>
      <c r="J47" s="46" t="e">
        <f t="shared" ca="1" si="424"/>
        <v>#NAME?</v>
      </c>
      <c r="K47" s="46" t="e">
        <f t="shared" ca="1" si="424"/>
        <v>#NAME?</v>
      </c>
      <c r="L47" s="46" t="e">
        <f t="shared" ca="1" si="424"/>
        <v>#NAME?</v>
      </c>
      <c r="M47" s="46" t="e">
        <f t="shared" ca="1" si="424"/>
        <v>#NAME?</v>
      </c>
      <c r="N47" s="46" t="e">
        <f t="shared" ca="1" si="424"/>
        <v>#NAME?</v>
      </c>
      <c r="O47" s="46" t="e">
        <f t="shared" ca="1" si="424"/>
        <v>#NAME?</v>
      </c>
      <c r="P47" s="46" t="e">
        <f t="shared" ca="1" si="424"/>
        <v>#NAME?</v>
      </c>
      <c r="Q47" s="46" t="e">
        <f t="shared" ca="1" si="424"/>
        <v>#NAME?</v>
      </c>
      <c r="R47" s="46" t="e">
        <f t="shared" ca="1" si="424"/>
        <v>#NAME?</v>
      </c>
      <c r="S47" s="46" t="e">
        <f t="shared" ca="1" si="424"/>
        <v>#NAME?</v>
      </c>
      <c r="T47" s="46" t="e">
        <f t="shared" ca="1" si="424"/>
        <v>#NAME?</v>
      </c>
      <c r="U47" s="46" t="e">
        <f t="shared" ca="1" si="424"/>
        <v>#NAME?</v>
      </c>
      <c r="V47" s="46" t="e">
        <f t="shared" ca="1" si="424"/>
        <v>#NAME?</v>
      </c>
      <c r="W47" s="46" t="e">
        <f t="shared" ca="1" si="424"/>
        <v>#NAME?</v>
      </c>
      <c r="X47" s="46" t="e">
        <f t="shared" ca="1" si="424"/>
        <v>#NAME?</v>
      </c>
      <c r="Y47" s="46" t="e">
        <f t="shared" ca="1" si="424"/>
        <v>#NAME?</v>
      </c>
      <c r="Z47" s="46" t="e">
        <f t="shared" ca="1" si="424"/>
        <v>#NAME?</v>
      </c>
      <c r="AA47" s="46" t="e">
        <f t="shared" ref="AA47" ca="1" si="425">+AA46/AA148</f>
        <v>#NAME?</v>
      </c>
      <c r="AB47" s="110" t="e">
        <f t="shared" ca="1" si="424"/>
        <v>#NAME?</v>
      </c>
      <c r="AC47" s="110" t="e">
        <f t="shared" ca="1" si="424"/>
        <v>#NAME?</v>
      </c>
      <c r="AD47" s="110" t="e">
        <f t="shared" ca="1" si="424"/>
        <v>#NAME?</v>
      </c>
      <c r="AE47" s="110" t="e">
        <f t="shared" ca="1" si="424"/>
        <v>#NAME?</v>
      </c>
      <c r="AI47" s="46" t="e">
        <f t="shared" ref="AI47:BN47" ca="1" si="426">+AI46/AH148</f>
        <v>#NAME?</v>
      </c>
      <c r="AJ47" s="46" t="e">
        <f t="shared" ca="1" si="426"/>
        <v>#NAME?</v>
      </c>
      <c r="AK47" s="46" t="e">
        <f t="shared" ca="1" si="426"/>
        <v>#NAME?</v>
      </c>
      <c r="AL47" s="46" t="e">
        <f t="shared" ca="1" si="426"/>
        <v>#NAME?</v>
      </c>
      <c r="AM47" s="46" t="e">
        <f t="shared" ca="1" si="426"/>
        <v>#NAME?</v>
      </c>
      <c r="AN47" s="46" t="e">
        <f t="shared" ca="1" si="426"/>
        <v>#NAME?</v>
      </c>
      <c r="AO47" s="46" t="e">
        <f t="shared" ca="1" si="426"/>
        <v>#NAME?</v>
      </c>
      <c r="AP47" s="46" t="e">
        <f t="shared" ca="1" si="426"/>
        <v>#NAME?</v>
      </c>
      <c r="AQ47" s="46" t="e">
        <f t="shared" ca="1" si="426"/>
        <v>#NAME?</v>
      </c>
      <c r="AR47" s="46" t="e">
        <f t="shared" ca="1" si="426"/>
        <v>#NAME?</v>
      </c>
      <c r="AS47" s="46" t="e">
        <f t="shared" ca="1" si="426"/>
        <v>#NAME?</v>
      </c>
      <c r="AT47" s="46" t="e">
        <f t="shared" ca="1" si="426"/>
        <v>#NAME?</v>
      </c>
      <c r="AU47" s="46" t="e">
        <f t="shared" ca="1" si="426"/>
        <v>#NAME?</v>
      </c>
      <c r="AV47" s="46" t="e">
        <f t="shared" ca="1" si="426"/>
        <v>#NAME?</v>
      </c>
      <c r="AW47" s="46" t="e">
        <f t="shared" ca="1" si="426"/>
        <v>#NAME?</v>
      </c>
      <c r="AX47" s="46" t="e">
        <f t="shared" ca="1" si="426"/>
        <v>#NAME?</v>
      </c>
      <c r="AY47" s="46" t="e">
        <f t="shared" ca="1" si="426"/>
        <v>#NAME?</v>
      </c>
      <c r="AZ47" s="46" t="e">
        <f t="shared" ca="1" si="426"/>
        <v>#NAME?</v>
      </c>
      <c r="BA47" s="46" t="e">
        <f t="shared" ca="1" si="426"/>
        <v>#NAME?</v>
      </c>
      <c r="BB47" s="46" t="e">
        <f t="shared" ca="1" si="426"/>
        <v>#NAME?</v>
      </c>
      <c r="BC47" s="46" t="e">
        <f t="shared" ca="1" si="426"/>
        <v>#NAME?</v>
      </c>
      <c r="BD47" s="46" t="e">
        <f t="shared" ca="1" si="426"/>
        <v>#NAME?</v>
      </c>
      <c r="BE47" s="46" t="e">
        <f t="shared" ca="1" si="426"/>
        <v>#NAME?</v>
      </c>
      <c r="BF47" s="46" t="e">
        <f t="shared" ca="1" si="426"/>
        <v>#NAME?</v>
      </c>
      <c r="BG47" s="46" t="e">
        <f t="shared" ca="1" si="426"/>
        <v>#NAME?</v>
      </c>
      <c r="BH47" s="46" t="e">
        <f t="shared" ca="1" si="426"/>
        <v>#NAME?</v>
      </c>
      <c r="BI47" s="46" t="e">
        <f t="shared" ca="1" si="426"/>
        <v>#NAME?</v>
      </c>
      <c r="BJ47" s="46" t="e">
        <f t="shared" ca="1" si="426"/>
        <v>#NAME?</v>
      </c>
      <c r="BK47" s="46" t="e">
        <f t="shared" ca="1" si="426"/>
        <v>#NAME?</v>
      </c>
      <c r="BL47" s="46" t="e">
        <f t="shared" ca="1" si="426"/>
        <v>#NAME?</v>
      </c>
      <c r="BM47" s="46" t="e">
        <f t="shared" ca="1" si="426"/>
        <v>#NAME?</v>
      </c>
      <c r="BN47" s="46" t="e">
        <f t="shared" ca="1" si="426"/>
        <v>#NAME?</v>
      </c>
      <c r="BO47" s="46" t="e">
        <f t="shared" ref="BO47:CL47" ca="1" si="427">+BO46/BN148</f>
        <v>#NAME?</v>
      </c>
      <c r="BP47" s="46" t="e">
        <f t="shared" ca="1" si="427"/>
        <v>#NAME?</v>
      </c>
      <c r="BQ47" s="46" t="e">
        <f t="shared" ca="1" si="427"/>
        <v>#NAME?</v>
      </c>
      <c r="BR47" s="46" t="e">
        <f t="shared" ca="1" si="427"/>
        <v>#NAME?</v>
      </c>
      <c r="BS47" s="46" t="e">
        <f t="shared" ca="1" si="427"/>
        <v>#NAME?</v>
      </c>
      <c r="BT47" s="46" t="e">
        <f t="shared" ca="1" si="427"/>
        <v>#NAME?</v>
      </c>
      <c r="BU47" s="46" t="e">
        <f t="shared" ca="1" si="427"/>
        <v>#NAME?</v>
      </c>
      <c r="BV47" s="46" t="e">
        <f t="shared" ca="1" si="427"/>
        <v>#NAME?</v>
      </c>
      <c r="BW47" s="46" t="e">
        <f t="shared" ca="1" si="427"/>
        <v>#NAME?</v>
      </c>
      <c r="BX47" s="46" t="e">
        <f t="shared" ca="1" si="427"/>
        <v>#NAME?</v>
      </c>
      <c r="BY47" s="46" t="e">
        <f t="shared" ca="1" si="427"/>
        <v>#NAME?</v>
      </c>
      <c r="BZ47" s="46" t="e">
        <f t="shared" ca="1" si="427"/>
        <v>#NAME?</v>
      </c>
      <c r="CA47" s="46" t="e">
        <f t="shared" ca="1" si="427"/>
        <v>#NAME?</v>
      </c>
      <c r="CB47" s="46" t="e">
        <f t="shared" ca="1" si="427"/>
        <v>#NAME?</v>
      </c>
      <c r="CC47" s="46" t="e">
        <f t="shared" ca="1" si="427"/>
        <v>#NAME?</v>
      </c>
      <c r="CD47" s="46" t="e">
        <f t="shared" ca="1" si="427"/>
        <v>#NAME?</v>
      </c>
      <c r="CE47" s="46" t="e">
        <f t="shared" ca="1" si="427"/>
        <v>#NAME?</v>
      </c>
      <c r="CF47" s="46" t="e">
        <f t="shared" ca="1" si="427"/>
        <v>#NAME?</v>
      </c>
      <c r="CG47" s="46" t="e">
        <f t="shared" ca="1" si="427"/>
        <v>#NAME?</v>
      </c>
      <c r="CH47" s="46" t="e">
        <f t="shared" ca="1" si="427"/>
        <v>#NAME?</v>
      </c>
      <c r="CI47" s="46" t="e">
        <f t="shared" ca="1" si="427"/>
        <v>#NAME?</v>
      </c>
      <c r="CJ47" s="46" t="e">
        <f t="shared" ca="1" si="427"/>
        <v>#NAME?</v>
      </c>
      <c r="CK47" s="46" t="e">
        <f t="shared" ca="1" si="427"/>
        <v>#NAME?</v>
      </c>
      <c r="CL47" s="46" t="e">
        <f t="shared" ca="1" si="427"/>
        <v>#NAME?</v>
      </c>
      <c r="CM47" s="47" t="e">
        <f t="shared" ref="CM47" ca="1" si="428">CL47</f>
        <v>#NAME?</v>
      </c>
      <c r="CN47" s="47" t="e">
        <f t="shared" ref="CN47" ca="1" si="429">CM47</f>
        <v>#NAME?</v>
      </c>
      <c r="CO47" s="47" t="e">
        <f t="shared" ref="CO47" ca="1" si="430">CN47</f>
        <v>#NAME?</v>
      </c>
      <c r="CP47" s="47" t="e">
        <f t="shared" ref="CP47" ca="1" si="431">CO47</f>
        <v>#NAME?</v>
      </c>
      <c r="CQ47" s="47" t="e">
        <f t="shared" ref="CQ47" ca="1" si="432">CP47</f>
        <v>#NAME?</v>
      </c>
      <c r="CR47" s="47" t="e">
        <f t="shared" ref="CR47" ca="1" si="433">CQ47</f>
        <v>#NAME?</v>
      </c>
      <c r="CS47" s="47" t="e">
        <f t="shared" ref="CS47" ca="1" si="434">CR47</f>
        <v>#NAME?</v>
      </c>
      <c r="CT47" s="47" t="e">
        <f t="shared" ref="CT47" ca="1" si="435">CS47</f>
        <v>#NAME?</v>
      </c>
      <c r="CU47" s="47" t="e">
        <f t="shared" ref="CU47" ca="1" si="436">CT47</f>
        <v>#NAME?</v>
      </c>
      <c r="CV47" s="47" t="e">
        <f t="shared" ref="CV47" ca="1" si="437">CU47</f>
        <v>#NAME?</v>
      </c>
      <c r="CW47" s="47" t="e">
        <f t="shared" ref="CW47" ca="1" si="438">CV47</f>
        <v>#NAME?</v>
      </c>
      <c r="CX47" s="47" t="e">
        <f t="shared" ref="CX47" ca="1" si="439">CW47</f>
        <v>#NAME?</v>
      </c>
      <c r="CY47" s="47" t="e">
        <f t="shared" ref="CY47" ca="1" si="440">CX47</f>
        <v>#NAME?</v>
      </c>
      <c r="CZ47" s="47" t="e">
        <f t="shared" ref="CZ47" ca="1" si="441">CY47</f>
        <v>#NAME?</v>
      </c>
      <c r="DA47" s="47" t="e">
        <f t="shared" ref="DA47" ca="1" si="442">CZ47</f>
        <v>#NAME?</v>
      </c>
      <c r="DB47" s="47" t="e">
        <f t="shared" ref="DB47" ca="1" si="443">DA47</f>
        <v>#NAME?</v>
      </c>
      <c r="DE47" s="130"/>
      <c r="DF47" s="46">
        <v>0.46837144290731847</v>
      </c>
    </row>
    <row r="48" spans="1:110" s="26" customFormat="1" x14ac:dyDescent="0.2">
      <c r="A48" s="34" t="s">
        <v>16</v>
      </c>
      <c r="B48" s="26" t="e">
        <f ca="1">B42-B46</f>
        <v>#NAME?</v>
      </c>
      <c r="C48" s="26" t="e">
        <f t="shared" ref="C48:T48" ca="1" si="444">C42-C46</f>
        <v>#NAME?</v>
      </c>
      <c r="D48" s="26" t="e">
        <f ca="1">D42-D46</f>
        <v>#NAME?</v>
      </c>
      <c r="E48" s="26" t="e">
        <f t="shared" ca="1" si="444"/>
        <v>#NAME?</v>
      </c>
      <c r="F48" s="26" t="e">
        <f t="shared" ca="1" si="444"/>
        <v>#NAME?</v>
      </c>
      <c r="G48" s="26" t="e">
        <f t="shared" ca="1" si="444"/>
        <v>#NAME?</v>
      </c>
      <c r="H48" s="26" t="e">
        <f t="shared" ca="1" si="444"/>
        <v>#NAME?</v>
      </c>
      <c r="I48" s="26" t="e">
        <f t="shared" ca="1" si="444"/>
        <v>#NAME?</v>
      </c>
      <c r="J48" s="26" t="e">
        <f t="shared" ca="1" si="444"/>
        <v>#NAME?</v>
      </c>
      <c r="K48" s="26" t="e">
        <f t="shared" ca="1" si="444"/>
        <v>#NAME?</v>
      </c>
      <c r="L48" s="26" t="e">
        <f t="shared" ca="1" si="444"/>
        <v>#NAME?</v>
      </c>
      <c r="M48" s="26" t="e">
        <f t="shared" ca="1" si="444"/>
        <v>#NAME?</v>
      </c>
      <c r="N48" s="26" t="e">
        <f t="shared" ca="1" si="444"/>
        <v>#NAME?</v>
      </c>
      <c r="O48" s="26" t="e">
        <f t="shared" ca="1" si="444"/>
        <v>#NAME?</v>
      </c>
      <c r="P48" s="26" t="e">
        <f t="shared" ca="1" si="444"/>
        <v>#NAME?</v>
      </c>
      <c r="Q48" s="26" t="e">
        <f t="shared" ca="1" si="444"/>
        <v>#NAME?</v>
      </c>
      <c r="R48" s="26" t="e">
        <f t="shared" ca="1" si="444"/>
        <v>#NAME?</v>
      </c>
      <c r="S48" s="26" t="e">
        <f t="shared" ca="1" si="444"/>
        <v>#NAME?</v>
      </c>
      <c r="T48" s="26" t="e">
        <f t="shared" ca="1" si="444"/>
        <v>#NAME?</v>
      </c>
      <c r="U48" s="26" t="e">
        <f t="shared" ref="U48:Z48" ca="1" si="445">U42-U46</f>
        <v>#NAME?</v>
      </c>
      <c r="V48" s="26" t="e">
        <f t="shared" ca="1" si="445"/>
        <v>#NAME?</v>
      </c>
      <c r="W48" s="26" t="e">
        <f t="shared" ca="1" si="445"/>
        <v>#NAME?</v>
      </c>
      <c r="X48" s="26" t="e">
        <f t="shared" ca="1" si="445"/>
        <v>#NAME?</v>
      </c>
      <c r="Y48" s="26" t="e">
        <f t="shared" ca="1" si="445"/>
        <v>#NAME?</v>
      </c>
      <c r="Z48" s="26" t="e">
        <f t="shared" ca="1" si="445"/>
        <v>#NAME?</v>
      </c>
      <c r="AA48" s="26" t="e">
        <f t="shared" ref="AA48" ca="1" si="446">AA42-AA46</f>
        <v>#NAME?</v>
      </c>
      <c r="AB48" s="27" t="e">
        <f t="shared" ref="AA48:AD48" ca="1" si="447">AB42-AB46</f>
        <v>#NAME?</v>
      </c>
      <c r="AC48" s="27" t="e">
        <f t="shared" ca="1" si="447"/>
        <v>#NAME?</v>
      </c>
      <c r="AD48" s="27" t="e">
        <f t="shared" ca="1" si="447"/>
        <v>#NAME?</v>
      </c>
      <c r="AE48" s="27" t="e">
        <f t="shared" ref="AE48" ca="1" si="448">AE42-AE46</f>
        <v>#NAME?</v>
      </c>
      <c r="AI48" s="26" t="e">
        <f t="shared" ref="AI48" ca="1" si="449">AI42-AI46</f>
        <v>#NAME?</v>
      </c>
      <c r="AJ48" s="26" t="e">
        <f t="shared" ref="AJ48" ca="1" si="450">AJ42-AJ46</f>
        <v>#NAME?</v>
      </c>
      <c r="AK48" s="26" t="e">
        <f t="shared" ref="AK48:AM48" ca="1" si="451">AK42-AK46</f>
        <v>#NAME?</v>
      </c>
      <c r="AL48" s="26" t="e">
        <f t="shared" ca="1" si="451"/>
        <v>#NAME?</v>
      </c>
      <c r="AM48" s="26" t="e">
        <f t="shared" ca="1" si="451"/>
        <v>#NAME?</v>
      </c>
      <c r="AN48" s="26" t="e">
        <f t="shared" ref="AN48:AO48" ca="1" si="452">AN42-AN46</f>
        <v>#NAME?</v>
      </c>
      <c r="AO48" s="26" t="e">
        <f t="shared" ca="1" si="452"/>
        <v>#NAME?</v>
      </c>
      <c r="AP48" s="26" t="e">
        <f t="shared" ref="AP48:CD48" ca="1" si="453">AP42-AP46</f>
        <v>#NAME?</v>
      </c>
      <c r="AQ48" s="26" t="e">
        <f t="shared" ca="1" si="453"/>
        <v>#NAME?</v>
      </c>
      <c r="AR48" s="26" t="e">
        <f t="shared" ca="1" si="453"/>
        <v>#NAME?</v>
      </c>
      <c r="AS48" s="26" t="e">
        <f t="shared" ca="1" si="453"/>
        <v>#NAME?</v>
      </c>
      <c r="AT48" s="26" t="e">
        <f t="shared" ca="1" si="453"/>
        <v>#NAME?</v>
      </c>
      <c r="AU48" s="26" t="e">
        <f t="shared" ca="1" si="453"/>
        <v>#NAME?</v>
      </c>
      <c r="AV48" s="26" t="e">
        <f t="shared" ca="1" si="453"/>
        <v>#NAME?</v>
      </c>
      <c r="AW48" s="26" t="e">
        <f t="shared" ca="1" si="453"/>
        <v>#NAME?</v>
      </c>
      <c r="AX48" s="26" t="e">
        <f t="shared" ca="1" si="453"/>
        <v>#NAME?</v>
      </c>
      <c r="AY48" s="26" t="e">
        <f t="shared" ca="1" si="453"/>
        <v>#NAME?</v>
      </c>
      <c r="AZ48" s="26" t="e">
        <f t="shared" ca="1" si="453"/>
        <v>#NAME?</v>
      </c>
      <c r="BA48" s="26" t="e">
        <f t="shared" ca="1" si="453"/>
        <v>#NAME?</v>
      </c>
      <c r="BB48" s="26" t="e">
        <f t="shared" ca="1" si="453"/>
        <v>#NAME?</v>
      </c>
      <c r="BC48" s="26" t="e">
        <f t="shared" ca="1" si="453"/>
        <v>#NAME?</v>
      </c>
      <c r="BD48" s="26" t="e">
        <f t="shared" ca="1" si="453"/>
        <v>#NAME?</v>
      </c>
      <c r="BE48" s="26" t="e">
        <f t="shared" ca="1" si="453"/>
        <v>#NAME?</v>
      </c>
      <c r="BF48" s="26" t="e">
        <f t="shared" ca="1" si="453"/>
        <v>#NAME?</v>
      </c>
      <c r="BG48" s="26" t="e">
        <f t="shared" ca="1" si="453"/>
        <v>#NAME?</v>
      </c>
      <c r="BH48" s="26" t="e">
        <f t="shared" ca="1" si="453"/>
        <v>#NAME?</v>
      </c>
      <c r="BI48" s="26" t="e">
        <f t="shared" ca="1" si="453"/>
        <v>#NAME?</v>
      </c>
      <c r="BJ48" s="26" t="e">
        <f t="shared" ca="1" si="453"/>
        <v>#NAME?</v>
      </c>
      <c r="BK48" s="26" t="e">
        <f t="shared" ca="1" si="453"/>
        <v>#NAME?</v>
      </c>
      <c r="BL48" s="26" t="e">
        <f t="shared" ca="1" si="453"/>
        <v>#NAME?</v>
      </c>
      <c r="BM48" s="26" t="e">
        <f t="shared" ca="1" si="453"/>
        <v>#NAME?</v>
      </c>
      <c r="BN48" s="26" t="e">
        <f t="shared" ca="1" si="453"/>
        <v>#NAME?</v>
      </c>
      <c r="BO48" s="26" t="e">
        <f t="shared" ca="1" si="453"/>
        <v>#NAME?</v>
      </c>
      <c r="BP48" s="26" t="e">
        <f t="shared" ca="1" si="453"/>
        <v>#NAME?</v>
      </c>
      <c r="BQ48" s="26" t="e">
        <f t="shared" ca="1" si="453"/>
        <v>#NAME?</v>
      </c>
      <c r="BR48" s="26" t="e">
        <f t="shared" ca="1" si="453"/>
        <v>#NAME?</v>
      </c>
      <c r="BS48" s="26" t="e">
        <f t="shared" ca="1" si="453"/>
        <v>#NAME?</v>
      </c>
      <c r="BT48" s="26" t="e">
        <f t="shared" ca="1" si="453"/>
        <v>#NAME?</v>
      </c>
      <c r="BU48" s="26" t="e">
        <f t="shared" ca="1" si="453"/>
        <v>#NAME?</v>
      </c>
      <c r="BV48" s="26" t="e">
        <f t="shared" ca="1" si="453"/>
        <v>#NAME?</v>
      </c>
      <c r="BW48" s="26" t="e">
        <f t="shared" ca="1" si="453"/>
        <v>#NAME?</v>
      </c>
      <c r="BX48" s="26" t="e">
        <f t="shared" ca="1" si="453"/>
        <v>#NAME?</v>
      </c>
      <c r="BY48" s="26" t="e">
        <f t="shared" ca="1" si="453"/>
        <v>#NAME?</v>
      </c>
      <c r="BZ48" s="26" t="e">
        <f t="shared" ca="1" si="453"/>
        <v>#NAME?</v>
      </c>
      <c r="CA48" s="26" t="e">
        <f t="shared" ca="1" si="453"/>
        <v>#NAME?</v>
      </c>
      <c r="CB48" s="26" t="e">
        <f t="shared" ca="1" si="453"/>
        <v>#NAME?</v>
      </c>
      <c r="CC48" s="26" t="e">
        <f t="shared" ca="1" si="453"/>
        <v>#NAME?</v>
      </c>
      <c r="CD48" s="26" t="e">
        <f t="shared" ca="1" si="453"/>
        <v>#NAME?</v>
      </c>
      <c r="CE48" s="26" t="e">
        <f t="shared" ref="CE48:CF48" ca="1" si="454">CE42-CE46</f>
        <v>#NAME?</v>
      </c>
      <c r="CF48" s="26" t="e">
        <f t="shared" ca="1" si="454"/>
        <v>#NAME?</v>
      </c>
      <c r="CG48" s="26" t="e">
        <f t="shared" ref="CG48:CH48" ca="1" si="455">CG42-CG46</f>
        <v>#NAME?</v>
      </c>
      <c r="CH48" s="26" t="e">
        <f t="shared" ca="1" si="455"/>
        <v>#NAME?</v>
      </c>
      <c r="CI48" s="26" t="e">
        <f t="shared" ref="CI48:CJ48" ca="1" si="456">CI42-CI46</f>
        <v>#NAME?</v>
      </c>
      <c r="CJ48" s="26" t="e">
        <f t="shared" ca="1" si="456"/>
        <v>#NAME?</v>
      </c>
      <c r="CK48" s="26" t="e">
        <f t="shared" ref="CK48:CL48" ca="1" si="457">CK42-CK46</f>
        <v>#NAME?</v>
      </c>
      <c r="CL48" s="26" t="e">
        <f t="shared" ca="1" si="457"/>
        <v>#NAME?</v>
      </c>
      <c r="CM48" s="27" t="e">
        <f t="shared" ref="CM48:DB48" ca="1" si="458">CM42-CM46</f>
        <v>#NAME?</v>
      </c>
      <c r="CN48" s="27" t="e">
        <f t="shared" ca="1" si="458"/>
        <v>#NAME?</v>
      </c>
      <c r="CO48" s="27" t="e">
        <f t="shared" ca="1" si="458"/>
        <v>#NAME?</v>
      </c>
      <c r="CP48" s="27" t="e">
        <f t="shared" ca="1" si="458"/>
        <v>#NAME?</v>
      </c>
      <c r="CQ48" s="27" t="e">
        <f t="shared" ca="1" si="458"/>
        <v>#NAME?</v>
      </c>
      <c r="CR48" s="27" t="e">
        <f t="shared" ca="1" si="458"/>
        <v>#NAME?</v>
      </c>
      <c r="CS48" s="27" t="e">
        <f t="shared" ca="1" si="458"/>
        <v>#NAME?</v>
      </c>
      <c r="CT48" s="27" t="e">
        <f t="shared" ca="1" si="458"/>
        <v>#NAME?</v>
      </c>
      <c r="CU48" s="27" t="e">
        <f t="shared" ca="1" si="458"/>
        <v>#NAME?</v>
      </c>
      <c r="CV48" s="27" t="e">
        <f t="shared" ca="1" si="458"/>
        <v>#NAME?</v>
      </c>
      <c r="CW48" s="27" t="e">
        <f t="shared" ca="1" si="458"/>
        <v>#NAME?</v>
      </c>
      <c r="CX48" s="27" t="e">
        <f t="shared" ca="1" si="458"/>
        <v>#NAME?</v>
      </c>
      <c r="CY48" s="27" t="e">
        <f t="shared" ca="1" si="458"/>
        <v>#NAME?</v>
      </c>
      <c r="CZ48" s="27" t="e">
        <f t="shared" ca="1" si="458"/>
        <v>#NAME?</v>
      </c>
      <c r="DA48" s="27" t="e">
        <f t="shared" ca="1" si="458"/>
        <v>#NAME?</v>
      </c>
      <c r="DB48" s="27" t="e">
        <f t="shared" ca="1" si="458"/>
        <v>#NAME?</v>
      </c>
      <c r="DE48" s="121"/>
      <c r="DF48" s="26">
        <v>352.73200000000003</v>
      </c>
    </row>
    <row r="49" spans="1:110" s="23" customFormat="1" x14ac:dyDescent="0.2">
      <c r="A49" s="23" t="s">
        <v>17</v>
      </c>
      <c r="B49" s="23" t="e">
        <f ca="1">'Annual Raw'!C23</f>
        <v>#NAME?</v>
      </c>
      <c r="C49" s="23" t="e">
        <f ca="1">'Annual Raw'!D23</f>
        <v>#NAME?</v>
      </c>
      <c r="D49" s="23" t="e">
        <f ca="1">'Annual Raw'!E23</f>
        <v>#NAME?</v>
      </c>
      <c r="E49" s="23" t="e">
        <f ca="1">'Annual Raw'!F23</f>
        <v>#NAME?</v>
      </c>
      <c r="F49" s="23" t="e">
        <f ca="1">'Annual Raw'!G23</f>
        <v>#NAME?</v>
      </c>
      <c r="G49" s="23" t="e">
        <f ca="1">'Annual Raw'!H23</f>
        <v>#NAME?</v>
      </c>
      <c r="H49" s="23" t="e">
        <f ca="1">'Annual Raw'!I23</f>
        <v>#NAME?</v>
      </c>
      <c r="I49" s="23" t="e">
        <f ca="1">'Annual Raw'!J23</f>
        <v>#NAME?</v>
      </c>
      <c r="J49" s="23" t="e">
        <f ca="1">'Annual Raw'!K23</f>
        <v>#NAME?</v>
      </c>
      <c r="K49" s="23" t="e">
        <f ca="1">'Annual Raw'!L23</f>
        <v>#NAME?</v>
      </c>
      <c r="L49" s="23" t="e">
        <f ca="1">'Annual Raw'!M23</f>
        <v>#NAME?</v>
      </c>
      <c r="M49" s="23" t="e">
        <f ca="1">'Annual Raw'!N23</f>
        <v>#NAME?</v>
      </c>
      <c r="N49" s="23" t="e">
        <f ca="1">'Annual Raw'!O23</f>
        <v>#NAME?</v>
      </c>
      <c r="O49" s="23" t="e">
        <f ca="1">'Annual Raw'!P23</f>
        <v>#NAME?</v>
      </c>
      <c r="P49" s="23" t="e">
        <f ca="1">'Annual Raw'!Q23</f>
        <v>#NAME?</v>
      </c>
      <c r="Q49" s="23" t="e">
        <f ca="1">'Annual Raw'!R23</f>
        <v>#NAME?</v>
      </c>
      <c r="R49" s="23" t="e">
        <f ca="1">'Annual Raw'!S23</f>
        <v>#NAME?</v>
      </c>
      <c r="S49" s="23" t="e">
        <f ca="1">'Annual Raw'!T23</f>
        <v>#NAME?</v>
      </c>
      <c r="T49" s="23" t="e">
        <f ca="1">'Annual Raw'!U23</f>
        <v>#NAME?</v>
      </c>
      <c r="U49" s="23" t="e">
        <f ca="1">'Annual Raw'!V23</f>
        <v>#NAME?</v>
      </c>
      <c r="V49" s="23" t="e">
        <f ca="1">'Annual Raw'!W23</f>
        <v>#NAME?</v>
      </c>
      <c r="W49" s="23" t="e">
        <f ca="1">'Annual Raw'!X23</f>
        <v>#NAME?</v>
      </c>
      <c r="X49" s="23" t="e">
        <f ca="1">'Annual Raw'!Y23</f>
        <v>#NAME?</v>
      </c>
      <c r="Y49" s="23" t="e">
        <f ca="1">'Annual Raw'!Z23</f>
        <v>#NAME?</v>
      </c>
      <c r="Z49" s="23" t="e">
        <f ca="1">'Annual Raw'!AA23</f>
        <v>#NAME?</v>
      </c>
      <c r="AA49" s="23" t="e">
        <f ca="1">'Annual Raw'!AB23</f>
        <v>#NAME?</v>
      </c>
      <c r="AB49" s="76">
        <f t="shared" ref="AB49:AB50" si="459">+SUM(CM49:CP49)</f>
        <v>0</v>
      </c>
      <c r="AC49" s="76">
        <f t="shared" ref="AC49:AC50" si="460">+SUM(CQ49:CT49)</f>
        <v>0</v>
      </c>
      <c r="AD49" s="76">
        <f t="shared" ref="AD49:AD50" si="461">+SUM(CU49:CX49)</f>
        <v>0</v>
      </c>
      <c r="AE49" s="76">
        <f t="shared" ref="AE49:AE50" si="462">+SUM(CY49:DB49)</f>
        <v>0</v>
      </c>
      <c r="AI49" s="23" t="e">
        <f ca="1">'QTR Raw'!C23</f>
        <v>#NAME?</v>
      </c>
      <c r="AJ49" s="23" t="e">
        <f ca="1">'QTR Raw'!D23</f>
        <v>#NAME?</v>
      </c>
      <c r="AK49" s="23" t="e">
        <f ca="1">'QTR Raw'!E23</f>
        <v>#NAME?</v>
      </c>
      <c r="AL49" s="23" t="e">
        <f ca="1">'QTR Raw'!F23</f>
        <v>#NAME?</v>
      </c>
      <c r="AM49" s="23" t="e">
        <f ca="1">'QTR Raw'!G23</f>
        <v>#NAME?</v>
      </c>
      <c r="AN49" s="23" t="e">
        <f ca="1">'QTR Raw'!H23</f>
        <v>#NAME?</v>
      </c>
      <c r="AO49" s="23" t="e">
        <f ca="1">'QTR Raw'!I23</f>
        <v>#NAME?</v>
      </c>
      <c r="AP49" s="23" t="e">
        <f ca="1">'QTR Raw'!J23</f>
        <v>#NAME?</v>
      </c>
      <c r="AQ49" s="23" t="e">
        <f ca="1">'QTR Raw'!K23</f>
        <v>#NAME?</v>
      </c>
      <c r="AR49" s="23" t="e">
        <f ca="1">'QTR Raw'!L23</f>
        <v>#NAME?</v>
      </c>
      <c r="AS49" s="23" t="e">
        <f ca="1">'QTR Raw'!M23</f>
        <v>#NAME?</v>
      </c>
      <c r="AT49" s="23" t="e">
        <f ca="1">'QTR Raw'!N23</f>
        <v>#NAME?</v>
      </c>
      <c r="AU49" s="23" t="e">
        <f ca="1">'QTR Raw'!O23</f>
        <v>#NAME?</v>
      </c>
      <c r="AV49" s="23" t="e">
        <f ca="1">'QTR Raw'!P23</f>
        <v>#NAME?</v>
      </c>
      <c r="AW49" s="23" t="e">
        <f ca="1">'QTR Raw'!Q23</f>
        <v>#NAME?</v>
      </c>
      <c r="AX49" s="23" t="e">
        <f ca="1">'QTR Raw'!R23</f>
        <v>#NAME?</v>
      </c>
      <c r="AY49" s="23" t="e">
        <f ca="1">'QTR Raw'!S23</f>
        <v>#NAME?</v>
      </c>
      <c r="AZ49" s="23" t="e">
        <f ca="1">'QTR Raw'!T23</f>
        <v>#NAME?</v>
      </c>
      <c r="BA49" s="23" t="e">
        <f ca="1">'QTR Raw'!U23</f>
        <v>#NAME?</v>
      </c>
      <c r="BB49" s="23" t="e">
        <f ca="1">'QTR Raw'!V23</f>
        <v>#NAME?</v>
      </c>
      <c r="BC49" s="23" t="e">
        <f ca="1">'QTR Raw'!W23</f>
        <v>#NAME?</v>
      </c>
      <c r="BD49" s="23" t="e">
        <f ca="1">'QTR Raw'!X23</f>
        <v>#NAME?</v>
      </c>
      <c r="BE49" s="23" t="e">
        <f ca="1">'QTR Raw'!Y23</f>
        <v>#NAME?</v>
      </c>
      <c r="BF49" s="23" t="e">
        <f ca="1">'QTR Raw'!Z23</f>
        <v>#NAME?</v>
      </c>
      <c r="BG49" s="23" t="e">
        <f ca="1">'QTR Raw'!AA23</f>
        <v>#NAME?</v>
      </c>
      <c r="BH49" s="23" t="e">
        <f ca="1">'QTR Raw'!AB23</f>
        <v>#NAME?</v>
      </c>
      <c r="BI49" s="23" t="e">
        <f ca="1">'QTR Raw'!AC23</f>
        <v>#NAME?</v>
      </c>
      <c r="BJ49" s="23" t="e">
        <f ca="1">'QTR Raw'!AD23</f>
        <v>#NAME?</v>
      </c>
      <c r="BK49" s="23" t="e">
        <f ca="1">'QTR Raw'!AE23</f>
        <v>#NAME?</v>
      </c>
      <c r="BL49" s="23" t="e">
        <f ca="1">'QTR Raw'!AF23</f>
        <v>#NAME?</v>
      </c>
      <c r="BM49" s="23" t="e">
        <f ca="1">'QTR Raw'!AG23</f>
        <v>#NAME?</v>
      </c>
      <c r="BN49" s="23" t="e">
        <f ca="1">'QTR Raw'!AH23</f>
        <v>#NAME?</v>
      </c>
      <c r="BO49" s="23" t="e">
        <f ca="1">'QTR Raw'!AI23</f>
        <v>#NAME?</v>
      </c>
      <c r="BP49" s="23" t="e">
        <f ca="1">'QTR Raw'!AJ23</f>
        <v>#NAME?</v>
      </c>
      <c r="BQ49" s="23" t="e">
        <f ca="1">'QTR Raw'!AK23</f>
        <v>#NAME?</v>
      </c>
      <c r="BR49" s="23" t="e">
        <f ca="1">'QTR Raw'!AL23</f>
        <v>#NAME?</v>
      </c>
      <c r="BS49" s="23" t="e">
        <f ca="1">'QTR Raw'!AM23</f>
        <v>#NAME?</v>
      </c>
      <c r="BT49" s="23" t="e">
        <f ca="1">'QTR Raw'!AN23</f>
        <v>#NAME?</v>
      </c>
      <c r="BU49" s="23" t="e">
        <f ca="1">'QTR Raw'!AO23</f>
        <v>#NAME?</v>
      </c>
      <c r="BV49" s="23" t="e">
        <f ca="1">'QTR Raw'!AP23</f>
        <v>#NAME?</v>
      </c>
      <c r="BW49" s="23" t="e">
        <f ca="1">'QTR Raw'!AQ23</f>
        <v>#NAME?</v>
      </c>
      <c r="BX49" s="23" t="e">
        <f ca="1">'QTR Raw'!AR23</f>
        <v>#NAME?</v>
      </c>
      <c r="BY49" s="23" t="e">
        <f ca="1">'QTR Raw'!AS23</f>
        <v>#NAME?</v>
      </c>
      <c r="BZ49" s="23" t="e">
        <f ca="1">'QTR Raw'!AT23</f>
        <v>#NAME?</v>
      </c>
      <c r="CA49" s="23" t="e">
        <f ca="1">'QTR Raw'!AU23</f>
        <v>#NAME?</v>
      </c>
      <c r="CB49" s="23" t="e">
        <f ca="1">'QTR Raw'!AV23</f>
        <v>#NAME?</v>
      </c>
      <c r="CC49" s="23" t="e">
        <f ca="1">'QTR Raw'!AW23</f>
        <v>#NAME?</v>
      </c>
      <c r="CD49" s="23" t="e">
        <f ca="1">'QTR Raw'!AX23</f>
        <v>#NAME?</v>
      </c>
      <c r="CE49" s="23" t="e">
        <f ca="1">'QTR Raw'!AY23</f>
        <v>#NAME?</v>
      </c>
      <c r="CF49" s="23" t="e">
        <f ca="1">'QTR Raw'!AZ23</f>
        <v>#NAME?</v>
      </c>
      <c r="CG49" s="23" t="e">
        <f ca="1">'QTR Raw'!BA23</f>
        <v>#NAME?</v>
      </c>
      <c r="CH49" s="23">
        <v>0.39300000000000002</v>
      </c>
      <c r="CI49" s="23" t="e">
        <f ca="1">'QTR Raw'!BC23</f>
        <v>#NAME?</v>
      </c>
      <c r="CJ49" s="23" t="e">
        <f ca="1">'QTR Raw'!BD23</f>
        <v>#NAME?</v>
      </c>
      <c r="CK49" s="23" t="e">
        <f ca="1">'QTR Raw'!BE23</f>
        <v>#NAME?</v>
      </c>
      <c r="CL49" s="23" t="e">
        <f ca="1">'QTR Raw'!BF23</f>
        <v>#NAME?</v>
      </c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E49" s="123"/>
      <c r="DF49" s="23">
        <v>2.9319999999999999</v>
      </c>
    </row>
    <row r="50" spans="1:110" s="23" customFormat="1" x14ac:dyDescent="0.2">
      <c r="A50" s="23" t="s">
        <v>18</v>
      </c>
      <c r="B50" s="23" t="e">
        <f ca="1">'Annual Raw'!C25</f>
        <v>#NAME?</v>
      </c>
      <c r="C50" s="23" t="e">
        <f ca="1">'Annual Raw'!D25</f>
        <v>#NAME?</v>
      </c>
      <c r="D50" s="23" t="e">
        <f ca="1">'Annual Raw'!E25</f>
        <v>#NAME?</v>
      </c>
      <c r="E50" s="23" t="e">
        <f ca="1">'Annual Raw'!F25</f>
        <v>#NAME?</v>
      </c>
      <c r="F50" s="23" t="e">
        <f ca="1">'Annual Raw'!G25</f>
        <v>#NAME?</v>
      </c>
      <c r="G50" s="23" t="e">
        <f ca="1">'Annual Raw'!H25</f>
        <v>#NAME?</v>
      </c>
      <c r="H50" s="23" t="e">
        <f ca="1">'Annual Raw'!I25</f>
        <v>#NAME?</v>
      </c>
      <c r="I50" s="23" t="e">
        <f ca="1">'Annual Raw'!J25</f>
        <v>#NAME?</v>
      </c>
      <c r="J50" s="23" t="e">
        <f ca="1">'Annual Raw'!K25</f>
        <v>#NAME?</v>
      </c>
      <c r="K50" s="23" t="e">
        <f ca="1">'Annual Raw'!L25</f>
        <v>#NAME?</v>
      </c>
      <c r="L50" s="23" t="e">
        <f ca="1">'Annual Raw'!M25</f>
        <v>#NAME?</v>
      </c>
      <c r="M50" s="23" t="e">
        <f ca="1">'Annual Raw'!N25</f>
        <v>#NAME?</v>
      </c>
      <c r="N50" s="23" t="e">
        <f ca="1">'Annual Raw'!O25</f>
        <v>#NAME?</v>
      </c>
      <c r="O50" s="23" t="e">
        <f ca="1">'Annual Raw'!P25</f>
        <v>#NAME?</v>
      </c>
      <c r="P50" s="23" t="e">
        <f ca="1">'Annual Raw'!Q25</f>
        <v>#NAME?</v>
      </c>
      <c r="Q50" s="23" t="e">
        <f ca="1">'Annual Raw'!R25</f>
        <v>#NAME?</v>
      </c>
      <c r="R50" s="23" t="e">
        <f ca="1">'Annual Raw'!S25</f>
        <v>#NAME?</v>
      </c>
      <c r="S50" s="23" t="e">
        <f ca="1">'Annual Raw'!T25</f>
        <v>#NAME?</v>
      </c>
      <c r="T50" s="23" t="e">
        <f ca="1">'Annual Raw'!U25</f>
        <v>#NAME?</v>
      </c>
      <c r="U50" s="23" t="e">
        <f ca="1">'Annual Raw'!V25</f>
        <v>#NAME?</v>
      </c>
      <c r="V50" s="23" t="e">
        <f ca="1">'Annual Raw'!W25</f>
        <v>#NAME?</v>
      </c>
      <c r="W50" s="23" t="e">
        <f ca="1">'Annual Raw'!X25</f>
        <v>#NAME?</v>
      </c>
      <c r="X50" s="23" t="e">
        <f ca="1">'Annual Raw'!Y25</f>
        <v>#NAME?</v>
      </c>
      <c r="Y50" s="23" t="e">
        <f ca="1">'Annual Raw'!Z25</f>
        <v>#NAME?</v>
      </c>
      <c r="Z50" s="23" t="e">
        <f ca="1">'Annual Raw'!AA25</f>
        <v>#NAME?</v>
      </c>
      <c r="AA50" s="23" t="e">
        <f ca="1">'Annual Raw'!AB25</f>
        <v>#NAME?</v>
      </c>
      <c r="AB50" s="76" t="e">
        <f t="shared" ca="1" si="459"/>
        <v>#NAME?</v>
      </c>
      <c r="AC50" s="76" t="e">
        <f t="shared" ca="1" si="460"/>
        <v>#NAME?</v>
      </c>
      <c r="AD50" s="76" t="e">
        <f t="shared" ca="1" si="461"/>
        <v>#NAME?</v>
      </c>
      <c r="AE50" s="76" t="e">
        <f t="shared" ca="1" si="462"/>
        <v>#NAME?</v>
      </c>
      <c r="AI50" s="23" t="e">
        <f ca="1">'QTR Raw'!C25</f>
        <v>#NAME?</v>
      </c>
      <c r="AJ50" s="23" t="e">
        <f ca="1">'QTR Raw'!D25</f>
        <v>#NAME?</v>
      </c>
      <c r="AK50" s="23" t="e">
        <f ca="1">'QTR Raw'!E25</f>
        <v>#NAME?</v>
      </c>
      <c r="AL50" s="23" t="e">
        <f ca="1">'QTR Raw'!F25</f>
        <v>#NAME?</v>
      </c>
      <c r="AM50" s="23" t="e">
        <f ca="1">'QTR Raw'!G25</f>
        <v>#NAME?</v>
      </c>
      <c r="AN50" s="23" t="e">
        <f ca="1">'QTR Raw'!H25</f>
        <v>#NAME?</v>
      </c>
      <c r="AO50" s="23" t="e">
        <f ca="1">'QTR Raw'!I25</f>
        <v>#NAME?</v>
      </c>
      <c r="AP50" s="23" t="e">
        <f ca="1">'QTR Raw'!J25</f>
        <v>#NAME?</v>
      </c>
      <c r="AQ50" s="23" t="e">
        <f ca="1">'QTR Raw'!K25</f>
        <v>#NAME?</v>
      </c>
      <c r="AR50" s="23" t="e">
        <f ca="1">'QTR Raw'!L25</f>
        <v>#NAME?</v>
      </c>
      <c r="AS50" s="23" t="e">
        <f ca="1">'QTR Raw'!M25</f>
        <v>#NAME?</v>
      </c>
      <c r="AT50" s="23" t="e">
        <f ca="1">'QTR Raw'!N25</f>
        <v>#NAME?</v>
      </c>
      <c r="AU50" s="23" t="e">
        <f ca="1">'QTR Raw'!O25</f>
        <v>#NAME?</v>
      </c>
      <c r="AV50" s="23" t="e">
        <f ca="1">'QTR Raw'!P25</f>
        <v>#NAME?</v>
      </c>
      <c r="AW50" s="23" t="e">
        <f ca="1">'QTR Raw'!Q25</f>
        <v>#NAME?</v>
      </c>
      <c r="AX50" s="23" t="e">
        <f ca="1">'QTR Raw'!R25</f>
        <v>#NAME?</v>
      </c>
      <c r="AY50" s="23" t="e">
        <f ca="1">'QTR Raw'!S25</f>
        <v>#NAME?</v>
      </c>
      <c r="AZ50" s="23" t="e">
        <f ca="1">'QTR Raw'!T25</f>
        <v>#NAME?</v>
      </c>
      <c r="BA50" s="23" t="e">
        <f ca="1">'QTR Raw'!U25</f>
        <v>#NAME?</v>
      </c>
      <c r="BB50" s="23" t="e">
        <f ca="1">'QTR Raw'!V25</f>
        <v>#NAME?</v>
      </c>
      <c r="BC50" s="23" t="e">
        <f ca="1">'QTR Raw'!W25</f>
        <v>#NAME?</v>
      </c>
      <c r="BD50" s="23" t="e">
        <f ca="1">'QTR Raw'!X25</f>
        <v>#NAME?</v>
      </c>
      <c r="BE50" s="23" t="e">
        <f ca="1">'QTR Raw'!Y25</f>
        <v>#NAME?</v>
      </c>
      <c r="BF50" s="23" t="e">
        <f ca="1">'QTR Raw'!Z25</f>
        <v>#NAME?</v>
      </c>
      <c r="BG50" s="23" t="e">
        <f ca="1">'QTR Raw'!AA25</f>
        <v>#NAME?</v>
      </c>
      <c r="BH50" s="23" t="e">
        <f ca="1">'QTR Raw'!AB25</f>
        <v>#NAME?</v>
      </c>
      <c r="BI50" s="23" t="e">
        <f ca="1">'QTR Raw'!AC25</f>
        <v>#NAME?</v>
      </c>
      <c r="BJ50" s="23" t="e">
        <f ca="1">'QTR Raw'!AD25</f>
        <v>#NAME?</v>
      </c>
      <c r="BK50" s="23" t="e">
        <f ca="1">'QTR Raw'!AE25</f>
        <v>#NAME?</v>
      </c>
      <c r="BL50" s="23" t="e">
        <f ca="1">'QTR Raw'!AF25</f>
        <v>#NAME?</v>
      </c>
      <c r="BM50" s="23" t="e">
        <f ca="1">'QTR Raw'!AG25</f>
        <v>#NAME?</v>
      </c>
      <c r="BN50" s="23" t="e">
        <f ca="1">'QTR Raw'!AH25</f>
        <v>#NAME?</v>
      </c>
      <c r="BO50" s="23" t="e">
        <f ca="1">'QTR Raw'!AI25</f>
        <v>#NAME?</v>
      </c>
      <c r="BP50" s="23" t="e">
        <f ca="1">'QTR Raw'!AJ25</f>
        <v>#NAME?</v>
      </c>
      <c r="BQ50" s="23" t="e">
        <f ca="1">'QTR Raw'!AK25</f>
        <v>#NAME?</v>
      </c>
      <c r="BR50" s="23" t="e">
        <f ca="1">'QTR Raw'!AL25</f>
        <v>#NAME?</v>
      </c>
      <c r="BS50" s="23" t="e">
        <f ca="1">'QTR Raw'!AM25</f>
        <v>#NAME?</v>
      </c>
      <c r="BT50" s="23" t="e">
        <f ca="1">'QTR Raw'!AN25</f>
        <v>#NAME?</v>
      </c>
      <c r="BU50" s="23" t="e">
        <f ca="1">'QTR Raw'!AO25</f>
        <v>#NAME?</v>
      </c>
      <c r="BV50" s="23" t="e">
        <f ca="1">'QTR Raw'!AP25</f>
        <v>#NAME?</v>
      </c>
      <c r="BW50" s="23" t="e">
        <f ca="1">'QTR Raw'!AQ25</f>
        <v>#NAME?</v>
      </c>
      <c r="BX50" s="23" t="e">
        <f ca="1">'QTR Raw'!AR25</f>
        <v>#NAME?</v>
      </c>
      <c r="BY50" s="23" t="e">
        <f ca="1">'QTR Raw'!AS25</f>
        <v>#NAME?</v>
      </c>
      <c r="BZ50" s="23" t="e">
        <f ca="1">'QTR Raw'!AT25</f>
        <v>#NAME?</v>
      </c>
      <c r="CA50" s="23" t="e">
        <f ca="1">'QTR Raw'!AU25</f>
        <v>#NAME?</v>
      </c>
      <c r="CB50" s="23" t="e">
        <f ca="1">'QTR Raw'!AV25</f>
        <v>#NAME?</v>
      </c>
      <c r="CC50" s="23" t="e">
        <f ca="1">'QTR Raw'!AW25</f>
        <v>#NAME?</v>
      </c>
      <c r="CD50" s="23" t="e">
        <f ca="1">'QTR Raw'!AX25</f>
        <v>#NAME?</v>
      </c>
      <c r="CE50" s="23" t="e">
        <f ca="1">'QTR Raw'!AY25</f>
        <v>#NAME?</v>
      </c>
      <c r="CF50" s="23" t="e">
        <f ca="1">'QTR Raw'!AZ25</f>
        <v>#NAME?</v>
      </c>
      <c r="CG50" s="23" t="e">
        <f ca="1">'QTR Raw'!BA25</f>
        <v>#NAME?</v>
      </c>
      <c r="CH50" s="23">
        <v>39.200000000000003</v>
      </c>
      <c r="CI50" s="23" t="e">
        <f ca="1">'QTR Raw'!BC25</f>
        <v>#NAME?</v>
      </c>
      <c r="CJ50" s="23" t="e">
        <f ca="1">'QTR Raw'!BD25</f>
        <v>#NAME?</v>
      </c>
      <c r="CK50" s="23" t="e">
        <f ca="1">'QTR Raw'!BE25</f>
        <v>#NAME?</v>
      </c>
      <c r="CL50" s="23" t="e">
        <f ca="1">'QTR Raw'!BF25</f>
        <v>#NAME?</v>
      </c>
      <c r="CM50" s="24" t="e">
        <f t="shared" ref="CM50:DB50" ca="1" si="463">CM51*CL182</f>
        <v>#NAME?</v>
      </c>
      <c r="CN50" s="24" t="e">
        <f t="shared" ca="1" si="463"/>
        <v>#NAME?</v>
      </c>
      <c r="CO50" s="24" t="e">
        <f t="shared" ca="1" si="463"/>
        <v>#NAME?</v>
      </c>
      <c r="CP50" s="24" t="e">
        <f t="shared" ca="1" si="463"/>
        <v>#NAME?</v>
      </c>
      <c r="CQ50" s="24" t="e">
        <f t="shared" ca="1" si="463"/>
        <v>#NAME?</v>
      </c>
      <c r="CR50" s="24" t="e">
        <f t="shared" ca="1" si="463"/>
        <v>#NAME?</v>
      </c>
      <c r="CS50" s="24" t="e">
        <f t="shared" ca="1" si="463"/>
        <v>#NAME?</v>
      </c>
      <c r="CT50" s="24" t="e">
        <f t="shared" ca="1" si="463"/>
        <v>#NAME?</v>
      </c>
      <c r="CU50" s="24" t="e">
        <f t="shared" ca="1" si="463"/>
        <v>#NAME?</v>
      </c>
      <c r="CV50" s="24" t="e">
        <f t="shared" ca="1" si="463"/>
        <v>#NAME?</v>
      </c>
      <c r="CW50" s="24" t="e">
        <f t="shared" ca="1" si="463"/>
        <v>#NAME?</v>
      </c>
      <c r="CX50" s="24" t="e">
        <f t="shared" ca="1" si="463"/>
        <v>#NAME?</v>
      </c>
      <c r="CY50" s="24" t="e">
        <f t="shared" ca="1" si="463"/>
        <v>#NAME?</v>
      </c>
      <c r="CZ50" s="24" t="e">
        <f t="shared" ca="1" si="463"/>
        <v>#NAME?</v>
      </c>
      <c r="DA50" s="24" t="e">
        <f t="shared" ca="1" si="463"/>
        <v>#NAME?</v>
      </c>
      <c r="DB50" s="24" t="e">
        <f t="shared" ca="1" si="463"/>
        <v>#NAME?</v>
      </c>
      <c r="DE50" s="123"/>
      <c r="DF50" s="23">
        <v>184.09100000000001</v>
      </c>
    </row>
    <row r="51" spans="1:110" s="46" customFormat="1" x14ac:dyDescent="0.2">
      <c r="A51" s="46" t="s">
        <v>482</v>
      </c>
      <c r="B51" s="46" t="e">
        <f t="shared" ref="B51:D51" ca="1" si="464">+B50/B142</f>
        <v>#NAME?</v>
      </c>
      <c r="C51" s="46" t="e">
        <f t="shared" ca="1" si="464"/>
        <v>#NAME?</v>
      </c>
      <c r="D51" s="46" t="e">
        <f t="shared" ca="1" si="464"/>
        <v>#NAME?</v>
      </c>
      <c r="E51" s="46" t="e">
        <f t="shared" ref="E51:AE51" ca="1" si="465">+E50/E142</f>
        <v>#NAME?</v>
      </c>
      <c r="F51" s="46" t="e">
        <f t="shared" ca="1" si="465"/>
        <v>#NAME?</v>
      </c>
      <c r="G51" s="46" t="e">
        <f t="shared" ca="1" si="465"/>
        <v>#NAME?</v>
      </c>
      <c r="H51" s="46" t="e">
        <f t="shared" ca="1" si="465"/>
        <v>#NAME?</v>
      </c>
      <c r="I51" s="46" t="e">
        <f t="shared" ca="1" si="465"/>
        <v>#NAME?</v>
      </c>
      <c r="J51" s="46" t="e">
        <f t="shared" ca="1" si="465"/>
        <v>#NAME?</v>
      </c>
      <c r="K51" s="46" t="e">
        <f t="shared" ca="1" si="465"/>
        <v>#NAME?</v>
      </c>
      <c r="L51" s="46" t="e">
        <f t="shared" ca="1" si="465"/>
        <v>#NAME?</v>
      </c>
      <c r="M51" s="46" t="e">
        <f t="shared" ca="1" si="465"/>
        <v>#NAME?</v>
      </c>
      <c r="N51" s="46" t="e">
        <f t="shared" ca="1" si="465"/>
        <v>#NAME?</v>
      </c>
      <c r="O51" s="46" t="e">
        <f t="shared" ca="1" si="465"/>
        <v>#NAME?</v>
      </c>
      <c r="P51" s="46" t="e">
        <f t="shared" ca="1" si="465"/>
        <v>#NAME?</v>
      </c>
      <c r="Q51" s="46" t="e">
        <f t="shared" ca="1" si="465"/>
        <v>#NAME?</v>
      </c>
      <c r="R51" s="46" t="e">
        <f t="shared" ca="1" si="465"/>
        <v>#NAME?</v>
      </c>
      <c r="S51" s="46" t="e">
        <f t="shared" ca="1" si="465"/>
        <v>#NAME?</v>
      </c>
      <c r="T51" s="46" t="e">
        <f t="shared" ca="1" si="465"/>
        <v>#NAME?</v>
      </c>
      <c r="U51" s="46" t="e">
        <f t="shared" ca="1" si="465"/>
        <v>#NAME?</v>
      </c>
      <c r="V51" s="46" t="e">
        <f t="shared" ca="1" si="465"/>
        <v>#NAME?</v>
      </c>
      <c r="W51" s="46" t="e">
        <f t="shared" ca="1" si="465"/>
        <v>#NAME?</v>
      </c>
      <c r="X51" s="46" t="e">
        <f t="shared" ca="1" si="465"/>
        <v>#NAME?</v>
      </c>
      <c r="Y51" s="46" t="e">
        <f t="shared" ca="1" si="465"/>
        <v>#NAME?</v>
      </c>
      <c r="Z51" s="46" t="e">
        <f t="shared" ca="1" si="465"/>
        <v>#NAME?</v>
      </c>
      <c r="AA51" s="46" t="e">
        <f t="shared" ref="AA51" ca="1" si="466">+AA50/AA142</f>
        <v>#NAME?</v>
      </c>
      <c r="AB51" s="110" t="e">
        <f t="shared" ca="1" si="465"/>
        <v>#NAME?</v>
      </c>
      <c r="AC51" s="110" t="e">
        <f t="shared" ca="1" si="465"/>
        <v>#NAME?</v>
      </c>
      <c r="AD51" s="110" t="e">
        <f t="shared" ca="1" si="465"/>
        <v>#NAME?</v>
      </c>
      <c r="AE51" s="110" t="e">
        <f t="shared" ca="1" si="465"/>
        <v>#NAME?</v>
      </c>
      <c r="AI51" s="46" t="e">
        <f t="shared" ref="AI51:BN51" ca="1" si="467">(AI50-AI49)/AH182</f>
        <v>#NAME?</v>
      </c>
      <c r="AJ51" s="46" t="e">
        <f t="shared" ca="1" si="467"/>
        <v>#NAME?</v>
      </c>
      <c r="AK51" s="46" t="e">
        <f t="shared" ca="1" si="467"/>
        <v>#NAME?</v>
      </c>
      <c r="AL51" s="46" t="e">
        <f t="shared" ca="1" si="467"/>
        <v>#NAME?</v>
      </c>
      <c r="AM51" s="46" t="e">
        <f t="shared" ca="1" si="467"/>
        <v>#NAME?</v>
      </c>
      <c r="AN51" s="46" t="e">
        <f t="shared" ca="1" si="467"/>
        <v>#NAME?</v>
      </c>
      <c r="AO51" s="46" t="e">
        <f t="shared" ca="1" si="467"/>
        <v>#NAME?</v>
      </c>
      <c r="AP51" s="46" t="e">
        <f t="shared" ca="1" si="467"/>
        <v>#NAME?</v>
      </c>
      <c r="AQ51" s="46" t="e">
        <f t="shared" ca="1" si="467"/>
        <v>#NAME?</v>
      </c>
      <c r="AR51" s="46" t="e">
        <f t="shared" ca="1" si="467"/>
        <v>#NAME?</v>
      </c>
      <c r="AS51" s="46" t="e">
        <f t="shared" ca="1" si="467"/>
        <v>#NAME?</v>
      </c>
      <c r="AT51" s="46" t="e">
        <f t="shared" ca="1" si="467"/>
        <v>#NAME?</v>
      </c>
      <c r="AU51" s="46" t="e">
        <f t="shared" ca="1" si="467"/>
        <v>#NAME?</v>
      </c>
      <c r="AV51" s="46" t="e">
        <f t="shared" ca="1" si="467"/>
        <v>#NAME?</v>
      </c>
      <c r="AW51" s="46" t="e">
        <f t="shared" ca="1" si="467"/>
        <v>#NAME?</v>
      </c>
      <c r="AX51" s="46" t="e">
        <f t="shared" ca="1" si="467"/>
        <v>#NAME?</v>
      </c>
      <c r="AY51" s="46" t="e">
        <f t="shared" ca="1" si="467"/>
        <v>#NAME?</v>
      </c>
      <c r="AZ51" s="46" t="e">
        <f t="shared" ca="1" si="467"/>
        <v>#NAME?</v>
      </c>
      <c r="BA51" s="46" t="e">
        <f t="shared" ca="1" si="467"/>
        <v>#NAME?</v>
      </c>
      <c r="BB51" s="46" t="e">
        <f t="shared" ca="1" si="467"/>
        <v>#NAME?</v>
      </c>
      <c r="BC51" s="46" t="e">
        <f t="shared" ca="1" si="467"/>
        <v>#NAME?</v>
      </c>
      <c r="BD51" s="46" t="e">
        <f t="shared" ca="1" si="467"/>
        <v>#NAME?</v>
      </c>
      <c r="BE51" s="46" t="e">
        <f t="shared" ca="1" si="467"/>
        <v>#NAME?</v>
      </c>
      <c r="BF51" s="46" t="e">
        <f t="shared" ca="1" si="467"/>
        <v>#NAME?</v>
      </c>
      <c r="BG51" s="46" t="e">
        <f t="shared" ca="1" si="467"/>
        <v>#NAME?</v>
      </c>
      <c r="BH51" s="46" t="e">
        <f t="shared" ca="1" si="467"/>
        <v>#NAME?</v>
      </c>
      <c r="BI51" s="46" t="e">
        <f t="shared" ca="1" si="467"/>
        <v>#NAME?</v>
      </c>
      <c r="BJ51" s="46" t="e">
        <f t="shared" ca="1" si="467"/>
        <v>#NAME?</v>
      </c>
      <c r="BK51" s="46" t="e">
        <f t="shared" ca="1" si="467"/>
        <v>#NAME?</v>
      </c>
      <c r="BL51" s="46" t="e">
        <f t="shared" ca="1" si="467"/>
        <v>#NAME?</v>
      </c>
      <c r="BM51" s="46" t="e">
        <f t="shared" ca="1" si="467"/>
        <v>#NAME?</v>
      </c>
      <c r="BN51" s="46" t="e">
        <f t="shared" ca="1" si="467"/>
        <v>#NAME?</v>
      </c>
      <c r="BO51" s="46" t="e">
        <f t="shared" ref="BO51:CL51" ca="1" si="468">(BO50-BO49)/BN182</f>
        <v>#NAME?</v>
      </c>
      <c r="BP51" s="46" t="e">
        <f t="shared" ca="1" si="468"/>
        <v>#NAME?</v>
      </c>
      <c r="BQ51" s="46" t="e">
        <f t="shared" ca="1" si="468"/>
        <v>#NAME?</v>
      </c>
      <c r="BR51" s="46" t="e">
        <f t="shared" ca="1" si="468"/>
        <v>#NAME?</v>
      </c>
      <c r="BS51" s="46" t="e">
        <f t="shared" ca="1" si="468"/>
        <v>#NAME?</v>
      </c>
      <c r="BT51" s="46" t="e">
        <f t="shared" ca="1" si="468"/>
        <v>#NAME?</v>
      </c>
      <c r="BU51" s="46" t="e">
        <f t="shared" ca="1" si="468"/>
        <v>#NAME?</v>
      </c>
      <c r="BV51" s="46" t="e">
        <f t="shared" ca="1" si="468"/>
        <v>#NAME?</v>
      </c>
      <c r="BW51" s="46" t="e">
        <f t="shared" ca="1" si="468"/>
        <v>#NAME?</v>
      </c>
      <c r="BX51" s="46" t="e">
        <f t="shared" ca="1" si="468"/>
        <v>#NAME?</v>
      </c>
      <c r="BY51" s="46" t="e">
        <f t="shared" ca="1" si="468"/>
        <v>#NAME?</v>
      </c>
      <c r="BZ51" s="46" t="e">
        <f t="shared" ca="1" si="468"/>
        <v>#NAME?</v>
      </c>
      <c r="CA51" s="46" t="e">
        <f t="shared" ca="1" si="468"/>
        <v>#NAME?</v>
      </c>
      <c r="CB51" s="46" t="e">
        <f t="shared" ca="1" si="468"/>
        <v>#NAME?</v>
      </c>
      <c r="CC51" s="46" t="e">
        <f t="shared" ca="1" si="468"/>
        <v>#NAME?</v>
      </c>
      <c r="CD51" s="46" t="e">
        <f t="shared" ca="1" si="468"/>
        <v>#NAME?</v>
      </c>
      <c r="CE51" s="46" t="e">
        <f t="shared" ca="1" si="468"/>
        <v>#NAME?</v>
      </c>
      <c r="CF51" s="46" t="e">
        <f t="shared" ca="1" si="468"/>
        <v>#NAME?</v>
      </c>
      <c r="CG51" s="46" t="e">
        <f t="shared" ca="1" si="468"/>
        <v>#NAME?</v>
      </c>
      <c r="CH51" s="46" t="e">
        <f t="shared" ca="1" si="468"/>
        <v>#NAME?</v>
      </c>
      <c r="CI51" s="46" t="e">
        <f t="shared" ca="1" si="468"/>
        <v>#NAME?</v>
      </c>
      <c r="CJ51" s="46" t="e">
        <f t="shared" ca="1" si="468"/>
        <v>#NAME?</v>
      </c>
      <c r="CK51" s="46" t="e">
        <f t="shared" ca="1" si="468"/>
        <v>#NAME?</v>
      </c>
      <c r="CL51" s="46" t="e">
        <f t="shared" ca="1" si="468"/>
        <v>#NAME?</v>
      </c>
      <c r="CM51" s="47" t="e">
        <f t="shared" ref="CM51" ca="1" si="469">+CL51</f>
        <v>#NAME?</v>
      </c>
      <c r="CN51" s="47" t="e">
        <f t="shared" ref="CN51" ca="1" si="470">+CM51</f>
        <v>#NAME?</v>
      </c>
      <c r="CO51" s="47" t="e">
        <f t="shared" ref="CO51" ca="1" si="471">+CN51</f>
        <v>#NAME?</v>
      </c>
      <c r="CP51" s="47" t="e">
        <f t="shared" ref="CP51" ca="1" si="472">+CO51</f>
        <v>#NAME?</v>
      </c>
      <c r="CQ51" s="47" t="e">
        <f t="shared" ref="CQ51" ca="1" si="473">+CP51</f>
        <v>#NAME?</v>
      </c>
      <c r="CR51" s="47" t="e">
        <f t="shared" ref="CR51" ca="1" si="474">+CQ51</f>
        <v>#NAME?</v>
      </c>
      <c r="CS51" s="47" t="e">
        <f t="shared" ref="CS51" ca="1" si="475">+CR51</f>
        <v>#NAME?</v>
      </c>
      <c r="CT51" s="47" t="e">
        <f t="shared" ref="CT51" ca="1" si="476">+CS51</f>
        <v>#NAME?</v>
      </c>
      <c r="CU51" s="47" t="e">
        <f t="shared" ref="CU51" ca="1" si="477">+CT51</f>
        <v>#NAME?</v>
      </c>
      <c r="CV51" s="47" t="e">
        <f t="shared" ref="CV51" ca="1" si="478">+CU51</f>
        <v>#NAME?</v>
      </c>
      <c r="CW51" s="47" t="e">
        <f t="shared" ref="CW51" ca="1" si="479">+CV51</f>
        <v>#NAME?</v>
      </c>
      <c r="CX51" s="47" t="e">
        <f t="shared" ref="CX51" ca="1" si="480">+CW51</f>
        <v>#NAME?</v>
      </c>
      <c r="CY51" s="47" t="e">
        <f t="shared" ref="CY51" ca="1" si="481">+CX51</f>
        <v>#NAME?</v>
      </c>
      <c r="CZ51" s="47" t="e">
        <f t="shared" ref="CZ51" ca="1" si="482">+CY51</f>
        <v>#NAME?</v>
      </c>
      <c r="DA51" s="47" t="e">
        <f t="shared" ref="DA51" ca="1" si="483">+CZ51</f>
        <v>#NAME?</v>
      </c>
      <c r="DB51" s="47" t="e">
        <f t="shared" ref="DB51" ca="1" si="484">+DA51</f>
        <v>#NAME?</v>
      </c>
      <c r="DE51" s="130"/>
      <c r="DF51" s="46">
        <v>0.22152814965012246</v>
      </c>
    </row>
    <row r="52" spans="1:110" s="26" customFormat="1" x14ac:dyDescent="0.2">
      <c r="A52" s="26" t="s">
        <v>20</v>
      </c>
      <c r="B52" s="26" t="e">
        <f ca="1">B48+B49-B50</f>
        <v>#NAME?</v>
      </c>
      <c r="C52" s="26" t="e">
        <f t="shared" ref="C52:T52" ca="1" si="485">C48+C49-C50</f>
        <v>#NAME?</v>
      </c>
      <c r="D52" s="26" t="e">
        <f ca="1">D48+D49-D50</f>
        <v>#NAME?</v>
      </c>
      <c r="E52" s="26" t="e">
        <f t="shared" ca="1" si="485"/>
        <v>#NAME?</v>
      </c>
      <c r="F52" s="26" t="e">
        <f t="shared" ca="1" si="485"/>
        <v>#NAME?</v>
      </c>
      <c r="G52" s="26" t="e">
        <f t="shared" ca="1" si="485"/>
        <v>#NAME?</v>
      </c>
      <c r="H52" s="26" t="e">
        <f t="shared" ca="1" si="485"/>
        <v>#NAME?</v>
      </c>
      <c r="I52" s="26" t="e">
        <f t="shared" ca="1" si="485"/>
        <v>#NAME?</v>
      </c>
      <c r="J52" s="26" t="e">
        <f t="shared" ca="1" si="485"/>
        <v>#NAME?</v>
      </c>
      <c r="K52" s="26" t="e">
        <f t="shared" ca="1" si="485"/>
        <v>#NAME?</v>
      </c>
      <c r="L52" s="26" t="e">
        <f t="shared" ca="1" si="485"/>
        <v>#NAME?</v>
      </c>
      <c r="M52" s="26" t="e">
        <f t="shared" ca="1" si="485"/>
        <v>#NAME?</v>
      </c>
      <c r="N52" s="26" t="e">
        <f t="shared" ca="1" si="485"/>
        <v>#NAME?</v>
      </c>
      <c r="O52" s="26" t="e">
        <f t="shared" ca="1" si="485"/>
        <v>#NAME?</v>
      </c>
      <c r="P52" s="26" t="e">
        <f t="shared" ca="1" si="485"/>
        <v>#NAME?</v>
      </c>
      <c r="Q52" s="26" t="e">
        <f t="shared" ca="1" si="485"/>
        <v>#NAME?</v>
      </c>
      <c r="R52" s="26" t="e">
        <f t="shared" ca="1" si="485"/>
        <v>#NAME?</v>
      </c>
      <c r="S52" s="26" t="e">
        <f t="shared" ca="1" si="485"/>
        <v>#NAME?</v>
      </c>
      <c r="T52" s="26" t="e">
        <f t="shared" ca="1" si="485"/>
        <v>#NAME?</v>
      </c>
      <c r="U52" s="26" t="e">
        <f t="shared" ref="U52:Z52" ca="1" si="486">U48+U49-U50</f>
        <v>#NAME?</v>
      </c>
      <c r="V52" s="26" t="e">
        <f t="shared" ca="1" si="486"/>
        <v>#NAME?</v>
      </c>
      <c r="W52" s="26" t="e">
        <f t="shared" ca="1" si="486"/>
        <v>#NAME?</v>
      </c>
      <c r="X52" s="26" t="e">
        <f t="shared" ca="1" si="486"/>
        <v>#NAME?</v>
      </c>
      <c r="Y52" s="26" t="e">
        <f t="shared" ca="1" si="486"/>
        <v>#NAME?</v>
      </c>
      <c r="Z52" s="26" t="e">
        <f t="shared" ca="1" si="486"/>
        <v>#NAME?</v>
      </c>
      <c r="AA52" s="26" t="e">
        <f t="shared" ref="AA52" ca="1" si="487">AA48+AA49-AA50</f>
        <v>#NAME?</v>
      </c>
      <c r="AB52" s="27" t="e">
        <f t="shared" ref="AB52:AD52" ca="1" si="488">AB48+AB49-AB50</f>
        <v>#NAME?</v>
      </c>
      <c r="AC52" s="27" t="e">
        <f t="shared" ca="1" si="488"/>
        <v>#NAME?</v>
      </c>
      <c r="AD52" s="27" t="e">
        <f t="shared" ca="1" si="488"/>
        <v>#NAME?</v>
      </c>
      <c r="AE52" s="27" t="e">
        <f t="shared" ref="AE52" ca="1" si="489">AE48+AE49-AE50</f>
        <v>#NAME?</v>
      </c>
      <c r="AI52" s="26" t="e">
        <f ca="1">AI48+AI49-AI50</f>
        <v>#NAME?</v>
      </c>
      <c r="AJ52" s="26" t="e">
        <f t="shared" ref="AJ52" ca="1" si="490">AJ48+AJ49-AJ50</f>
        <v>#NAME?</v>
      </c>
      <c r="AK52" s="26" t="e">
        <f t="shared" ref="AK52:AM52" ca="1" si="491">AK48+AK49-AK50</f>
        <v>#NAME?</v>
      </c>
      <c r="AL52" s="26" t="e">
        <f t="shared" ca="1" si="491"/>
        <v>#NAME?</v>
      </c>
      <c r="AM52" s="26" t="e">
        <f t="shared" ca="1" si="491"/>
        <v>#NAME?</v>
      </c>
      <c r="AN52" s="26" t="e">
        <f t="shared" ref="AN52:AO52" ca="1" si="492">AN48+AN49-AN50</f>
        <v>#NAME?</v>
      </c>
      <c r="AO52" s="26" t="e">
        <f t="shared" ca="1" si="492"/>
        <v>#NAME?</v>
      </c>
      <c r="AP52" s="26" t="e">
        <f t="shared" ref="AP52:CD52" ca="1" si="493">AP48+AP49-AP50</f>
        <v>#NAME?</v>
      </c>
      <c r="AQ52" s="26" t="e">
        <f t="shared" ca="1" si="493"/>
        <v>#NAME?</v>
      </c>
      <c r="AR52" s="26" t="e">
        <f t="shared" ca="1" si="493"/>
        <v>#NAME?</v>
      </c>
      <c r="AS52" s="26" t="e">
        <f t="shared" ca="1" si="493"/>
        <v>#NAME?</v>
      </c>
      <c r="AT52" s="26" t="e">
        <f t="shared" ca="1" si="493"/>
        <v>#NAME?</v>
      </c>
      <c r="AU52" s="26" t="e">
        <f t="shared" ca="1" si="493"/>
        <v>#NAME?</v>
      </c>
      <c r="AV52" s="26" t="e">
        <f t="shared" ca="1" si="493"/>
        <v>#NAME?</v>
      </c>
      <c r="AW52" s="26" t="e">
        <f t="shared" ca="1" si="493"/>
        <v>#NAME?</v>
      </c>
      <c r="AX52" s="26" t="e">
        <f t="shared" ca="1" si="493"/>
        <v>#NAME?</v>
      </c>
      <c r="AY52" s="26" t="e">
        <f t="shared" ca="1" si="493"/>
        <v>#NAME?</v>
      </c>
      <c r="AZ52" s="26" t="e">
        <f t="shared" ca="1" si="493"/>
        <v>#NAME?</v>
      </c>
      <c r="BA52" s="26" t="e">
        <f t="shared" ca="1" si="493"/>
        <v>#NAME?</v>
      </c>
      <c r="BB52" s="26" t="e">
        <f t="shared" ca="1" si="493"/>
        <v>#NAME?</v>
      </c>
      <c r="BC52" s="26" t="e">
        <f t="shared" ca="1" si="493"/>
        <v>#NAME?</v>
      </c>
      <c r="BD52" s="26" t="e">
        <f t="shared" ca="1" si="493"/>
        <v>#NAME?</v>
      </c>
      <c r="BE52" s="26" t="e">
        <f t="shared" ca="1" si="493"/>
        <v>#NAME?</v>
      </c>
      <c r="BF52" s="26" t="e">
        <f t="shared" ca="1" si="493"/>
        <v>#NAME?</v>
      </c>
      <c r="BG52" s="26" t="e">
        <f t="shared" ca="1" si="493"/>
        <v>#NAME?</v>
      </c>
      <c r="BH52" s="26" t="e">
        <f t="shared" ca="1" si="493"/>
        <v>#NAME?</v>
      </c>
      <c r="BI52" s="26" t="e">
        <f t="shared" ca="1" si="493"/>
        <v>#NAME?</v>
      </c>
      <c r="BJ52" s="26" t="e">
        <f t="shared" ca="1" si="493"/>
        <v>#NAME?</v>
      </c>
      <c r="BK52" s="26" t="e">
        <f t="shared" ca="1" si="493"/>
        <v>#NAME?</v>
      </c>
      <c r="BL52" s="26" t="e">
        <f t="shared" ca="1" si="493"/>
        <v>#NAME?</v>
      </c>
      <c r="BM52" s="26" t="e">
        <f t="shared" ca="1" si="493"/>
        <v>#NAME?</v>
      </c>
      <c r="BN52" s="26" t="e">
        <f t="shared" ca="1" si="493"/>
        <v>#NAME?</v>
      </c>
      <c r="BO52" s="26" t="e">
        <f t="shared" ca="1" si="493"/>
        <v>#NAME?</v>
      </c>
      <c r="BP52" s="26" t="e">
        <f t="shared" ca="1" si="493"/>
        <v>#NAME?</v>
      </c>
      <c r="BQ52" s="26" t="e">
        <f t="shared" ca="1" si="493"/>
        <v>#NAME?</v>
      </c>
      <c r="BR52" s="26" t="e">
        <f t="shared" ca="1" si="493"/>
        <v>#NAME?</v>
      </c>
      <c r="BS52" s="26" t="e">
        <f t="shared" ca="1" si="493"/>
        <v>#NAME?</v>
      </c>
      <c r="BT52" s="26" t="e">
        <f t="shared" ca="1" si="493"/>
        <v>#NAME?</v>
      </c>
      <c r="BU52" s="26" t="e">
        <f t="shared" ca="1" si="493"/>
        <v>#NAME?</v>
      </c>
      <c r="BV52" s="26" t="e">
        <f t="shared" ca="1" si="493"/>
        <v>#NAME?</v>
      </c>
      <c r="BW52" s="26" t="e">
        <f t="shared" ca="1" si="493"/>
        <v>#NAME?</v>
      </c>
      <c r="BX52" s="26" t="e">
        <f t="shared" ca="1" si="493"/>
        <v>#NAME?</v>
      </c>
      <c r="BY52" s="26" t="e">
        <f t="shared" ca="1" si="493"/>
        <v>#NAME?</v>
      </c>
      <c r="BZ52" s="26" t="e">
        <f t="shared" ca="1" si="493"/>
        <v>#NAME?</v>
      </c>
      <c r="CA52" s="26" t="e">
        <f t="shared" ca="1" si="493"/>
        <v>#NAME?</v>
      </c>
      <c r="CB52" s="26" t="e">
        <f t="shared" ca="1" si="493"/>
        <v>#NAME?</v>
      </c>
      <c r="CC52" s="26" t="e">
        <f t="shared" ca="1" si="493"/>
        <v>#NAME?</v>
      </c>
      <c r="CD52" s="26" t="e">
        <f t="shared" ca="1" si="493"/>
        <v>#NAME?</v>
      </c>
      <c r="CE52" s="26" t="e">
        <f t="shared" ref="CE52:CF52" ca="1" si="494">CE48+CE49-CE50</f>
        <v>#NAME?</v>
      </c>
      <c r="CF52" s="26" t="e">
        <f t="shared" ca="1" si="494"/>
        <v>#NAME?</v>
      </c>
      <c r="CG52" s="26" t="e">
        <f t="shared" ref="CG52:CH52" ca="1" si="495">CG48+CG49-CG50</f>
        <v>#NAME?</v>
      </c>
      <c r="CH52" s="26" t="e">
        <f t="shared" ca="1" si="495"/>
        <v>#NAME?</v>
      </c>
      <c r="CI52" s="26" t="e">
        <f t="shared" ref="CI52:CJ52" ca="1" si="496">CI48+CI49-CI50</f>
        <v>#NAME?</v>
      </c>
      <c r="CJ52" s="26" t="e">
        <f t="shared" ca="1" si="496"/>
        <v>#NAME?</v>
      </c>
      <c r="CK52" s="26" t="e">
        <f t="shared" ref="CK52:CL52" ca="1" si="497">CK48+CK49-CK50</f>
        <v>#NAME?</v>
      </c>
      <c r="CL52" s="26" t="e">
        <f t="shared" ca="1" si="497"/>
        <v>#NAME?</v>
      </c>
      <c r="CM52" s="27" t="e">
        <f t="shared" ref="CM52:DB52" ca="1" si="498">CM48+CM49-CM50</f>
        <v>#NAME?</v>
      </c>
      <c r="CN52" s="27" t="e">
        <f t="shared" ca="1" si="498"/>
        <v>#NAME?</v>
      </c>
      <c r="CO52" s="27" t="e">
        <f t="shared" ca="1" si="498"/>
        <v>#NAME?</v>
      </c>
      <c r="CP52" s="27" t="e">
        <f t="shared" ca="1" si="498"/>
        <v>#NAME?</v>
      </c>
      <c r="CQ52" s="27" t="e">
        <f t="shared" ca="1" si="498"/>
        <v>#NAME?</v>
      </c>
      <c r="CR52" s="27" t="e">
        <f t="shared" ca="1" si="498"/>
        <v>#NAME?</v>
      </c>
      <c r="CS52" s="27" t="e">
        <f t="shared" ca="1" si="498"/>
        <v>#NAME?</v>
      </c>
      <c r="CT52" s="27" t="e">
        <f t="shared" ca="1" si="498"/>
        <v>#NAME?</v>
      </c>
      <c r="CU52" s="27" t="e">
        <f t="shared" ca="1" si="498"/>
        <v>#NAME?</v>
      </c>
      <c r="CV52" s="27" t="e">
        <f t="shared" ca="1" si="498"/>
        <v>#NAME?</v>
      </c>
      <c r="CW52" s="27" t="e">
        <f t="shared" ca="1" si="498"/>
        <v>#NAME?</v>
      </c>
      <c r="CX52" s="27" t="e">
        <f t="shared" ca="1" si="498"/>
        <v>#NAME?</v>
      </c>
      <c r="CY52" s="27" t="e">
        <f t="shared" ca="1" si="498"/>
        <v>#NAME?</v>
      </c>
      <c r="CZ52" s="27" t="e">
        <f t="shared" ca="1" si="498"/>
        <v>#NAME?</v>
      </c>
      <c r="DA52" s="27" t="e">
        <f t="shared" ca="1" si="498"/>
        <v>#NAME?</v>
      </c>
      <c r="DB52" s="27" t="e">
        <f t="shared" ca="1" si="498"/>
        <v>#NAME?</v>
      </c>
      <c r="DE52" s="121"/>
      <c r="DF52" s="26">
        <v>171.57300000000004</v>
      </c>
    </row>
    <row r="53" spans="1:110" s="23" customFormat="1" x14ac:dyDescent="0.2">
      <c r="A53" s="23" t="s">
        <v>21</v>
      </c>
      <c r="B53" s="23" t="e">
        <f ca="1">'Annual Raw'!C30</f>
        <v>#NAME?</v>
      </c>
      <c r="C53" s="23" t="e">
        <f ca="1">'Annual Raw'!D30</f>
        <v>#NAME?</v>
      </c>
      <c r="D53" s="23" t="e">
        <f ca="1">'Annual Raw'!E30</f>
        <v>#NAME?</v>
      </c>
      <c r="E53" s="23" t="e">
        <f ca="1">'Annual Raw'!F30</f>
        <v>#NAME?</v>
      </c>
      <c r="F53" s="23" t="e">
        <f ca="1">'Annual Raw'!G30</f>
        <v>#NAME?</v>
      </c>
      <c r="G53" s="23" t="e">
        <f ca="1">'Annual Raw'!H30</f>
        <v>#NAME?</v>
      </c>
      <c r="H53" s="23" t="e">
        <f ca="1">'Annual Raw'!I30</f>
        <v>#NAME?</v>
      </c>
      <c r="I53" s="23" t="e">
        <f ca="1">'Annual Raw'!J30</f>
        <v>#NAME?</v>
      </c>
      <c r="J53" s="23" t="e">
        <f ca="1">'Annual Raw'!K30</f>
        <v>#NAME?</v>
      </c>
      <c r="K53" s="23" t="e">
        <f ca="1">'Annual Raw'!L30</f>
        <v>#NAME?</v>
      </c>
      <c r="L53" s="23" t="e">
        <f ca="1">'Annual Raw'!M30</f>
        <v>#NAME?</v>
      </c>
      <c r="M53" s="23" t="e">
        <f ca="1">'Annual Raw'!N30</f>
        <v>#NAME?</v>
      </c>
      <c r="N53" s="23" t="e">
        <f ca="1">'Annual Raw'!O30</f>
        <v>#NAME?</v>
      </c>
      <c r="O53" s="23" t="e">
        <f ca="1">'Annual Raw'!P30</f>
        <v>#NAME?</v>
      </c>
      <c r="P53" s="23" t="e">
        <f ca="1">'Annual Raw'!Q30</f>
        <v>#NAME?</v>
      </c>
      <c r="Q53" s="23" t="e">
        <f ca="1">'Annual Raw'!R30</f>
        <v>#NAME?</v>
      </c>
      <c r="R53" s="23" t="e">
        <f ca="1">'Annual Raw'!S30</f>
        <v>#NAME?</v>
      </c>
      <c r="S53" s="23" t="e">
        <f ca="1">'Annual Raw'!T30</f>
        <v>#NAME?</v>
      </c>
      <c r="T53" s="23" t="e">
        <f ca="1">'Annual Raw'!U30</f>
        <v>#NAME?</v>
      </c>
      <c r="U53" s="23" t="e">
        <f ca="1">'Annual Raw'!V30</f>
        <v>#NAME?</v>
      </c>
      <c r="V53" s="23" t="e">
        <f ca="1">'Annual Raw'!W30</f>
        <v>#NAME?</v>
      </c>
      <c r="W53" s="23" t="e">
        <f ca="1">'Annual Raw'!X30</f>
        <v>#NAME?</v>
      </c>
      <c r="X53" s="23" t="e">
        <f ca="1">'Annual Raw'!Y30</f>
        <v>#NAME?</v>
      </c>
      <c r="Y53" s="23" t="e">
        <f ca="1">'Annual Raw'!Z30</f>
        <v>#NAME?</v>
      </c>
      <c r="Z53" s="23" t="e">
        <f ca="1">'Annual Raw'!AA30</f>
        <v>#NAME?</v>
      </c>
      <c r="AA53" s="23" t="e">
        <f ca="1">'Annual Raw'!AB30</f>
        <v>#NAME?</v>
      </c>
      <c r="AB53" s="24" t="e">
        <f ca="1">+SUM(CM53:CP53)</f>
        <v>#NAME?</v>
      </c>
      <c r="AC53" s="24" t="e">
        <f ca="1">+SUM(CQ53:CT53)</f>
        <v>#NAME?</v>
      </c>
      <c r="AD53" s="24" t="e">
        <f ca="1">+SUM(CU53:CX53)</f>
        <v>#NAME?</v>
      </c>
      <c r="AE53" s="24" t="e">
        <f ca="1">+SUM(CY53:DB53)</f>
        <v>#NAME?</v>
      </c>
      <c r="AI53" s="23" t="e">
        <f ca="1">'QTR Raw'!C29</f>
        <v>#NAME?</v>
      </c>
      <c r="AJ53" s="23" t="e">
        <f ca="1">'QTR Raw'!D29</f>
        <v>#NAME?</v>
      </c>
      <c r="AK53" s="23" t="e">
        <f ca="1">'QTR Raw'!E29</f>
        <v>#NAME?</v>
      </c>
      <c r="AL53" s="23" t="e">
        <f ca="1">'QTR Raw'!F29</f>
        <v>#NAME?</v>
      </c>
      <c r="AM53" s="23" t="e">
        <f ca="1">'QTR Raw'!G29</f>
        <v>#NAME?</v>
      </c>
      <c r="AN53" s="23" t="e">
        <f ca="1">'QTR Raw'!H29</f>
        <v>#NAME?</v>
      </c>
      <c r="AO53" s="23" t="e">
        <f ca="1">'QTR Raw'!I29</f>
        <v>#NAME?</v>
      </c>
      <c r="AP53" s="23" t="e">
        <f ca="1">'QTR Raw'!J29</f>
        <v>#NAME?</v>
      </c>
      <c r="AQ53" s="23" t="e">
        <f ca="1">'QTR Raw'!K29</f>
        <v>#NAME?</v>
      </c>
      <c r="AR53" s="23" t="e">
        <f ca="1">'QTR Raw'!L29</f>
        <v>#NAME?</v>
      </c>
      <c r="AS53" s="23" t="e">
        <f ca="1">'QTR Raw'!M29</f>
        <v>#NAME?</v>
      </c>
      <c r="AT53" s="23" t="e">
        <f ca="1">'QTR Raw'!N29</f>
        <v>#NAME?</v>
      </c>
      <c r="AU53" s="23" t="e">
        <f ca="1">'QTR Raw'!O29</f>
        <v>#NAME?</v>
      </c>
      <c r="AV53" s="23" t="e">
        <f ca="1">'QTR Raw'!P29</f>
        <v>#NAME?</v>
      </c>
      <c r="AW53" s="23" t="e">
        <f ca="1">'QTR Raw'!Q29</f>
        <v>#NAME?</v>
      </c>
      <c r="AX53" s="23" t="e">
        <f ca="1">'QTR Raw'!R29</f>
        <v>#NAME?</v>
      </c>
      <c r="AY53" s="23" t="e">
        <f ca="1">'QTR Raw'!S29</f>
        <v>#NAME?</v>
      </c>
      <c r="AZ53" s="23" t="e">
        <f ca="1">'QTR Raw'!T29</f>
        <v>#NAME?</v>
      </c>
      <c r="BA53" s="23" t="e">
        <f ca="1">'QTR Raw'!U29</f>
        <v>#NAME?</v>
      </c>
      <c r="BB53" s="23" t="e">
        <f ca="1">'QTR Raw'!V29</f>
        <v>#NAME?</v>
      </c>
      <c r="BC53" s="23" t="e">
        <f ca="1">'QTR Raw'!W29</f>
        <v>#NAME?</v>
      </c>
      <c r="BD53" s="23" t="e">
        <f ca="1">'QTR Raw'!X29</f>
        <v>#NAME?</v>
      </c>
      <c r="BE53" s="23" t="e">
        <f ca="1">'QTR Raw'!Y29</f>
        <v>#NAME?</v>
      </c>
      <c r="BF53" s="23" t="e">
        <f ca="1">'QTR Raw'!Z29</f>
        <v>#NAME?</v>
      </c>
      <c r="BG53" s="23" t="e">
        <f ca="1">'QTR Raw'!AA29</f>
        <v>#NAME?</v>
      </c>
      <c r="BH53" s="23" t="e">
        <f ca="1">'QTR Raw'!AB29</f>
        <v>#NAME?</v>
      </c>
      <c r="BI53" s="23" t="e">
        <f ca="1">'QTR Raw'!AC29</f>
        <v>#NAME?</v>
      </c>
      <c r="BJ53" s="23" t="e">
        <f ca="1">'QTR Raw'!AD29</f>
        <v>#NAME?</v>
      </c>
      <c r="BK53" s="23" t="e">
        <f ca="1">'QTR Raw'!AE29</f>
        <v>#NAME?</v>
      </c>
      <c r="BL53" s="23" t="e">
        <f ca="1">'QTR Raw'!AF29</f>
        <v>#NAME?</v>
      </c>
      <c r="BM53" s="23" t="e">
        <f ca="1">'QTR Raw'!AG29</f>
        <v>#NAME?</v>
      </c>
      <c r="BN53" s="23" t="e">
        <f ca="1">'QTR Raw'!AH29</f>
        <v>#NAME?</v>
      </c>
      <c r="BO53" s="23" t="e">
        <f ca="1">'QTR Raw'!AI29</f>
        <v>#NAME?</v>
      </c>
      <c r="BP53" s="23" t="e">
        <f ca="1">'QTR Raw'!AJ29</f>
        <v>#NAME?</v>
      </c>
      <c r="BQ53" s="23" t="e">
        <f ca="1">'QTR Raw'!AK29</f>
        <v>#NAME?</v>
      </c>
      <c r="BR53" s="23" t="e">
        <f ca="1">'QTR Raw'!AL29</f>
        <v>#NAME?</v>
      </c>
      <c r="BS53" s="23" t="e">
        <f ca="1">'QTR Raw'!AM29</f>
        <v>#NAME?</v>
      </c>
      <c r="BT53" s="23" t="e">
        <f ca="1">'QTR Raw'!AN29</f>
        <v>#NAME?</v>
      </c>
      <c r="BU53" s="23" t="e">
        <f ca="1">'QTR Raw'!AO29</f>
        <v>#NAME?</v>
      </c>
      <c r="BV53" s="23" t="e">
        <f ca="1">'QTR Raw'!AP29</f>
        <v>#NAME?</v>
      </c>
      <c r="BW53" s="23" t="e">
        <f ca="1">'QTR Raw'!AQ29</f>
        <v>#NAME?</v>
      </c>
      <c r="BX53" s="23" t="e">
        <f ca="1">'QTR Raw'!AR29</f>
        <v>#NAME?</v>
      </c>
      <c r="BY53" s="23" t="e">
        <f ca="1">'QTR Raw'!AS29</f>
        <v>#NAME?</v>
      </c>
      <c r="BZ53" s="23" t="e">
        <f ca="1">'QTR Raw'!AT29</f>
        <v>#NAME?</v>
      </c>
      <c r="CA53" s="23" t="e">
        <f ca="1">'QTR Raw'!AU29</f>
        <v>#NAME?</v>
      </c>
      <c r="CB53" s="23" t="e">
        <f ca="1">'QTR Raw'!AV29</f>
        <v>#NAME?</v>
      </c>
      <c r="CC53" s="23" t="e">
        <f ca="1">'QTR Raw'!AW29</f>
        <v>#NAME?</v>
      </c>
      <c r="CD53" s="23" t="e">
        <f ca="1">'QTR Raw'!AX29</f>
        <v>#NAME?</v>
      </c>
      <c r="CE53" s="23" t="e">
        <f ca="1">'QTR Raw'!AY29</f>
        <v>#NAME?</v>
      </c>
      <c r="CF53" s="23" t="e">
        <f ca="1">'QTR Raw'!AZ29</f>
        <v>#NAME?</v>
      </c>
      <c r="CG53" s="23" t="e">
        <f ca="1">'QTR Raw'!BA29</f>
        <v>#NAME?</v>
      </c>
      <c r="CH53" s="23">
        <v>7.2</v>
      </c>
      <c r="CI53" s="23" t="e">
        <f ca="1">'QTR Raw'!BC29</f>
        <v>#NAME?</v>
      </c>
      <c r="CJ53" s="23" t="e">
        <f ca="1">'QTR Raw'!BD29</f>
        <v>#NAME?</v>
      </c>
      <c r="CK53" s="23" t="e">
        <f ca="1">'QTR Raw'!BE29</f>
        <v>#NAME?</v>
      </c>
      <c r="CL53" s="23" t="e">
        <f ca="1">'QTR Raw'!BF29</f>
        <v>#NAME?</v>
      </c>
      <c r="CM53" s="24" t="e">
        <f t="shared" ref="CM53:DB53" ca="1" si="499">+CM52*CM54</f>
        <v>#NAME?</v>
      </c>
      <c r="CN53" s="24" t="e">
        <f t="shared" ca="1" si="499"/>
        <v>#NAME?</v>
      </c>
      <c r="CO53" s="24" t="e">
        <f t="shared" ca="1" si="499"/>
        <v>#NAME?</v>
      </c>
      <c r="CP53" s="24" t="e">
        <f t="shared" ca="1" si="499"/>
        <v>#NAME?</v>
      </c>
      <c r="CQ53" s="24" t="e">
        <f t="shared" ca="1" si="499"/>
        <v>#NAME?</v>
      </c>
      <c r="CR53" s="24" t="e">
        <f t="shared" ca="1" si="499"/>
        <v>#NAME?</v>
      </c>
      <c r="CS53" s="24" t="e">
        <f t="shared" ca="1" si="499"/>
        <v>#NAME?</v>
      </c>
      <c r="CT53" s="24" t="e">
        <f t="shared" ca="1" si="499"/>
        <v>#NAME?</v>
      </c>
      <c r="CU53" s="24" t="e">
        <f t="shared" ca="1" si="499"/>
        <v>#NAME?</v>
      </c>
      <c r="CV53" s="24" t="e">
        <f t="shared" ca="1" si="499"/>
        <v>#NAME?</v>
      </c>
      <c r="CW53" s="24" t="e">
        <f t="shared" ca="1" si="499"/>
        <v>#NAME?</v>
      </c>
      <c r="CX53" s="24" t="e">
        <f t="shared" ca="1" si="499"/>
        <v>#NAME?</v>
      </c>
      <c r="CY53" s="24" t="e">
        <f t="shared" ca="1" si="499"/>
        <v>#NAME?</v>
      </c>
      <c r="CZ53" s="24" t="e">
        <f t="shared" ca="1" si="499"/>
        <v>#NAME?</v>
      </c>
      <c r="DA53" s="24" t="e">
        <f t="shared" ca="1" si="499"/>
        <v>#NAME?</v>
      </c>
      <c r="DB53" s="24" t="e">
        <f t="shared" ca="1" si="499"/>
        <v>#NAME?</v>
      </c>
      <c r="DE53" s="123"/>
      <c r="DF53" s="23">
        <v>42.298999999999999</v>
      </c>
    </row>
    <row r="54" spans="1:110" s="90" customFormat="1" x14ac:dyDescent="0.2">
      <c r="A54" s="90" t="s">
        <v>106</v>
      </c>
      <c r="B54" s="90" t="e">
        <f t="shared" ref="B54:E54" ca="1" si="500">B53/B52</f>
        <v>#NAME?</v>
      </c>
      <c r="C54" s="90" t="e">
        <f t="shared" ca="1" si="500"/>
        <v>#NAME?</v>
      </c>
      <c r="D54" s="90" t="e">
        <f t="shared" ca="1" si="500"/>
        <v>#NAME?</v>
      </c>
      <c r="E54" s="90" t="e">
        <f t="shared" ca="1" si="500"/>
        <v>#NAME?</v>
      </c>
      <c r="F54" s="90" t="e">
        <f t="shared" ref="F54:T54" ca="1" si="501">F53/F52</f>
        <v>#NAME?</v>
      </c>
      <c r="G54" s="90" t="e">
        <f t="shared" ca="1" si="501"/>
        <v>#NAME?</v>
      </c>
      <c r="H54" s="90" t="e">
        <f t="shared" ca="1" si="501"/>
        <v>#NAME?</v>
      </c>
      <c r="I54" s="90" t="e">
        <f t="shared" ca="1" si="501"/>
        <v>#NAME?</v>
      </c>
      <c r="J54" s="90" t="e">
        <f t="shared" ca="1" si="501"/>
        <v>#NAME?</v>
      </c>
      <c r="K54" s="90" t="e">
        <f t="shared" ca="1" si="501"/>
        <v>#NAME?</v>
      </c>
      <c r="L54" s="90" t="e">
        <f t="shared" ca="1" si="501"/>
        <v>#NAME?</v>
      </c>
      <c r="M54" s="90" t="e">
        <f t="shared" ca="1" si="501"/>
        <v>#NAME?</v>
      </c>
      <c r="N54" s="90" t="e">
        <f t="shared" ca="1" si="501"/>
        <v>#NAME?</v>
      </c>
      <c r="O54" s="90" t="e">
        <f t="shared" ca="1" si="501"/>
        <v>#NAME?</v>
      </c>
      <c r="P54" s="90" t="e">
        <f t="shared" ca="1" si="501"/>
        <v>#NAME?</v>
      </c>
      <c r="Q54" s="90" t="e">
        <f t="shared" ca="1" si="501"/>
        <v>#NAME?</v>
      </c>
      <c r="R54" s="90" t="e">
        <f t="shared" ca="1" si="501"/>
        <v>#NAME?</v>
      </c>
      <c r="S54" s="90" t="e">
        <f t="shared" ca="1" si="501"/>
        <v>#NAME?</v>
      </c>
      <c r="T54" s="90" t="e">
        <f t="shared" ca="1" si="501"/>
        <v>#NAME?</v>
      </c>
      <c r="U54" s="90" t="e">
        <f t="shared" ref="U54:Z54" ca="1" si="502">U53/U52</f>
        <v>#NAME?</v>
      </c>
      <c r="V54" s="90" t="e">
        <f t="shared" ca="1" si="502"/>
        <v>#NAME?</v>
      </c>
      <c r="W54" s="90" t="e">
        <f t="shared" ca="1" si="502"/>
        <v>#NAME?</v>
      </c>
      <c r="X54" s="90" t="e">
        <f t="shared" ca="1" si="502"/>
        <v>#NAME?</v>
      </c>
      <c r="Y54" s="90" t="e">
        <f t="shared" ca="1" si="502"/>
        <v>#NAME?</v>
      </c>
      <c r="Z54" s="90" t="e">
        <f t="shared" ca="1" si="502"/>
        <v>#NAME?</v>
      </c>
      <c r="AA54" s="90" t="e">
        <f t="shared" ref="AA54" ca="1" si="503">AA53/AA52</f>
        <v>#NAME?</v>
      </c>
      <c r="AB54" s="91" t="e">
        <f t="shared" ref="AA54:AD54" ca="1" si="504">AB53/AB52</f>
        <v>#NAME?</v>
      </c>
      <c r="AC54" s="91" t="e">
        <f t="shared" ca="1" si="504"/>
        <v>#NAME?</v>
      </c>
      <c r="AD54" s="91" t="e">
        <f t="shared" ca="1" si="504"/>
        <v>#NAME?</v>
      </c>
      <c r="AE54" s="91" t="e">
        <f t="shared" ref="AE54" ca="1" si="505">AE53/AE52</f>
        <v>#NAME?</v>
      </c>
      <c r="AI54" s="90" t="e">
        <f t="shared" ref="AI54" ca="1" si="506">AI53/AI52</f>
        <v>#NAME?</v>
      </c>
      <c r="AJ54" s="90" t="e">
        <f t="shared" ref="AJ54" ca="1" si="507">AJ53/AJ52</f>
        <v>#NAME?</v>
      </c>
      <c r="AK54" s="90" t="e">
        <f t="shared" ref="AK54:AM54" ca="1" si="508">AK53/AK52</f>
        <v>#NAME?</v>
      </c>
      <c r="AL54" s="90" t="e">
        <f t="shared" ca="1" si="508"/>
        <v>#NAME?</v>
      </c>
      <c r="AM54" s="90" t="e">
        <f t="shared" ca="1" si="508"/>
        <v>#NAME?</v>
      </c>
      <c r="AN54" s="90" t="e">
        <f t="shared" ref="AN54:AO54" ca="1" si="509">AN53/AN52</f>
        <v>#NAME?</v>
      </c>
      <c r="AO54" s="90" t="e">
        <f t="shared" ca="1" si="509"/>
        <v>#NAME?</v>
      </c>
      <c r="AP54" s="90" t="e">
        <f t="shared" ref="AP54:CD54" ca="1" si="510">AP53/AP52</f>
        <v>#NAME?</v>
      </c>
      <c r="AQ54" s="90" t="e">
        <f t="shared" ca="1" si="510"/>
        <v>#NAME?</v>
      </c>
      <c r="AR54" s="90" t="e">
        <f t="shared" ca="1" si="510"/>
        <v>#NAME?</v>
      </c>
      <c r="AS54" s="90" t="e">
        <f t="shared" ca="1" si="510"/>
        <v>#NAME?</v>
      </c>
      <c r="AT54" s="90" t="e">
        <f t="shared" ca="1" si="510"/>
        <v>#NAME?</v>
      </c>
      <c r="AU54" s="90" t="e">
        <f t="shared" ca="1" si="510"/>
        <v>#NAME?</v>
      </c>
      <c r="AV54" s="90" t="e">
        <f t="shared" ca="1" si="510"/>
        <v>#NAME?</v>
      </c>
      <c r="AW54" s="90" t="e">
        <f t="shared" ca="1" si="510"/>
        <v>#NAME?</v>
      </c>
      <c r="AX54" s="90" t="e">
        <f t="shared" ca="1" si="510"/>
        <v>#NAME?</v>
      </c>
      <c r="AY54" s="90" t="e">
        <f t="shared" ca="1" si="510"/>
        <v>#NAME?</v>
      </c>
      <c r="AZ54" s="90" t="e">
        <f t="shared" ca="1" si="510"/>
        <v>#NAME?</v>
      </c>
      <c r="BA54" s="90" t="e">
        <f t="shared" ca="1" si="510"/>
        <v>#NAME?</v>
      </c>
      <c r="BB54" s="90" t="e">
        <f t="shared" ca="1" si="510"/>
        <v>#NAME?</v>
      </c>
      <c r="BC54" s="90" t="e">
        <f t="shared" ca="1" si="510"/>
        <v>#NAME?</v>
      </c>
      <c r="BD54" s="90" t="e">
        <f t="shared" ca="1" si="510"/>
        <v>#NAME?</v>
      </c>
      <c r="BE54" s="90" t="e">
        <f t="shared" ca="1" si="510"/>
        <v>#NAME?</v>
      </c>
      <c r="BF54" s="90" t="e">
        <f t="shared" ca="1" si="510"/>
        <v>#NAME?</v>
      </c>
      <c r="BG54" s="90" t="e">
        <f t="shared" ca="1" si="510"/>
        <v>#NAME?</v>
      </c>
      <c r="BH54" s="90" t="e">
        <f t="shared" ca="1" si="510"/>
        <v>#NAME?</v>
      </c>
      <c r="BI54" s="90" t="e">
        <f t="shared" ca="1" si="510"/>
        <v>#NAME?</v>
      </c>
      <c r="BJ54" s="90" t="e">
        <f t="shared" ca="1" si="510"/>
        <v>#NAME?</v>
      </c>
      <c r="BK54" s="90" t="e">
        <f t="shared" ca="1" si="510"/>
        <v>#NAME?</v>
      </c>
      <c r="BL54" s="90" t="e">
        <f t="shared" ca="1" si="510"/>
        <v>#NAME?</v>
      </c>
      <c r="BM54" s="90" t="e">
        <f t="shared" ca="1" si="510"/>
        <v>#NAME?</v>
      </c>
      <c r="BN54" s="90" t="e">
        <f t="shared" ca="1" si="510"/>
        <v>#NAME?</v>
      </c>
      <c r="BO54" s="90" t="e">
        <f t="shared" ca="1" si="510"/>
        <v>#NAME?</v>
      </c>
      <c r="BP54" s="90" t="e">
        <f t="shared" ca="1" si="510"/>
        <v>#NAME?</v>
      </c>
      <c r="BQ54" s="90" t="e">
        <f t="shared" ca="1" si="510"/>
        <v>#NAME?</v>
      </c>
      <c r="BR54" s="90" t="e">
        <f t="shared" ca="1" si="510"/>
        <v>#NAME?</v>
      </c>
      <c r="BS54" s="90" t="e">
        <f t="shared" ca="1" si="510"/>
        <v>#NAME?</v>
      </c>
      <c r="BT54" s="90" t="e">
        <f t="shared" ca="1" si="510"/>
        <v>#NAME?</v>
      </c>
      <c r="BU54" s="90" t="e">
        <f t="shared" ca="1" si="510"/>
        <v>#NAME?</v>
      </c>
      <c r="BV54" s="90" t="e">
        <f t="shared" ca="1" si="510"/>
        <v>#NAME?</v>
      </c>
      <c r="BW54" s="90" t="e">
        <f t="shared" ca="1" si="510"/>
        <v>#NAME?</v>
      </c>
      <c r="BX54" s="90" t="e">
        <f t="shared" ca="1" si="510"/>
        <v>#NAME?</v>
      </c>
      <c r="BY54" s="90" t="e">
        <f t="shared" ca="1" si="510"/>
        <v>#NAME?</v>
      </c>
      <c r="BZ54" s="90" t="e">
        <f t="shared" ca="1" si="510"/>
        <v>#NAME?</v>
      </c>
      <c r="CA54" s="90" t="e">
        <f t="shared" ca="1" si="510"/>
        <v>#NAME?</v>
      </c>
      <c r="CB54" s="90" t="e">
        <f t="shared" ca="1" si="510"/>
        <v>#NAME?</v>
      </c>
      <c r="CC54" s="90" t="e">
        <f t="shared" ca="1" si="510"/>
        <v>#NAME?</v>
      </c>
      <c r="CD54" s="90" t="e">
        <f t="shared" ca="1" si="510"/>
        <v>#NAME?</v>
      </c>
      <c r="CE54" s="90" t="e">
        <f t="shared" ref="CE54:CF54" ca="1" si="511">CE53/CE52</f>
        <v>#NAME?</v>
      </c>
      <c r="CF54" s="90" t="e">
        <f t="shared" ca="1" si="511"/>
        <v>#NAME?</v>
      </c>
      <c r="CG54" s="90" t="e">
        <f t="shared" ref="CG54:CH54" ca="1" si="512">CG53/CG52</f>
        <v>#NAME?</v>
      </c>
      <c r="CH54" s="90" t="e">
        <f t="shared" ca="1" si="512"/>
        <v>#NAME?</v>
      </c>
      <c r="CI54" s="90" t="e">
        <f t="shared" ref="CI54:CJ54" ca="1" si="513">CI53/CI52</f>
        <v>#NAME?</v>
      </c>
      <c r="CJ54" s="90" t="e">
        <f t="shared" ca="1" si="513"/>
        <v>#NAME?</v>
      </c>
      <c r="CK54" s="90" t="e">
        <f t="shared" ref="CK54:CL54" ca="1" si="514">CK53/CK52</f>
        <v>#NAME?</v>
      </c>
      <c r="CL54" s="90" t="e">
        <f t="shared" ca="1" si="514"/>
        <v>#NAME?</v>
      </c>
      <c r="CM54" s="91" t="e">
        <f t="shared" ref="CM54:DB54" ca="1" si="515">AVERAGE(CI54:CL54)</f>
        <v>#NAME?</v>
      </c>
      <c r="CN54" s="91" t="e">
        <f t="shared" ca="1" si="515"/>
        <v>#NAME?</v>
      </c>
      <c r="CO54" s="91" t="e">
        <f t="shared" ca="1" si="515"/>
        <v>#NAME?</v>
      </c>
      <c r="CP54" s="91" t="e">
        <f t="shared" ca="1" si="515"/>
        <v>#NAME?</v>
      </c>
      <c r="CQ54" s="91" t="e">
        <f t="shared" ca="1" si="515"/>
        <v>#NAME?</v>
      </c>
      <c r="CR54" s="91" t="e">
        <f t="shared" ca="1" si="515"/>
        <v>#NAME?</v>
      </c>
      <c r="CS54" s="91" t="e">
        <f t="shared" ca="1" si="515"/>
        <v>#NAME?</v>
      </c>
      <c r="CT54" s="91" t="e">
        <f t="shared" ca="1" si="515"/>
        <v>#NAME?</v>
      </c>
      <c r="CU54" s="91" t="e">
        <f t="shared" ca="1" si="515"/>
        <v>#NAME?</v>
      </c>
      <c r="CV54" s="91" t="e">
        <f t="shared" ca="1" si="515"/>
        <v>#NAME?</v>
      </c>
      <c r="CW54" s="91" t="e">
        <f t="shared" ca="1" si="515"/>
        <v>#NAME?</v>
      </c>
      <c r="CX54" s="91" t="e">
        <f t="shared" ca="1" si="515"/>
        <v>#NAME?</v>
      </c>
      <c r="CY54" s="91" t="e">
        <f t="shared" ca="1" si="515"/>
        <v>#NAME?</v>
      </c>
      <c r="CZ54" s="91" t="e">
        <f t="shared" ca="1" si="515"/>
        <v>#NAME?</v>
      </c>
      <c r="DA54" s="91" t="e">
        <f t="shared" ca="1" si="515"/>
        <v>#NAME?</v>
      </c>
      <c r="DB54" s="91" t="e">
        <f t="shared" ca="1" si="515"/>
        <v>#NAME?</v>
      </c>
      <c r="DE54" s="127"/>
      <c r="DF54" s="90">
        <v>0.24653645969936988</v>
      </c>
    </row>
    <row r="55" spans="1:110" s="26" customFormat="1" x14ac:dyDescent="0.2">
      <c r="A55" s="26" t="s">
        <v>22</v>
      </c>
      <c r="B55" s="26" t="e">
        <f t="shared" ref="B55:E55" ca="1" si="516">B52-B53</f>
        <v>#NAME?</v>
      </c>
      <c r="C55" s="26" t="e">
        <f t="shared" ca="1" si="516"/>
        <v>#NAME?</v>
      </c>
      <c r="D55" s="26" t="e">
        <f t="shared" ca="1" si="516"/>
        <v>#NAME?</v>
      </c>
      <c r="E55" s="26" t="e">
        <f t="shared" ca="1" si="516"/>
        <v>#NAME?</v>
      </c>
      <c r="F55" s="26" t="e">
        <f t="shared" ref="F55:T55" ca="1" si="517">F52-F53</f>
        <v>#NAME?</v>
      </c>
      <c r="G55" s="26" t="e">
        <f t="shared" ca="1" si="517"/>
        <v>#NAME?</v>
      </c>
      <c r="H55" s="26" t="e">
        <f t="shared" ca="1" si="517"/>
        <v>#NAME?</v>
      </c>
      <c r="I55" s="26" t="e">
        <f t="shared" ca="1" si="517"/>
        <v>#NAME?</v>
      </c>
      <c r="J55" s="26" t="e">
        <f t="shared" ca="1" si="517"/>
        <v>#NAME?</v>
      </c>
      <c r="K55" s="26" t="e">
        <f t="shared" ca="1" si="517"/>
        <v>#NAME?</v>
      </c>
      <c r="L55" s="26" t="e">
        <f t="shared" ca="1" si="517"/>
        <v>#NAME?</v>
      </c>
      <c r="M55" s="26" t="e">
        <f t="shared" ca="1" si="517"/>
        <v>#NAME?</v>
      </c>
      <c r="N55" s="26" t="e">
        <f t="shared" ca="1" si="517"/>
        <v>#NAME?</v>
      </c>
      <c r="O55" s="26" t="e">
        <f t="shared" ca="1" si="517"/>
        <v>#NAME?</v>
      </c>
      <c r="P55" s="26" t="e">
        <f t="shared" ca="1" si="517"/>
        <v>#NAME?</v>
      </c>
      <c r="Q55" s="26" t="e">
        <f t="shared" ca="1" si="517"/>
        <v>#NAME?</v>
      </c>
      <c r="R55" s="26" t="e">
        <f t="shared" ca="1" si="517"/>
        <v>#NAME?</v>
      </c>
      <c r="S55" s="26" t="e">
        <f t="shared" ca="1" si="517"/>
        <v>#NAME?</v>
      </c>
      <c r="T55" s="26" t="e">
        <f t="shared" ca="1" si="517"/>
        <v>#NAME?</v>
      </c>
      <c r="U55" s="26" t="e">
        <f t="shared" ref="U55:Z55" ca="1" si="518">U52-U53</f>
        <v>#NAME?</v>
      </c>
      <c r="V55" s="26" t="e">
        <f t="shared" ca="1" si="518"/>
        <v>#NAME?</v>
      </c>
      <c r="W55" s="26" t="e">
        <f t="shared" ca="1" si="518"/>
        <v>#NAME?</v>
      </c>
      <c r="X55" s="26" t="e">
        <f t="shared" ca="1" si="518"/>
        <v>#NAME?</v>
      </c>
      <c r="Y55" s="26" t="e">
        <f t="shared" ca="1" si="518"/>
        <v>#NAME?</v>
      </c>
      <c r="Z55" s="26" t="e">
        <f t="shared" ca="1" si="518"/>
        <v>#NAME?</v>
      </c>
      <c r="AA55" s="26" t="e">
        <f t="shared" ref="AA55" ca="1" si="519">AA52-AA53</f>
        <v>#NAME?</v>
      </c>
      <c r="AB55" s="27" t="e">
        <f t="shared" ref="AA55:AD55" ca="1" si="520">AB52-AB53</f>
        <v>#NAME?</v>
      </c>
      <c r="AC55" s="27" t="e">
        <f t="shared" ca="1" si="520"/>
        <v>#NAME?</v>
      </c>
      <c r="AD55" s="27" t="e">
        <f t="shared" ca="1" si="520"/>
        <v>#NAME?</v>
      </c>
      <c r="AE55" s="27" t="e">
        <f t="shared" ref="AE55" ca="1" si="521">AE52-AE53</f>
        <v>#NAME?</v>
      </c>
      <c r="AI55" s="26" t="e">
        <f ca="1">AI52-AI53</f>
        <v>#NAME?</v>
      </c>
      <c r="AJ55" s="26" t="e">
        <f t="shared" ref="AJ55" ca="1" si="522">AJ52-AJ53</f>
        <v>#NAME?</v>
      </c>
      <c r="AK55" s="26" t="e">
        <f t="shared" ref="AK55:AM55" ca="1" si="523">AK52-AK53</f>
        <v>#NAME?</v>
      </c>
      <c r="AL55" s="26" t="e">
        <f t="shared" ca="1" si="523"/>
        <v>#NAME?</v>
      </c>
      <c r="AM55" s="26" t="e">
        <f t="shared" ca="1" si="523"/>
        <v>#NAME?</v>
      </c>
      <c r="AN55" s="26" t="e">
        <f t="shared" ref="AN55:AO55" ca="1" si="524">AN52-AN53</f>
        <v>#NAME?</v>
      </c>
      <c r="AO55" s="26" t="e">
        <f t="shared" ca="1" si="524"/>
        <v>#NAME?</v>
      </c>
      <c r="AP55" s="26" t="e">
        <f t="shared" ref="AP55:CD55" ca="1" si="525">AP52-AP53</f>
        <v>#NAME?</v>
      </c>
      <c r="AQ55" s="26" t="e">
        <f t="shared" ca="1" si="525"/>
        <v>#NAME?</v>
      </c>
      <c r="AR55" s="26" t="e">
        <f t="shared" ca="1" si="525"/>
        <v>#NAME?</v>
      </c>
      <c r="AS55" s="26" t="e">
        <f t="shared" ca="1" si="525"/>
        <v>#NAME?</v>
      </c>
      <c r="AT55" s="26" t="e">
        <f t="shared" ca="1" si="525"/>
        <v>#NAME?</v>
      </c>
      <c r="AU55" s="26" t="e">
        <f t="shared" ca="1" si="525"/>
        <v>#NAME?</v>
      </c>
      <c r="AV55" s="26" t="e">
        <f t="shared" ca="1" si="525"/>
        <v>#NAME?</v>
      </c>
      <c r="AW55" s="26" t="e">
        <f t="shared" ca="1" si="525"/>
        <v>#NAME?</v>
      </c>
      <c r="AX55" s="26" t="e">
        <f t="shared" ca="1" si="525"/>
        <v>#NAME?</v>
      </c>
      <c r="AY55" s="26" t="e">
        <f t="shared" ca="1" si="525"/>
        <v>#NAME?</v>
      </c>
      <c r="AZ55" s="26" t="e">
        <f t="shared" ca="1" si="525"/>
        <v>#NAME?</v>
      </c>
      <c r="BA55" s="26" t="e">
        <f t="shared" ca="1" si="525"/>
        <v>#NAME?</v>
      </c>
      <c r="BB55" s="26" t="e">
        <f t="shared" ca="1" si="525"/>
        <v>#NAME?</v>
      </c>
      <c r="BC55" s="26" t="e">
        <f t="shared" ca="1" si="525"/>
        <v>#NAME?</v>
      </c>
      <c r="BD55" s="26" t="e">
        <f t="shared" ca="1" si="525"/>
        <v>#NAME?</v>
      </c>
      <c r="BE55" s="26" t="e">
        <f t="shared" ca="1" si="525"/>
        <v>#NAME?</v>
      </c>
      <c r="BF55" s="26" t="e">
        <f t="shared" ca="1" si="525"/>
        <v>#NAME?</v>
      </c>
      <c r="BG55" s="26" t="e">
        <f t="shared" ca="1" si="525"/>
        <v>#NAME?</v>
      </c>
      <c r="BH55" s="26" t="e">
        <f t="shared" ca="1" si="525"/>
        <v>#NAME?</v>
      </c>
      <c r="BI55" s="26" t="e">
        <f t="shared" ca="1" si="525"/>
        <v>#NAME?</v>
      </c>
      <c r="BJ55" s="26" t="e">
        <f t="shared" ca="1" si="525"/>
        <v>#NAME?</v>
      </c>
      <c r="BK55" s="26" t="e">
        <f t="shared" ca="1" si="525"/>
        <v>#NAME?</v>
      </c>
      <c r="BL55" s="26" t="e">
        <f t="shared" ca="1" si="525"/>
        <v>#NAME?</v>
      </c>
      <c r="BM55" s="26" t="e">
        <f t="shared" ca="1" si="525"/>
        <v>#NAME?</v>
      </c>
      <c r="BN55" s="26" t="e">
        <f t="shared" ca="1" si="525"/>
        <v>#NAME?</v>
      </c>
      <c r="BO55" s="26" t="e">
        <f t="shared" ca="1" si="525"/>
        <v>#NAME?</v>
      </c>
      <c r="BP55" s="26" t="e">
        <f t="shared" ca="1" si="525"/>
        <v>#NAME?</v>
      </c>
      <c r="BQ55" s="26" t="e">
        <f t="shared" ca="1" si="525"/>
        <v>#NAME?</v>
      </c>
      <c r="BR55" s="26" t="e">
        <f t="shared" ca="1" si="525"/>
        <v>#NAME?</v>
      </c>
      <c r="BS55" s="26" t="e">
        <f t="shared" ca="1" si="525"/>
        <v>#NAME?</v>
      </c>
      <c r="BT55" s="26" t="e">
        <f t="shared" ca="1" si="525"/>
        <v>#NAME?</v>
      </c>
      <c r="BU55" s="26" t="e">
        <f t="shared" ca="1" si="525"/>
        <v>#NAME?</v>
      </c>
      <c r="BV55" s="26" t="e">
        <f t="shared" ca="1" si="525"/>
        <v>#NAME?</v>
      </c>
      <c r="BW55" s="26" t="e">
        <f t="shared" ca="1" si="525"/>
        <v>#NAME?</v>
      </c>
      <c r="BX55" s="26" t="e">
        <f t="shared" ca="1" si="525"/>
        <v>#NAME?</v>
      </c>
      <c r="BY55" s="26" t="e">
        <f t="shared" ca="1" si="525"/>
        <v>#NAME?</v>
      </c>
      <c r="BZ55" s="26" t="e">
        <f t="shared" ca="1" si="525"/>
        <v>#NAME?</v>
      </c>
      <c r="CA55" s="26" t="e">
        <f t="shared" ca="1" si="525"/>
        <v>#NAME?</v>
      </c>
      <c r="CB55" s="26" t="e">
        <f t="shared" ca="1" si="525"/>
        <v>#NAME?</v>
      </c>
      <c r="CC55" s="26" t="e">
        <f t="shared" ca="1" si="525"/>
        <v>#NAME?</v>
      </c>
      <c r="CD55" s="26" t="e">
        <f t="shared" ca="1" si="525"/>
        <v>#NAME?</v>
      </c>
      <c r="CE55" s="26" t="e">
        <f t="shared" ref="CE55:CF55" ca="1" si="526">CE52-CE53</f>
        <v>#NAME?</v>
      </c>
      <c r="CF55" s="26" t="e">
        <f t="shared" ca="1" si="526"/>
        <v>#NAME?</v>
      </c>
      <c r="CG55" s="26" t="e">
        <f t="shared" ref="CG55:CH55" ca="1" si="527">CG52-CG53</f>
        <v>#NAME?</v>
      </c>
      <c r="CH55" s="26" t="e">
        <f t="shared" ca="1" si="527"/>
        <v>#NAME?</v>
      </c>
      <c r="CI55" s="26" t="e">
        <f t="shared" ref="CI55:CJ55" ca="1" si="528">CI52-CI53</f>
        <v>#NAME?</v>
      </c>
      <c r="CJ55" s="26" t="e">
        <f t="shared" ca="1" si="528"/>
        <v>#NAME?</v>
      </c>
      <c r="CK55" s="26" t="e">
        <f t="shared" ref="CK55:CL55" ca="1" si="529">CK52-CK53</f>
        <v>#NAME?</v>
      </c>
      <c r="CL55" s="26" t="e">
        <f t="shared" ca="1" si="529"/>
        <v>#NAME?</v>
      </c>
      <c r="CM55" s="27" t="e">
        <f t="shared" ref="CM55:DB55" ca="1" si="530">CM52-CM53</f>
        <v>#NAME?</v>
      </c>
      <c r="CN55" s="27" t="e">
        <f t="shared" ca="1" si="530"/>
        <v>#NAME?</v>
      </c>
      <c r="CO55" s="27" t="e">
        <f t="shared" ca="1" si="530"/>
        <v>#NAME?</v>
      </c>
      <c r="CP55" s="27" t="e">
        <f t="shared" ca="1" si="530"/>
        <v>#NAME?</v>
      </c>
      <c r="CQ55" s="27" t="e">
        <f t="shared" ca="1" si="530"/>
        <v>#NAME?</v>
      </c>
      <c r="CR55" s="27" t="e">
        <f t="shared" ca="1" si="530"/>
        <v>#NAME?</v>
      </c>
      <c r="CS55" s="27" t="e">
        <f t="shared" ca="1" si="530"/>
        <v>#NAME?</v>
      </c>
      <c r="CT55" s="27" t="e">
        <f t="shared" ca="1" si="530"/>
        <v>#NAME?</v>
      </c>
      <c r="CU55" s="27" t="e">
        <f t="shared" ca="1" si="530"/>
        <v>#NAME?</v>
      </c>
      <c r="CV55" s="27" t="e">
        <f t="shared" ca="1" si="530"/>
        <v>#NAME?</v>
      </c>
      <c r="CW55" s="27" t="e">
        <f t="shared" ca="1" si="530"/>
        <v>#NAME?</v>
      </c>
      <c r="CX55" s="27" t="e">
        <f t="shared" ca="1" si="530"/>
        <v>#NAME?</v>
      </c>
      <c r="CY55" s="27" t="e">
        <f t="shared" ca="1" si="530"/>
        <v>#NAME?</v>
      </c>
      <c r="CZ55" s="27" t="e">
        <f t="shared" ca="1" si="530"/>
        <v>#NAME?</v>
      </c>
      <c r="DA55" s="27" t="e">
        <f t="shared" ca="1" si="530"/>
        <v>#NAME?</v>
      </c>
      <c r="DB55" s="27" t="e">
        <f t="shared" ca="1" si="530"/>
        <v>#NAME?</v>
      </c>
      <c r="DE55" s="121"/>
      <c r="DF55" s="26">
        <v>129.27400000000003</v>
      </c>
    </row>
    <row r="56" spans="1:110" s="45" customFormat="1" x14ac:dyDescent="0.2">
      <c r="A56" s="45" t="s">
        <v>107</v>
      </c>
      <c r="B56" s="45" t="e">
        <f t="shared" ref="B56:E56" ca="1" si="531">+B55/B24</f>
        <v>#NAME?</v>
      </c>
      <c r="C56" s="45" t="e">
        <f t="shared" ca="1" si="531"/>
        <v>#NAME?</v>
      </c>
      <c r="D56" s="45" t="e">
        <f t="shared" ca="1" si="531"/>
        <v>#NAME?</v>
      </c>
      <c r="E56" s="45" t="e">
        <f t="shared" ca="1" si="531"/>
        <v>#NAME?</v>
      </c>
      <c r="F56" s="45" t="e">
        <f t="shared" ref="F56:AE56" ca="1" si="532">+F55/F24</f>
        <v>#NAME?</v>
      </c>
      <c r="G56" s="45" t="e">
        <f t="shared" ca="1" si="532"/>
        <v>#NAME?</v>
      </c>
      <c r="H56" s="45" t="e">
        <f t="shared" ca="1" si="532"/>
        <v>#NAME?</v>
      </c>
      <c r="I56" s="45" t="e">
        <f t="shared" ca="1" si="532"/>
        <v>#NAME?</v>
      </c>
      <c r="J56" s="45" t="e">
        <f t="shared" ca="1" si="532"/>
        <v>#NAME?</v>
      </c>
      <c r="K56" s="45" t="e">
        <f t="shared" ca="1" si="532"/>
        <v>#NAME?</v>
      </c>
      <c r="L56" s="45" t="e">
        <f t="shared" ca="1" si="532"/>
        <v>#NAME?</v>
      </c>
      <c r="M56" s="45" t="e">
        <f t="shared" ca="1" si="532"/>
        <v>#NAME?</v>
      </c>
      <c r="N56" s="45" t="e">
        <f t="shared" ca="1" si="532"/>
        <v>#NAME?</v>
      </c>
      <c r="O56" s="45" t="e">
        <f t="shared" ca="1" si="532"/>
        <v>#NAME?</v>
      </c>
      <c r="P56" s="45" t="e">
        <f t="shared" ca="1" si="532"/>
        <v>#NAME?</v>
      </c>
      <c r="Q56" s="45" t="e">
        <f t="shared" ca="1" si="532"/>
        <v>#NAME?</v>
      </c>
      <c r="R56" s="45" t="e">
        <f t="shared" ca="1" si="532"/>
        <v>#NAME?</v>
      </c>
      <c r="S56" s="45" t="e">
        <f t="shared" ca="1" si="532"/>
        <v>#NAME?</v>
      </c>
      <c r="T56" s="45" t="e">
        <f t="shared" ca="1" si="532"/>
        <v>#NAME?</v>
      </c>
      <c r="U56" s="45" t="e">
        <f t="shared" ca="1" si="532"/>
        <v>#NAME?</v>
      </c>
      <c r="V56" s="45" t="e">
        <f t="shared" ca="1" si="532"/>
        <v>#NAME?</v>
      </c>
      <c r="W56" s="45" t="e">
        <f t="shared" ca="1" si="532"/>
        <v>#NAME?</v>
      </c>
      <c r="X56" s="45" t="e">
        <f t="shared" ca="1" si="532"/>
        <v>#NAME?</v>
      </c>
      <c r="Y56" s="45" t="e">
        <f t="shared" ca="1" si="532"/>
        <v>#NAME?</v>
      </c>
      <c r="Z56" s="45" t="e">
        <f t="shared" ref="Z56:AA56" ca="1" si="533">+Z55/Z24</f>
        <v>#NAME?</v>
      </c>
      <c r="AA56" s="45" t="e">
        <f t="shared" ca="1" si="533"/>
        <v>#NAME?</v>
      </c>
      <c r="AB56" s="48" t="e">
        <f t="shared" ca="1" si="532"/>
        <v>#NAME?</v>
      </c>
      <c r="AC56" s="48" t="e">
        <f t="shared" ca="1" si="532"/>
        <v>#NAME?</v>
      </c>
      <c r="AD56" s="48" t="e">
        <f t="shared" ca="1" si="532"/>
        <v>#NAME?</v>
      </c>
      <c r="AE56" s="48" t="e">
        <f t="shared" ca="1" si="532"/>
        <v>#NAME?</v>
      </c>
      <c r="AI56" s="45" t="e">
        <f t="shared" ref="AI56:BN56" ca="1" si="534">+AI55/AI24</f>
        <v>#NAME?</v>
      </c>
      <c r="AJ56" s="45" t="e">
        <f t="shared" ca="1" si="534"/>
        <v>#NAME?</v>
      </c>
      <c r="AK56" s="45" t="e">
        <f t="shared" ca="1" si="534"/>
        <v>#NAME?</v>
      </c>
      <c r="AL56" s="45" t="e">
        <f t="shared" ca="1" si="534"/>
        <v>#NAME?</v>
      </c>
      <c r="AM56" s="45" t="e">
        <f t="shared" ca="1" si="534"/>
        <v>#NAME?</v>
      </c>
      <c r="AN56" s="45" t="e">
        <f t="shared" ca="1" si="534"/>
        <v>#NAME?</v>
      </c>
      <c r="AO56" s="45" t="e">
        <f t="shared" ca="1" si="534"/>
        <v>#NAME?</v>
      </c>
      <c r="AP56" s="45" t="e">
        <f t="shared" ca="1" si="534"/>
        <v>#NAME?</v>
      </c>
      <c r="AQ56" s="45" t="e">
        <f t="shared" ca="1" si="534"/>
        <v>#NAME?</v>
      </c>
      <c r="AR56" s="45" t="e">
        <f t="shared" ca="1" si="534"/>
        <v>#NAME?</v>
      </c>
      <c r="AS56" s="45" t="e">
        <f t="shared" ca="1" si="534"/>
        <v>#NAME?</v>
      </c>
      <c r="AT56" s="45" t="e">
        <f t="shared" ca="1" si="534"/>
        <v>#NAME?</v>
      </c>
      <c r="AU56" s="45" t="e">
        <f t="shared" ca="1" si="534"/>
        <v>#NAME?</v>
      </c>
      <c r="AV56" s="45" t="e">
        <f t="shared" ca="1" si="534"/>
        <v>#NAME?</v>
      </c>
      <c r="AW56" s="45" t="e">
        <f t="shared" ca="1" si="534"/>
        <v>#NAME?</v>
      </c>
      <c r="AX56" s="45" t="e">
        <f t="shared" ca="1" si="534"/>
        <v>#NAME?</v>
      </c>
      <c r="AY56" s="45" t="e">
        <f t="shared" ca="1" si="534"/>
        <v>#NAME?</v>
      </c>
      <c r="AZ56" s="45" t="e">
        <f t="shared" ca="1" si="534"/>
        <v>#NAME?</v>
      </c>
      <c r="BA56" s="45" t="e">
        <f t="shared" ca="1" si="534"/>
        <v>#NAME?</v>
      </c>
      <c r="BB56" s="45" t="e">
        <f t="shared" ca="1" si="534"/>
        <v>#NAME?</v>
      </c>
      <c r="BC56" s="45" t="e">
        <f t="shared" ca="1" si="534"/>
        <v>#NAME?</v>
      </c>
      <c r="BD56" s="45" t="e">
        <f t="shared" ca="1" si="534"/>
        <v>#NAME?</v>
      </c>
      <c r="BE56" s="45" t="e">
        <f t="shared" ca="1" si="534"/>
        <v>#NAME?</v>
      </c>
      <c r="BF56" s="45" t="e">
        <f t="shared" ca="1" si="534"/>
        <v>#NAME?</v>
      </c>
      <c r="BG56" s="45" t="e">
        <f t="shared" ca="1" si="534"/>
        <v>#NAME?</v>
      </c>
      <c r="BH56" s="45" t="e">
        <f t="shared" ca="1" si="534"/>
        <v>#NAME?</v>
      </c>
      <c r="BI56" s="45" t="e">
        <f t="shared" ca="1" si="534"/>
        <v>#NAME?</v>
      </c>
      <c r="BJ56" s="45" t="e">
        <f t="shared" ca="1" si="534"/>
        <v>#NAME?</v>
      </c>
      <c r="BK56" s="45" t="e">
        <f t="shared" ca="1" si="534"/>
        <v>#NAME?</v>
      </c>
      <c r="BL56" s="45" t="e">
        <f t="shared" ca="1" si="534"/>
        <v>#NAME?</v>
      </c>
      <c r="BM56" s="45" t="e">
        <f t="shared" ca="1" si="534"/>
        <v>#NAME?</v>
      </c>
      <c r="BN56" s="45" t="e">
        <f t="shared" ca="1" si="534"/>
        <v>#NAME?</v>
      </c>
      <c r="BO56" s="45" t="e">
        <f t="shared" ref="BO56:CT56" ca="1" si="535">+BO55/BO24</f>
        <v>#NAME?</v>
      </c>
      <c r="BP56" s="45" t="e">
        <f t="shared" ca="1" si="535"/>
        <v>#NAME?</v>
      </c>
      <c r="BQ56" s="45" t="e">
        <f t="shared" ca="1" si="535"/>
        <v>#NAME?</v>
      </c>
      <c r="BR56" s="45" t="e">
        <f t="shared" ca="1" si="535"/>
        <v>#NAME?</v>
      </c>
      <c r="BS56" s="45" t="e">
        <f t="shared" ca="1" si="535"/>
        <v>#NAME?</v>
      </c>
      <c r="BT56" s="45" t="e">
        <f t="shared" ca="1" si="535"/>
        <v>#NAME?</v>
      </c>
      <c r="BU56" s="45" t="e">
        <f t="shared" ca="1" si="535"/>
        <v>#NAME?</v>
      </c>
      <c r="BV56" s="45" t="e">
        <f t="shared" ca="1" si="535"/>
        <v>#NAME?</v>
      </c>
      <c r="BW56" s="45" t="e">
        <f t="shared" ca="1" si="535"/>
        <v>#NAME?</v>
      </c>
      <c r="BX56" s="45" t="e">
        <f t="shared" ca="1" si="535"/>
        <v>#NAME?</v>
      </c>
      <c r="BY56" s="45" t="e">
        <f t="shared" ca="1" si="535"/>
        <v>#NAME?</v>
      </c>
      <c r="BZ56" s="45" t="e">
        <f t="shared" ca="1" si="535"/>
        <v>#NAME?</v>
      </c>
      <c r="CA56" s="45" t="e">
        <f t="shared" ca="1" si="535"/>
        <v>#NAME?</v>
      </c>
      <c r="CB56" s="45" t="e">
        <f t="shared" ca="1" si="535"/>
        <v>#NAME?</v>
      </c>
      <c r="CC56" s="45" t="e">
        <f t="shared" ca="1" si="535"/>
        <v>#NAME?</v>
      </c>
      <c r="CD56" s="45" t="e">
        <f t="shared" ca="1" si="535"/>
        <v>#NAME?</v>
      </c>
      <c r="CE56" s="45" t="e">
        <f t="shared" ca="1" si="535"/>
        <v>#NAME?</v>
      </c>
      <c r="CF56" s="45" t="e">
        <f t="shared" ca="1" si="535"/>
        <v>#NAME?</v>
      </c>
      <c r="CG56" s="45" t="e">
        <f t="shared" ca="1" si="535"/>
        <v>#NAME?</v>
      </c>
      <c r="CH56" s="45" t="e">
        <f t="shared" ca="1" si="535"/>
        <v>#NAME?</v>
      </c>
      <c r="CI56" s="45" t="e">
        <f t="shared" ref="CI56:CJ56" ca="1" si="536">+CI55/CI24</f>
        <v>#NAME?</v>
      </c>
      <c r="CJ56" s="45" t="e">
        <f t="shared" ca="1" si="536"/>
        <v>#NAME?</v>
      </c>
      <c r="CK56" s="45" t="e">
        <f t="shared" ref="CK56:CL56" ca="1" si="537">+CK55/CK24</f>
        <v>#NAME?</v>
      </c>
      <c r="CL56" s="45" t="e">
        <f t="shared" ca="1" si="537"/>
        <v>#NAME?</v>
      </c>
      <c r="CM56" s="48" t="e">
        <f t="shared" ca="1" si="535"/>
        <v>#NAME?</v>
      </c>
      <c r="CN56" s="48" t="e">
        <f t="shared" ca="1" si="535"/>
        <v>#NAME?</v>
      </c>
      <c r="CO56" s="48" t="e">
        <f t="shared" ca="1" si="535"/>
        <v>#NAME?</v>
      </c>
      <c r="CP56" s="48" t="e">
        <f t="shared" ca="1" si="535"/>
        <v>#NAME?</v>
      </c>
      <c r="CQ56" s="48" t="e">
        <f t="shared" ca="1" si="535"/>
        <v>#NAME?</v>
      </c>
      <c r="CR56" s="48" t="e">
        <f t="shared" ca="1" si="535"/>
        <v>#NAME?</v>
      </c>
      <c r="CS56" s="48" t="e">
        <f t="shared" ca="1" si="535"/>
        <v>#NAME?</v>
      </c>
      <c r="CT56" s="48" t="e">
        <f t="shared" ca="1" si="535"/>
        <v>#NAME?</v>
      </c>
      <c r="CU56" s="48" t="e">
        <f t="shared" ref="CU56:DB56" ca="1" si="538">+CU55/CU24</f>
        <v>#NAME?</v>
      </c>
      <c r="CV56" s="48" t="e">
        <f t="shared" ca="1" si="538"/>
        <v>#NAME?</v>
      </c>
      <c r="CW56" s="48" t="e">
        <f t="shared" ca="1" si="538"/>
        <v>#NAME?</v>
      </c>
      <c r="CX56" s="48" t="e">
        <f t="shared" ca="1" si="538"/>
        <v>#NAME?</v>
      </c>
      <c r="CY56" s="48" t="e">
        <f t="shared" ca="1" si="538"/>
        <v>#NAME?</v>
      </c>
      <c r="CZ56" s="48" t="e">
        <f t="shared" ca="1" si="538"/>
        <v>#NAME?</v>
      </c>
      <c r="DA56" s="48" t="e">
        <f t="shared" ca="1" si="538"/>
        <v>#NAME?</v>
      </c>
      <c r="DB56" s="48" t="e">
        <f t="shared" ca="1" si="538"/>
        <v>#NAME?</v>
      </c>
      <c r="DE56" s="129"/>
      <c r="DF56" s="45">
        <v>0.13868264680735115</v>
      </c>
    </row>
    <row r="57" spans="1:110" s="39" customFormat="1" x14ac:dyDescent="0.2">
      <c r="A57" s="39" t="s">
        <v>451</v>
      </c>
      <c r="C57" s="39" t="e">
        <f t="shared" ref="C57:E57" ca="1" si="539">+IF(B55&lt;0,1-C55/B55,C55/B55-1)</f>
        <v>#NAME?</v>
      </c>
      <c r="D57" s="39" t="e">
        <f t="shared" ca="1" si="539"/>
        <v>#NAME?</v>
      </c>
      <c r="E57" s="39" t="e">
        <f t="shared" ca="1" si="539"/>
        <v>#NAME?</v>
      </c>
      <c r="F57" s="39" t="e">
        <f t="shared" ref="F57:AE57" ca="1" si="540">+IF(E55&lt;0,1-F55/E55,F55/E55-1)</f>
        <v>#NAME?</v>
      </c>
      <c r="G57" s="39" t="e">
        <f t="shared" ca="1" si="540"/>
        <v>#NAME?</v>
      </c>
      <c r="H57" s="39" t="e">
        <f t="shared" ca="1" si="540"/>
        <v>#NAME?</v>
      </c>
      <c r="I57" s="39" t="e">
        <f t="shared" ca="1" si="540"/>
        <v>#NAME?</v>
      </c>
      <c r="J57" s="39" t="e">
        <f t="shared" ca="1" si="540"/>
        <v>#NAME?</v>
      </c>
      <c r="K57" s="39" t="e">
        <f t="shared" ca="1" si="540"/>
        <v>#NAME?</v>
      </c>
      <c r="L57" s="39" t="e">
        <f t="shared" ca="1" si="540"/>
        <v>#NAME?</v>
      </c>
      <c r="M57" s="39" t="e">
        <f t="shared" ca="1" si="540"/>
        <v>#NAME?</v>
      </c>
      <c r="N57" s="39" t="e">
        <f t="shared" ca="1" si="540"/>
        <v>#NAME?</v>
      </c>
      <c r="O57" s="39" t="e">
        <f t="shared" ca="1" si="540"/>
        <v>#NAME?</v>
      </c>
      <c r="P57" s="39" t="e">
        <f t="shared" ca="1" si="540"/>
        <v>#NAME?</v>
      </c>
      <c r="Q57" s="39" t="e">
        <f t="shared" ca="1" si="540"/>
        <v>#NAME?</v>
      </c>
      <c r="R57" s="39" t="e">
        <f t="shared" ca="1" si="540"/>
        <v>#NAME?</v>
      </c>
      <c r="S57" s="39" t="e">
        <f t="shared" ca="1" si="540"/>
        <v>#NAME?</v>
      </c>
      <c r="T57" s="39" t="e">
        <f t="shared" ca="1" si="540"/>
        <v>#NAME?</v>
      </c>
      <c r="U57" s="39" t="e">
        <f t="shared" ca="1" si="540"/>
        <v>#NAME?</v>
      </c>
      <c r="V57" s="39" t="e">
        <f t="shared" ca="1" si="540"/>
        <v>#NAME?</v>
      </c>
      <c r="W57" s="39" t="e">
        <f t="shared" ca="1" si="540"/>
        <v>#NAME?</v>
      </c>
      <c r="X57" s="39" t="e">
        <f t="shared" ca="1" si="540"/>
        <v>#NAME?</v>
      </c>
      <c r="Y57" s="39" t="e">
        <f t="shared" ca="1" si="540"/>
        <v>#NAME?</v>
      </c>
      <c r="Z57" s="39" t="e">
        <f t="shared" ref="Z57:AA57" ca="1" si="541">+IF(Y55&lt;0,1-Z55/Y55,Z55/Y55-1)</f>
        <v>#NAME?</v>
      </c>
      <c r="AA57" s="39" t="e">
        <f t="shared" ca="1" si="541"/>
        <v>#NAME?</v>
      </c>
      <c r="AB57" s="40" t="e">
        <f t="shared" ca="1" si="540"/>
        <v>#NAME?</v>
      </c>
      <c r="AC57" s="40" t="e">
        <f t="shared" ca="1" si="540"/>
        <v>#NAME?</v>
      </c>
      <c r="AD57" s="40" t="e">
        <f t="shared" ca="1" si="540"/>
        <v>#NAME?</v>
      </c>
      <c r="AE57" s="40" t="e">
        <f t="shared" ca="1" si="540"/>
        <v>#NAME?</v>
      </c>
      <c r="AM57" s="39" t="e">
        <f ca="1">+IF(AI55&lt;0,1-AM55/AI55,AM55/AI55-1)</f>
        <v>#NAME?</v>
      </c>
      <c r="AN57" s="39" t="e">
        <f t="shared" ref="AN57" ca="1" si="542">+IF(AJ55&lt;0,1-AN55/AJ55,AN55/AJ55-1)</f>
        <v>#NAME?</v>
      </c>
      <c r="AO57" s="39" t="e">
        <f t="shared" ref="AO57" ca="1" si="543">+IF(AK55&lt;0,1-AO55/AK55,AO55/AK55-1)</f>
        <v>#NAME?</v>
      </c>
      <c r="AP57" s="39" t="e">
        <f t="shared" ref="AP57" ca="1" si="544">+IF(AL55&lt;0,1-AP55/AL55,AP55/AL55-1)</f>
        <v>#NAME?</v>
      </c>
      <c r="AQ57" s="39" t="e">
        <f t="shared" ref="AQ57" ca="1" si="545">+IF(AM55&lt;0,1-AQ55/AM55,AQ55/AM55-1)</f>
        <v>#NAME?</v>
      </c>
      <c r="AR57" s="39" t="e">
        <f t="shared" ref="AR57" ca="1" si="546">+IF(AN55&lt;0,1-AR55/AN55,AR55/AN55-1)</f>
        <v>#NAME?</v>
      </c>
      <c r="AS57" s="39" t="e">
        <f t="shared" ref="AS57" ca="1" si="547">+IF(AO55&lt;0,1-AS55/AO55,AS55/AO55-1)</f>
        <v>#NAME?</v>
      </c>
      <c r="AT57" s="39" t="e">
        <f t="shared" ref="AT57" ca="1" si="548">+IF(AP55&lt;0,1-AT55/AP55,AT55/AP55-1)</f>
        <v>#NAME?</v>
      </c>
      <c r="AU57" s="39" t="e">
        <f t="shared" ref="AU57" ca="1" si="549">+IF(AQ55&lt;0,1-AU55/AQ55,AU55/AQ55-1)</f>
        <v>#NAME?</v>
      </c>
      <c r="AV57" s="39" t="e">
        <f t="shared" ref="AV57" ca="1" si="550">+IF(AR55&lt;0,1-AV55/AR55,AV55/AR55-1)</f>
        <v>#NAME?</v>
      </c>
      <c r="AW57" s="39" t="e">
        <f t="shared" ref="AW57" ca="1" si="551">+IF(AS55&lt;0,1-AW55/AS55,AW55/AS55-1)</f>
        <v>#NAME?</v>
      </c>
      <c r="AX57" s="39" t="e">
        <f t="shared" ref="AX57" ca="1" si="552">+IF(AT55&lt;0,1-AX55/AT55,AX55/AT55-1)</f>
        <v>#NAME?</v>
      </c>
      <c r="AY57" s="39" t="e">
        <f t="shared" ref="AY57" ca="1" si="553">+IF(AU55&lt;0,1-AY55/AU55,AY55/AU55-1)</f>
        <v>#NAME?</v>
      </c>
      <c r="AZ57" s="39" t="e">
        <f t="shared" ref="AZ57" ca="1" si="554">+IF(AV55&lt;0,1-AZ55/AV55,AZ55/AV55-1)</f>
        <v>#NAME?</v>
      </c>
      <c r="BA57" s="39" t="e">
        <f t="shared" ref="BA57" ca="1" si="555">+IF(AW55&lt;0,1-BA55/AW55,BA55/AW55-1)</f>
        <v>#NAME?</v>
      </c>
      <c r="BB57" s="39" t="e">
        <f t="shared" ref="BB57" ca="1" si="556">+IF(AX55&lt;0,1-BB55/AX55,BB55/AX55-1)</f>
        <v>#NAME?</v>
      </c>
      <c r="BC57" s="39" t="e">
        <f t="shared" ref="BC57" ca="1" si="557">+IF(AY55&lt;0,1-BC55/AY55,BC55/AY55-1)</f>
        <v>#NAME?</v>
      </c>
      <c r="BD57" s="39" t="e">
        <f t="shared" ref="BD57" ca="1" si="558">+IF(AZ55&lt;0,1-BD55/AZ55,BD55/AZ55-1)</f>
        <v>#NAME?</v>
      </c>
      <c r="BE57" s="39" t="e">
        <f t="shared" ref="BE57" ca="1" si="559">+IF(BA55&lt;0,1-BE55/BA55,BE55/BA55-1)</f>
        <v>#NAME?</v>
      </c>
      <c r="BF57" s="39" t="e">
        <f t="shared" ref="BF57" ca="1" si="560">+IF(BB55&lt;0,1-BF55/BB55,BF55/BB55-1)</f>
        <v>#NAME?</v>
      </c>
      <c r="BG57" s="39" t="e">
        <f t="shared" ref="BG57" ca="1" si="561">+IF(BC55&lt;0,1-BG55/BC55,BG55/BC55-1)</f>
        <v>#NAME?</v>
      </c>
      <c r="BH57" s="39" t="e">
        <f t="shared" ref="BH57" ca="1" si="562">+IF(BD55&lt;0,1-BH55/BD55,BH55/BD55-1)</f>
        <v>#NAME?</v>
      </c>
      <c r="BI57" s="39" t="e">
        <f t="shared" ref="BI57" ca="1" si="563">+IF(BE55&lt;0,1-BI55/BE55,BI55/BE55-1)</f>
        <v>#NAME?</v>
      </c>
      <c r="BJ57" s="39" t="e">
        <f t="shared" ref="BJ57" ca="1" si="564">+IF(BF55&lt;0,1-BJ55/BF55,BJ55/BF55-1)</f>
        <v>#NAME?</v>
      </c>
      <c r="BK57" s="39" t="e">
        <f t="shared" ref="BK57" ca="1" si="565">+IF(BG55&lt;0,1-BK55/BG55,BK55/BG55-1)</f>
        <v>#NAME?</v>
      </c>
      <c r="BL57" s="39" t="e">
        <f t="shared" ref="BL57" ca="1" si="566">+IF(BH55&lt;0,1-BL55/BH55,BL55/BH55-1)</f>
        <v>#NAME?</v>
      </c>
      <c r="BM57" s="39" t="e">
        <f t="shared" ref="BM57" ca="1" si="567">+IF(BI55&lt;0,1-BM55/BI55,BM55/BI55-1)</f>
        <v>#NAME?</v>
      </c>
      <c r="BN57" s="39" t="e">
        <f t="shared" ref="BN57" ca="1" si="568">+IF(BJ55&lt;0,1-BN55/BJ55,BN55/BJ55-1)</f>
        <v>#NAME?</v>
      </c>
      <c r="BO57" s="39" t="e">
        <f t="shared" ref="BO57" ca="1" si="569">+IF(BK55&lt;0,1-BO55/BK55,BO55/BK55-1)</f>
        <v>#NAME?</v>
      </c>
      <c r="BP57" s="39" t="e">
        <f t="shared" ref="BP57" ca="1" si="570">+IF(BL55&lt;0,1-BP55/BL55,BP55/BL55-1)</f>
        <v>#NAME?</v>
      </c>
      <c r="BQ57" s="39" t="e">
        <f t="shared" ref="BQ57" ca="1" si="571">+IF(BM55&lt;0,1-BQ55/BM55,BQ55/BM55-1)</f>
        <v>#NAME?</v>
      </c>
      <c r="BR57" s="39" t="e">
        <f t="shared" ref="BR57" ca="1" si="572">+IF(BN55&lt;0,1-BR55/BN55,BR55/BN55-1)</f>
        <v>#NAME?</v>
      </c>
      <c r="BS57" s="39" t="e">
        <f t="shared" ref="BS57" ca="1" si="573">+IF(BO55&lt;0,1-BS55/BO55,BS55/BO55-1)</f>
        <v>#NAME?</v>
      </c>
      <c r="BT57" s="39" t="e">
        <f t="shared" ref="BT57" ca="1" si="574">+IF(BP55&lt;0,1-BT55/BP55,BT55/BP55-1)</f>
        <v>#NAME?</v>
      </c>
      <c r="BU57" s="39" t="e">
        <f t="shared" ref="BU57" ca="1" si="575">+IF(BQ55&lt;0,1-BU55/BQ55,BU55/BQ55-1)</f>
        <v>#NAME?</v>
      </c>
      <c r="BV57" s="39" t="e">
        <f t="shared" ref="BV57" ca="1" si="576">+IF(BR55&lt;0,1-BV55/BR55,BV55/BR55-1)</f>
        <v>#NAME?</v>
      </c>
      <c r="BW57" s="39" t="e">
        <f t="shared" ref="BW57" ca="1" si="577">+IF(BS55&lt;0,1-BW55/BS55,BW55/BS55-1)</f>
        <v>#NAME?</v>
      </c>
      <c r="BX57" s="39" t="e">
        <f t="shared" ref="BX57" ca="1" si="578">+IF(BT55&lt;0,1-BX55/BT55,BX55/BT55-1)</f>
        <v>#NAME?</v>
      </c>
      <c r="BY57" s="39" t="e">
        <f t="shared" ref="BY57" ca="1" si="579">+IF(BU55&lt;0,1-BY55/BU55,BY55/BU55-1)</f>
        <v>#NAME?</v>
      </c>
      <c r="BZ57" s="39" t="e">
        <f t="shared" ref="BZ57" ca="1" si="580">+IF(BV55&lt;0,1-BZ55/BV55,BZ55/BV55-1)</f>
        <v>#NAME?</v>
      </c>
      <c r="CA57" s="39" t="e">
        <f t="shared" ref="CA57" ca="1" si="581">+IF(BW55&lt;0,1-CA55/BW55,CA55/BW55-1)</f>
        <v>#NAME?</v>
      </c>
      <c r="CB57" s="39" t="e">
        <f t="shared" ref="CB57" ca="1" si="582">+IF(BX55&lt;0,1-CB55/BX55,CB55/BX55-1)</f>
        <v>#NAME?</v>
      </c>
      <c r="CC57" s="39" t="e">
        <f t="shared" ref="CC57" ca="1" si="583">+IF(BY55&lt;0,1-CC55/BY55,CC55/BY55-1)</f>
        <v>#NAME?</v>
      </c>
      <c r="CD57" s="39" t="e">
        <f t="shared" ref="CD57" ca="1" si="584">+IF(BZ55&lt;0,1-CD55/BZ55,CD55/BZ55-1)</f>
        <v>#NAME?</v>
      </c>
      <c r="CE57" s="39" t="e">
        <f t="shared" ref="CE57" ca="1" si="585">+IF(CA55&lt;0,1-CE55/CA55,CE55/CA55-1)</f>
        <v>#NAME?</v>
      </c>
      <c r="CF57" s="39" t="e">
        <f t="shared" ref="CF57" ca="1" si="586">+IF(CB55&lt;0,1-CF55/CB55,CF55/CB55-1)</f>
        <v>#NAME?</v>
      </c>
      <c r="CG57" s="39" t="e">
        <f t="shared" ref="CG57" ca="1" si="587">+IF(CC55&lt;0,1-CG55/CC55,CG55/CC55-1)</f>
        <v>#NAME?</v>
      </c>
      <c r="CH57" s="39" t="e">
        <f t="shared" ref="CH57:CL57" ca="1" si="588">+IF(CD55&lt;0,1-CH55/CD55,CH55/CD55-1)</f>
        <v>#NAME?</v>
      </c>
      <c r="CI57" s="39" t="e">
        <f t="shared" ca="1" si="588"/>
        <v>#NAME?</v>
      </c>
      <c r="CJ57" s="39" t="e">
        <f t="shared" ca="1" si="588"/>
        <v>#NAME?</v>
      </c>
      <c r="CK57" s="39" t="e">
        <f t="shared" ca="1" si="588"/>
        <v>#NAME?</v>
      </c>
      <c r="CL57" s="39" t="e">
        <f t="shared" ca="1" si="588"/>
        <v>#NAME?</v>
      </c>
      <c r="CM57" s="40" t="e">
        <f t="shared" ref="CM57" ca="1" si="589">+CM55/CI55-1</f>
        <v>#NAME?</v>
      </c>
      <c r="CN57" s="40" t="e">
        <f t="shared" ref="CN57" ca="1" si="590">+CN55/CJ55-1</f>
        <v>#NAME?</v>
      </c>
      <c r="CO57" s="40" t="e">
        <f t="shared" ref="CO57" ca="1" si="591">+CO55/CK55-1</f>
        <v>#NAME?</v>
      </c>
      <c r="CP57" s="40" t="e">
        <f t="shared" ref="CP57" ca="1" si="592">+CP55/CL55-1</f>
        <v>#NAME?</v>
      </c>
      <c r="CQ57" s="40" t="e">
        <f t="shared" ref="CQ57" ca="1" si="593">+CQ55/CM55-1</f>
        <v>#NAME?</v>
      </c>
      <c r="CR57" s="40" t="e">
        <f t="shared" ref="CR57" ca="1" si="594">+CR55/CN55-1</f>
        <v>#NAME?</v>
      </c>
      <c r="CS57" s="40" t="e">
        <f t="shared" ref="CS57" ca="1" si="595">+CS55/CO55-1</f>
        <v>#NAME?</v>
      </c>
      <c r="CT57" s="40" t="e">
        <f t="shared" ref="CT57" ca="1" si="596">+CT55/CP55-1</f>
        <v>#NAME?</v>
      </c>
      <c r="CU57" s="40" t="e">
        <f t="shared" ref="CU57" ca="1" si="597">+CU55/CQ55-1</f>
        <v>#NAME?</v>
      </c>
      <c r="CV57" s="40" t="e">
        <f t="shared" ref="CV57" ca="1" si="598">+CV55/CR55-1</f>
        <v>#NAME?</v>
      </c>
      <c r="CW57" s="40" t="e">
        <f t="shared" ref="CW57" ca="1" si="599">+CW55/CS55-1</f>
        <v>#NAME?</v>
      </c>
      <c r="CX57" s="40" t="e">
        <f t="shared" ref="CX57" ca="1" si="600">+CX55/CT55-1</f>
        <v>#NAME?</v>
      </c>
      <c r="CY57" s="40" t="e">
        <f t="shared" ref="CY57" ca="1" si="601">+CY55/CU55-1</f>
        <v>#NAME?</v>
      </c>
      <c r="CZ57" s="40" t="e">
        <f t="shared" ref="CZ57" ca="1" si="602">+CZ55/CV55-1</f>
        <v>#NAME?</v>
      </c>
      <c r="DA57" s="40" t="e">
        <f t="shared" ref="DA57" ca="1" si="603">+DA55/CW55-1</f>
        <v>#NAME?</v>
      </c>
      <c r="DB57" s="40" t="e">
        <f t="shared" ref="DB57" ca="1" si="604">+DB55/CX55-1</f>
        <v>#NAME?</v>
      </c>
      <c r="DE57" s="122"/>
      <c r="DF57" s="39">
        <v>0.24774626952107126</v>
      </c>
    </row>
    <row r="58" spans="1:110" s="39" customFormat="1" x14ac:dyDescent="0.2">
      <c r="A58" s="39" t="s">
        <v>452</v>
      </c>
      <c r="AB58" s="40"/>
      <c r="AC58" s="40"/>
      <c r="AD58" s="40"/>
      <c r="AE58" s="40"/>
      <c r="AJ58" s="39" t="e">
        <f ca="1">+IF(AI55&lt;0,1-AJ55/AI55,AJ55/AI55-1)</f>
        <v>#NAME?</v>
      </c>
      <c r="AK58" s="39" t="e">
        <f t="shared" ref="AK58:AM58" ca="1" si="605">+IF(AJ55&lt;0,1-AK55/AJ55,AK55/AJ55-1)</f>
        <v>#NAME?</v>
      </c>
      <c r="AL58" s="39" t="e">
        <f t="shared" ca="1" si="605"/>
        <v>#NAME?</v>
      </c>
      <c r="AM58" s="39" t="e">
        <f t="shared" ca="1" si="605"/>
        <v>#NAME?</v>
      </c>
      <c r="AN58" s="39" t="e">
        <f t="shared" ref="AN58" ca="1" si="606">+IF(AM55&lt;0,1-AN55/AM55,AN55/AM55-1)</f>
        <v>#NAME?</v>
      </c>
      <c r="AO58" s="39" t="e">
        <f t="shared" ref="AO58" ca="1" si="607">+IF(AN55&lt;0,1-AO55/AN55,AO55/AN55-1)</f>
        <v>#NAME?</v>
      </c>
      <c r="AP58" s="39" t="e">
        <f t="shared" ref="AP58" ca="1" si="608">+IF(AO55&lt;0,1-AP55/AO55,AP55/AO55-1)</f>
        <v>#NAME?</v>
      </c>
      <c r="AQ58" s="39" t="e">
        <f t="shared" ref="AQ58" ca="1" si="609">+IF(AP55&lt;0,1-AQ55/AP55,AQ55/AP55-1)</f>
        <v>#NAME?</v>
      </c>
      <c r="AR58" s="39" t="e">
        <f t="shared" ref="AR58" ca="1" si="610">+IF(AQ55&lt;0,1-AR55/AQ55,AR55/AQ55-1)</f>
        <v>#NAME?</v>
      </c>
      <c r="AS58" s="39" t="e">
        <f t="shared" ref="AS58" ca="1" si="611">+IF(AR55&lt;0,1-AS55/AR55,AS55/AR55-1)</f>
        <v>#NAME?</v>
      </c>
      <c r="AT58" s="39" t="e">
        <f t="shared" ref="AT58" ca="1" si="612">+IF(AS55&lt;0,1-AT55/AS55,AT55/AS55-1)</f>
        <v>#NAME?</v>
      </c>
      <c r="AU58" s="39" t="e">
        <f t="shared" ref="AU58" ca="1" si="613">+IF(AT55&lt;0,1-AU55/AT55,AU55/AT55-1)</f>
        <v>#NAME?</v>
      </c>
      <c r="AV58" s="39" t="e">
        <f t="shared" ref="AV58" ca="1" si="614">+IF(AU55&lt;0,1-AV55/AU55,AV55/AU55-1)</f>
        <v>#NAME?</v>
      </c>
      <c r="AW58" s="39" t="e">
        <f t="shared" ref="AW58" ca="1" si="615">+IF(AV55&lt;0,1-AW55/AV55,AW55/AV55-1)</f>
        <v>#NAME?</v>
      </c>
      <c r="AX58" s="39" t="e">
        <f t="shared" ref="AX58" ca="1" si="616">+IF(AW55&lt;0,1-AX55/AW55,AX55/AW55-1)</f>
        <v>#NAME?</v>
      </c>
      <c r="AY58" s="39" t="e">
        <f t="shared" ref="AY58" ca="1" si="617">+IF(AX55&lt;0,1-AY55/AX55,AY55/AX55-1)</f>
        <v>#NAME?</v>
      </c>
      <c r="AZ58" s="39" t="e">
        <f t="shared" ref="AZ58" ca="1" si="618">+IF(AY55&lt;0,1-AZ55/AY55,AZ55/AY55-1)</f>
        <v>#NAME?</v>
      </c>
      <c r="BA58" s="39" t="e">
        <f t="shared" ref="BA58" ca="1" si="619">+IF(AZ55&lt;0,1-BA55/AZ55,BA55/AZ55-1)</f>
        <v>#NAME?</v>
      </c>
      <c r="BB58" s="39" t="e">
        <f t="shared" ref="BB58" ca="1" si="620">+IF(BA55&lt;0,1-BB55/BA55,BB55/BA55-1)</f>
        <v>#NAME?</v>
      </c>
      <c r="BC58" s="39" t="e">
        <f t="shared" ref="BC58" ca="1" si="621">+IF(BB55&lt;0,1-BC55/BB55,BC55/BB55-1)</f>
        <v>#NAME?</v>
      </c>
      <c r="BD58" s="39" t="e">
        <f t="shared" ref="BD58" ca="1" si="622">+IF(BC55&lt;0,1-BD55/BC55,BD55/BC55-1)</f>
        <v>#NAME?</v>
      </c>
      <c r="BE58" s="39" t="e">
        <f t="shared" ref="BE58" ca="1" si="623">+IF(BD55&lt;0,1-BE55/BD55,BE55/BD55-1)</f>
        <v>#NAME?</v>
      </c>
      <c r="BF58" s="39" t="e">
        <f t="shared" ref="BF58" ca="1" si="624">+IF(BE55&lt;0,1-BF55/BE55,BF55/BE55-1)</f>
        <v>#NAME?</v>
      </c>
      <c r="BG58" s="39" t="e">
        <f t="shared" ref="BG58" ca="1" si="625">+IF(BF55&lt;0,1-BG55/BF55,BG55/BF55-1)</f>
        <v>#NAME?</v>
      </c>
      <c r="BH58" s="39" t="e">
        <f t="shared" ref="BH58" ca="1" si="626">+IF(BG55&lt;0,1-BH55/BG55,BH55/BG55-1)</f>
        <v>#NAME?</v>
      </c>
      <c r="BI58" s="39" t="e">
        <f t="shared" ref="BI58" ca="1" si="627">+IF(BH55&lt;0,1-BI55/BH55,BI55/BH55-1)</f>
        <v>#NAME?</v>
      </c>
      <c r="BJ58" s="39" t="e">
        <f t="shared" ref="BJ58" ca="1" si="628">+IF(BI55&lt;0,1-BJ55/BI55,BJ55/BI55-1)</f>
        <v>#NAME?</v>
      </c>
      <c r="BK58" s="39" t="e">
        <f t="shared" ref="BK58" ca="1" si="629">+IF(BJ55&lt;0,1-BK55/BJ55,BK55/BJ55-1)</f>
        <v>#NAME?</v>
      </c>
      <c r="BL58" s="39" t="e">
        <f t="shared" ref="BL58" ca="1" si="630">+IF(BK55&lt;0,1-BL55/BK55,BL55/BK55-1)</f>
        <v>#NAME?</v>
      </c>
      <c r="BM58" s="39" t="e">
        <f t="shared" ref="BM58" ca="1" si="631">+IF(BL55&lt;0,1-BM55/BL55,BM55/BL55-1)</f>
        <v>#NAME?</v>
      </c>
      <c r="BN58" s="39" t="e">
        <f t="shared" ref="BN58" ca="1" si="632">+IF(BM55&lt;0,1-BN55/BM55,BN55/BM55-1)</f>
        <v>#NAME?</v>
      </c>
      <c r="BO58" s="39" t="e">
        <f t="shared" ref="BO58" ca="1" si="633">+IF(BN55&lt;0,1-BO55/BN55,BO55/BN55-1)</f>
        <v>#NAME?</v>
      </c>
      <c r="BP58" s="39" t="e">
        <f t="shared" ref="BP58" ca="1" si="634">+IF(BO55&lt;0,1-BP55/BO55,BP55/BO55-1)</f>
        <v>#NAME?</v>
      </c>
      <c r="BQ58" s="39" t="e">
        <f t="shared" ref="BQ58" ca="1" si="635">+IF(BP55&lt;0,1-BQ55/BP55,BQ55/BP55-1)</f>
        <v>#NAME?</v>
      </c>
      <c r="BR58" s="39" t="e">
        <f t="shared" ref="BR58" ca="1" si="636">+IF(BQ55&lt;0,1-BR55/BQ55,BR55/BQ55-1)</f>
        <v>#NAME?</v>
      </c>
      <c r="BS58" s="39" t="e">
        <f t="shared" ref="BS58" ca="1" si="637">+IF(BR55&lt;0,1-BS55/BR55,BS55/BR55-1)</f>
        <v>#NAME?</v>
      </c>
      <c r="BT58" s="39" t="e">
        <f t="shared" ref="BT58" ca="1" si="638">+IF(BS55&lt;0,1-BT55/BS55,BT55/BS55-1)</f>
        <v>#NAME?</v>
      </c>
      <c r="BU58" s="39" t="e">
        <f t="shared" ref="BU58" ca="1" si="639">+IF(BT55&lt;0,1-BU55/BT55,BU55/BT55-1)</f>
        <v>#NAME?</v>
      </c>
      <c r="BV58" s="39" t="e">
        <f t="shared" ref="BV58" ca="1" si="640">+IF(BU55&lt;0,1-BV55/BU55,BV55/BU55-1)</f>
        <v>#NAME?</v>
      </c>
      <c r="BW58" s="39" t="e">
        <f t="shared" ref="BW58" ca="1" si="641">+IF(BV55&lt;0,1-BW55/BV55,BW55/BV55-1)</f>
        <v>#NAME?</v>
      </c>
      <c r="BX58" s="39" t="e">
        <f t="shared" ref="BX58" ca="1" si="642">+IF(BW55&lt;0,1-BX55/BW55,BX55/BW55-1)</f>
        <v>#NAME?</v>
      </c>
      <c r="BY58" s="39" t="e">
        <f t="shared" ref="BY58" ca="1" si="643">+IF(BX55&lt;0,1-BY55/BX55,BY55/BX55-1)</f>
        <v>#NAME?</v>
      </c>
      <c r="BZ58" s="39" t="e">
        <f t="shared" ref="BZ58" ca="1" si="644">+IF(BY55&lt;0,1-BZ55/BY55,BZ55/BY55-1)</f>
        <v>#NAME?</v>
      </c>
      <c r="CA58" s="39" t="e">
        <f t="shared" ref="CA58" ca="1" si="645">+IF(BZ55&lt;0,1-CA55/BZ55,CA55/BZ55-1)</f>
        <v>#NAME?</v>
      </c>
      <c r="CB58" s="39" t="e">
        <f t="shared" ref="CB58" ca="1" si="646">+IF(CA55&lt;0,1-CB55/CA55,CB55/CA55-1)</f>
        <v>#NAME?</v>
      </c>
      <c r="CC58" s="39" t="e">
        <f t="shared" ref="CC58" ca="1" si="647">+IF(CB55&lt;0,1-CC55/CB55,CC55/CB55-1)</f>
        <v>#NAME?</v>
      </c>
      <c r="CD58" s="39" t="e">
        <f t="shared" ref="CD58" ca="1" si="648">+IF(CC55&lt;0,1-CD55/CC55,CD55/CC55-1)</f>
        <v>#NAME?</v>
      </c>
      <c r="CE58" s="39" t="e">
        <f t="shared" ref="CE58" ca="1" si="649">+IF(CD55&lt;0,1-CE55/CD55,CE55/CD55-1)</f>
        <v>#NAME?</v>
      </c>
      <c r="CF58" s="39" t="e">
        <f t="shared" ref="CF58" ca="1" si="650">+IF(CE55&lt;0,1-CF55/CE55,CF55/CE55-1)</f>
        <v>#NAME?</v>
      </c>
      <c r="CG58" s="39" t="e">
        <f t="shared" ref="CG58" ca="1" si="651">+IF(CF55&lt;0,1-CG55/CF55,CG55/CF55-1)</f>
        <v>#NAME?</v>
      </c>
      <c r="CH58" s="39" t="e">
        <f t="shared" ref="CH58:CL58" ca="1" si="652">+IF(CG55&lt;0,1-CH55/CG55,CH55/CG55-1)</f>
        <v>#NAME?</v>
      </c>
      <c r="CI58" s="39" t="e">
        <f t="shared" ca="1" si="652"/>
        <v>#NAME?</v>
      </c>
      <c r="CJ58" s="39" t="e">
        <f t="shared" ca="1" si="652"/>
        <v>#NAME?</v>
      </c>
      <c r="CK58" s="39" t="e">
        <f t="shared" ca="1" si="652"/>
        <v>#NAME?</v>
      </c>
      <c r="CL58" s="39" t="e">
        <f t="shared" ca="1" si="652"/>
        <v>#NAME?</v>
      </c>
      <c r="CM58" s="40" t="e">
        <f t="shared" ref="CM58" ca="1" si="653">+CM55/CL55-1</f>
        <v>#NAME?</v>
      </c>
      <c r="CN58" s="40" t="e">
        <f t="shared" ref="CN58" ca="1" si="654">+CN55/CM55-1</f>
        <v>#NAME?</v>
      </c>
      <c r="CO58" s="40" t="e">
        <f t="shared" ref="CO58" ca="1" si="655">+CO55/CN55-1</f>
        <v>#NAME?</v>
      </c>
      <c r="CP58" s="40" t="e">
        <f t="shared" ref="CP58" ca="1" si="656">+CP55/CO55-1</f>
        <v>#NAME?</v>
      </c>
      <c r="CQ58" s="40" t="e">
        <f t="shared" ref="CQ58" ca="1" si="657">+CQ55/CP55-1</f>
        <v>#NAME?</v>
      </c>
      <c r="CR58" s="40" t="e">
        <f t="shared" ref="CR58" ca="1" si="658">+CR55/CQ55-1</f>
        <v>#NAME?</v>
      </c>
      <c r="CS58" s="40" t="e">
        <f t="shared" ref="CS58" ca="1" si="659">+CS55/CR55-1</f>
        <v>#NAME?</v>
      </c>
      <c r="CT58" s="40" t="e">
        <f t="shared" ref="CT58" ca="1" si="660">+CT55/CS55-1</f>
        <v>#NAME?</v>
      </c>
      <c r="CU58" s="40" t="e">
        <f t="shared" ref="CU58" ca="1" si="661">+CU55/CT55-1</f>
        <v>#NAME?</v>
      </c>
      <c r="CV58" s="40" t="e">
        <f t="shared" ref="CV58" ca="1" si="662">+CV55/CU55-1</f>
        <v>#NAME?</v>
      </c>
      <c r="CW58" s="40" t="e">
        <f t="shared" ref="CW58" ca="1" si="663">+CW55/CV55-1</f>
        <v>#NAME?</v>
      </c>
      <c r="CX58" s="40" t="e">
        <f t="shared" ref="CX58" ca="1" si="664">+CX55/CW55-1</f>
        <v>#NAME?</v>
      </c>
      <c r="CY58" s="40" t="e">
        <f t="shared" ref="CY58" ca="1" si="665">+CY55/CX55-1</f>
        <v>#NAME?</v>
      </c>
      <c r="CZ58" s="40" t="e">
        <f t="shared" ref="CZ58" ca="1" si="666">+CZ55/CY55-1</f>
        <v>#NAME?</v>
      </c>
      <c r="DA58" s="40" t="e">
        <f t="shared" ref="DA58" ca="1" si="667">+DA55/CZ55-1</f>
        <v>#NAME?</v>
      </c>
      <c r="DB58" s="40" t="e">
        <f t="shared" ref="DB58" ca="1" si="668">+DB55/DA55-1</f>
        <v>#NAME?</v>
      </c>
      <c r="DE58" s="122"/>
    </row>
    <row r="59" spans="1:110" s="75" customFormat="1" x14ac:dyDescent="0.2">
      <c r="A59" s="23" t="s">
        <v>23</v>
      </c>
      <c r="B59" s="75" t="e">
        <f ca="1">'Annual Raw'!C32</f>
        <v>#NAME?</v>
      </c>
      <c r="C59" s="75" t="e">
        <f ca="1">'Annual Raw'!D32</f>
        <v>#NAME?</v>
      </c>
      <c r="D59" s="75" t="e">
        <f ca="1">'Annual Raw'!E32</f>
        <v>#NAME?</v>
      </c>
      <c r="E59" s="75" t="e">
        <f ca="1">'Annual Raw'!F32</f>
        <v>#NAME?</v>
      </c>
      <c r="F59" s="75" t="e">
        <f ca="1">'Annual Raw'!G32</f>
        <v>#NAME?</v>
      </c>
      <c r="G59" s="75" t="e">
        <f ca="1">'Annual Raw'!H32</f>
        <v>#NAME?</v>
      </c>
      <c r="H59" s="75" t="e">
        <f ca="1">'Annual Raw'!I32</f>
        <v>#NAME?</v>
      </c>
      <c r="I59" s="75" t="e">
        <f ca="1">'Annual Raw'!J32</f>
        <v>#NAME?</v>
      </c>
      <c r="J59" s="75" t="e">
        <f ca="1">'Annual Raw'!K32</f>
        <v>#NAME?</v>
      </c>
      <c r="K59" s="75" t="e">
        <f ca="1">'Annual Raw'!L32</f>
        <v>#NAME?</v>
      </c>
      <c r="L59" s="75" t="e">
        <f ca="1">'Annual Raw'!M32</f>
        <v>#NAME?</v>
      </c>
      <c r="M59" s="75" t="e">
        <f ca="1">'Annual Raw'!N32</f>
        <v>#NAME?</v>
      </c>
      <c r="N59" s="75" t="e">
        <f ca="1">'Annual Raw'!O32</f>
        <v>#NAME?</v>
      </c>
      <c r="O59" s="75" t="e">
        <f ca="1">'Annual Raw'!P32</f>
        <v>#NAME?</v>
      </c>
      <c r="P59" s="75" t="e">
        <f ca="1">'Annual Raw'!Q32</f>
        <v>#NAME?</v>
      </c>
      <c r="Q59" s="75" t="e">
        <f ca="1">'Annual Raw'!R32</f>
        <v>#NAME?</v>
      </c>
      <c r="R59" s="75" t="e">
        <f ca="1">'Annual Raw'!S32</f>
        <v>#NAME?</v>
      </c>
      <c r="S59" s="75" t="e">
        <f ca="1">'Annual Raw'!T32</f>
        <v>#NAME?</v>
      </c>
      <c r="T59" s="75" t="e">
        <f ca="1">'Annual Raw'!U32</f>
        <v>#NAME?</v>
      </c>
      <c r="U59" s="75" t="e">
        <f ca="1">'Annual Raw'!V32</f>
        <v>#NAME?</v>
      </c>
      <c r="V59" s="75" t="e">
        <f ca="1">'Annual Raw'!W32</f>
        <v>#NAME?</v>
      </c>
      <c r="W59" s="75" t="e">
        <f ca="1">'Annual Raw'!X32</f>
        <v>#NAME?</v>
      </c>
      <c r="X59" s="75" t="e">
        <f ca="1">'Annual Raw'!Y32</f>
        <v>#NAME?</v>
      </c>
      <c r="Y59" s="75" t="e">
        <f ca="1">'Annual Raw'!Z32</f>
        <v>#NAME?</v>
      </c>
      <c r="Z59" s="75" t="e">
        <f ca="1">'Annual Raw'!AA32</f>
        <v>#NAME?</v>
      </c>
      <c r="AA59" s="75" t="e">
        <f ca="1">'Annual Raw'!AB32</f>
        <v>#NAME?</v>
      </c>
      <c r="AB59" s="76" t="e">
        <f t="shared" ref="AB59:AB60" ca="1" si="669">+SUM(CM59:CP59)</f>
        <v>#NAME?</v>
      </c>
      <c r="AC59" s="76" t="e">
        <f t="shared" ref="AC59:AC60" ca="1" si="670">+SUM(CQ59:CT59)</f>
        <v>#NAME?</v>
      </c>
      <c r="AD59" s="76" t="e">
        <f t="shared" ref="AD59:AD60" ca="1" si="671">+SUM(CU59:CX59)</f>
        <v>#NAME?</v>
      </c>
      <c r="AE59" s="76" t="e">
        <f t="shared" ref="AE59:AE60" ca="1" si="672">+SUM(CY59:DB59)</f>
        <v>#NAME?</v>
      </c>
      <c r="AI59" s="75" t="e">
        <f ca="1">'QTR Raw'!C34</f>
        <v>#NAME?</v>
      </c>
      <c r="AJ59" s="75" t="e">
        <f ca="1">'QTR Raw'!D34</f>
        <v>#NAME?</v>
      </c>
      <c r="AK59" s="75" t="e">
        <f ca="1">'QTR Raw'!E34</f>
        <v>#NAME?</v>
      </c>
      <c r="AL59" s="75" t="e">
        <f ca="1">'QTR Raw'!F34</f>
        <v>#NAME?</v>
      </c>
      <c r="AM59" s="75" t="e">
        <f ca="1">'QTR Raw'!G34</f>
        <v>#NAME?</v>
      </c>
      <c r="AN59" s="75" t="e">
        <f ca="1">'QTR Raw'!H34</f>
        <v>#NAME?</v>
      </c>
      <c r="AO59" s="75" t="e">
        <f ca="1">'QTR Raw'!I34</f>
        <v>#NAME?</v>
      </c>
      <c r="AP59" s="75" t="e">
        <f ca="1">'QTR Raw'!J34</f>
        <v>#NAME?</v>
      </c>
      <c r="AQ59" s="75" t="e">
        <f ca="1">'QTR Raw'!K34</f>
        <v>#NAME?</v>
      </c>
      <c r="AR59" s="75" t="e">
        <f ca="1">'QTR Raw'!L34</f>
        <v>#NAME?</v>
      </c>
      <c r="AS59" s="75" t="e">
        <f ca="1">'QTR Raw'!M34</f>
        <v>#NAME?</v>
      </c>
      <c r="AT59" s="75" t="e">
        <f ca="1">'QTR Raw'!N34</f>
        <v>#NAME?</v>
      </c>
      <c r="AU59" s="75" t="e">
        <f ca="1">'QTR Raw'!O34</f>
        <v>#NAME?</v>
      </c>
      <c r="AV59" s="75" t="e">
        <f ca="1">'QTR Raw'!P34</f>
        <v>#NAME?</v>
      </c>
      <c r="AW59" s="75" t="e">
        <f ca="1">'QTR Raw'!Q34</f>
        <v>#NAME?</v>
      </c>
      <c r="AX59" s="75" t="e">
        <f ca="1">'QTR Raw'!R34</f>
        <v>#NAME?</v>
      </c>
      <c r="AY59" s="75" t="e">
        <f ca="1">'QTR Raw'!S34</f>
        <v>#NAME?</v>
      </c>
      <c r="AZ59" s="75" t="e">
        <f ca="1">'QTR Raw'!T34</f>
        <v>#NAME?</v>
      </c>
      <c r="BA59" s="75" t="e">
        <f ca="1">'QTR Raw'!U34</f>
        <v>#NAME?</v>
      </c>
      <c r="BB59" s="75" t="e">
        <f ca="1">'QTR Raw'!V34</f>
        <v>#NAME?</v>
      </c>
      <c r="BC59" s="75" t="e">
        <f ca="1">'QTR Raw'!W34</f>
        <v>#NAME?</v>
      </c>
      <c r="BD59" s="75" t="e">
        <f ca="1">'QTR Raw'!X34</f>
        <v>#NAME?</v>
      </c>
      <c r="BE59" s="75" t="e">
        <f ca="1">'QTR Raw'!Y34</f>
        <v>#NAME?</v>
      </c>
      <c r="BF59" s="75" t="e">
        <f ca="1">'QTR Raw'!Z34</f>
        <v>#NAME?</v>
      </c>
      <c r="BG59" s="75" t="e">
        <f ca="1">'QTR Raw'!AA34</f>
        <v>#NAME?</v>
      </c>
      <c r="BH59" s="75" t="e">
        <f ca="1">'QTR Raw'!AB34</f>
        <v>#NAME?</v>
      </c>
      <c r="BI59" s="75" t="e">
        <f ca="1">'QTR Raw'!AC34</f>
        <v>#NAME?</v>
      </c>
      <c r="BJ59" s="75" t="e">
        <f ca="1">'QTR Raw'!AD34</f>
        <v>#NAME?</v>
      </c>
      <c r="BK59" s="75" t="e">
        <f ca="1">'QTR Raw'!AE34</f>
        <v>#NAME?</v>
      </c>
      <c r="BL59" s="75" t="e">
        <f ca="1">'QTR Raw'!AF34</f>
        <v>#NAME?</v>
      </c>
      <c r="BM59" s="75" t="e">
        <f ca="1">'QTR Raw'!AG34</f>
        <v>#NAME?</v>
      </c>
      <c r="BN59" s="75" t="e">
        <f ca="1">'QTR Raw'!AH34</f>
        <v>#NAME?</v>
      </c>
      <c r="BO59" s="75" t="e">
        <f ca="1">'QTR Raw'!AI34</f>
        <v>#NAME?</v>
      </c>
      <c r="BP59" s="75" t="e">
        <f ca="1">'QTR Raw'!AJ34</f>
        <v>#NAME?</v>
      </c>
      <c r="BQ59" s="75" t="e">
        <f ca="1">'QTR Raw'!AK34</f>
        <v>#NAME?</v>
      </c>
      <c r="BR59" s="75" t="e">
        <f ca="1">'QTR Raw'!AL34</f>
        <v>#NAME?</v>
      </c>
      <c r="BS59" s="75" t="e">
        <f ca="1">'QTR Raw'!AM34</f>
        <v>#NAME?</v>
      </c>
      <c r="BT59" s="75" t="e">
        <f ca="1">'QTR Raw'!AN34</f>
        <v>#NAME?</v>
      </c>
      <c r="BU59" s="75" t="e">
        <f ca="1">'QTR Raw'!AO34</f>
        <v>#NAME?</v>
      </c>
      <c r="BV59" s="75" t="e">
        <f ca="1">'QTR Raw'!AP34</f>
        <v>#NAME?</v>
      </c>
      <c r="BW59" s="75" t="e">
        <f ca="1">'QTR Raw'!AQ34</f>
        <v>#NAME?</v>
      </c>
      <c r="BX59" s="75" t="e">
        <f ca="1">'QTR Raw'!AR34</f>
        <v>#NAME?</v>
      </c>
      <c r="BY59" s="75" t="e">
        <f ca="1">'QTR Raw'!AS34</f>
        <v>#NAME?</v>
      </c>
      <c r="BZ59" s="75" t="e">
        <f ca="1">'QTR Raw'!AT34</f>
        <v>#NAME?</v>
      </c>
      <c r="CA59" s="75" t="e">
        <f ca="1">'QTR Raw'!AU34</f>
        <v>#NAME?</v>
      </c>
      <c r="CB59" s="75" t="e">
        <f ca="1">'QTR Raw'!AV34</f>
        <v>#NAME?</v>
      </c>
      <c r="CC59" s="75" t="e">
        <f ca="1">'QTR Raw'!AW34</f>
        <v>#NAME?</v>
      </c>
      <c r="CD59" s="75" t="e">
        <f ca="1">'QTR Raw'!AX34</f>
        <v>#NAME?</v>
      </c>
      <c r="CE59" s="75" t="e">
        <f ca="1">'QTR Raw'!AY34</f>
        <v>#NAME?</v>
      </c>
      <c r="CF59" s="75" t="e">
        <f ca="1">'QTR Raw'!AZ34</f>
        <v>#NAME?</v>
      </c>
      <c r="CG59" s="75" t="e">
        <f ca="1">'QTR Raw'!BA34</f>
        <v>#NAME?</v>
      </c>
      <c r="CH59" s="75" t="e">
        <f ca="1">'QTR Raw'!BB34</f>
        <v>#NAME?</v>
      </c>
      <c r="CI59" s="75" t="e">
        <f ca="1">'QTR Raw'!BC34</f>
        <v>#NAME?</v>
      </c>
      <c r="CJ59" s="75" t="e">
        <f ca="1">'QTR Raw'!BD34</f>
        <v>#NAME?</v>
      </c>
      <c r="CK59" s="75" t="e">
        <f ca="1">'QTR Raw'!BE34</f>
        <v>#NAME?</v>
      </c>
      <c r="CL59" s="75" t="e">
        <f ca="1">'QTR Raw'!BF34</f>
        <v>#NAME?</v>
      </c>
      <c r="CM59" s="76" t="e">
        <f t="shared" ref="CM59:CM60" ca="1" si="673">+CL59</f>
        <v>#NAME?</v>
      </c>
      <c r="CN59" s="76" t="e">
        <f t="shared" ref="CN59:CN60" ca="1" si="674">+CM59</f>
        <v>#NAME?</v>
      </c>
      <c r="CO59" s="76" t="e">
        <f t="shared" ref="CO59:CO60" ca="1" si="675">+CN59</f>
        <v>#NAME?</v>
      </c>
      <c r="CP59" s="76" t="e">
        <f t="shared" ref="CP59:CP60" ca="1" si="676">+CO59</f>
        <v>#NAME?</v>
      </c>
      <c r="CQ59" s="76" t="e">
        <f t="shared" ref="CQ59:CQ60" ca="1" si="677">+CP59</f>
        <v>#NAME?</v>
      </c>
      <c r="CR59" s="76" t="e">
        <f t="shared" ref="CR59:CR60" ca="1" si="678">+CQ59</f>
        <v>#NAME?</v>
      </c>
      <c r="CS59" s="76" t="e">
        <f t="shared" ref="CS59:CS60" ca="1" si="679">+CR59</f>
        <v>#NAME?</v>
      </c>
      <c r="CT59" s="76" t="e">
        <f t="shared" ref="CT59:CT60" ca="1" si="680">+CS59</f>
        <v>#NAME?</v>
      </c>
      <c r="CU59" s="76" t="e">
        <f t="shared" ref="CU59:CU60" ca="1" si="681">+CT59</f>
        <v>#NAME?</v>
      </c>
      <c r="CV59" s="76" t="e">
        <f t="shared" ref="CV59:CV60" ca="1" si="682">+CU59</f>
        <v>#NAME?</v>
      </c>
      <c r="CW59" s="76" t="e">
        <f t="shared" ref="CW59:CW60" ca="1" si="683">+CV59</f>
        <v>#NAME?</v>
      </c>
      <c r="CX59" s="76" t="e">
        <f t="shared" ref="CX59:CX60" ca="1" si="684">+CW59</f>
        <v>#NAME?</v>
      </c>
      <c r="CY59" s="76" t="e">
        <f t="shared" ref="CY59:CY60" ca="1" si="685">+CX59</f>
        <v>#NAME?</v>
      </c>
      <c r="CZ59" s="76" t="e">
        <f t="shared" ref="CZ59:CZ60" ca="1" si="686">+CY59</f>
        <v>#NAME?</v>
      </c>
      <c r="DA59" s="76" t="e">
        <f t="shared" ref="DA59:DA60" ca="1" si="687">+CZ59</f>
        <v>#NAME?</v>
      </c>
      <c r="DB59" s="76" t="e">
        <f t="shared" ref="DB59:DB60" ca="1" si="688">+DA59</f>
        <v>#NAME?</v>
      </c>
      <c r="DE59" s="131"/>
      <c r="DF59" s="75">
        <v>0</v>
      </c>
    </row>
    <row r="60" spans="1:110" s="75" customFormat="1" x14ac:dyDescent="0.2">
      <c r="A60" s="23" t="s">
        <v>24</v>
      </c>
      <c r="B60" s="75" t="e">
        <f ca="1">'Annual Raw'!C33+'Annual Raw'!C28</f>
        <v>#NAME?</v>
      </c>
      <c r="C60" s="75" t="e">
        <f ca="1">'Annual Raw'!D33+'Annual Raw'!D28</f>
        <v>#NAME?</v>
      </c>
      <c r="D60" s="75" t="e">
        <f ca="1">'Annual Raw'!E33+'Annual Raw'!E28</f>
        <v>#NAME?</v>
      </c>
      <c r="E60" s="75" t="e">
        <f ca="1">'Annual Raw'!F33+'Annual Raw'!F28</f>
        <v>#NAME?</v>
      </c>
      <c r="F60" s="75" t="e">
        <f ca="1">'Annual Raw'!G33+'Annual Raw'!G28</f>
        <v>#NAME?</v>
      </c>
      <c r="G60" s="75" t="e">
        <f ca="1">'Annual Raw'!H33+'Annual Raw'!H28</f>
        <v>#NAME?</v>
      </c>
      <c r="H60" s="75" t="e">
        <f ca="1">'Annual Raw'!I33+'Annual Raw'!I28</f>
        <v>#NAME?</v>
      </c>
      <c r="I60" s="75" t="e">
        <f ca="1">'Annual Raw'!J33+'Annual Raw'!J28</f>
        <v>#NAME?</v>
      </c>
      <c r="J60" s="75" t="e">
        <f ca="1">'Annual Raw'!K33+'Annual Raw'!K28</f>
        <v>#NAME?</v>
      </c>
      <c r="K60" s="75" t="e">
        <f ca="1">'Annual Raw'!L33+'Annual Raw'!L28</f>
        <v>#NAME?</v>
      </c>
      <c r="L60" s="75" t="e">
        <f ca="1">'Annual Raw'!M33+'Annual Raw'!M28</f>
        <v>#NAME?</v>
      </c>
      <c r="M60" s="75" t="e">
        <f ca="1">'Annual Raw'!N33+'Annual Raw'!N28</f>
        <v>#NAME?</v>
      </c>
      <c r="N60" s="75" t="e">
        <f ca="1">'Annual Raw'!O33+'Annual Raw'!O28</f>
        <v>#NAME?</v>
      </c>
      <c r="O60" s="75" t="e">
        <f ca="1">'Annual Raw'!P33+'Annual Raw'!P28</f>
        <v>#NAME?</v>
      </c>
      <c r="P60" s="75" t="e">
        <f ca="1">'Annual Raw'!Q33+'Annual Raw'!Q28</f>
        <v>#NAME?</v>
      </c>
      <c r="Q60" s="75" t="e">
        <f ca="1">'Annual Raw'!R33+'Annual Raw'!R28</f>
        <v>#NAME?</v>
      </c>
      <c r="R60" s="75" t="e">
        <f ca="1">'Annual Raw'!S33+'Annual Raw'!S28</f>
        <v>#NAME?</v>
      </c>
      <c r="S60" s="75" t="e">
        <f ca="1">'Annual Raw'!T33+'Annual Raw'!T28</f>
        <v>#NAME?</v>
      </c>
      <c r="T60" s="75" t="e">
        <f ca="1">'Annual Raw'!U33+'Annual Raw'!U28</f>
        <v>#NAME?</v>
      </c>
      <c r="U60" s="75" t="e">
        <f ca="1">'Annual Raw'!V33+'Annual Raw'!V28</f>
        <v>#NAME?</v>
      </c>
      <c r="V60" s="75" t="e">
        <f ca="1">'Annual Raw'!W33+'Annual Raw'!W28</f>
        <v>#NAME?</v>
      </c>
      <c r="W60" s="75" t="e">
        <f ca="1">'Annual Raw'!X33+'Annual Raw'!X28</f>
        <v>#NAME?</v>
      </c>
      <c r="X60" s="75" t="e">
        <f ca="1">'Annual Raw'!Y33+'Annual Raw'!Y28</f>
        <v>#NAME?</v>
      </c>
      <c r="Y60" s="75" t="e">
        <f ca="1">'Annual Raw'!Z33+'Annual Raw'!Z28</f>
        <v>#NAME?</v>
      </c>
      <c r="Z60" s="75" t="e">
        <f ca="1">'Annual Raw'!AA33+'Annual Raw'!AA28</f>
        <v>#NAME?</v>
      </c>
      <c r="AA60" s="75" t="e">
        <f ca="1">'Annual Raw'!AB33+'Annual Raw'!AB28</f>
        <v>#NAME?</v>
      </c>
      <c r="AB60" s="76" t="e">
        <f t="shared" ca="1" si="669"/>
        <v>#NAME?</v>
      </c>
      <c r="AC60" s="76" t="e">
        <f t="shared" ca="1" si="670"/>
        <v>#NAME?</v>
      </c>
      <c r="AD60" s="76" t="e">
        <f t="shared" ca="1" si="671"/>
        <v>#NAME?</v>
      </c>
      <c r="AE60" s="76" t="e">
        <f t="shared" ca="1" si="672"/>
        <v>#NAME?</v>
      </c>
      <c r="AI60" s="75" t="e">
        <f ca="1">'QTR Raw'!C35</f>
        <v>#NAME?</v>
      </c>
      <c r="AJ60" s="75" t="e">
        <f ca="1">'QTR Raw'!D35</f>
        <v>#NAME?</v>
      </c>
      <c r="AK60" s="75" t="e">
        <f ca="1">'QTR Raw'!E35</f>
        <v>#NAME?</v>
      </c>
      <c r="AL60" s="75" t="e">
        <f ca="1">'QTR Raw'!F35</f>
        <v>#NAME?</v>
      </c>
      <c r="AM60" s="75" t="e">
        <f ca="1">'QTR Raw'!G35</f>
        <v>#NAME?</v>
      </c>
      <c r="AN60" s="75" t="e">
        <f ca="1">'QTR Raw'!H35</f>
        <v>#NAME?</v>
      </c>
      <c r="AO60" s="75" t="e">
        <f ca="1">'QTR Raw'!I35</f>
        <v>#NAME?</v>
      </c>
      <c r="AP60" s="75" t="e">
        <f ca="1">'QTR Raw'!J35</f>
        <v>#NAME?</v>
      </c>
      <c r="AQ60" s="75" t="e">
        <f ca="1">'QTR Raw'!K35</f>
        <v>#NAME?</v>
      </c>
      <c r="AR60" s="75" t="e">
        <f ca="1">'QTR Raw'!L35</f>
        <v>#NAME?</v>
      </c>
      <c r="AS60" s="75" t="e">
        <f ca="1">'QTR Raw'!M35</f>
        <v>#NAME?</v>
      </c>
      <c r="AT60" s="75" t="e">
        <f ca="1">'QTR Raw'!N35</f>
        <v>#NAME?</v>
      </c>
      <c r="AU60" s="75" t="e">
        <f ca="1">'QTR Raw'!O35</f>
        <v>#NAME?</v>
      </c>
      <c r="AV60" s="75" t="e">
        <f ca="1">'QTR Raw'!P35</f>
        <v>#NAME?</v>
      </c>
      <c r="AW60" s="75" t="e">
        <f ca="1">'QTR Raw'!Q35</f>
        <v>#NAME?</v>
      </c>
      <c r="AX60" s="75" t="e">
        <f ca="1">'QTR Raw'!R35</f>
        <v>#NAME?</v>
      </c>
      <c r="AY60" s="75" t="e">
        <f ca="1">'QTR Raw'!S35</f>
        <v>#NAME?</v>
      </c>
      <c r="AZ60" s="75" t="e">
        <f ca="1">'QTR Raw'!T35</f>
        <v>#NAME?</v>
      </c>
      <c r="BA60" s="75" t="e">
        <f ca="1">'QTR Raw'!U35</f>
        <v>#NAME?</v>
      </c>
      <c r="BB60" s="75" t="e">
        <f ca="1">'QTR Raw'!V35</f>
        <v>#NAME?</v>
      </c>
      <c r="BC60" s="75" t="e">
        <f ca="1">'QTR Raw'!W35</f>
        <v>#NAME?</v>
      </c>
      <c r="BD60" s="75" t="e">
        <f ca="1">'QTR Raw'!X35</f>
        <v>#NAME?</v>
      </c>
      <c r="BE60" s="75" t="e">
        <f ca="1">'QTR Raw'!Y35</f>
        <v>#NAME?</v>
      </c>
      <c r="BF60" s="75" t="e">
        <f ca="1">'QTR Raw'!Z35</f>
        <v>#NAME?</v>
      </c>
      <c r="BG60" s="75" t="e">
        <f ca="1">'QTR Raw'!AA35</f>
        <v>#NAME?</v>
      </c>
      <c r="BH60" s="75" t="e">
        <f ca="1">'QTR Raw'!AB35</f>
        <v>#NAME?</v>
      </c>
      <c r="BI60" s="75" t="e">
        <f ca="1">'QTR Raw'!AC35</f>
        <v>#NAME?</v>
      </c>
      <c r="BJ60" s="75" t="e">
        <f ca="1">'QTR Raw'!AD35</f>
        <v>#NAME?</v>
      </c>
      <c r="BK60" s="75" t="e">
        <f ca="1">'QTR Raw'!AE35</f>
        <v>#NAME?</v>
      </c>
      <c r="BL60" s="75" t="e">
        <f ca="1">'QTR Raw'!AF35</f>
        <v>#NAME?</v>
      </c>
      <c r="BM60" s="75" t="e">
        <f ca="1">'QTR Raw'!AG35</f>
        <v>#NAME?</v>
      </c>
      <c r="BN60" s="75" t="e">
        <f ca="1">'QTR Raw'!AH35</f>
        <v>#NAME?</v>
      </c>
      <c r="BO60" s="75" t="e">
        <f ca="1">'QTR Raw'!AI35</f>
        <v>#NAME?</v>
      </c>
      <c r="BP60" s="75" t="e">
        <f ca="1">'QTR Raw'!AJ35</f>
        <v>#NAME?</v>
      </c>
      <c r="BQ60" s="75" t="e">
        <f ca="1">'QTR Raw'!AK35</f>
        <v>#NAME?</v>
      </c>
      <c r="BR60" s="75" t="e">
        <f ca="1">'QTR Raw'!AL35</f>
        <v>#NAME?</v>
      </c>
      <c r="BS60" s="75" t="e">
        <f ca="1">'QTR Raw'!AM35</f>
        <v>#NAME?</v>
      </c>
      <c r="BT60" s="75" t="e">
        <f ca="1">'QTR Raw'!AN35</f>
        <v>#NAME?</v>
      </c>
      <c r="BU60" s="75" t="e">
        <f ca="1">'QTR Raw'!AO35</f>
        <v>#NAME?</v>
      </c>
      <c r="BV60" s="75" t="e">
        <f ca="1">'QTR Raw'!AP35</f>
        <v>#NAME?</v>
      </c>
      <c r="BW60" s="75" t="e">
        <f ca="1">'QTR Raw'!AQ35</f>
        <v>#NAME?</v>
      </c>
      <c r="BX60" s="75" t="e">
        <f ca="1">'QTR Raw'!AR35</f>
        <v>#NAME?</v>
      </c>
      <c r="BY60" s="75" t="e">
        <f ca="1">'QTR Raw'!AS35</f>
        <v>#NAME?</v>
      </c>
      <c r="BZ60" s="75" t="e">
        <f ca="1">'QTR Raw'!AT35</f>
        <v>#NAME?</v>
      </c>
      <c r="CA60" s="75" t="e">
        <f ca="1">'QTR Raw'!AU35</f>
        <v>#NAME?</v>
      </c>
      <c r="CB60" s="75" t="e">
        <f ca="1">'QTR Raw'!AV35</f>
        <v>#NAME?</v>
      </c>
      <c r="CC60" s="75" t="e">
        <f ca="1">'QTR Raw'!AW35</f>
        <v>#NAME?</v>
      </c>
      <c r="CD60" s="75" t="e">
        <f ca="1">'QTR Raw'!AX35</f>
        <v>#NAME?</v>
      </c>
      <c r="CE60" s="75" t="e">
        <f ca="1">'QTR Raw'!AY35</f>
        <v>#NAME?</v>
      </c>
      <c r="CF60" s="75" t="e">
        <f ca="1">'QTR Raw'!AZ35</f>
        <v>#NAME?</v>
      </c>
      <c r="CG60" s="75" t="e">
        <f ca="1">'QTR Raw'!BA35</f>
        <v>#NAME?</v>
      </c>
      <c r="CH60" s="75" t="e">
        <f ca="1">'QTR Raw'!BB35</f>
        <v>#NAME?</v>
      </c>
      <c r="CI60" s="75" t="e">
        <f ca="1">'QTR Raw'!BC35</f>
        <v>#NAME?</v>
      </c>
      <c r="CJ60" s="75" t="e">
        <f ca="1">'QTR Raw'!BD35</f>
        <v>#NAME?</v>
      </c>
      <c r="CK60" s="75" t="e">
        <f ca="1">'QTR Raw'!BE35</f>
        <v>#NAME?</v>
      </c>
      <c r="CL60" s="75" t="e">
        <f ca="1">'QTR Raw'!BF35</f>
        <v>#NAME?</v>
      </c>
      <c r="CM60" s="76" t="e">
        <f t="shared" ca="1" si="673"/>
        <v>#NAME?</v>
      </c>
      <c r="CN60" s="76" t="e">
        <f t="shared" ca="1" si="674"/>
        <v>#NAME?</v>
      </c>
      <c r="CO60" s="76" t="e">
        <f t="shared" ca="1" si="675"/>
        <v>#NAME?</v>
      </c>
      <c r="CP60" s="76" t="e">
        <f t="shared" ca="1" si="676"/>
        <v>#NAME?</v>
      </c>
      <c r="CQ60" s="76" t="e">
        <f t="shared" ca="1" si="677"/>
        <v>#NAME?</v>
      </c>
      <c r="CR60" s="76" t="e">
        <f t="shared" ca="1" si="678"/>
        <v>#NAME?</v>
      </c>
      <c r="CS60" s="76" t="e">
        <f t="shared" ca="1" si="679"/>
        <v>#NAME?</v>
      </c>
      <c r="CT60" s="76" t="e">
        <f t="shared" ca="1" si="680"/>
        <v>#NAME?</v>
      </c>
      <c r="CU60" s="76" t="e">
        <f t="shared" ca="1" si="681"/>
        <v>#NAME?</v>
      </c>
      <c r="CV60" s="76" t="e">
        <f t="shared" ca="1" si="682"/>
        <v>#NAME?</v>
      </c>
      <c r="CW60" s="76" t="e">
        <f t="shared" ca="1" si="683"/>
        <v>#NAME?</v>
      </c>
      <c r="CX60" s="76" t="e">
        <f t="shared" ca="1" si="684"/>
        <v>#NAME?</v>
      </c>
      <c r="CY60" s="76" t="e">
        <f t="shared" ca="1" si="685"/>
        <v>#NAME?</v>
      </c>
      <c r="CZ60" s="76" t="e">
        <f t="shared" ca="1" si="686"/>
        <v>#NAME?</v>
      </c>
      <c r="DA60" s="76" t="e">
        <f t="shared" ca="1" si="687"/>
        <v>#NAME?</v>
      </c>
      <c r="DB60" s="76" t="e">
        <f t="shared" ca="1" si="688"/>
        <v>#NAME?</v>
      </c>
      <c r="DE60" s="131"/>
      <c r="DF60" s="75">
        <v>0</v>
      </c>
    </row>
    <row r="61" spans="1:110" s="23" customFormat="1" x14ac:dyDescent="0.2">
      <c r="A61" s="23" t="s">
        <v>19</v>
      </c>
      <c r="B61" s="75" t="e">
        <f ca="1">'Annual Raw'!C29+'Annual Raw'!C31+'Annual Raw'!C34+'Annual Raw'!C36</f>
        <v>#NAME?</v>
      </c>
      <c r="C61" s="75" t="e">
        <f ca="1">'Annual Raw'!D29+'Annual Raw'!D31+'Annual Raw'!D34+'Annual Raw'!D36</f>
        <v>#NAME?</v>
      </c>
      <c r="D61" s="75" t="e">
        <f ca="1">'Annual Raw'!E29+'Annual Raw'!E31+'Annual Raw'!E34+'Annual Raw'!E36</f>
        <v>#NAME?</v>
      </c>
      <c r="E61" s="75" t="e">
        <f ca="1">'Annual Raw'!F29+'Annual Raw'!F31+'Annual Raw'!F34+'Annual Raw'!F36</f>
        <v>#NAME?</v>
      </c>
      <c r="F61" s="75" t="e">
        <f ca="1">'Annual Raw'!G29+'Annual Raw'!G31+'Annual Raw'!G34+'Annual Raw'!G36</f>
        <v>#NAME?</v>
      </c>
      <c r="G61" s="75" t="e">
        <f ca="1">'Annual Raw'!H29+'Annual Raw'!H31+'Annual Raw'!H34+'Annual Raw'!H36</f>
        <v>#NAME?</v>
      </c>
      <c r="H61" s="75" t="e">
        <f ca="1">'Annual Raw'!I29+'Annual Raw'!I31+'Annual Raw'!I34+'Annual Raw'!I36</f>
        <v>#NAME?</v>
      </c>
      <c r="I61" s="75" t="e">
        <f ca="1">'Annual Raw'!J29+'Annual Raw'!J31+'Annual Raw'!J34+'Annual Raw'!J36</f>
        <v>#NAME?</v>
      </c>
      <c r="J61" s="75" t="e">
        <f ca="1">'Annual Raw'!K29+'Annual Raw'!K31+'Annual Raw'!K34+'Annual Raw'!K36</f>
        <v>#NAME?</v>
      </c>
      <c r="K61" s="75" t="e">
        <f ca="1">'Annual Raw'!L29+'Annual Raw'!L31+'Annual Raw'!L34+'Annual Raw'!L36</f>
        <v>#NAME?</v>
      </c>
      <c r="L61" s="75" t="e">
        <f ca="1">'Annual Raw'!M29+'Annual Raw'!M31+'Annual Raw'!M34+'Annual Raw'!M36</f>
        <v>#NAME?</v>
      </c>
      <c r="M61" s="75" t="e">
        <f ca="1">'Annual Raw'!N29+'Annual Raw'!N31+'Annual Raw'!N34+'Annual Raw'!N36</f>
        <v>#NAME?</v>
      </c>
      <c r="N61" s="75" t="e">
        <f ca="1">'Annual Raw'!O29+'Annual Raw'!O31+'Annual Raw'!O34+'Annual Raw'!O36</f>
        <v>#NAME?</v>
      </c>
      <c r="O61" s="75" t="e">
        <f ca="1">'Annual Raw'!P29+'Annual Raw'!P31+'Annual Raw'!P34+'Annual Raw'!P36</f>
        <v>#NAME?</v>
      </c>
      <c r="P61" s="75" t="e">
        <f ca="1">'Annual Raw'!Q29+'Annual Raw'!Q31+'Annual Raw'!Q34+'Annual Raw'!Q36</f>
        <v>#NAME?</v>
      </c>
      <c r="Q61" s="75" t="e">
        <f ca="1">'Annual Raw'!R29+'Annual Raw'!R31+'Annual Raw'!R34+'Annual Raw'!R36</f>
        <v>#NAME?</v>
      </c>
      <c r="R61" s="75" t="e">
        <f ca="1">'Annual Raw'!S29+'Annual Raw'!S31+'Annual Raw'!S34+'Annual Raw'!S36</f>
        <v>#NAME?</v>
      </c>
      <c r="S61" s="75" t="e">
        <f ca="1">'Annual Raw'!T29+'Annual Raw'!T31+'Annual Raw'!T34+'Annual Raw'!T36</f>
        <v>#NAME?</v>
      </c>
      <c r="T61" s="75" t="e">
        <f ca="1">'Annual Raw'!U29+'Annual Raw'!U31+'Annual Raw'!U34+'Annual Raw'!U36</f>
        <v>#NAME?</v>
      </c>
      <c r="U61" s="75" t="e">
        <f ca="1">'Annual Raw'!V29+'Annual Raw'!V31+'Annual Raw'!V34+'Annual Raw'!V36</f>
        <v>#NAME?</v>
      </c>
      <c r="V61" s="75" t="e">
        <f ca="1">'Annual Raw'!W29+'Annual Raw'!W31+'Annual Raw'!W34+'Annual Raw'!W36</f>
        <v>#NAME?</v>
      </c>
      <c r="W61" s="75" t="e">
        <f ca="1">'Annual Raw'!X29+'Annual Raw'!X31+'Annual Raw'!X34+'Annual Raw'!X36</f>
        <v>#NAME?</v>
      </c>
      <c r="X61" s="75" t="e">
        <f ca="1">'Annual Raw'!Y29+'Annual Raw'!Y31+'Annual Raw'!Y34+'Annual Raw'!Y36</f>
        <v>#NAME?</v>
      </c>
      <c r="Y61" s="75" t="e">
        <f ca="1">'Annual Raw'!Z29+'Annual Raw'!Z31+'Annual Raw'!Z34+'Annual Raw'!Z36</f>
        <v>#NAME?</v>
      </c>
      <c r="Z61" s="75" t="e">
        <f ca="1">'Annual Raw'!AA29+'Annual Raw'!AA31+'Annual Raw'!AA34+'Annual Raw'!AA36</f>
        <v>#NAME?</v>
      </c>
      <c r="AA61" s="75" t="e">
        <f ca="1">'Annual Raw'!AB29+'Annual Raw'!AB31+'Annual Raw'!AB34+'Annual Raw'!AB36</f>
        <v>#NAME?</v>
      </c>
      <c r="AB61" s="76">
        <f>+SUM(CM61:CP61)</f>
        <v>0</v>
      </c>
      <c r="AC61" s="76">
        <f>+SUM(CQ61:CT61)</f>
        <v>0</v>
      </c>
      <c r="AD61" s="76">
        <f>+SUM(CU61:CX61)</f>
        <v>0</v>
      </c>
      <c r="AE61" s="76">
        <f>+SUM(CY61:DB61)</f>
        <v>0</v>
      </c>
      <c r="AI61" s="75" t="e">
        <f ca="1">'QTR Raw'!C26+'QTR Raw'!C31+'QTR Raw'!C32+'QTR Raw'!C33+'QTR Raw'!C36+'QTR Raw'!C37+'QTR Raw'!C39</f>
        <v>#NAME?</v>
      </c>
      <c r="AJ61" s="75" t="e">
        <f ca="1">'QTR Raw'!D26+'QTR Raw'!D31+'QTR Raw'!D32+'QTR Raw'!D33+'QTR Raw'!D36+'QTR Raw'!D37+'QTR Raw'!D39</f>
        <v>#NAME?</v>
      </c>
      <c r="AK61" s="75" t="e">
        <f ca="1">'QTR Raw'!E26+'QTR Raw'!E31+'QTR Raw'!E32+'QTR Raw'!E33+'QTR Raw'!E36+'QTR Raw'!E37+'QTR Raw'!E39</f>
        <v>#NAME?</v>
      </c>
      <c r="AL61" s="75" t="e">
        <f ca="1">'QTR Raw'!F26+'QTR Raw'!F31+'QTR Raw'!F32+'QTR Raw'!F33+'QTR Raw'!F36+'QTR Raw'!F37+'QTR Raw'!F39</f>
        <v>#NAME?</v>
      </c>
      <c r="AM61" s="75" t="e">
        <f ca="1">'QTR Raw'!G26+'QTR Raw'!G31+'QTR Raw'!G32+'QTR Raw'!G33+'QTR Raw'!G36+'QTR Raw'!G37+'QTR Raw'!G39</f>
        <v>#NAME?</v>
      </c>
      <c r="AN61" s="75" t="e">
        <f ca="1">'QTR Raw'!H26+'QTR Raw'!H31+'QTR Raw'!H32+'QTR Raw'!H33+'QTR Raw'!H36+'QTR Raw'!H37+'QTR Raw'!H39</f>
        <v>#NAME?</v>
      </c>
      <c r="AO61" s="75" t="e">
        <f ca="1">'QTR Raw'!I26+'QTR Raw'!I31+'QTR Raw'!I32+'QTR Raw'!I33+'QTR Raw'!I36+'QTR Raw'!I37+'QTR Raw'!I39</f>
        <v>#NAME?</v>
      </c>
      <c r="AP61" s="75" t="e">
        <f ca="1">'QTR Raw'!J26+'QTR Raw'!J31+'QTR Raw'!J32+'QTR Raw'!J33+'QTR Raw'!J36+'QTR Raw'!J37+'QTR Raw'!J39</f>
        <v>#NAME?</v>
      </c>
      <c r="AQ61" s="75" t="e">
        <f ca="1">'QTR Raw'!K26+'QTR Raw'!K31+'QTR Raw'!K32+'QTR Raw'!K33+'QTR Raw'!K36+'QTR Raw'!K37+'QTR Raw'!K39</f>
        <v>#NAME?</v>
      </c>
      <c r="AR61" s="75" t="e">
        <f ca="1">'QTR Raw'!L26+'QTR Raw'!L31+'QTR Raw'!L32+'QTR Raw'!L33+'QTR Raw'!L36+'QTR Raw'!L37+'QTR Raw'!L39</f>
        <v>#NAME?</v>
      </c>
      <c r="AS61" s="75" t="e">
        <f ca="1">'QTR Raw'!M26+'QTR Raw'!M31+'QTR Raw'!M32+'QTR Raw'!M33+'QTR Raw'!M36+'QTR Raw'!M37+'QTR Raw'!M39</f>
        <v>#NAME?</v>
      </c>
      <c r="AT61" s="75" t="e">
        <f ca="1">'QTR Raw'!N26+'QTR Raw'!N31+'QTR Raw'!N32+'QTR Raw'!N33+'QTR Raw'!N36+'QTR Raw'!N37+'QTR Raw'!N39</f>
        <v>#NAME?</v>
      </c>
      <c r="AU61" s="75" t="e">
        <f ca="1">'QTR Raw'!O26+'QTR Raw'!O31+'QTR Raw'!O32+'QTR Raw'!O33+'QTR Raw'!O36+'QTR Raw'!O37+'QTR Raw'!O39</f>
        <v>#NAME?</v>
      </c>
      <c r="AV61" s="75" t="e">
        <f ca="1">'QTR Raw'!P26+'QTR Raw'!P31+'QTR Raw'!P32+'QTR Raw'!P33+'QTR Raw'!P36+'QTR Raw'!P37+'QTR Raw'!P39</f>
        <v>#NAME?</v>
      </c>
      <c r="AW61" s="75" t="e">
        <f ca="1">'QTR Raw'!Q26+'QTR Raw'!Q31+'QTR Raw'!Q32+'QTR Raw'!Q33+'QTR Raw'!Q36+'QTR Raw'!Q37+'QTR Raw'!Q39</f>
        <v>#NAME?</v>
      </c>
      <c r="AX61" s="75" t="e">
        <f ca="1">'QTR Raw'!R26+'QTR Raw'!R31+'QTR Raw'!R32+'QTR Raw'!R33+'QTR Raw'!R36+'QTR Raw'!R37+'QTR Raw'!R39</f>
        <v>#NAME?</v>
      </c>
      <c r="AY61" s="75" t="e">
        <f ca="1">'QTR Raw'!S26+'QTR Raw'!S31+'QTR Raw'!S32+'QTR Raw'!S33+'QTR Raw'!S36+'QTR Raw'!S37+'QTR Raw'!S39</f>
        <v>#NAME?</v>
      </c>
      <c r="AZ61" s="75" t="e">
        <f ca="1">'QTR Raw'!T26+'QTR Raw'!T31+'QTR Raw'!T32+'QTR Raw'!T33+'QTR Raw'!T36+'QTR Raw'!T37+'QTR Raw'!T39</f>
        <v>#NAME?</v>
      </c>
      <c r="BA61" s="75" t="e">
        <f ca="1">'QTR Raw'!U26+'QTR Raw'!U31+'QTR Raw'!U32+'QTR Raw'!U33+'QTR Raw'!U36+'QTR Raw'!U37+'QTR Raw'!U39</f>
        <v>#NAME?</v>
      </c>
      <c r="BB61" s="75" t="e">
        <f ca="1">'QTR Raw'!V26+'QTR Raw'!V31+'QTR Raw'!V32+'QTR Raw'!V33+'QTR Raw'!V36+'QTR Raw'!V37+'QTR Raw'!V39</f>
        <v>#NAME?</v>
      </c>
      <c r="BC61" s="75" t="e">
        <f ca="1">'QTR Raw'!W26+'QTR Raw'!W31+'QTR Raw'!W32+'QTR Raw'!W33+'QTR Raw'!W36+'QTR Raw'!W37+'QTR Raw'!W39</f>
        <v>#NAME?</v>
      </c>
      <c r="BD61" s="75" t="e">
        <f ca="1">'QTR Raw'!X26+'QTR Raw'!X31+'QTR Raw'!X32+'QTR Raw'!X33+'QTR Raw'!X36+'QTR Raw'!X37+'QTR Raw'!X39</f>
        <v>#NAME?</v>
      </c>
      <c r="BE61" s="75" t="e">
        <f ca="1">'QTR Raw'!Y26+'QTR Raw'!Y31+'QTR Raw'!Y32+'QTR Raw'!Y33+'QTR Raw'!Y36+'QTR Raw'!Y37+'QTR Raw'!Y39</f>
        <v>#NAME?</v>
      </c>
      <c r="BF61" s="75" t="e">
        <f ca="1">'QTR Raw'!Z26+'QTR Raw'!Z31+'QTR Raw'!Z32+'QTR Raw'!Z33+'QTR Raw'!Z36+'QTR Raw'!Z37+'QTR Raw'!Z39</f>
        <v>#NAME?</v>
      </c>
      <c r="BG61" s="75" t="e">
        <f ca="1">'QTR Raw'!AA26+'QTR Raw'!AA31+'QTR Raw'!AA32+'QTR Raw'!AA33+'QTR Raw'!AA36+'QTR Raw'!AA37+'QTR Raw'!AA39</f>
        <v>#NAME?</v>
      </c>
      <c r="BH61" s="75" t="e">
        <f ca="1">'QTR Raw'!AB26+'QTR Raw'!AB31+'QTR Raw'!AB32+'QTR Raw'!AB33+'QTR Raw'!AB36+'QTR Raw'!AB37+'QTR Raw'!AB39</f>
        <v>#NAME?</v>
      </c>
      <c r="BI61" s="75" t="e">
        <f ca="1">'QTR Raw'!AC26+'QTR Raw'!AC31+'QTR Raw'!AC32+'QTR Raw'!AC33+'QTR Raw'!AC36+'QTR Raw'!AC37+'QTR Raw'!AC39</f>
        <v>#NAME?</v>
      </c>
      <c r="BJ61" s="75" t="e">
        <f ca="1">'QTR Raw'!AD26+'QTR Raw'!AD31+'QTR Raw'!AD32+'QTR Raw'!AD33+'QTR Raw'!AD36+'QTR Raw'!AD37+'QTR Raw'!AD39</f>
        <v>#NAME?</v>
      </c>
      <c r="BK61" s="75" t="e">
        <f ca="1">'QTR Raw'!AE26+'QTR Raw'!AE31+'QTR Raw'!AE32+'QTR Raw'!AE33+'QTR Raw'!AE36+'QTR Raw'!AE37+'QTR Raw'!AE39</f>
        <v>#NAME?</v>
      </c>
      <c r="BL61" s="75" t="e">
        <f ca="1">'QTR Raw'!AF26+'QTR Raw'!AF31+'QTR Raw'!AF32+'QTR Raw'!AF33+'QTR Raw'!AF36+'QTR Raw'!AF37+'QTR Raw'!AF39</f>
        <v>#NAME?</v>
      </c>
      <c r="BM61" s="75" t="e">
        <f ca="1">'QTR Raw'!AG26+'QTR Raw'!AG31+'QTR Raw'!AG32+'QTR Raw'!AG33+'QTR Raw'!AG36+'QTR Raw'!AG37+'QTR Raw'!AG39</f>
        <v>#NAME?</v>
      </c>
      <c r="BN61" s="75" t="e">
        <f ca="1">'QTR Raw'!AH26+'QTR Raw'!AH31+'QTR Raw'!AH32+'QTR Raw'!AH33+'QTR Raw'!AH36+'QTR Raw'!AH37+'QTR Raw'!AH39</f>
        <v>#NAME?</v>
      </c>
      <c r="BO61" s="75" t="e">
        <f ca="1">'QTR Raw'!AI26+'QTR Raw'!AI31+'QTR Raw'!AI32+'QTR Raw'!AI33+'QTR Raw'!AI36+'QTR Raw'!AI37+'QTR Raw'!AI39</f>
        <v>#NAME?</v>
      </c>
      <c r="BP61" s="75" t="e">
        <f ca="1">'QTR Raw'!AJ26+'QTR Raw'!AJ31+'QTR Raw'!AJ32+'QTR Raw'!AJ33+'QTR Raw'!AJ36+'QTR Raw'!AJ37+'QTR Raw'!AJ39</f>
        <v>#NAME?</v>
      </c>
      <c r="BQ61" s="75" t="e">
        <f ca="1">'QTR Raw'!AK26+'QTR Raw'!AK31+'QTR Raw'!AK32+'QTR Raw'!AK33+'QTR Raw'!AK36+'QTR Raw'!AK37+'QTR Raw'!AK39</f>
        <v>#NAME?</v>
      </c>
      <c r="BR61" s="75" t="e">
        <f ca="1">'QTR Raw'!AL26+'QTR Raw'!AL31+'QTR Raw'!AL32+'QTR Raw'!AL33+'QTR Raw'!AL36+'QTR Raw'!AL37+'QTR Raw'!AL39</f>
        <v>#NAME?</v>
      </c>
      <c r="BS61" s="75" t="e">
        <f ca="1">'QTR Raw'!AM26+'QTR Raw'!AM31+'QTR Raw'!AM32+'QTR Raw'!AM33+'QTR Raw'!AM36+'QTR Raw'!AM37+'QTR Raw'!AM39</f>
        <v>#NAME?</v>
      </c>
      <c r="BT61" s="75" t="e">
        <f ca="1">'QTR Raw'!AN26+'QTR Raw'!AN31+'QTR Raw'!AN32+'QTR Raw'!AN33+'QTR Raw'!AN36+'QTR Raw'!AN37+'QTR Raw'!AN39</f>
        <v>#NAME?</v>
      </c>
      <c r="BU61" s="75" t="e">
        <f ca="1">'QTR Raw'!AO26+'QTR Raw'!AO31+'QTR Raw'!AO32+'QTR Raw'!AO33+'QTR Raw'!AO36+'QTR Raw'!AO37+'QTR Raw'!AO39</f>
        <v>#NAME?</v>
      </c>
      <c r="BV61" s="75" t="e">
        <f ca="1">'QTR Raw'!AP26+'QTR Raw'!AP31+'QTR Raw'!AP32+'QTR Raw'!AP33+'QTR Raw'!AP36+'QTR Raw'!AP37+'QTR Raw'!AP39</f>
        <v>#NAME?</v>
      </c>
      <c r="BW61" s="75" t="e">
        <f ca="1">'QTR Raw'!AQ26+'QTR Raw'!AQ31+'QTR Raw'!AQ32+'QTR Raw'!AQ33+'QTR Raw'!AQ36+'QTR Raw'!AQ37+'QTR Raw'!AQ39</f>
        <v>#NAME?</v>
      </c>
      <c r="BX61" s="75" t="e">
        <f ca="1">'QTR Raw'!AR26+'QTR Raw'!AR31+'QTR Raw'!AR32+'QTR Raw'!AR33+'QTR Raw'!AR36+'QTR Raw'!AR37+'QTR Raw'!AR39</f>
        <v>#NAME?</v>
      </c>
      <c r="BY61" s="75" t="e">
        <f ca="1">'QTR Raw'!AS26+'QTR Raw'!AS31+'QTR Raw'!AS32+'QTR Raw'!AS33+'QTR Raw'!AS36+'QTR Raw'!AS37+'QTR Raw'!AS39</f>
        <v>#NAME?</v>
      </c>
      <c r="BZ61" s="75" t="e">
        <f ca="1">'QTR Raw'!AT26+'QTR Raw'!AT31+'QTR Raw'!AT32+'QTR Raw'!AT33+'QTR Raw'!AT36+'QTR Raw'!AT37+'QTR Raw'!AT39</f>
        <v>#NAME?</v>
      </c>
      <c r="CA61" s="75" t="e">
        <f ca="1">'QTR Raw'!AU26+'QTR Raw'!AU31+'QTR Raw'!AU32+'QTR Raw'!AU33+'QTR Raw'!AU36+'QTR Raw'!AU37+'QTR Raw'!AU39</f>
        <v>#NAME?</v>
      </c>
      <c r="CB61" s="75" t="e">
        <f ca="1">'QTR Raw'!AV26+'QTR Raw'!AV31+'QTR Raw'!AV32+'QTR Raw'!AV33+'QTR Raw'!AV36+'QTR Raw'!AV37+'QTR Raw'!AV39</f>
        <v>#NAME?</v>
      </c>
      <c r="CC61" s="75" t="e">
        <f ca="1">'QTR Raw'!AW26+'QTR Raw'!AW31+'QTR Raw'!AW32+'QTR Raw'!AW33+'QTR Raw'!AW36+'QTR Raw'!AW37+'QTR Raw'!AW39</f>
        <v>#NAME?</v>
      </c>
      <c r="CD61" s="75" t="e">
        <f ca="1">'QTR Raw'!AX26+'QTR Raw'!AX31+'QTR Raw'!AX32+'QTR Raw'!AX33+'QTR Raw'!AX36+'QTR Raw'!AX37+'QTR Raw'!AX39</f>
        <v>#NAME?</v>
      </c>
      <c r="CE61" s="75" t="e">
        <f ca="1">'QTR Raw'!AY26+'QTR Raw'!AY31+'QTR Raw'!AY32+'QTR Raw'!AY33+'QTR Raw'!AY36+'QTR Raw'!AY37+'QTR Raw'!AY39</f>
        <v>#NAME?</v>
      </c>
      <c r="CF61" s="75" t="e">
        <f ca="1">'QTR Raw'!AZ26+'QTR Raw'!AZ31+'QTR Raw'!AZ32+'QTR Raw'!AZ33+'QTR Raw'!AZ36+'QTR Raw'!AZ37+'QTR Raw'!AZ39</f>
        <v>#NAME?</v>
      </c>
      <c r="CG61" s="75" t="e">
        <f ca="1">'QTR Raw'!BA26+'QTR Raw'!BA31+'QTR Raw'!BA32+'QTR Raw'!BA33+'QTR Raw'!BA36+'QTR Raw'!BA37+'QTR Raw'!BA39</f>
        <v>#NAME?</v>
      </c>
      <c r="CH61" s="75" t="e">
        <f ca="1">'QTR Raw'!BB26+'QTR Raw'!BB31+'QTR Raw'!BB32+'QTR Raw'!BB33+'QTR Raw'!BB36+'QTR Raw'!BB37+'QTR Raw'!BB39</f>
        <v>#NAME?</v>
      </c>
      <c r="CI61" s="75" t="e">
        <f ca="1">'QTR Raw'!BC26+'QTR Raw'!BC31+'QTR Raw'!BC32+'QTR Raw'!BC33+'QTR Raw'!BC36+'QTR Raw'!BC37+'QTR Raw'!BC39</f>
        <v>#NAME?</v>
      </c>
      <c r="CJ61" s="75" t="e">
        <f ca="1">'QTR Raw'!BD26+'QTR Raw'!BD31+'QTR Raw'!BD32+'QTR Raw'!BD33+'QTR Raw'!BD36+'QTR Raw'!BD37+'QTR Raw'!BD39</f>
        <v>#NAME?</v>
      </c>
      <c r="CK61" s="75" t="e">
        <f ca="1">'QTR Raw'!BE26+'QTR Raw'!BE31+'QTR Raw'!BE32+'QTR Raw'!BE33+'QTR Raw'!BE36+'QTR Raw'!BE37+'QTR Raw'!BE39</f>
        <v>#NAME?</v>
      </c>
      <c r="CL61" s="75" t="e">
        <f ca="1">'QTR Raw'!BF26+'QTR Raw'!BF31+'QTR Raw'!BF32+'QTR Raw'!BF33+'QTR Raw'!BF36+'QTR Raw'!BF37+'QTR Raw'!BF39</f>
        <v>#NAME?</v>
      </c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E61" s="123"/>
      <c r="DF61" s="23">
        <v>0</v>
      </c>
    </row>
    <row r="62" spans="1:110" s="26" customFormat="1" x14ac:dyDescent="0.2">
      <c r="A62" s="35" t="s">
        <v>25</v>
      </c>
      <c r="B62" s="26" t="e">
        <f ca="1">B55+B59+B60+B61</f>
        <v>#NAME?</v>
      </c>
      <c r="C62" s="26" t="e">
        <f ca="1">C55+C59+C60+C61</f>
        <v>#NAME?</v>
      </c>
      <c r="D62" s="26" t="e">
        <f ca="1">D55+D59+D60+D61</f>
        <v>#NAME?</v>
      </c>
      <c r="E62" s="26" t="e">
        <f t="shared" ref="E62:U62" ca="1" si="689">E55+E59+E60+E61</f>
        <v>#NAME?</v>
      </c>
      <c r="F62" s="26" t="e">
        <f t="shared" ca="1" si="689"/>
        <v>#NAME?</v>
      </c>
      <c r="G62" s="26" t="e">
        <f t="shared" ca="1" si="689"/>
        <v>#NAME?</v>
      </c>
      <c r="H62" s="26" t="e">
        <f t="shared" ca="1" si="689"/>
        <v>#NAME?</v>
      </c>
      <c r="I62" s="26" t="e">
        <f t="shared" ca="1" si="689"/>
        <v>#NAME?</v>
      </c>
      <c r="J62" s="26" t="e">
        <f t="shared" ca="1" si="689"/>
        <v>#NAME?</v>
      </c>
      <c r="K62" s="26" t="e">
        <f t="shared" ca="1" si="689"/>
        <v>#NAME?</v>
      </c>
      <c r="L62" s="26" t="e">
        <f t="shared" ca="1" si="689"/>
        <v>#NAME?</v>
      </c>
      <c r="M62" s="26" t="e">
        <f t="shared" ca="1" si="689"/>
        <v>#NAME?</v>
      </c>
      <c r="N62" s="26" t="e">
        <f t="shared" ca="1" si="689"/>
        <v>#NAME?</v>
      </c>
      <c r="O62" s="26" t="e">
        <f t="shared" ca="1" si="689"/>
        <v>#NAME?</v>
      </c>
      <c r="P62" s="26" t="e">
        <f t="shared" ca="1" si="689"/>
        <v>#NAME?</v>
      </c>
      <c r="Q62" s="26" t="e">
        <f t="shared" ca="1" si="689"/>
        <v>#NAME?</v>
      </c>
      <c r="R62" s="26" t="e">
        <f t="shared" ca="1" si="689"/>
        <v>#NAME?</v>
      </c>
      <c r="S62" s="26" t="e">
        <f t="shared" ca="1" si="689"/>
        <v>#NAME?</v>
      </c>
      <c r="T62" s="26" t="e">
        <f t="shared" ca="1" si="689"/>
        <v>#NAME?</v>
      </c>
      <c r="U62" s="26" t="e">
        <f t="shared" ca="1" si="689"/>
        <v>#NAME?</v>
      </c>
      <c r="V62" s="26" t="e">
        <f ca="1">V55+V59+V60+V61</f>
        <v>#NAME?</v>
      </c>
      <c r="W62" s="26" t="e">
        <f ca="1">W55+W59+W60+W61</f>
        <v>#NAME?</v>
      </c>
      <c r="X62" s="26" t="e">
        <f ca="1">X55+X59+X60+X61</f>
        <v>#NAME?</v>
      </c>
      <c r="Y62" s="26" t="e">
        <f ca="1">Y55+Y59+Y60+Y61</f>
        <v>#NAME?</v>
      </c>
      <c r="Z62" s="26" t="e">
        <f ca="1">Z55+Z59+Z60+Z61</f>
        <v>#NAME?</v>
      </c>
      <c r="AA62" s="26" t="e">
        <f ca="1">AA55+AA59+AA60+AA61</f>
        <v>#NAME?</v>
      </c>
      <c r="AB62" s="27" t="e">
        <f t="shared" ref="AA62:AD62" ca="1" si="690">AB55+AB59+AB60+AB61</f>
        <v>#NAME?</v>
      </c>
      <c r="AC62" s="27" t="e">
        <f t="shared" ca="1" si="690"/>
        <v>#NAME?</v>
      </c>
      <c r="AD62" s="27" t="e">
        <f t="shared" ca="1" si="690"/>
        <v>#NAME?</v>
      </c>
      <c r="AE62" s="27" t="e">
        <f t="shared" ref="AE62" ca="1" si="691">AE55+AE59+AE60+AE61</f>
        <v>#NAME?</v>
      </c>
      <c r="AI62" s="26" t="e">
        <f t="shared" ref="AI62" ca="1" si="692">AI55+AI59+AI60+AI61</f>
        <v>#NAME?</v>
      </c>
      <c r="AJ62" s="26" t="e">
        <f t="shared" ref="AJ62" ca="1" si="693">AJ55+AJ59+AJ60+AJ61</f>
        <v>#NAME?</v>
      </c>
      <c r="AK62" s="26" t="e">
        <f t="shared" ref="AK62:AM62" ca="1" si="694">AK55+AK59+AK60+AK61</f>
        <v>#NAME?</v>
      </c>
      <c r="AL62" s="26" t="e">
        <f t="shared" ca="1" si="694"/>
        <v>#NAME?</v>
      </c>
      <c r="AM62" s="26" t="e">
        <f t="shared" ca="1" si="694"/>
        <v>#NAME?</v>
      </c>
      <c r="AN62" s="26" t="e">
        <f t="shared" ref="AN62:AO62" ca="1" si="695">AN55+AN59+AN60+AN61</f>
        <v>#NAME?</v>
      </c>
      <c r="AO62" s="26" t="e">
        <f t="shared" ca="1" si="695"/>
        <v>#NAME?</v>
      </c>
      <c r="AP62" s="26" t="e">
        <f t="shared" ref="AP62:CD62" ca="1" si="696">AP55+AP59+AP60+AP61</f>
        <v>#NAME?</v>
      </c>
      <c r="AQ62" s="26" t="e">
        <f t="shared" ca="1" si="696"/>
        <v>#NAME?</v>
      </c>
      <c r="AR62" s="26" t="e">
        <f t="shared" ca="1" si="696"/>
        <v>#NAME?</v>
      </c>
      <c r="AS62" s="26" t="e">
        <f t="shared" ca="1" si="696"/>
        <v>#NAME?</v>
      </c>
      <c r="AT62" s="26" t="e">
        <f t="shared" ca="1" si="696"/>
        <v>#NAME?</v>
      </c>
      <c r="AU62" s="26" t="e">
        <f t="shared" ca="1" si="696"/>
        <v>#NAME?</v>
      </c>
      <c r="AV62" s="26" t="e">
        <f t="shared" ca="1" si="696"/>
        <v>#NAME?</v>
      </c>
      <c r="AW62" s="26" t="e">
        <f t="shared" ca="1" si="696"/>
        <v>#NAME?</v>
      </c>
      <c r="AX62" s="26" t="e">
        <f t="shared" ca="1" si="696"/>
        <v>#NAME?</v>
      </c>
      <c r="AY62" s="26" t="e">
        <f t="shared" ca="1" si="696"/>
        <v>#NAME?</v>
      </c>
      <c r="AZ62" s="26" t="e">
        <f t="shared" ca="1" si="696"/>
        <v>#NAME?</v>
      </c>
      <c r="BA62" s="26" t="e">
        <f t="shared" ca="1" si="696"/>
        <v>#NAME?</v>
      </c>
      <c r="BB62" s="26" t="e">
        <f t="shared" ca="1" si="696"/>
        <v>#NAME?</v>
      </c>
      <c r="BC62" s="26" t="e">
        <f t="shared" ca="1" si="696"/>
        <v>#NAME?</v>
      </c>
      <c r="BD62" s="26" t="e">
        <f t="shared" ca="1" si="696"/>
        <v>#NAME?</v>
      </c>
      <c r="BE62" s="26" t="e">
        <f t="shared" ca="1" si="696"/>
        <v>#NAME?</v>
      </c>
      <c r="BF62" s="26" t="e">
        <f t="shared" ca="1" si="696"/>
        <v>#NAME?</v>
      </c>
      <c r="BG62" s="26" t="e">
        <f t="shared" ca="1" si="696"/>
        <v>#NAME?</v>
      </c>
      <c r="BH62" s="26" t="e">
        <f t="shared" ca="1" si="696"/>
        <v>#NAME?</v>
      </c>
      <c r="BI62" s="26" t="e">
        <f t="shared" ca="1" si="696"/>
        <v>#NAME?</v>
      </c>
      <c r="BJ62" s="26" t="e">
        <f t="shared" ca="1" si="696"/>
        <v>#NAME?</v>
      </c>
      <c r="BK62" s="26" t="e">
        <f t="shared" ca="1" si="696"/>
        <v>#NAME?</v>
      </c>
      <c r="BL62" s="26" t="e">
        <f t="shared" ca="1" si="696"/>
        <v>#NAME?</v>
      </c>
      <c r="BM62" s="26" t="e">
        <f t="shared" ca="1" si="696"/>
        <v>#NAME?</v>
      </c>
      <c r="BN62" s="26" t="e">
        <f t="shared" ca="1" si="696"/>
        <v>#NAME?</v>
      </c>
      <c r="BO62" s="26" t="e">
        <f t="shared" ca="1" si="696"/>
        <v>#NAME?</v>
      </c>
      <c r="BP62" s="26" t="e">
        <f t="shared" ca="1" si="696"/>
        <v>#NAME?</v>
      </c>
      <c r="BQ62" s="26" t="e">
        <f t="shared" ca="1" si="696"/>
        <v>#NAME?</v>
      </c>
      <c r="BR62" s="26" t="e">
        <f t="shared" ca="1" si="696"/>
        <v>#NAME?</v>
      </c>
      <c r="BS62" s="26" t="e">
        <f t="shared" ca="1" si="696"/>
        <v>#NAME?</v>
      </c>
      <c r="BT62" s="26" t="e">
        <f t="shared" ca="1" si="696"/>
        <v>#NAME?</v>
      </c>
      <c r="BU62" s="26" t="e">
        <f t="shared" ca="1" si="696"/>
        <v>#NAME?</v>
      </c>
      <c r="BV62" s="26" t="e">
        <f t="shared" ca="1" si="696"/>
        <v>#NAME?</v>
      </c>
      <c r="BW62" s="26" t="e">
        <f t="shared" ca="1" si="696"/>
        <v>#NAME?</v>
      </c>
      <c r="BX62" s="26" t="e">
        <f t="shared" ca="1" si="696"/>
        <v>#NAME?</v>
      </c>
      <c r="BY62" s="26" t="e">
        <f t="shared" ca="1" si="696"/>
        <v>#NAME?</v>
      </c>
      <c r="BZ62" s="26" t="e">
        <f t="shared" ca="1" si="696"/>
        <v>#NAME?</v>
      </c>
      <c r="CA62" s="26" t="e">
        <f t="shared" ca="1" si="696"/>
        <v>#NAME?</v>
      </c>
      <c r="CB62" s="26" t="e">
        <f t="shared" ca="1" si="696"/>
        <v>#NAME?</v>
      </c>
      <c r="CC62" s="26" t="e">
        <f t="shared" ca="1" si="696"/>
        <v>#NAME?</v>
      </c>
      <c r="CD62" s="26" t="e">
        <f t="shared" ca="1" si="696"/>
        <v>#NAME?</v>
      </c>
      <c r="CE62" s="26" t="e">
        <f t="shared" ref="CE62:CF62" ca="1" si="697">CE55+CE59+CE60+CE61</f>
        <v>#NAME?</v>
      </c>
      <c r="CF62" s="26" t="e">
        <f t="shared" ca="1" si="697"/>
        <v>#NAME?</v>
      </c>
      <c r="CG62" s="26" t="e">
        <f t="shared" ref="CG62:CH62" ca="1" si="698">CG55+CG59+CG60+CG61</f>
        <v>#NAME?</v>
      </c>
      <c r="CH62" s="26" t="e">
        <f t="shared" ca="1" si="698"/>
        <v>#NAME?</v>
      </c>
      <c r="CI62" s="26" t="e">
        <f t="shared" ref="CI62:CJ62" ca="1" si="699">CI55+CI59+CI60+CI61</f>
        <v>#NAME?</v>
      </c>
      <c r="CJ62" s="26" t="e">
        <f t="shared" ca="1" si="699"/>
        <v>#NAME?</v>
      </c>
      <c r="CK62" s="26" t="e">
        <f t="shared" ref="CK62:CL62" ca="1" si="700">CK55+CK59+CK60+CK61</f>
        <v>#NAME?</v>
      </c>
      <c r="CL62" s="26" t="e">
        <f t="shared" ca="1" si="700"/>
        <v>#NAME?</v>
      </c>
      <c r="CM62" s="27" t="e">
        <f t="shared" ref="CM62:DB62" ca="1" si="701">CM55+CM59+CM60+CM61</f>
        <v>#NAME?</v>
      </c>
      <c r="CN62" s="27" t="e">
        <f t="shared" ca="1" si="701"/>
        <v>#NAME?</v>
      </c>
      <c r="CO62" s="27" t="e">
        <f t="shared" ca="1" si="701"/>
        <v>#NAME?</v>
      </c>
      <c r="CP62" s="27" t="e">
        <f t="shared" ca="1" si="701"/>
        <v>#NAME?</v>
      </c>
      <c r="CQ62" s="27" t="e">
        <f t="shared" ca="1" si="701"/>
        <v>#NAME?</v>
      </c>
      <c r="CR62" s="27" t="e">
        <f t="shared" ca="1" si="701"/>
        <v>#NAME?</v>
      </c>
      <c r="CS62" s="27" t="e">
        <f t="shared" ca="1" si="701"/>
        <v>#NAME?</v>
      </c>
      <c r="CT62" s="27" t="e">
        <f t="shared" ca="1" si="701"/>
        <v>#NAME?</v>
      </c>
      <c r="CU62" s="27" t="e">
        <f t="shared" ca="1" si="701"/>
        <v>#NAME?</v>
      </c>
      <c r="CV62" s="27" t="e">
        <f t="shared" ca="1" si="701"/>
        <v>#NAME?</v>
      </c>
      <c r="CW62" s="27" t="e">
        <f t="shared" ca="1" si="701"/>
        <v>#NAME?</v>
      </c>
      <c r="CX62" s="27" t="e">
        <f t="shared" ca="1" si="701"/>
        <v>#NAME?</v>
      </c>
      <c r="CY62" s="27" t="e">
        <f t="shared" ca="1" si="701"/>
        <v>#NAME?</v>
      </c>
      <c r="CZ62" s="27" t="e">
        <f t="shared" ca="1" si="701"/>
        <v>#NAME?</v>
      </c>
      <c r="DA62" s="27" t="e">
        <f t="shared" ca="1" si="701"/>
        <v>#NAME?</v>
      </c>
      <c r="DB62" s="27" t="e">
        <f t="shared" ca="1" si="701"/>
        <v>#NAME?</v>
      </c>
      <c r="DE62" s="121"/>
      <c r="DF62" s="26">
        <v>129.27400000000003</v>
      </c>
    </row>
    <row r="63" spans="1:110" s="25" customFormat="1" x14ac:dyDescent="0.2">
      <c r="A63" s="151" t="s">
        <v>486</v>
      </c>
      <c r="AB63" s="17"/>
      <c r="AC63" s="17"/>
      <c r="AD63" s="17"/>
      <c r="AE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E63" s="119"/>
    </row>
    <row r="64" spans="1:110" s="1" customFormat="1" x14ac:dyDescent="0.2">
      <c r="AB64" s="20"/>
      <c r="AC64" s="20"/>
      <c r="AD64" s="20"/>
      <c r="AE64" s="20"/>
      <c r="BV64" s="183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E64" s="119"/>
    </row>
    <row r="65" spans="1:110" s="22" customFormat="1" x14ac:dyDescent="0.2">
      <c r="A65" s="22" t="s">
        <v>434</v>
      </c>
      <c r="B65" s="22" t="e">
        <f ca="1">'Annual Raw'!C35</f>
        <v>#NAME?</v>
      </c>
      <c r="C65" s="22" t="e">
        <f ca="1">'Annual Raw'!D35</f>
        <v>#NAME?</v>
      </c>
      <c r="D65" s="22" t="e">
        <f ca="1">'Annual Raw'!E35</f>
        <v>#NAME?</v>
      </c>
      <c r="E65" s="22" t="e">
        <f ca="1">'Annual Raw'!F35</f>
        <v>#NAME?</v>
      </c>
      <c r="F65" s="22" t="e">
        <f ca="1">'Annual Raw'!G35</f>
        <v>#NAME?</v>
      </c>
      <c r="G65" s="22" t="e">
        <f ca="1">'Annual Raw'!H35</f>
        <v>#NAME?</v>
      </c>
      <c r="H65" s="22" t="e">
        <f ca="1">'Annual Raw'!I35</f>
        <v>#NAME?</v>
      </c>
      <c r="I65" s="22" t="e">
        <f ca="1">'Annual Raw'!J35</f>
        <v>#NAME?</v>
      </c>
      <c r="J65" s="22" t="e">
        <f ca="1">'Annual Raw'!K35</f>
        <v>#NAME?</v>
      </c>
      <c r="K65" s="22" t="e">
        <f ca="1">'Annual Raw'!L35</f>
        <v>#NAME?</v>
      </c>
      <c r="L65" s="22" t="e">
        <f ca="1">'Annual Raw'!M35</f>
        <v>#NAME?</v>
      </c>
      <c r="M65" s="22" t="e">
        <f ca="1">'Annual Raw'!N35</f>
        <v>#NAME?</v>
      </c>
      <c r="N65" s="22" t="e">
        <f ca="1">'Annual Raw'!O35</f>
        <v>#NAME?</v>
      </c>
      <c r="O65" s="22" t="e">
        <f ca="1">'Annual Raw'!P35</f>
        <v>#NAME?</v>
      </c>
      <c r="P65" s="22" t="e">
        <f ca="1">'Annual Raw'!Q35</f>
        <v>#NAME?</v>
      </c>
      <c r="Q65" s="22" t="e">
        <f ca="1">'Annual Raw'!R35</f>
        <v>#NAME?</v>
      </c>
      <c r="R65" s="22" t="e">
        <f ca="1">'Annual Raw'!S35</f>
        <v>#NAME?</v>
      </c>
      <c r="S65" s="22" t="e">
        <f ca="1">'Annual Raw'!T35</f>
        <v>#NAME?</v>
      </c>
      <c r="T65" s="22" t="e">
        <f ca="1">'Annual Raw'!U35</f>
        <v>#NAME?</v>
      </c>
      <c r="U65" s="22" t="e">
        <f ca="1">'Annual Raw'!V35</f>
        <v>#NAME?</v>
      </c>
      <c r="V65" s="22" t="e">
        <f ca="1">'Annual Raw'!W35</f>
        <v>#NAME?</v>
      </c>
      <c r="W65" s="22" t="e">
        <f ca="1">'Annual Raw'!X35</f>
        <v>#NAME?</v>
      </c>
      <c r="X65" s="22" t="e">
        <f ca="1">'Annual Raw'!Y35</f>
        <v>#NAME?</v>
      </c>
      <c r="Y65" s="22" t="e">
        <f ca="1">'Annual Raw'!Z35</f>
        <v>#NAME?</v>
      </c>
      <c r="Z65" s="22" t="e">
        <f ca="1">'Annual Raw'!AA35</f>
        <v>#NAME?</v>
      </c>
      <c r="AA65" s="22" t="e">
        <f ca="1">'Annual Raw'!AB35</f>
        <v>#NAME?</v>
      </c>
      <c r="AB65" s="21" t="e">
        <f t="shared" ref="AA65:AD65" ca="1" si="702">+AB62</f>
        <v>#NAME?</v>
      </c>
      <c r="AC65" s="21" t="e">
        <f t="shared" ca="1" si="702"/>
        <v>#NAME?</v>
      </c>
      <c r="AD65" s="21" t="e">
        <f t="shared" ca="1" si="702"/>
        <v>#NAME?</v>
      </c>
      <c r="AE65" s="21" t="e">
        <f t="shared" ref="AE65" ca="1" si="703">+AE62</f>
        <v>#NAME?</v>
      </c>
      <c r="AI65" s="22" t="e">
        <f ca="1">'QTR Raw'!C42</f>
        <v>#NAME?</v>
      </c>
      <c r="AJ65" s="22" t="e">
        <f ca="1">'QTR Raw'!D42</f>
        <v>#NAME?</v>
      </c>
      <c r="AK65" s="22" t="e">
        <f ca="1">'QTR Raw'!E42</f>
        <v>#NAME?</v>
      </c>
      <c r="AL65" s="22" t="e">
        <f ca="1">'QTR Raw'!F42</f>
        <v>#NAME?</v>
      </c>
      <c r="AM65" s="22" t="e">
        <f ca="1">'QTR Raw'!G42</f>
        <v>#NAME?</v>
      </c>
      <c r="AN65" s="22" t="e">
        <f ca="1">'QTR Raw'!H42</f>
        <v>#NAME?</v>
      </c>
      <c r="AO65" s="22" t="e">
        <f ca="1">'QTR Raw'!I42</f>
        <v>#NAME?</v>
      </c>
      <c r="AP65" s="22" t="e">
        <f ca="1">'QTR Raw'!J42</f>
        <v>#NAME?</v>
      </c>
      <c r="AQ65" s="22" t="e">
        <f ca="1">'QTR Raw'!K42</f>
        <v>#NAME?</v>
      </c>
      <c r="AR65" s="22" t="e">
        <f ca="1">'QTR Raw'!L42</f>
        <v>#NAME?</v>
      </c>
      <c r="AS65" s="22" t="e">
        <f ca="1">'QTR Raw'!M42</f>
        <v>#NAME?</v>
      </c>
      <c r="AT65" s="22" t="e">
        <f ca="1">'QTR Raw'!N42</f>
        <v>#NAME?</v>
      </c>
      <c r="AU65" s="22" t="e">
        <f ca="1">'QTR Raw'!O42</f>
        <v>#NAME?</v>
      </c>
      <c r="AV65" s="22" t="e">
        <f ca="1">'QTR Raw'!P42</f>
        <v>#NAME?</v>
      </c>
      <c r="AW65" s="22" t="e">
        <f ca="1">'QTR Raw'!Q42</f>
        <v>#NAME?</v>
      </c>
      <c r="AX65" s="22" t="e">
        <f ca="1">'QTR Raw'!R42</f>
        <v>#NAME?</v>
      </c>
      <c r="AY65" s="22" t="e">
        <f ca="1">'QTR Raw'!S42</f>
        <v>#NAME?</v>
      </c>
      <c r="AZ65" s="22" t="e">
        <f ca="1">'QTR Raw'!T42</f>
        <v>#NAME?</v>
      </c>
      <c r="BA65" s="22" t="e">
        <f ca="1">'QTR Raw'!U42</f>
        <v>#NAME?</v>
      </c>
      <c r="BB65" s="22" t="e">
        <f ca="1">'QTR Raw'!V42</f>
        <v>#NAME?</v>
      </c>
      <c r="BC65" s="22" t="e">
        <f ca="1">'QTR Raw'!W42</f>
        <v>#NAME?</v>
      </c>
      <c r="BD65" s="22" t="e">
        <f ca="1">'QTR Raw'!X42</f>
        <v>#NAME?</v>
      </c>
      <c r="BE65" s="22" t="e">
        <f ca="1">'QTR Raw'!Y42</f>
        <v>#NAME?</v>
      </c>
      <c r="BF65" s="22" t="e">
        <f ca="1">'QTR Raw'!Z42</f>
        <v>#NAME?</v>
      </c>
      <c r="BG65" s="22" t="e">
        <f ca="1">'QTR Raw'!AA42</f>
        <v>#NAME?</v>
      </c>
      <c r="BH65" s="22" t="e">
        <f ca="1">'QTR Raw'!AB42</f>
        <v>#NAME?</v>
      </c>
      <c r="BI65" s="22" t="e">
        <f ca="1">'QTR Raw'!AC42</f>
        <v>#NAME?</v>
      </c>
      <c r="BJ65" s="22" t="e">
        <f ca="1">'QTR Raw'!AD42</f>
        <v>#NAME?</v>
      </c>
      <c r="BK65" s="22" t="e">
        <f ca="1">'QTR Raw'!AE42</f>
        <v>#NAME?</v>
      </c>
      <c r="BL65" s="22" t="e">
        <f ca="1">'QTR Raw'!AF42</f>
        <v>#NAME?</v>
      </c>
      <c r="BM65" s="22" t="e">
        <f ca="1">'QTR Raw'!AG42</f>
        <v>#NAME?</v>
      </c>
      <c r="BN65" s="22" t="e">
        <f ca="1">'QTR Raw'!AH42</f>
        <v>#NAME?</v>
      </c>
      <c r="BO65" s="22" t="e">
        <f ca="1">'QTR Raw'!AI42</f>
        <v>#NAME?</v>
      </c>
      <c r="BP65" s="22" t="e">
        <f ca="1">'QTR Raw'!AJ42</f>
        <v>#NAME?</v>
      </c>
      <c r="BQ65" s="22" t="e">
        <f ca="1">'QTR Raw'!AK42</f>
        <v>#NAME?</v>
      </c>
      <c r="BR65" s="22" t="e">
        <f ca="1">'QTR Raw'!AL42</f>
        <v>#NAME?</v>
      </c>
      <c r="BS65" s="22" t="e">
        <f ca="1">'QTR Raw'!AM42</f>
        <v>#NAME?</v>
      </c>
      <c r="BT65" s="22" t="e">
        <f ca="1">'QTR Raw'!AN42</f>
        <v>#NAME?</v>
      </c>
      <c r="BU65" s="22" t="e">
        <f ca="1">'QTR Raw'!AO42</f>
        <v>#NAME?</v>
      </c>
      <c r="BV65" s="22" t="e">
        <f ca="1">'QTR Raw'!AP42</f>
        <v>#NAME?</v>
      </c>
      <c r="BW65" s="22" t="e">
        <f ca="1">'QTR Raw'!AQ42</f>
        <v>#NAME?</v>
      </c>
      <c r="BX65" s="22" t="e">
        <f ca="1">'QTR Raw'!AR42</f>
        <v>#NAME?</v>
      </c>
      <c r="BY65" s="22" t="e">
        <f ca="1">'QTR Raw'!AS42</f>
        <v>#NAME?</v>
      </c>
      <c r="BZ65" s="22" t="e">
        <f ca="1">'QTR Raw'!AT42</f>
        <v>#NAME?</v>
      </c>
      <c r="CA65" s="22" t="e">
        <f ca="1">'QTR Raw'!AU42</f>
        <v>#NAME?</v>
      </c>
      <c r="CB65" s="22" t="e">
        <f ca="1">'QTR Raw'!AV42</f>
        <v>#NAME?</v>
      </c>
      <c r="CC65" s="22" t="e">
        <f ca="1">'QTR Raw'!AW42</f>
        <v>#NAME?</v>
      </c>
      <c r="CD65" s="22" t="e">
        <f ca="1">'QTR Raw'!AX42</f>
        <v>#NAME?</v>
      </c>
      <c r="CE65" s="22" t="e">
        <f ca="1">'QTR Raw'!AY42</f>
        <v>#NAME?</v>
      </c>
      <c r="CF65" s="22" t="e">
        <f ca="1">'QTR Raw'!AZ42</f>
        <v>#NAME?</v>
      </c>
      <c r="CG65" s="22" t="e">
        <f ca="1">'QTR Raw'!BA42</f>
        <v>#NAME?</v>
      </c>
      <c r="CH65" s="22">
        <v>18.399999999999999</v>
      </c>
      <c r="CI65" s="22" t="e">
        <f ca="1">'QTR Raw'!BC42</f>
        <v>#NAME?</v>
      </c>
      <c r="CJ65" s="22" t="e">
        <f ca="1">'QTR Raw'!BD42</f>
        <v>#NAME?</v>
      </c>
      <c r="CK65" s="22" t="e">
        <f ca="1">'QTR Raw'!BE42</f>
        <v>#NAME?</v>
      </c>
      <c r="CL65" s="22" t="e">
        <f ca="1">'QTR Raw'!BF42</f>
        <v>#NAME?</v>
      </c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E65" s="119"/>
      <c r="DF65" s="22">
        <v>129.27400000000003</v>
      </c>
    </row>
    <row r="66" spans="1:110" s="25" customFormat="1" x14ac:dyDescent="0.2">
      <c r="A66" s="36" t="s">
        <v>435</v>
      </c>
      <c r="B66" s="25" t="e">
        <f t="shared" ref="B66:V66" ca="1" si="704">B65-B62</f>
        <v>#NAME?</v>
      </c>
      <c r="C66" s="25" t="e">
        <f ca="1">C65-C62</f>
        <v>#NAME?</v>
      </c>
      <c r="D66" s="25" t="e">
        <f t="shared" ca="1" si="704"/>
        <v>#NAME?</v>
      </c>
      <c r="E66" s="25" t="e">
        <f t="shared" ca="1" si="704"/>
        <v>#NAME?</v>
      </c>
      <c r="F66" s="25" t="e">
        <f t="shared" ca="1" si="704"/>
        <v>#NAME?</v>
      </c>
      <c r="G66" s="25" t="e">
        <f t="shared" ca="1" si="704"/>
        <v>#NAME?</v>
      </c>
      <c r="H66" s="25" t="e">
        <f t="shared" ca="1" si="704"/>
        <v>#NAME?</v>
      </c>
      <c r="I66" s="25" t="e">
        <f t="shared" ca="1" si="704"/>
        <v>#NAME?</v>
      </c>
      <c r="J66" s="25" t="e">
        <f t="shared" ca="1" si="704"/>
        <v>#NAME?</v>
      </c>
      <c r="K66" s="25" t="e">
        <f t="shared" ca="1" si="704"/>
        <v>#NAME?</v>
      </c>
      <c r="L66" s="25" t="e">
        <f t="shared" ca="1" si="704"/>
        <v>#NAME?</v>
      </c>
      <c r="M66" s="25" t="e">
        <f t="shared" ca="1" si="704"/>
        <v>#NAME?</v>
      </c>
      <c r="N66" s="25" t="e">
        <f t="shared" ca="1" si="704"/>
        <v>#NAME?</v>
      </c>
      <c r="O66" s="25" t="e">
        <f t="shared" ca="1" si="704"/>
        <v>#NAME?</v>
      </c>
      <c r="P66" s="25" t="e">
        <f t="shared" ca="1" si="704"/>
        <v>#NAME?</v>
      </c>
      <c r="Q66" s="25" t="e">
        <f t="shared" ca="1" si="704"/>
        <v>#NAME?</v>
      </c>
      <c r="R66" s="25" t="e">
        <f t="shared" ca="1" si="704"/>
        <v>#NAME?</v>
      </c>
      <c r="S66" s="25" t="e">
        <f t="shared" ca="1" si="704"/>
        <v>#NAME?</v>
      </c>
      <c r="T66" s="25" t="e">
        <f t="shared" ca="1" si="704"/>
        <v>#NAME?</v>
      </c>
      <c r="U66" s="25" t="e">
        <f t="shared" ca="1" si="704"/>
        <v>#NAME?</v>
      </c>
      <c r="V66" s="25" t="e">
        <f t="shared" ca="1" si="704"/>
        <v>#NAME?</v>
      </c>
      <c r="W66" s="25" t="e">
        <f t="shared" ref="W66" ca="1" si="705">W65-W62</f>
        <v>#NAME?</v>
      </c>
      <c r="X66" s="25" t="e">
        <f t="shared" ref="X66:Y66" ca="1" si="706">X65-X62</f>
        <v>#NAME?</v>
      </c>
      <c r="Y66" s="25" t="e">
        <f t="shared" ca="1" si="706"/>
        <v>#NAME?</v>
      </c>
      <c r="Z66" s="25" t="e">
        <f t="shared" ref="Z66:AA66" ca="1" si="707">Z65-Z62</f>
        <v>#NAME?</v>
      </c>
      <c r="AA66" s="25" t="e">
        <f t="shared" ca="1" si="707"/>
        <v>#NAME?</v>
      </c>
      <c r="AB66" s="17" t="e">
        <f t="shared" ref="AA66:AD66" ca="1" si="708">AB65-AB62</f>
        <v>#NAME?</v>
      </c>
      <c r="AC66" s="17" t="e">
        <f t="shared" ca="1" si="708"/>
        <v>#NAME?</v>
      </c>
      <c r="AD66" s="17" t="e">
        <f t="shared" ca="1" si="708"/>
        <v>#NAME?</v>
      </c>
      <c r="AE66" s="17" t="e">
        <f t="shared" ref="AE66" ca="1" si="709">AE65-AE62</f>
        <v>#NAME?</v>
      </c>
      <c r="AI66" s="25" t="e">
        <f t="shared" ref="AI66" ca="1" si="710">AI65-AI62</f>
        <v>#NAME?</v>
      </c>
      <c r="AJ66" s="25" t="e">
        <f t="shared" ref="AJ66" ca="1" si="711">AJ65-AJ62</f>
        <v>#NAME?</v>
      </c>
      <c r="AK66" s="25" t="e">
        <f t="shared" ref="AK66:AM66" ca="1" si="712">AK65-AK62</f>
        <v>#NAME?</v>
      </c>
      <c r="AL66" s="25" t="e">
        <f t="shared" ca="1" si="712"/>
        <v>#NAME?</v>
      </c>
      <c r="AM66" s="25" t="e">
        <f t="shared" ca="1" si="712"/>
        <v>#NAME?</v>
      </c>
      <c r="AN66" s="25" t="e">
        <f t="shared" ref="AN66:AO66" ca="1" si="713">AN65-AN62</f>
        <v>#NAME?</v>
      </c>
      <c r="AO66" s="25" t="e">
        <f t="shared" ca="1" si="713"/>
        <v>#NAME?</v>
      </c>
      <c r="AP66" s="25" t="e">
        <f t="shared" ref="AP66:CD66" ca="1" si="714">AP65-AP62</f>
        <v>#NAME?</v>
      </c>
      <c r="AQ66" s="25" t="e">
        <f t="shared" ca="1" si="714"/>
        <v>#NAME?</v>
      </c>
      <c r="AR66" s="25" t="e">
        <f t="shared" ca="1" si="714"/>
        <v>#NAME?</v>
      </c>
      <c r="AS66" s="25" t="e">
        <f t="shared" ca="1" si="714"/>
        <v>#NAME?</v>
      </c>
      <c r="AT66" s="25" t="e">
        <f t="shared" ca="1" si="714"/>
        <v>#NAME?</v>
      </c>
      <c r="AU66" s="25" t="e">
        <f t="shared" ca="1" si="714"/>
        <v>#NAME?</v>
      </c>
      <c r="AV66" s="25" t="e">
        <f t="shared" ca="1" si="714"/>
        <v>#NAME?</v>
      </c>
      <c r="AW66" s="25" t="e">
        <f t="shared" ca="1" si="714"/>
        <v>#NAME?</v>
      </c>
      <c r="AX66" s="25" t="e">
        <f t="shared" ca="1" si="714"/>
        <v>#NAME?</v>
      </c>
      <c r="AY66" s="25" t="e">
        <f t="shared" ca="1" si="714"/>
        <v>#NAME?</v>
      </c>
      <c r="AZ66" s="25" t="e">
        <f t="shared" ca="1" si="714"/>
        <v>#NAME?</v>
      </c>
      <c r="BA66" s="25" t="e">
        <f t="shared" ca="1" si="714"/>
        <v>#NAME?</v>
      </c>
      <c r="BB66" s="25" t="e">
        <f t="shared" ca="1" si="714"/>
        <v>#NAME?</v>
      </c>
      <c r="BC66" s="25" t="e">
        <f t="shared" ca="1" si="714"/>
        <v>#NAME?</v>
      </c>
      <c r="BD66" s="25" t="e">
        <f t="shared" ca="1" si="714"/>
        <v>#NAME?</v>
      </c>
      <c r="BE66" s="25" t="e">
        <f t="shared" ca="1" si="714"/>
        <v>#NAME?</v>
      </c>
      <c r="BF66" s="25" t="e">
        <f t="shared" ca="1" si="714"/>
        <v>#NAME?</v>
      </c>
      <c r="BG66" s="25" t="e">
        <f t="shared" ca="1" si="714"/>
        <v>#NAME?</v>
      </c>
      <c r="BH66" s="25" t="e">
        <f t="shared" ca="1" si="714"/>
        <v>#NAME?</v>
      </c>
      <c r="BI66" s="25" t="e">
        <f t="shared" ca="1" si="714"/>
        <v>#NAME?</v>
      </c>
      <c r="BJ66" s="25" t="e">
        <f t="shared" ca="1" si="714"/>
        <v>#NAME?</v>
      </c>
      <c r="BK66" s="25" t="e">
        <f t="shared" ca="1" si="714"/>
        <v>#NAME?</v>
      </c>
      <c r="BL66" s="25" t="e">
        <f t="shared" ca="1" si="714"/>
        <v>#NAME?</v>
      </c>
      <c r="BM66" s="25" t="e">
        <f t="shared" ca="1" si="714"/>
        <v>#NAME?</v>
      </c>
      <c r="BN66" s="25" t="e">
        <f t="shared" ca="1" si="714"/>
        <v>#NAME?</v>
      </c>
      <c r="BO66" s="25" t="e">
        <f t="shared" ca="1" si="714"/>
        <v>#NAME?</v>
      </c>
      <c r="BP66" s="25" t="e">
        <f t="shared" ca="1" si="714"/>
        <v>#NAME?</v>
      </c>
      <c r="BQ66" s="25" t="e">
        <f t="shared" ca="1" si="714"/>
        <v>#NAME?</v>
      </c>
      <c r="BR66" s="25" t="e">
        <f t="shared" ca="1" si="714"/>
        <v>#NAME?</v>
      </c>
      <c r="BS66" s="25" t="e">
        <f t="shared" ca="1" si="714"/>
        <v>#NAME?</v>
      </c>
      <c r="BT66" s="25" t="e">
        <f t="shared" ca="1" si="714"/>
        <v>#NAME?</v>
      </c>
      <c r="BU66" s="25" t="e">
        <f t="shared" ca="1" si="714"/>
        <v>#NAME?</v>
      </c>
      <c r="BV66" s="25" t="e">
        <f t="shared" ca="1" si="714"/>
        <v>#NAME?</v>
      </c>
      <c r="BW66" s="25" t="e">
        <f t="shared" ca="1" si="714"/>
        <v>#NAME?</v>
      </c>
      <c r="BX66" s="25" t="e">
        <f t="shared" ca="1" si="714"/>
        <v>#NAME?</v>
      </c>
      <c r="BY66" s="25" t="e">
        <f t="shared" ca="1" si="714"/>
        <v>#NAME?</v>
      </c>
      <c r="BZ66" s="25" t="e">
        <f t="shared" ca="1" si="714"/>
        <v>#NAME?</v>
      </c>
      <c r="CA66" s="25" t="e">
        <f t="shared" ca="1" si="714"/>
        <v>#NAME?</v>
      </c>
      <c r="CB66" s="25" t="e">
        <f t="shared" ca="1" si="714"/>
        <v>#NAME?</v>
      </c>
      <c r="CC66" s="25" t="e">
        <f t="shared" ca="1" si="714"/>
        <v>#NAME?</v>
      </c>
      <c r="CD66" s="25" t="e">
        <f t="shared" ca="1" si="714"/>
        <v>#NAME?</v>
      </c>
      <c r="CE66" s="25" t="e">
        <f t="shared" ref="CE66:CF66" ca="1" si="715">CE65-CE62</f>
        <v>#NAME?</v>
      </c>
      <c r="CF66" s="25" t="e">
        <f t="shared" ca="1" si="715"/>
        <v>#NAME?</v>
      </c>
      <c r="CG66" s="25" t="e">
        <f t="shared" ref="CG66:CH66" ca="1" si="716">CG65-CG62</f>
        <v>#NAME?</v>
      </c>
      <c r="CH66" s="25" t="e">
        <f t="shared" ca="1" si="716"/>
        <v>#NAME?</v>
      </c>
      <c r="CI66" s="25" t="e">
        <f t="shared" ref="CI66:CJ66" ca="1" si="717">CI65-CI62</f>
        <v>#NAME?</v>
      </c>
      <c r="CJ66" s="25" t="e">
        <f t="shared" ca="1" si="717"/>
        <v>#NAME?</v>
      </c>
      <c r="CK66" s="25" t="e">
        <f t="shared" ref="CK66:CL66" ca="1" si="718">CK65-CK62</f>
        <v>#NAME?</v>
      </c>
      <c r="CL66" s="25" t="e">
        <f t="shared" ca="1" si="718"/>
        <v>#NAME?</v>
      </c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E66" s="119"/>
      <c r="DF66" s="25">
        <v>0</v>
      </c>
    </row>
    <row r="67" spans="1:110" s="1" customFormat="1" x14ac:dyDescent="0.2">
      <c r="A67" s="150" t="s">
        <v>487</v>
      </c>
      <c r="AB67" s="20"/>
      <c r="AC67" s="20"/>
      <c r="AD67" s="20"/>
      <c r="AE67" s="20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E67" s="119"/>
    </row>
    <row r="68" spans="1:110" s="38" customFormat="1" x14ac:dyDescent="0.2">
      <c r="A68" s="38" t="s">
        <v>350</v>
      </c>
      <c r="B68" s="39" t="e">
        <f t="shared" ref="B68:AE68" ca="1" si="719">(B62-B61)/B134</f>
        <v>#NAME?</v>
      </c>
      <c r="C68" s="39" t="e">
        <f t="shared" ca="1" si="719"/>
        <v>#NAME?</v>
      </c>
      <c r="D68" s="39" t="e">
        <f t="shared" ca="1" si="719"/>
        <v>#NAME?</v>
      </c>
      <c r="E68" s="39" t="e">
        <f t="shared" ca="1" si="719"/>
        <v>#NAME?</v>
      </c>
      <c r="F68" s="39" t="e">
        <f t="shared" ca="1" si="719"/>
        <v>#NAME?</v>
      </c>
      <c r="G68" s="39" t="e">
        <f t="shared" ca="1" si="719"/>
        <v>#NAME?</v>
      </c>
      <c r="H68" s="39" t="e">
        <f t="shared" ca="1" si="719"/>
        <v>#NAME?</v>
      </c>
      <c r="I68" s="39" t="e">
        <f t="shared" ca="1" si="719"/>
        <v>#NAME?</v>
      </c>
      <c r="J68" s="39" t="e">
        <f t="shared" ca="1" si="719"/>
        <v>#NAME?</v>
      </c>
      <c r="K68" s="39" t="e">
        <f t="shared" ca="1" si="719"/>
        <v>#NAME?</v>
      </c>
      <c r="L68" s="39" t="e">
        <f t="shared" ca="1" si="719"/>
        <v>#NAME?</v>
      </c>
      <c r="M68" s="39" t="e">
        <f t="shared" ca="1" si="719"/>
        <v>#NAME?</v>
      </c>
      <c r="N68" s="39" t="e">
        <f t="shared" ca="1" si="719"/>
        <v>#NAME?</v>
      </c>
      <c r="O68" s="39" t="e">
        <f t="shared" ca="1" si="719"/>
        <v>#NAME?</v>
      </c>
      <c r="P68" s="39" t="e">
        <f t="shared" ca="1" si="719"/>
        <v>#NAME?</v>
      </c>
      <c r="Q68" s="39" t="e">
        <f t="shared" ca="1" si="719"/>
        <v>#NAME?</v>
      </c>
      <c r="R68" s="39" t="e">
        <f t="shared" ca="1" si="719"/>
        <v>#NAME?</v>
      </c>
      <c r="S68" s="39" t="e">
        <f t="shared" ca="1" si="719"/>
        <v>#NAME?</v>
      </c>
      <c r="T68" s="39" t="e">
        <f t="shared" ca="1" si="719"/>
        <v>#NAME?</v>
      </c>
      <c r="U68" s="39" t="e">
        <f t="shared" ca="1" si="719"/>
        <v>#NAME?</v>
      </c>
      <c r="V68" s="39" t="e">
        <f t="shared" ca="1" si="719"/>
        <v>#NAME?</v>
      </c>
      <c r="W68" s="39" t="e">
        <f t="shared" ca="1" si="719"/>
        <v>#NAME?</v>
      </c>
      <c r="X68" s="39" t="e">
        <f t="shared" ca="1" si="719"/>
        <v>#NAME?</v>
      </c>
      <c r="Y68" s="39" t="e">
        <f t="shared" ca="1" si="719"/>
        <v>#NAME?</v>
      </c>
      <c r="Z68" s="39" t="e">
        <f t="shared" ca="1" si="719"/>
        <v>#NAME?</v>
      </c>
      <c r="AA68" s="39" t="e">
        <f t="shared" ref="AA68" ca="1" si="720">(AA62-AA61)/AA134</f>
        <v>#NAME?</v>
      </c>
      <c r="AB68" s="40" t="e">
        <f t="shared" ca="1" si="719"/>
        <v>#NAME?</v>
      </c>
      <c r="AC68" s="40" t="e">
        <f t="shared" ca="1" si="719"/>
        <v>#NAME?</v>
      </c>
      <c r="AD68" s="40" t="e">
        <f t="shared" ca="1" si="719"/>
        <v>#NAME?</v>
      </c>
      <c r="AE68" s="40" t="e">
        <f t="shared" ca="1" si="719"/>
        <v>#NAME?</v>
      </c>
      <c r="AF68" s="39"/>
      <c r="AG68" s="39"/>
      <c r="AH68" s="39"/>
      <c r="AI68" s="39"/>
      <c r="AJ68" s="39"/>
      <c r="AK68" s="39"/>
      <c r="AL68" s="39" t="e">
        <f t="shared" ref="AL68:BQ68" ca="1" si="721">(SUM(AI62:AL62)-SUM(AI61:AL61))/AL134</f>
        <v>#NAME?</v>
      </c>
      <c r="AM68" s="39" t="e">
        <f t="shared" ca="1" si="721"/>
        <v>#NAME?</v>
      </c>
      <c r="AN68" s="39" t="e">
        <f t="shared" ca="1" si="721"/>
        <v>#NAME?</v>
      </c>
      <c r="AO68" s="39" t="e">
        <f t="shared" ca="1" si="721"/>
        <v>#NAME?</v>
      </c>
      <c r="AP68" s="39" t="e">
        <f t="shared" ca="1" si="721"/>
        <v>#NAME?</v>
      </c>
      <c r="AQ68" s="39" t="e">
        <f t="shared" ca="1" si="721"/>
        <v>#NAME?</v>
      </c>
      <c r="AR68" s="39" t="e">
        <f t="shared" ca="1" si="721"/>
        <v>#NAME?</v>
      </c>
      <c r="AS68" s="39" t="e">
        <f t="shared" ca="1" si="721"/>
        <v>#NAME?</v>
      </c>
      <c r="AT68" s="39" t="e">
        <f t="shared" ca="1" si="721"/>
        <v>#NAME?</v>
      </c>
      <c r="AU68" s="39" t="e">
        <f t="shared" ca="1" si="721"/>
        <v>#NAME?</v>
      </c>
      <c r="AV68" s="39" t="e">
        <f t="shared" ca="1" si="721"/>
        <v>#NAME?</v>
      </c>
      <c r="AW68" s="39" t="e">
        <f t="shared" ca="1" si="721"/>
        <v>#NAME?</v>
      </c>
      <c r="AX68" s="39" t="e">
        <f t="shared" ca="1" si="721"/>
        <v>#NAME?</v>
      </c>
      <c r="AY68" s="39" t="e">
        <f t="shared" ca="1" si="721"/>
        <v>#NAME?</v>
      </c>
      <c r="AZ68" s="39" t="e">
        <f t="shared" ca="1" si="721"/>
        <v>#NAME?</v>
      </c>
      <c r="BA68" s="39" t="e">
        <f t="shared" ca="1" si="721"/>
        <v>#NAME?</v>
      </c>
      <c r="BB68" s="39" t="e">
        <f t="shared" ca="1" si="721"/>
        <v>#NAME?</v>
      </c>
      <c r="BC68" s="39" t="e">
        <f t="shared" ca="1" si="721"/>
        <v>#NAME?</v>
      </c>
      <c r="BD68" s="39" t="e">
        <f t="shared" ca="1" si="721"/>
        <v>#NAME?</v>
      </c>
      <c r="BE68" s="39" t="e">
        <f t="shared" ca="1" si="721"/>
        <v>#NAME?</v>
      </c>
      <c r="BF68" s="39" t="e">
        <f t="shared" ca="1" si="721"/>
        <v>#NAME?</v>
      </c>
      <c r="BG68" s="39" t="e">
        <f t="shared" ca="1" si="721"/>
        <v>#NAME?</v>
      </c>
      <c r="BH68" s="39" t="e">
        <f t="shared" ca="1" si="721"/>
        <v>#NAME?</v>
      </c>
      <c r="BI68" s="39" t="e">
        <f t="shared" ca="1" si="721"/>
        <v>#NAME?</v>
      </c>
      <c r="BJ68" s="39" t="e">
        <f t="shared" ca="1" si="721"/>
        <v>#NAME?</v>
      </c>
      <c r="BK68" s="39" t="e">
        <f t="shared" ca="1" si="721"/>
        <v>#NAME?</v>
      </c>
      <c r="BL68" s="39" t="e">
        <f t="shared" ca="1" si="721"/>
        <v>#NAME?</v>
      </c>
      <c r="BM68" s="39" t="e">
        <f t="shared" ca="1" si="721"/>
        <v>#NAME?</v>
      </c>
      <c r="BN68" s="39" t="e">
        <f t="shared" ca="1" si="721"/>
        <v>#NAME?</v>
      </c>
      <c r="BO68" s="39" t="e">
        <f t="shared" ca="1" si="721"/>
        <v>#NAME?</v>
      </c>
      <c r="BP68" s="39" t="e">
        <f t="shared" ca="1" si="721"/>
        <v>#NAME?</v>
      </c>
      <c r="BQ68" s="39" t="e">
        <f t="shared" ca="1" si="721"/>
        <v>#NAME?</v>
      </c>
      <c r="BR68" s="39" t="e">
        <f t="shared" ref="BR68:CW68" ca="1" si="722">(SUM(BO62:BR62)-SUM(BO61:BR61))/BR134</f>
        <v>#NAME?</v>
      </c>
      <c r="BS68" s="39" t="e">
        <f t="shared" ca="1" si="722"/>
        <v>#NAME?</v>
      </c>
      <c r="BT68" s="39" t="e">
        <f t="shared" ca="1" si="722"/>
        <v>#NAME?</v>
      </c>
      <c r="BU68" s="39" t="e">
        <f t="shared" ca="1" si="722"/>
        <v>#NAME?</v>
      </c>
      <c r="BV68" s="39" t="e">
        <f t="shared" ca="1" si="722"/>
        <v>#NAME?</v>
      </c>
      <c r="BW68" s="39" t="e">
        <f t="shared" ca="1" si="722"/>
        <v>#NAME?</v>
      </c>
      <c r="BX68" s="39" t="e">
        <f t="shared" ca="1" si="722"/>
        <v>#NAME?</v>
      </c>
      <c r="BY68" s="39" t="e">
        <f t="shared" ca="1" si="722"/>
        <v>#NAME?</v>
      </c>
      <c r="BZ68" s="39" t="e">
        <f t="shared" ca="1" si="722"/>
        <v>#NAME?</v>
      </c>
      <c r="CA68" s="39" t="e">
        <f t="shared" ca="1" si="722"/>
        <v>#NAME?</v>
      </c>
      <c r="CB68" s="39" t="e">
        <f t="shared" ca="1" si="722"/>
        <v>#NAME?</v>
      </c>
      <c r="CC68" s="39" t="e">
        <f t="shared" ca="1" si="722"/>
        <v>#NAME?</v>
      </c>
      <c r="CD68" s="39" t="e">
        <f t="shared" ca="1" si="722"/>
        <v>#NAME?</v>
      </c>
      <c r="CE68" s="39" t="e">
        <f t="shared" ca="1" si="722"/>
        <v>#NAME?</v>
      </c>
      <c r="CF68" s="39" t="e">
        <f t="shared" ca="1" si="722"/>
        <v>#NAME?</v>
      </c>
      <c r="CG68" s="39" t="e">
        <f t="shared" ca="1" si="722"/>
        <v>#NAME?</v>
      </c>
      <c r="CH68" s="39" t="e">
        <f t="shared" ca="1" si="722"/>
        <v>#NAME?</v>
      </c>
      <c r="CI68" s="39" t="e">
        <f t="shared" ca="1" si="722"/>
        <v>#NAME?</v>
      </c>
      <c r="CJ68" s="39" t="e">
        <f t="shared" ca="1" si="722"/>
        <v>#NAME?</v>
      </c>
      <c r="CK68" s="39" t="e">
        <f t="shared" ca="1" si="722"/>
        <v>#NAME?</v>
      </c>
      <c r="CL68" s="39" t="e">
        <f t="shared" ca="1" si="722"/>
        <v>#NAME?</v>
      </c>
      <c r="CM68" s="40" t="e">
        <f t="shared" ca="1" si="722"/>
        <v>#NAME?</v>
      </c>
      <c r="CN68" s="40" t="e">
        <f t="shared" ca="1" si="722"/>
        <v>#NAME?</v>
      </c>
      <c r="CO68" s="40" t="e">
        <f t="shared" ca="1" si="722"/>
        <v>#NAME?</v>
      </c>
      <c r="CP68" s="40" t="e">
        <f t="shared" ca="1" si="722"/>
        <v>#NAME?</v>
      </c>
      <c r="CQ68" s="40" t="e">
        <f t="shared" ca="1" si="722"/>
        <v>#NAME?</v>
      </c>
      <c r="CR68" s="40" t="e">
        <f t="shared" ca="1" si="722"/>
        <v>#NAME?</v>
      </c>
      <c r="CS68" s="40" t="e">
        <f t="shared" ca="1" si="722"/>
        <v>#NAME?</v>
      </c>
      <c r="CT68" s="40" t="e">
        <f t="shared" ca="1" si="722"/>
        <v>#NAME?</v>
      </c>
      <c r="CU68" s="40" t="e">
        <f t="shared" ca="1" si="722"/>
        <v>#NAME?</v>
      </c>
      <c r="CV68" s="40" t="e">
        <f t="shared" ca="1" si="722"/>
        <v>#NAME?</v>
      </c>
      <c r="CW68" s="40" t="e">
        <f t="shared" ca="1" si="722"/>
        <v>#NAME?</v>
      </c>
      <c r="CX68" s="40" t="e">
        <f t="shared" ref="CX68:DB68" ca="1" si="723">(SUM(CU62:CX62)-SUM(CU61:CX61))/CX134</f>
        <v>#NAME?</v>
      </c>
      <c r="CY68" s="40" t="e">
        <f t="shared" ca="1" si="723"/>
        <v>#NAME?</v>
      </c>
      <c r="CZ68" s="40" t="e">
        <f t="shared" ca="1" si="723"/>
        <v>#NAME?</v>
      </c>
      <c r="DA68" s="40" t="e">
        <f t="shared" ca="1" si="723"/>
        <v>#NAME?</v>
      </c>
      <c r="DB68" s="40" t="e">
        <f t="shared" ca="1" si="723"/>
        <v>#NAME?</v>
      </c>
      <c r="DE68" s="122"/>
      <c r="DF68" s="38">
        <v>9.5891416919300768E-2</v>
      </c>
    </row>
    <row r="69" spans="1:110" s="38" customFormat="1" x14ac:dyDescent="0.2">
      <c r="A69" s="38" t="s">
        <v>351</v>
      </c>
      <c r="B69" s="39" t="e">
        <f t="shared" ref="B69:AE69" ca="1" si="724">+B48/B143</f>
        <v>#NAME?</v>
      </c>
      <c r="C69" s="39" t="e">
        <f t="shared" ca="1" si="724"/>
        <v>#NAME?</v>
      </c>
      <c r="D69" s="39" t="e">
        <f t="shared" ca="1" si="724"/>
        <v>#NAME?</v>
      </c>
      <c r="E69" s="39" t="e">
        <f t="shared" ca="1" si="724"/>
        <v>#NAME?</v>
      </c>
      <c r="F69" s="39" t="e">
        <f t="shared" ca="1" si="724"/>
        <v>#NAME?</v>
      </c>
      <c r="G69" s="39" t="e">
        <f t="shared" ca="1" si="724"/>
        <v>#NAME?</v>
      </c>
      <c r="H69" s="39" t="e">
        <f t="shared" ca="1" si="724"/>
        <v>#NAME?</v>
      </c>
      <c r="I69" s="39" t="e">
        <f t="shared" ca="1" si="724"/>
        <v>#NAME?</v>
      </c>
      <c r="J69" s="39" t="e">
        <f t="shared" ca="1" si="724"/>
        <v>#NAME?</v>
      </c>
      <c r="K69" s="39" t="e">
        <f t="shared" ca="1" si="724"/>
        <v>#NAME?</v>
      </c>
      <c r="L69" s="39" t="e">
        <f t="shared" ca="1" si="724"/>
        <v>#NAME?</v>
      </c>
      <c r="M69" s="39" t="e">
        <f t="shared" ca="1" si="724"/>
        <v>#NAME?</v>
      </c>
      <c r="N69" s="39" t="e">
        <f t="shared" ca="1" si="724"/>
        <v>#NAME?</v>
      </c>
      <c r="O69" s="39" t="e">
        <f t="shared" ca="1" si="724"/>
        <v>#NAME?</v>
      </c>
      <c r="P69" s="39" t="e">
        <f t="shared" ca="1" si="724"/>
        <v>#NAME?</v>
      </c>
      <c r="Q69" s="39" t="e">
        <f t="shared" ca="1" si="724"/>
        <v>#NAME?</v>
      </c>
      <c r="R69" s="39" t="e">
        <f t="shared" ca="1" si="724"/>
        <v>#NAME?</v>
      </c>
      <c r="S69" s="39" t="e">
        <f t="shared" ca="1" si="724"/>
        <v>#NAME?</v>
      </c>
      <c r="T69" s="39" t="e">
        <f t="shared" ca="1" si="724"/>
        <v>#NAME?</v>
      </c>
      <c r="U69" s="39" t="e">
        <f t="shared" ca="1" si="724"/>
        <v>#NAME?</v>
      </c>
      <c r="V69" s="39" t="e">
        <f t="shared" ca="1" si="724"/>
        <v>#NAME?</v>
      </c>
      <c r="W69" s="39" t="e">
        <f t="shared" ca="1" si="724"/>
        <v>#NAME?</v>
      </c>
      <c r="X69" s="39" t="e">
        <f t="shared" ca="1" si="724"/>
        <v>#NAME?</v>
      </c>
      <c r="Y69" s="39" t="e">
        <f t="shared" ca="1" si="724"/>
        <v>#NAME?</v>
      </c>
      <c r="Z69" s="39" t="e">
        <f t="shared" ca="1" si="724"/>
        <v>#NAME?</v>
      </c>
      <c r="AA69" s="39" t="e">
        <f t="shared" ref="AA69" ca="1" si="725">+AA48/AA143</f>
        <v>#NAME?</v>
      </c>
      <c r="AB69" s="40" t="e">
        <f t="shared" ca="1" si="724"/>
        <v>#NAME?</v>
      </c>
      <c r="AC69" s="40" t="e">
        <f t="shared" ca="1" si="724"/>
        <v>#NAME?</v>
      </c>
      <c r="AD69" s="40" t="e">
        <f t="shared" ca="1" si="724"/>
        <v>#NAME?</v>
      </c>
      <c r="AE69" s="40" t="e">
        <f t="shared" ca="1" si="724"/>
        <v>#NAME?</v>
      </c>
      <c r="AF69" s="39"/>
      <c r="AG69" s="39"/>
      <c r="AH69" s="39"/>
      <c r="AI69" s="39"/>
      <c r="AJ69" s="39"/>
      <c r="AK69" s="39"/>
      <c r="AL69" s="39" t="e">
        <f t="shared" ref="AL69:BQ69" ca="1" si="726">+SUM(AI48:AL48)/AL143</f>
        <v>#NAME?</v>
      </c>
      <c r="AM69" s="39" t="e">
        <f t="shared" ca="1" si="726"/>
        <v>#NAME?</v>
      </c>
      <c r="AN69" s="39" t="e">
        <f t="shared" ca="1" si="726"/>
        <v>#NAME?</v>
      </c>
      <c r="AO69" s="39" t="e">
        <f t="shared" ca="1" si="726"/>
        <v>#NAME?</v>
      </c>
      <c r="AP69" s="39" t="e">
        <f t="shared" ca="1" si="726"/>
        <v>#NAME?</v>
      </c>
      <c r="AQ69" s="39" t="e">
        <f t="shared" ca="1" si="726"/>
        <v>#NAME?</v>
      </c>
      <c r="AR69" s="39" t="e">
        <f t="shared" ca="1" si="726"/>
        <v>#NAME?</v>
      </c>
      <c r="AS69" s="39" t="e">
        <f t="shared" ca="1" si="726"/>
        <v>#NAME?</v>
      </c>
      <c r="AT69" s="39" t="e">
        <f t="shared" ca="1" si="726"/>
        <v>#NAME?</v>
      </c>
      <c r="AU69" s="39" t="e">
        <f t="shared" ca="1" si="726"/>
        <v>#NAME?</v>
      </c>
      <c r="AV69" s="39" t="e">
        <f t="shared" ca="1" si="726"/>
        <v>#NAME?</v>
      </c>
      <c r="AW69" s="39" t="e">
        <f t="shared" ca="1" si="726"/>
        <v>#NAME?</v>
      </c>
      <c r="AX69" s="39" t="e">
        <f t="shared" ca="1" si="726"/>
        <v>#NAME?</v>
      </c>
      <c r="AY69" s="39" t="e">
        <f t="shared" ca="1" si="726"/>
        <v>#NAME?</v>
      </c>
      <c r="AZ69" s="39" t="e">
        <f t="shared" ca="1" si="726"/>
        <v>#NAME?</v>
      </c>
      <c r="BA69" s="39" t="e">
        <f t="shared" ca="1" si="726"/>
        <v>#NAME?</v>
      </c>
      <c r="BB69" s="39" t="e">
        <f t="shared" ca="1" si="726"/>
        <v>#NAME?</v>
      </c>
      <c r="BC69" s="39" t="e">
        <f t="shared" ca="1" si="726"/>
        <v>#NAME?</v>
      </c>
      <c r="BD69" s="39" t="e">
        <f t="shared" ca="1" si="726"/>
        <v>#NAME?</v>
      </c>
      <c r="BE69" s="39" t="e">
        <f t="shared" ca="1" si="726"/>
        <v>#NAME?</v>
      </c>
      <c r="BF69" s="39" t="e">
        <f t="shared" ca="1" si="726"/>
        <v>#NAME?</v>
      </c>
      <c r="BG69" s="39" t="e">
        <f t="shared" ca="1" si="726"/>
        <v>#NAME?</v>
      </c>
      <c r="BH69" s="39" t="e">
        <f t="shared" ca="1" si="726"/>
        <v>#NAME?</v>
      </c>
      <c r="BI69" s="39" t="e">
        <f t="shared" ca="1" si="726"/>
        <v>#NAME?</v>
      </c>
      <c r="BJ69" s="39" t="e">
        <f t="shared" ca="1" si="726"/>
        <v>#NAME?</v>
      </c>
      <c r="BK69" s="39" t="e">
        <f t="shared" ca="1" si="726"/>
        <v>#NAME?</v>
      </c>
      <c r="BL69" s="39" t="e">
        <f t="shared" ca="1" si="726"/>
        <v>#NAME?</v>
      </c>
      <c r="BM69" s="39" t="e">
        <f t="shared" ca="1" si="726"/>
        <v>#NAME?</v>
      </c>
      <c r="BN69" s="39" t="e">
        <f t="shared" ca="1" si="726"/>
        <v>#NAME?</v>
      </c>
      <c r="BO69" s="39" t="e">
        <f t="shared" ca="1" si="726"/>
        <v>#NAME?</v>
      </c>
      <c r="BP69" s="39" t="e">
        <f t="shared" ca="1" si="726"/>
        <v>#NAME?</v>
      </c>
      <c r="BQ69" s="39" t="e">
        <f t="shared" ca="1" si="726"/>
        <v>#NAME?</v>
      </c>
      <c r="BR69" s="39" t="e">
        <f t="shared" ref="BR69:CW69" ca="1" si="727">+SUM(BO48:BR48)/BR143</f>
        <v>#NAME?</v>
      </c>
      <c r="BS69" s="39" t="e">
        <f t="shared" ca="1" si="727"/>
        <v>#NAME?</v>
      </c>
      <c r="BT69" s="39" t="e">
        <f t="shared" ca="1" si="727"/>
        <v>#NAME?</v>
      </c>
      <c r="BU69" s="39" t="e">
        <f t="shared" ca="1" si="727"/>
        <v>#NAME?</v>
      </c>
      <c r="BV69" s="39" t="e">
        <f t="shared" ca="1" si="727"/>
        <v>#NAME?</v>
      </c>
      <c r="BW69" s="39" t="e">
        <f t="shared" ca="1" si="727"/>
        <v>#NAME?</v>
      </c>
      <c r="BX69" s="39" t="e">
        <f t="shared" ca="1" si="727"/>
        <v>#NAME?</v>
      </c>
      <c r="BY69" s="39" t="e">
        <f t="shared" ca="1" si="727"/>
        <v>#NAME?</v>
      </c>
      <c r="BZ69" s="39" t="e">
        <f t="shared" ca="1" si="727"/>
        <v>#NAME?</v>
      </c>
      <c r="CA69" s="39" t="e">
        <f t="shared" ca="1" si="727"/>
        <v>#NAME?</v>
      </c>
      <c r="CB69" s="39" t="e">
        <f t="shared" ca="1" si="727"/>
        <v>#NAME?</v>
      </c>
      <c r="CC69" s="39" t="e">
        <f t="shared" ca="1" si="727"/>
        <v>#NAME?</v>
      </c>
      <c r="CD69" s="39" t="e">
        <f t="shared" ca="1" si="727"/>
        <v>#NAME?</v>
      </c>
      <c r="CE69" s="39" t="e">
        <f t="shared" ca="1" si="727"/>
        <v>#NAME?</v>
      </c>
      <c r="CF69" s="39" t="e">
        <f t="shared" ca="1" si="727"/>
        <v>#NAME?</v>
      </c>
      <c r="CG69" s="39" t="e">
        <f t="shared" ca="1" si="727"/>
        <v>#NAME?</v>
      </c>
      <c r="CH69" s="39" t="e">
        <f t="shared" ca="1" si="727"/>
        <v>#NAME?</v>
      </c>
      <c r="CI69" s="39" t="e">
        <f t="shared" ca="1" si="727"/>
        <v>#NAME?</v>
      </c>
      <c r="CJ69" s="39" t="e">
        <f t="shared" ca="1" si="727"/>
        <v>#NAME?</v>
      </c>
      <c r="CK69" s="39" t="e">
        <f t="shared" ca="1" si="727"/>
        <v>#NAME?</v>
      </c>
      <c r="CL69" s="39" t="e">
        <f t="shared" ca="1" si="727"/>
        <v>#NAME?</v>
      </c>
      <c r="CM69" s="40" t="e">
        <f t="shared" ca="1" si="727"/>
        <v>#NAME?</v>
      </c>
      <c r="CN69" s="40" t="e">
        <f t="shared" ca="1" si="727"/>
        <v>#NAME?</v>
      </c>
      <c r="CO69" s="40" t="e">
        <f t="shared" ca="1" si="727"/>
        <v>#NAME?</v>
      </c>
      <c r="CP69" s="40" t="e">
        <f t="shared" ca="1" si="727"/>
        <v>#NAME?</v>
      </c>
      <c r="CQ69" s="40" t="e">
        <f t="shared" ca="1" si="727"/>
        <v>#NAME?</v>
      </c>
      <c r="CR69" s="40" t="e">
        <f t="shared" ca="1" si="727"/>
        <v>#NAME?</v>
      </c>
      <c r="CS69" s="40" t="e">
        <f t="shared" ca="1" si="727"/>
        <v>#NAME?</v>
      </c>
      <c r="CT69" s="40" t="e">
        <f t="shared" ca="1" si="727"/>
        <v>#NAME?</v>
      </c>
      <c r="CU69" s="40" t="e">
        <f t="shared" ca="1" si="727"/>
        <v>#NAME?</v>
      </c>
      <c r="CV69" s="40" t="e">
        <f t="shared" ca="1" si="727"/>
        <v>#NAME?</v>
      </c>
      <c r="CW69" s="40" t="e">
        <f t="shared" ca="1" si="727"/>
        <v>#NAME?</v>
      </c>
      <c r="CX69" s="40" t="e">
        <f t="shared" ref="CX69:DB69" ca="1" si="728">+SUM(CU48:CX48)/CX143</f>
        <v>#NAME?</v>
      </c>
      <c r="CY69" s="40" t="e">
        <f t="shared" ca="1" si="728"/>
        <v>#NAME?</v>
      </c>
      <c r="CZ69" s="40" t="e">
        <f t="shared" ca="1" si="728"/>
        <v>#NAME?</v>
      </c>
      <c r="DA69" s="40" t="e">
        <f t="shared" ca="1" si="728"/>
        <v>#NAME?</v>
      </c>
      <c r="DB69" s="40" t="e">
        <f t="shared" ca="1" si="728"/>
        <v>#NAME?</v>
      </c>
      <c r="DE69" s="122"/>
      <c r="DF69" s="38">
        <v>0.16186797140515455</v>
      </c>
    </row>
    <row r="70" spans="1:110" s="1" customFormat="1" x14ac:dyDescent="0.2">
      <c r="A70" s="150" t="s">
        <v>488</v>
      </c>
      <c r="AB70" s="20"/>
      <c r="AC70" s="20"/>
      <c r="AD70" s="20"/>
      <c r="AE70" s="20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E70" s="119"/>
    </row>
    <row r="71" spans="1:110" s="8" customFormat="1" x14ac:dyDescent="0.2">
      <c r="A71" s="12" t="s">
        <v>26</v>
      </c>
      <c r="AB71" s="58"/>
      <c r="AC71" s="58"/>
      <c r="AD71" s="58"/>
      <c r="AE71" s="58"/>
      <c r="CM71" s="54"/>
      <c r="CN71" s="54"/>
      <c r="CO71" s="54"/>
      <c r="CP71" s="54"/>
      <c r="CQ71" s="54"/>
      <c r="CR71" s="54"/>
      <c r="CS71" s="54"/>
      <c r="CT71" s="54"/>
      <c r="CU71" s="54"/>
      <c r="CV71" s="54"/>
      <c r="CW71" s="54"/>
      <c r="CX71" s="54"/>
      <c r="CY71" s="54"/>
      <c r="CZ71" s="54"/>
      <c r="DA71" s="54"/>
      <c r="DB71" s="54"/>
      <c r="DE71" s="132"/>
    </row>
    <row r="72" spans="1:110" s="9" customFormat="1" x14ac:dyDescent="0.2">
      <c r="A72" s="9" t="s">
        <v>453</v>
      </c>
      <c r="N72" s="9" t="e">
        <f ca="1">N24-SUM(AI24:AL24)</f>
        <v>#NAME?</v>
      </c>
      <c r="O72" s="9" t="e">
        <f ca="1">O24-SUM(AM24:AP24)</f>
        <v>#NAME?</v>
      </c>
      <c r="P72" s="9" t="e">
        <f ca="1">P24-SUM(AQ24:AT24)</f>
        <v>#NAME?</v>
      </c>
      <c r="Q72" s="9" t="e">
        <f ca="1">Q24-SUM(AU24:AX24)</f>
        <v>#NAME?</v>
      </c>
      <c r="R72" s="9" t="e">
        <f ca="1">R24-SUM(AY24:BB24)</f>
        <v>#NAME?</v>
      </c>
      <c r="S72" s="9" t="e">
        <f ca="1">S24-SUM(BC24:BF24)</f>
        <v>#NAME?</v>
      </c>
      <c r="T72" s="9" t="e">
        <f ca="1">T24-SUM(BG24:BJ24)</f>
        <v>#NAME?</v>
      </c>
      <c r="U72" s="9" t="e">
        <f ca="1">U24-SUM(BK24:BN24)</f>
        <v>#NAME?</v>
      </c>
      <c r="V72" s="9" t="e">
        <f ca="1">V24-SUM(BO24:BR24)</f>
        <v>#NAME?</v>
      </c>
      <c r="W72" s="9" t="e">
        <f ca="1">W24-SUM(BS24:BV24)</f>
        <v>#NAME?</v>
      </c>
      <c r="X72" s="9" t="e">
        <f ca="1">X24-SUM(BW24:BZ24)</f>
        <v>#NAME?</v>
      </c>
      <c r="Y72" s="9" t="e">
        <f ca="1">Y24-SUM(CA24:CD24)</f>
        <v>#NAME?</v>
      </c>
      <c r="Z72" s="9" t="e">
        <f ca="1">Z24-SUM(CE24:CH24)</f>
        <v>#NAME?</v>
      </c>
      <c r="AA72" s="9" t="e">
        <f ca="1">AA24-SUM(CF24:CI24)</f>
        <v>#NAME?</v>
      </c>
      <c r="AB72" s="15" t="e">
        <f ca="1">AB24-SUM(CM24:CP24)</f>
        <v>#NAME?</v>
      </c>
      <c r="AC72" s="15" t="e">
        <f ca="1">AC24-SUM(CQ24:CT24)</f>
        <v>#NAME?</v>
      </c>
      <c r="AD72" s="15" t="e">
        <f ca="1">AD24-SUM(CU24:CX24)</f>
        <v>#NAME?</v>
      </c>
      <c r="AE72" s="15" t="e">
        <f ca="1">AE24-SUM(CY24:DB24)</f>
        <v>#NAME?</v>
      </c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  <c r="DB72" s="59"/>
      <c r="DE72" s="133"/>
      <c r="DF72" s="9">
        <v>0</v>
      </c>
    </row>
    <row r="73" spans="1:110" s="9" customFormat="1" x14ac:dyDescent="0.2">
      <c r="A73" s="9" t="s">
        <v>454</v>
      </c>
      <c r="N73" s="9" t="e">
        <f ca="1">N30-SUM(AI30:AL30)</f>
        <v>#NAME?</v>
      </c>
      <c r="O73" s="9" t="e">
        <f ca="1">O30-SUM(AM30:AP30)</f>
        <v>#NAME?</v>
      </c>
      <c r="P73" s="9" t="e">
        <f ca="1">P30-SUM(AQ30:AT30)</f>
        <v>#NAME?</v>
      </c>
      <c r="Q73" s="9" t="e">
        <f ca="1">Q30-SUM(AU30:AX30)</f>
        <v>#NAME?</v>
      </c>
      <c r="R73" s="9" t="e">
        <f ca="1">R30-SUM(AY30:BB30)</f>
        <v>#NAME?</v>
      </c>
      <c r="S73" s="9" t="e">
        <f ca="1">S30-SUM(BC30:BF30)</f>
        <v>#NAME?</v>
      </c>
      <c r="T73" s="9" t="e">
        <f ca="1">T30-SUM(BG30:BJ30)</f>
        <v>#NAME?</v>
      </c>
      <c r="U73" s="9" t="e">
        <f ca="1">U30-SUM(BK30:BN30)</f>
        <v>#NAME?</v>
      </c>
      <c r="V73" s="9" t="e">
        <f ca="1">V30-SUM(BO30:BR30)</f>
        <v>#NAME?</v>
      </c>
      <c r="W73" s="9" t="e">
        <f ca="1">W30-SUM(BS30:BV30)</f>
        <v>#NAME?</v>
      </c>
      <c r="X73" s="9" t="e">
        <f ca="1">X30-SUM(BW30:BZ30)</f>
        <v>#NAME?</v>
      </c>
      <c r="Y73" s="9" t="e">
        <f ca="1">Y30-SUM(CA30:CD30)</f>
        <v>#NAME?</v>
      </c>
      <c r="Z73" s="9" t="e">
        <f ca="1">Z30-SUM(CE30:CH30)</f>
        <v>#NAME?</v>
      </c>
      <c r="AA73" s="9" t="e">
        <f ca="1">AA30-SUM(CF30:CI30)</f>
        <v>#NAME?</v>
      </c>
      <c r="AB73" s="15" t="e">
        <f ca="1">AB30-SUM(CM30:CP30)</f>
        <v>#NAME?</v>
      </c>
      <c r="AC73" s="15" t="e">
        <f ca="1">AC30-SUM(CQ30:CT30)</f>
        <v>#NAME?</v>
      </c>
      <c r="AD73" s="15" t="e">
        <f ca="1">AD30-SUM(CU30:CX30)</f>
        <v>#NAME?</v>
      </c>
      <c r="AE73" s="15" t="e">
        <f ca="1">AE30-SUM(CY30:DB30)</f>
        <v>#NAME?</v>
      </c>
      <c r="CM73" s="59"/>
      <c r="CN73" s="59"/>
      <c r="CO73" s="59"/>
      <c r="CP73" s="59"/>
      <c r="CQ73" s="59"/>
      <c r="CR73" s="59"/>
      <c r="CS73" s="59"/>
      <c r="CT73" s="59"/>
      <c r="CU73" s="59"/>
      <c r="CV73" s="59"/>
      <c r="CW73" s="59"/>
      <c r="CX73" s="59"/>
      <c r="CY73" s="59"/>
      <c r="CZ73" s="59"/>
      <c r="DA73" s="59"/>
      <c r="DB73" s="59"/>
      <c r="DE73" s="133"/>
      <c r="DF73" s="9">
        <v>0</v>
      </c>
    </row>
    <row r="74" spans="1:110" s="9" customFormat="1" x14ac:dyDescent="0.2">
      <c r="A74" s="9" t="s">
        <v>455</v>
      </c>
      <c r="N74" s="9" t="e">
        <f ca="1">N42-SUM(AI42:AL42)</f>
        <v>#NAME?</v>
      </c>
      <c r="O74" s="9" t="e">
        <f ca="1">O42-SUM(AM42:AP42)</f>
        <v>#NAME?</v>
      </c>
      <c r="P74" s="9" t="e">
        <f ca="1">P42-SUM(AQ42:AT42)</f>
        <v>#NAME?</v>
      </c>
      <c r="Q74" s="9" t="e">
        <f ca="1">Q42-SUM(AU42:AX42)</f>
        <v>#NAME?</v>
      </c>
      <c r="R74" s="9" t="e">
        <f ca="1">R42-SUM(AY42:BB42)</f>
        <v>#NAME?</v>
      </c>
      <c r="S74" s="9" t="e">
        <f ca="1">S42-SUM(BC42:BF42)</f>
        <v>#NAME?</v>
      </c>
      <c r="T74" s="9" t="e">
        <f ca="1">T42-SUM(BG42:BJ42)</f>
        <v>#NAME?</v>
      </c>
      <c r="U74" s="9" t="e">
        <f ca="1">U42-SUM(BK42:BN42)</f>
        <v>#NAME?</v>
      </c>
      <c r="V74" s="9" t="e">
        <f ca="1">V42-SUM(BO42:BR42)</f>
        <v>#NAME?</v>
      </c>
      <c r="W74" s="9" t="e">
        <f ca="1">W42-SUM(BS42:BV42)</f>
        <v>#NAME?</v>
      </c>
      <c r="X74" s="9" t="e">
        <f ca="1">X42-SUM(BW42:BZ42)</f>
        <v>#NAME?</v>
      </c>
      <c r="Y74" s="9" t="e">
        <f ca="1">Y42-SUM(CA42:CD42)</f>
        <v>#NAME?</v>
      </c>
      <c r="Z74" s="9" t="e">
        <f ca="1">Z42-SUM(CE42:CH42)</f>
        <v>#NAME?</v>
      </c>
      <c r="AA74" s="9" t="e">
        <f ca="1">AA42-SUM(CF42:CI42)</f>
        <v>#NAME?</v>
      </c>
      <c r="AB74" s="15" t="e">
        <f ca="1">AB42-SUM(CM42:CP42)</f>
        <v>#NAME?</v>
      </c>
      <c r="AC74" s="15" t="e">
        <f ca="1">AC42-SUM(CQ42:CT42)</f>
        <v>#NAME?</v>
      </c>
      <c r="AD74" s="15" t="e">
        <f ca="1">AD42-SUM(CU42:CX42)</f>
        <v>#NAME?</v>
      </c>
      <c r="AE74" s="15" t="e">
        <f ca="1">AE42-SUM(CY42:DB42)</f>
        <v>#NAME?</v>
      </c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E74" s="133"/>
      <c r="DF74" s="9">
        <v>0</v>
      </c>
    </row>
    <row r="75" spans="1:110" s="9" customFormat="1" x14ac:dyDescent="0.2">
      <c r="A75" s="9" t="s">
        <v>456</v>
      </c>
      <c r="N75" s="9" t="e">
        <f ca="1">N62-SUM(AI62:AL62)</f>
        <v>#NAME?</v>
      </c>
      <c r="O75" s="9" t="e">
        <f ca="1">O62-SUM(AM62:AP62)</f>
        <v>#NAME?</v>
      </c>
      <c r="P75" s="9" t="e">
        <f ca="1">P62-SUM(AQ62:AT62)</f>
        <v>#NAME?</v>
      </c>
      <c r="Q75" s="9" t="e">
        <f ca="1">Q62-SUM(AU62:AX62)</f>
        <v>#NAME?</v>
      </c>
      <c r="R75" s="9" t="e">
        <f ca="1">R62-SUM(AY62:BB62)</f>
        <v>#NAME?</v>
      </c>
      <c r="S75" s="9" t="e">
        <f ca="1">S62-SUM(BC62:BF62)</f>
        <v>#NAME?</v>
      </c>
      <c r="T75" s="9" t="e">
        <f ca="1">T62-SUM(BG62:BJ62)</f>
        <v>#NAME?</v>
      </c>
      <c r="U75" s="9" t="e">
        <f ca="1">U62-SUM(BK62:BN62)</f>
        <v>#NAME?</v>
      </c>
      <c r="V75" s="9" t="e">
        <f ca="1">V62-SUM(BO62:BR62)</f>
        <v>#NAME?</v>
      </c>
      <c r="W75" s="9" t="e">
        <f ca="1">W55-SUM(BS55:BV55)</f>
        <v>#NAME?</v>
      </c>
      <c r="X75" s="9" t="e">
        <f ca="1">X55-SUM(BW55:BZ55)</f>
        <v>#NAME?</v>
      </c>
      <c r="Y75" s="9" t="e">
        <f ca="1">Y55-SUM(CA55:CD55)</f>
        <v>#NAME?</v>
      </c>
      <c r="Z75" s="9" t="e">
        <f ca="1">Z55-SUM(CE55:CH55)</f>
        <v>#NAME?</v>
      </c>
      <c r="AA75" s="9" t="e">
        <f ca="1">AA55-SUM(CF55:CI55)</f>
        <v>#NAME?</v>
      </c>
      <c r="AB75" s="15" t="e">
        <f ca="1">AB55-SUM(CM55:CP55)</f>
        <v>#NAME?</v>
      </c>
      <c r="AC75" s="15" t="e">
        <f ca="1">AC55-SUM(CQ55:CT55)</f>
        <v>#NAME?</v>
      </c>
      <c r="AD75" s="15" t="e">
        <f ca="1">AD55-SUM(CU55:CX55)</f>
        <v>#NAME?</v>
      </c>
      <c r="AE75" s="15" t="e">
        <f ca="1">AE55-SUM(CY55:DB55)</f>
        <v>#NAME?</v>
      </c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E75" s="133"/>
      <c r="DF75" s="9">
        <v>0</v>
      </c>
    </row>
    <row r="76" spans="1:110" s="8" customFormat="1" x14ac:dyDescent="0.2">
      <c r="A76" s="149" t="s">
        <v>489</v>
      </c>
      <c r="AB76" s="58"/>
      <c r="AC76" s="58"/>
      <c r="AD76" s="58"/>
      <c r="AE76" s="58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E76" s="132"/>
    </row>
    <row r="77" spans="1:110" s="3" customFormat="1" x14ac:dyDescent="0.2">
      <c r="A77" s="3" t="s">
        <v>27</v>
      </c>
      <c r="B77" s="3" t="e">
        <f ca="1">'Annual Raw'!C104</f>
        <v>#NAME?</v>
      </c>
      <c r="C77" s="3" t="e">
        <f ca="1">'Annual Raw'!D104</f>
        <v>#NAME?</v>
      </c>
      <c r="D77" s="3" t="e">
        <f ca="1">'Annual Raw'!E104</f>
        <v>#NAME?</v>
      </c>
      <c r="E77" s="3">
        <f t="shared" ref="E77:Y77" ca="1" si="729">+F77</f>
        <v>31.363</v>
      </c>
      <c r="F77" s="3">
        <f t="shared" ca="1" si="729"/>
        <v>31.363</v>
      </c>
      <c r="G77" s="3">
        <f t="shared" ca="1" si="729"/>
        <v>31.363</v>
      </c>
      <c r="H77" s="3">
        <f t="shared" ca="1" si="729"/>
        <v>31.363</v>
      </c>
      <c r="I77" s="3">
        <f t="shared" ca="1" si="729"/>
        <v>31.363</v>
      </c>
      <c r="J77" s="3">
        <f t="shared" ca="1" si="729"/>
        <v>31.363</v>
      </c>
      <c r="K77" s="3">
        <f t="shared" ca="1" si="729"/>
        <v>31.363</v>
      </c>
      <c r="L77" s="3">
        <f t="shared" ca="1" si="729"/>
        <v>31.363</v>
      </c>
      <c r="M77" s="3">
        <f t="shared" ca="1" si="729"/>
        <v>31.363</v>
      </c>
      <c r="N77" s="3">
        <f t="shared" ca="1" si="729"/>
        <v>31.363</v>
      </c>
      <c r="O77" s="3">
        <f t="shared" ca="1" si="729"/>
        <v>31.363</v>
      </c>
      <c r="P77" s="3">
        <f t="shared" ca="1" si="729"/>
        <v>31.363</v>
      </c>
      <c r="Q77" s="3">
        <f t="shared" ca="1" si="729"/>
        <v>31.363</v>
      </c>
      <c r="R77" s="3">
        <f t="shared" ca="1" si="729"/>
        <v>31.363</v>
      </c>
      <c r="S77" s="3">
        <f t="shared" ca="1" si="729"/>
        <v>31.363</v>
      </c>
      <c r="T77" s="3">
        <f t="shared" ca="1" si="729"/>
        <v>31.363</v>
      </c>
      <c r="U77" s="3">
        <f t="shared" ca="1" si="729"/>
        <v>31.363</v>
      </c>
      <c r="V77" s="3">
        <f t="shared" ca="1" si="729"/>
        <v>31.363</v>
      </c>
      <c r="W77" s="3">
        <f t="shared" ca="1" si="729"/>
        <v>31.363</v>
      </c>
      <c r="X77" s="3">
        <f t="shared" ca="1" si="729"/>
        <v>31.363</v>
      </c>
      <c r="Y77" s="3">
        <f t="shared" ca="1" si="729"/>
        <v>31.363</v>
      </c>
      <c r="Z77" s="3">
        <f ca="1">+AA77</f>
        <v>31.363</v>
      </c>
      <c r="AA77" s="3">
        <f ca="1">+AB77</f>
        <v>31.363</v>
      </c>
      <c r="AB77" s="37">
        <f t="shared" ref="AB77:AB78" ca="1" si="730">AA77</f>
        <v>31.363</v>
      </c>
      <c r="AC77" s="37">
        <f t="shared" ref="AC77:AC78" ca="1" si="731">AB77</f>
        <v>31.363</v>
      </c>
      <c r="AD77" s="37">
        <f t="shared" ref="AD77:AD78" ca="1" si="732">AC77</f>
        <v>31.363</v>
      </c>
      <c r="AE77" s="37">
        <f t="shared" ref="AE77:AE78" ca="1" si="733">AD77</f>
        <v>31.363</v>
      </c>
      <c r="AI77" s="3" t="e">
        <f t="shared" ref="AI77:CH77" ca="1" si="734">+AJ77</f>
        <v>#NAME?</v>
      </c>
      <c r="AJ77" s="3" t="e">
        <f t="shared" ca="1" si="734"/>
        <v>#NAME?</v>
      </c>
      <c r="AK77" s="3" t="e">
        <f t="shared" ca="1" si="734"/>
        <v>#NAME?</v>
      </c>
      <c r="AL77" s="3" t="e">
        <f t="shared" ca="1" si="734"/>
        <v>#NAME?</v>
      </c>
      <c r="AM77" s="3" t="e">
        <f t="shared" ca="1" si="734"/>
        <v>#NAME?</v>
      </c>
      <c r="AN77" s="3" t="e">
        <f t="shared" ca="1" si="734"/>
        <v>#NAME?</v>
      </c>
      <c r="AO77" s="3" t="e">
        <f t="shared" ca="1" si="734"/>
        <v>#NAME?</v>
      </c>
      <c r="AP77" s="3" t="e">
        <f t="shared" ca="1" si="734"/>
        <v>#NAME?</v>
      </c>
      <c r="AQ77" s="3" t="e">
        <f t="shared" ca="1" si="734"/>
        <v>#NAME?</v>
      </c>
      <c r="AR77" s="3" t="e">
        <f t="shared" ca="1" si="734"/>
        <v>#NAME?</v>
      </c>
      <c r="AS77" s="3" t="e">
        <f t="shared" ca="1" si="734"/>
        <v>#NAME?</v>
      </c>
      <c r="AT77" s="3" t="e">
        <f t="shared" ca="1" si="734"/>
        <v>#NAME?</v>
      </c>
      <c r="AU77" s="3" t="e">
        <f t="shared" ca="1" si="734"/>
        <v>#NAME?</v>
      </c>
      <c r="AV77" s="3" t="e">
        <f t="shared" ca="1" si="734"/>
        <v>#NAME?</v>
      </c>
      <c r="AW77" s="3" t="e">
        <f t="shared" ca="1" si="734"/>
        <v>#NAME?</v>
      </c>
      <c r="AX77" s="3" t="e">
        <f t="shared" ca="1" si="734"/>
        <v>#NAME?</v>
      </c>
      <c r="AY77" s="3" t="e">
        <f t="shared" ca="1" si="734"/>
        <v>#NAME?</v>
      </c>
      <c r="AZ77" s="3" t="e">
        <f t="shared" ca="1" si="734"/>
        <v>#NAME?</v>
      </c>
      <c r="BA77" s="3" t="e">
        <f t="shared" ca="1" si="734"/>
        <v>#NAME?</v>
      </c>
      <c r="BB77" s="3" t="e">
        <f t="shared" ca="1" si="734"/>
        <v>#NAME?</v>
      </c>
      <c r="BC77" s="3" t="e">
        <f t="shared" ca="1" si="734"/>
        <v>#NAME?</v>
      </c>
      <c r="BD77" s="3" t="e">
        <f t="shared" ca="1" si="734"/>
        <v>#NAME?</v>
      </c>
      <c r="BE77" s="3" t="e">
        <f t="shared" ca="1" si="734"/>
        <v>#NAME?</v>
      </c>
      <c r="BF77" s="3" t="e">
        <f t="shared" ca="1" si="734"/>
        <v>#NAME?</v>
      </c>
      <c r="BG77" s="3" t="e">
        <f t="shared" ca="1" si="734"/>
        <v>#NAME?</v>
      </c>
      <c r="BH77" s="3" t="e">
        <f t="shared" ca="1" si="734"/>
        <v>#NAME?</v>
      </c>
      <c r="BI77" s="3" t="e">
        <f t="shared" ca="1" si="734"/>
        <v>#NAME?</v>
      </c>
      <c r="BJ77" s="3" t="e">
        <f t="shared" ca="1" si="734"/>
        <v>#NAME?</v>
      </c>
      <c r="BK77" s="3" t="e">
        <f t="shared" ca="1" si="734"/>
        <v>#NAME?</v>
      </c>
      <c r="BL77" s="3" t="e">
        <f t="shared" ca="1" si="734"/>
        <v>#NAME?</v>
      </c>
      <c r="BM77" s="3" t="e">
        <f t="shared" ca="1" si="734"/>
        <v>#NAME?</v>
      </c>
      <c r="BN77" s="3" t="e">
        <f t="shared" ca="1" si="734"/>
        <v>#NAME?</v>
      </c>
      <c r="BO77" s="3" t="e">
        <f t="shared" ca="1" si="734"/>
        <v>#NAME?</v>
      </c>
      <c r="BP77" s="3" t="e">
        <f t="shared" ca="1" si="734"/>
        <v>#NAME?</v>
      </c>
      <c r="BQ77" s="3" t="e">
        <f t="shared" ca="1" si="734"/>
        <v>#NAME?</v>
      </c>
      <c r="BR77" s="3" t="e">
        <f t="shared" ca="1" si="734"/>
        <v>#NAME?</v>
      </c>
      <c r="BS77" s="3" t="e">
        <f t="shared" ca="1" si="734"/>
        <v>#NAME?</v>
      </c>
      <c r="BT77" s="3" t="e">
        <f t="shared" ca="1" si="734"/>
        <v>#NAME?</v>
      </c>
      <c r="BU77" s="3" t="e">
        <f t="shared" ca="1" si="734"/>
        <v>#NAME?</v>
      </c>
      <c r="BV77" s="3" t="e">
        <f t="shared" ca="1" si="734"/>
        <v>#NAME?</v>
      </c>
      <c r="BW77" s="3" t="e">
        <f t="shared" ca="1" si="734"/>
        <v>#NAME?</v>
      </c>
      <c r="BX77" s="3" t="e">
        <f t="shared" ca="1" si="734"/>
        <v>#NAME?</v>
      </c>
      <c r="BY77" s="3" t="e">
        <f t="shared" ca="1" si="734"/>
        <v>#NAME?</v>
      </c>
      <c r="BZ77" s="3" t="e">
        <f t="shared" ca="1" si="734"/>
        <v>#NAME?</v>
      </c>
      <c r="CA77" s="3" t="e">
        <f t="shared" ca="1" si="734"/>
        <v>#NAME?</v>
      </c>
      <c r="CB77" s="3" t="e">
        <f t="shared" ca="1" si="734"/>
        <v>#NAME?</v>
      </c>
      <c r="CC77" s="3" t="e">
        <f t="shared" ca="1" si="734"/>
        <v>#NAME?</v>
      </c>
      <c r="CD77" s="3" t="e">
        <f t="shared" ca="1" si="734"/>
        <v>#NAME?</v>
      </c>
      <c r="CE77" s="3" t="e">
        <f t="shared" ca="1" si="734"/>
        <v>#NAME?</v>
      </c>
      <c r="CF77" s="3" t="e">
        <f t="shared" ca="1" si="734"/>
        <v>#NAME?</v>
      </c>
      <c r="CG77" s="3" t="e">
        <f t="shared" ca="1" si="734"/>
        <v>#NAME?</v>
      </c>
      <c r="CH77" s="3" t="e">
        <f t="shared" ca="1" si="734"/>
        <v>#NAME?</v>
      </c>
      <c r="CI77" s="3" t="e">
        <f ca="1">+CJ77</f>
        <v>#NAME?</v>
      </c>
      <c r="CJ77" s="3" t="e">
        <f ca="1">'QTR Raw'!BD45</f>
        <v>#NAME?</v>
      </c>
      <c r="CK77" s="3" t="e">
        <f ca="1">'QTR Raw'!BE45</f>
        <v>#NAME?</v>
      </c>
      <c r="CL77" s="3" t="e">
        <f ca="1">'QTR Raw'!BF45</f>
        <v>#NAME?</v>
      </c>
      <c r="CM77" s="37" t="e">
        <f t="shared" ref="CM77:CM78" ca="1" si="735">+CL77</f>
        <v>#NAME?</v>
      </c>
      <c r="CN77" s="37" t="e">
        <f t="shared" ref="CN77:CN78" ca="1" si="736">+CM77</f>
        <v>#NAME?</v>
      </c>
      <c r="CO77" s="37" t="e">
        <f t="shared" ref="CO77:CO78" ca="1" si="737">+CN77</f>
        <v>#NAME?</v>
      </c>
      <c r="CP77" s="37" t="e">
        <f t="shared" ref="CP77:CP78" ca="1" si="738">+CO77</f>
        <v>#NAME?</v>
      </c>
      <c r="CQ77" s="37" t="e">
        <f t="shared" ref="CQ77:CQ78" ca="1" si="739">+CP77</f>
        <v>#NAME?</v>
      </c>
      <c r="CR77" s="37" t="e">
        <f t="shared" ref="CR77:CR78" ca="1" si="740">+CQ77</f>
        <v>#NAME?</v>
      </c>
      <c r="CS77" s="37" t="e">
        <f t="shared" ref="CS77:CS78" ca="1" si="741">+CR77</f>
        <v>#NAME?</v>
      </c>
      <c r="CT77" s="37" t="e">
        <f t="shared" ref="CT77:CT78" ca="1" si="742">+CS77</f>
        <v>#NAME?</v>
      </c>
      <c r="CU77" s="37" t="e">
        <f t="shared" ref="CU77:CU78" ca="1" si="743">+CT77</f>
        <v>#NAME?</v>
      </c>
      <c r="CV77" s="37" t="e">
        <f t="shared" ref="CV77:CV78" ca="1" si="744">+CU77</f>
        <v>#NAME?</v>
      </c>
      <c r="CW77" s="37" t="e">
        <f t="shared" ref="CW77:CW78" ca="1" si="745">+CV77</f>
        <v>#NAME?</v>
      </c>
      <c r="CX77" s="37" t="e">
        <f t="shared" ref="CX77:CX78" ca="1" si="746">+CW77</f>
        <v>#NAME?</v>
      </c>
      <c r="CY77" s="37" t="e">
        <f t="shared" ref="CY77:CY78" ca="1" si="747">+CX77</f>
        <v>#NAME?</v>
      </c>
      <c r="CZ77" s="37" t="e">
        <f t="shared" ref="CZ77:CZ78" ca="1" si="748">+CY77</f>
        <v>#NAME?</v>
      </c>
      <c r="DA77" s="37" t="e">
        <f t="shared" ref="DA77:DA78" ca="1" si="749">+CZ77</f>
        <v>#NAME?</v>
      </c>
      <c r="DB77" s="37" t="e">
        <f t="shared" ref="DB77:DB78" ca="1" si="750">+DA77</f>
        <v>#NAME?</v>
      </c>
      <c r="DE77" s="134"/>
      <c r="DF77" s="3">
        <v>31.363</v>
      </c>
    </row>
    <row r="78" spans="1:110" s="3" customFormat="1" x14ac:dyDescent="0.2">
      <c r="A78" s="3" t="s">
        <v>28</v>
      </c>
      <c r="B78" s="3" t="e">
        <f ca="1">'Annual Raw'!C105</f>
        <v>#NAME?</v>
      </c>
      <c r="C78" s="3" t="e">
        <f ca="1">'Annual Raw'!D105</f>
        <v>#NAME?</v>
      </c>
      <c r="D78" s="3" t="e">
        <f ca="1">'Annual Raw'!E105</f>
        <v>#NAME?</v>
      </c>
      <c r="E78" s="3">
        <f t="shared" ref="E78:Y78" ca="1" si="751">+F78</f>
        <v>5</v>
      </c>
      <c r="F78" s="3">
        <f t="shared" ca="1" si="751"/>
        <v>5</v>
      </c>
      <c r="G78" s="3">
        <f t="shared" ca="1" si="751"/>
        <v>5</v>
      </c>
      <c r="H78" s="3">
        <f t="shared" ca="1" si="751"/>
        <v>5</v>
      </c>
      <c r="I78" s="3">
        <f t="shared" ca="1" si="751"/>
        <v>5</v>
      </c>
      <c r="J78" s="3">
        <f t="shared" ca="1" si="751"/>
        <v>5</v>
      </c>
      <c r="K78" s="3">
        <f t="shared" ca="1" si="751"/>
        <v>5</v>
      </c>
      <c r="L78" s="3">
        <f t="shared" ca="1" si="751"/>
        <v>5</v>
      </c>
      <c r="M78" s="3">
        <f t="shared" ca="1" si="751"/>
        <v>5</v>
      </c>
      <c r="N78" s="3">
        <f t="shared" ca="1" si="751"/>
        <v>5</v>
      </c>
      <c r="O78" s="3">
        <f t="shared" ca="1" si="751"/>
        <v>5</v>
      </c>
      <c r="P78" s="3">
        <f t="shared" ca="1" si="751"/>
        <v>5</v>
      </c>
      <c r="Q78" s="3">
        <f t="shared" ca="1" si="751"/>
        <v>5</v>
      </c>
      <c r="R78" s="3">
        <f t="shared" ca="1" si="751"/>
        <v>5</v>
      </c>
      <c r="S78" s="3">
        <f t="shared" ca="1" si="751"/>
        <v>5</v>
      </c>
      <c r="T78" s="3">
        <f t="shared" ca="1" si="751"/>
        <v>5</v>
      </c>
      <c r="U78" s="3">
        <f t="shared" ca="1" si="751"/>
        <v>5</v>
      </c>
      <c r="V78" s="3">
        <f t="shared" ca="1" si="751"/>
        <v>5</v>
      </c>
      <c r="W78" s="3">
        <f t="shared" ca="1" si="751"/>
        <v>5</v>
      </c>
      <c r="X78" s="3">
        <f t="shared" ca="1" si="751"/>
        <v>5</v>
      </c>
      <c r="Y78" s="3">
        <f t="shared" ca="1" si="751"/>
        <v>5</v>
      </c>
      <c r="Z78" s="3">
        <f ca="1">+AA78</f>
        <v>5</v>
      </c>
      <c r="AA78" s="3">
        <f ca="1">+AB78</f>
        <v>5</v>
      </c>
      <c r="AB78" s="37">
        <f t="shared" ca="1" si="730"/>
        <v>5</v>
      </c>
      <c r="AC78" s="37">
        <f t="shared" ca="1" si="731"/>
        <v>5</v>
      </c>
      <c r="AD78" s="37">
        <f t="shared" ca="1" si="732"/>
        <v>5</v>
      </c>
      <c r="AE78" s="37">
        <f t="shared" ca="1" si="733"/>
        <v>5</v>
      </c>
      <c r="AI78" s="3" t="e">
        <f t="shared" ref="AI78:CH78" ca="1" si="752">AJ78</f>
        <v>#NAME?</v>
      </c>
      <c r="AJ78" s="3" t="e">
        <f t="shared" ca="1" si="752"/>
        <v>#NAME?</v>
      </c>
      <c r="AK78" s="3" t="e">
        <f t="shared" ca="1" si="752"/>
        <v>#NAME?</v>
      </c>
      <c r="AL78" s="3" t="e">
        <f t="shared" ca="1" si="752"/>
        <v>#NAME?</v>
      </c>
      <c r="AM78" s="3" t="e">
        <f t="shared" ca="1" si="752"/>
        <v>#NAME?</v>
      </c>
      <c r="AN78" s="3" t="e">
        <f t="shared" ca="1" si="752"/>
        <v>#NAME?</v>
      </c>
      <c r="AO78" s="3" t="e">
        <f t="shared" ca="1" si="752"/>
        <v>#NAME?</v>
      </c>
      <c r="AP78" s="3" t="e">
        <f t="shared" ca="1" si="752"/>
        <v>#NAME?</v>
      </c>
      <c r="AQ78" s="3" t="e">
        <f t="shared" ca="1" si="752"/>
        <v>#NAME?</v>
      </c>
      <c r="AR78" s="3" t="e">
        <f t="shared" ca="1" si="752"/>
        <v>#NAME?</v>
      </c>
      <c r="AS78" s="3" t="e">
        <f t="shared" ca="1" si="752"/>
        <v>#NAME?</v>
      </c>
      <c r="AT78" s="3" t="e">
        <f t="shared" ca="1" si="752"/>
        <v>#NAME?</v>
      </c>
      <c r="AU78" s="3" t="e">
        <f t="shared" ca="1" si="752"/>
        <v>#NAME?</v>
      </c>
      <c r="AV78" s="3" t="e">
        <f t="shared" ca="1" si="752"/>
        <v>#NAME?</v>
      </c>
      <c r="AW78" s="3" t="e">
        <f t="shared" ca="1" si="752"/>
        <v>#NAME?</v>
      </c>
      <c r="AX78" s="3" t="e">
        <f t="shared" ca="1" si="752"/>
        <v>#NAME?</v>
      </c>
      <c r="AY78" s="3" t="e">
        <f t="shared" ca="1" si="752"/>
        <v>#NAME?</v>
      </c>
      <c r="AZ78" s="3" t="e">
        <f t="shared" ca="1" si="752"/>
        <v>#NAME?</v>
      </c>
      <c r="BA78" s="3" t="e">
        <f t="shared" ca="1" si="752"/>
        <v>#NAME?</v>
      </c>
      <c r="BB78" s="3" t="e">
        <f t="shared" ca="1" si="752"/>
        <v>#NAME?</v>
      </c>
      <c r="BC78" s="3" t="e">
        <f t="shared" ca="1" si="752"/>
        <v>#NAME?</v>
      </c>
      <c r="BD78" s="3" t="e">
        <f t="shared" ca="1" si="752"/>
        <v>#NAME?</v>
      </c>
      <c r="BE78" s="3" t="e">
        <f t="shared" ca="1" si="752"/>
        <v>#NAME?</v>
      </c>
      <c r="BF78" s="3" t="e">
        <f t="shared" ca="1" si="752"/>
        <v>#NAME?</v>
      </c>
      <c r="BG78" s="3" t="e">
        <f t="shared" ca="1" si="752"/>
        <v>#NAME?</v>
      </c>
      <c r="BH78" s="3" t="e">
        <f t="shared" ca="1" si="752"/>
        <v>#NAME?</v>
      </c>
      <c r="BI78" s="3" t="e">
        <f t="shared" ca="1" si="752"/>
        <v>#NAME?</v>
      </c>
      <c r="BJ78" s="3" t="e">
        <f t="shared" ca="1" si="752"/>
        <v>#NAME?</v>
      </c>
      <c r="BK78" s="3" t="e">
        <f t="shared" ca="1" si="752"/>
        <v>#NAME?</v>
      </c>
      <c r="BL78" s="3" t="e">
        <f t="shared" ca="1" si="752"/>
        <v>#NAME?</v>
      </c>
      <c r="BM78" s="3" t="e">
        <f t="shared" ca="1" si="752"/>
        <v>#NAME?</v>
      </c>
      <c r="BN78" s="3" t="e">
        <f t="shared" ca="1" si="752"/>
        <v>#NAME?</v>
      </c>
      <c r="BO78" s="3" t="e">
        <f t="shared" ca="1" si="752"/>
        <v>#NAME?</v>
      </c>
      <c r="BP78" s="3" t="e">
        <f t="shared" ca="1" si="752"/>
        <v>#NAME?</v>
      </c>
      <c r="BQ78" s="3" t="e">
        <f t="shared" ca="1" si="752"/>
        <v>#NAME?</v>
      </c>
      <c r="BR78" s="3" t="e">
        <f t="shared" ca="1" si="752"/>
        <v>#NAME?</v>
      </c>
      <c r="BS78" s="3" t="e">
        <f t="shared" ca="1" si="752"/>
        <v>#NAME?</v>
      </c>
      <c r="BT78" s="3" t="e">
        <f t="shared" ca="1" si="752"/>
        <v>#NAME?</v>
      </c>
      <c r="BU78" s="3" t="e">
        <f t="shared" ca="1" si="752"/>
        <v>#NAME?</v>
      </c>
      <c r="BV78" s="3" t="e">
        <f t="shared" ca="1" si="752"/>
        <v>#NAME?</v>
      </c>
      <c r="BW78" s="3" t="e">
        <f t="shared" ca="1" si="752"/>
        <v>#NAME?</v>
      </c>
      <c r="BX78" s="3" t="e">
        <f t="shared" ca="1" si="752"/>
        <v>#NAME?</v>
      </c>
      <c r="BY78" s="3" t="e">
        <f t="shared" ca="1" si="752"/>
        <v>#NAME?</v>
      </c>
      <c r="BZ78" s="3" t="e">
        <f t="shared" ca="1" si="752"/>
        <v>#NAME?</v>
      </c>
      <c r="CA78" s="3" t="e">
        <f t="shared" ca="1" si="752"/>
        <v>#NAME?</v>
      </c>
      <c r="CB78" s="3" t="e">
        <f t="shared" ca="1" si="752"/>
        <v>#NAME?</v>
      </c>
      <c r="CC78" s="3" t="e">
        <f t="shared" ca="1" si="752"/>
        <v>#NAME?</v>
      </c>
      <c r="CD78" s="3" t="e">
        <f t="shared" ca="1" si="752"/>
        <v>#NAME?</v>
      </c>
      <c r="CE78" s="3" t="e">
        <f t="shared" ca="1" si="752"/>
        <v>#NAME?</v>
      </c>
      <c r="CF78" s="3" t="e">
        <f t="shared" ca="1" si="752"/>
        <v>#NAME?</v>
      </c>
      <c r="CG78" s="3" t="e">
        <f t="shared" ca="1" si="752"/>
        <v>#NAME?</v>
      </c>
      <c r="CH78" s="3" t="e">
        <f t="shared" ca="1" si="752"/>
        <v>#NAME?</v>
      </c>
      <c r="CI78" s="3" t="e">
        <f ca="1">CJ78</f>
        <v>#NAME?</v>
      </c>
      <c r="CJ78" s="3" t="e">
        <f ca="1">'QTR Raw'!BD46</f>
        <v>#NAME?</v>
      </c>
      <c r="CK78" s="3" t="e">
        <f ca="1">'QTR Raw'!BE46</f>
        <v>#NAME?</v>
      </c>
      <c r="CL78" s="3" t="e">
        <f ca="1">'QTR Raw'!BF46</f>
        <v>#NAME?</v>
      </c>
      <c r="CM78" s="37" t="e">
        <f t="shared" ca="1" si="735"/>
        <v>#NAME?</v>
      </c>
      <c r="CN78" s="37" t="e">
        <f t="shared" ca="1" si="736"/>
        <v>#NAME?</v>
      </c>
      <c r="CO78" s="37" t="e">
        <f t="shared" ca="1" si="737"/>
        <v>#NAME?</v>
      </c>
      <c r="CP78" s="37" t="e">
        <f t="shared" ca="1" si="738"/>
        <v>#NAME?</v>
      </c>
      <c r="CQ78" s="37" t="e">
        <f t="shared" ca="1" si="739"/>
        <v>#NAME?</v>
      </c>
      <c r="CR78" s="37" t="e">
        <f t="shared" ca="1" si="740"/>
        <v>#NAME?</v>
      </c>
      <c r="CS78" s="37" t="e">
        <f t="shared" ca="1" si="741"/>
        <v>#NAME?</v>
      </c>
      <c r="CT78" s="37" t="e">
        <f t="shared" ca="1" si="742"/>
        <v>#NAME?</v>
      </c>
      <c r="CU78" s="37" t="e">
        <f t="shared" ca="1" si="743"/>
        <v>#NAME?</v>
      </c>
      <c r="CV78" s="37" t="e">
        <f t="shared" ca="1" si="744"/>
        <v>#NAME?</v>
      </c>
      <c r="CW78" s="37" t="e">
        <f t="shared" ca="1" si="745"/>
        <v>#NAME?</v>
      </c>
      <c r="CX78" s="37" t="e">
        <f t="shared" ca="1" si="746"/>
        <v>#NAME?</v>
      </c>
      <c r="CY78" s="37" t="e">
        <f t="shared" ca="1" si="747"/>
        <v>#NAME?</v>
      </c>
      <c r="CZ78" s="37" t="e">
        <f t="shared" ca="1" si="748"/>
        <v>#NAME?</v>
      </c>
      <c r="DA78" s="37" t="e">
        <f t="shared" ca="1" si="749"/>
        <v>#NAME?</v>
      </c>
      <c r="DB78" s="37" t="e">
        <f t="shared" ca="1" si="750"/>
        <v>#NAME?</v>
      </c>
      <c r="DE78" s="134"/>
      <c r="DF78" s="3">
        <v>5</v>
      </c>
    </row>
    <row r="79" spans="1:110" s="3" customFormat="1" x14ac:dyDescent="0.2">
      <c r="A79" s="3" t="s">
        <v>29</v>
      </c>
      <c r="B79" s="3" t="e">
        <f ca="1">B77/B78</f>
        <v>#NAME?</v>
      </c>
      <c r="C79" s="3" t="e">
        <f t="shared" ref="C79:W79" ca="1" si="753">C77/C78</f>
        <v>#NAME?</v>
      </c>
      <c r="D79" s="3" t="e">
        <f t="shared" ca="1" si="753"/>
        <v>#NAME?</v>
      </c>
      <c r="E79" s="3">
        <f t="shared" ca="1" si="753"/>
        <v>6.2725999999999997</v>
      </c>
      <c r="F79" s="3">
        <f t="shared" ca="1" si="753"/>
        <v>6.2725999999999997</v>
      </c>
      <c r="G79" s="3">
        <f t="shared" ca="1" si="753"/>
        <v>6.2725999999999997</v>
      </c>
      <c r="H79" s="3">
        <f t="shared" ca="1" si="753"/>
        <v>6.2725999999999997</v>
      </c>
      <c r="I79" s="3">
        <f t="shared" ca="1" si="753"/>
        <v>6.2725999999999997</v>
      </c>
      <c r="J79" s="3">
        <f t="shared" ca="1" si="753"/>
        <v>6.2725999999999997</v>
      </c>
      <c r="K79" s="3">
        <f t="shared" ca="1" si="753"/>
        <v>6.2725999999999997</v>
      </c>
      <c r="L79" s="3">
        <f t="shared" ca="1" si="753"/>
        <v>6.2725999999999997</v>
      </c>
      <c r="M79" s="3">
        <f t="shared" ca="1" si="753"/>
        <v>6.2725999999999997</v>
      </c>
      <c r="N79" s="3">
        <f t="shared" ca="1" si="753"/>
        <v>6.2725999999999997</v>
      </c>
      <c r="O79" s="3">
        <f t="shared" ca="1" si="753"/>
        <v>6.2725999999999997</v>
      </c>
      <c r="P79" s="3">
        <f t="shared" ca="1" si="753"/>
        <v>6.2725999999999997</v>
      </c>
      <c r="Q79" s="3">
        <f t="shared" ca="1" si="753"/>
        <v>6.2725999999999997</v>
      </c>
      <c r="R79" s="3">
        <f t="shared" ca="1" si="753"/>
        <v>6.2725999999999997</v>
      </c>
      <c r="S79" s="3">
        <f t="shared" ca="1" si="753"/>
        <v>6.2725999999999997</v>
      </c>
      <c r="T79" s="3">
        <f t="shared" ca="1" si="753"/>
        <v>6.2725999999999997</v>
      </c>
      <c r="U79" s="3">
        <f t="shared" ca="1" si="753"/>
        <v>6.2725999999999997</v>
      </c>
      <c r="V79" s="3">
        <f ca="1">V77/V78</f>
        <v>6.2725999999999997</v>
      </c>
      <c r="W79" s="3">
        <f t="shared" ca="1" si="753"/>
        <v>6.2725999999999997</v>
      </c>
      <c r="X79" s="3">
        <f t="shared" ref="X79:Y79" ca="1" si="754">X77/X78</f>
        <v>6.2725999999999997</v>
      </c>
      <c r="Y79" s="3">
        <f t="shared" ca="1" si="754"/>
        <v>6.2725999999999997</v>
      </c>
      <c r="Z79" s="3">
        <f t="shared" ref="Z79:AA79" ca="1" si="755">Z77/Z78</f>
        <v>6.2725999999999997</v>
      </c>
      <c r="AA79" s="3">
        <f t="shared" ca="1" si="755"/>
        <v>6.2725999999999997</v>
      </c>
      <c r="AB79" s="37">
        <f t="shared" ref="AA79:AD79" ca="1" si="756">AB77/AB78</f>
        <v>6.2725999999999997</v>
      </c>
      <c r="AC79" s="37">
        <f t="shared" ca="1" si="756"/>
        <v>6.2725999999999997</v>
      </c>
      <c r="AD79" s="37">
        <f t="shared" ca="1" si="756"/>
        <v>6.2725999999999997</v>
      </c>
      <c r="AE79" s="37">
        <f t="shared" ref="AE79" ca="1" si="757">AE77/AE78</f>
        <v>6.2725999999999997</v>
      </c>
      <c r="AI79" s="3" t="e">
        <f t="shared" ref="AI79" ca="1" si="758">AI77/AI78</f>
        <v>#NAME?</v>
      </c>
      <c r="AJ79" s="3" t="e">
        <f t="shared" ref="AJ79" ca="1" si="759">AJ77/AJ78</f>
        <v>#NAME?</v>
      </c>
      <c r="AK79" s="3" t="e">
        <f t="shared" ref="AK79:AM79" ca="1" si="760">AK77/AK78</f>
        <v>#NAME?</v>
      </c>
      <c r="AL79" s="3" t="e">
        <f t="shared" ca="1" si="760"/>
        <v>#NAME?</v>
      </c>
      <c r="AM79" s="3" t="e">
        <f t="shared" ca="1" si="760"/>
        <v>#NAME?</v>
      </c>
      <c r="AN79" s="3" t="e">
        <f t="shared" ref="AN79:AO79" ca="1" si="761">AN77/AN78</f>
        <v>#NAME?</v>
      </c>
      <c r="AO79" s="3" t="e">
        <f t="shared" ca="1" si="761"/>
        <v>#NAME?</v>
      </c>
      <c r="AP79" s="3" t="e">
        <f t="shared" ref="AP79:CD79" ca="1" si="762">AP77/AP78</f>
        <v>#NAME?</v>
      </c>
      <c r="AQ79" s="3" t="e">
        <f t="shared" ca="1" si="762"/>
        <v>#NAME?</v>
      </c>
      <c r="AR79" s="3" t="e">
        <f t="shared" ca="1" si="762"/>
        <v>#NAME?</v>
      </c>
      <c r="AS79" s="3" t="e">
        <f t="shared" ca="1" si="762"/>
        <v>#NAME?</v>
      </c>
      <c r="AT79" s="3" t="e">
        <f t="shared" ca="1" si="762"/>
        <v>#NAME?</v>
      </c>
      <c r="AU79" s="3" t="e">
        <f t="shared" ca="1" si="762"/>
        <v>#NAME?</v>
      </c>
      <c r="AV79" s="3" t="e">
        <f t="shared" ca="1" si="762"/>
        <v>#NAME?</v>
      </c>
      <c r="AW79" s="3" t="e">
        <f t="shared" ca="1" si="762"/>
        <v>#NAME?</v>
      </c>
      <c r="AX79" s="3" t="e">
        <f t="shared" ca="1" si="762"/>
        <v>#NAME?</v>
      </c>
      <c r="AY79" s="3" t="e">
        <f t="shared" ca="1" si="762"/>
        <v>#NAME?</v>
      </c>
      <c r="AZ79" s="3" t="e">
        <f t="shared" ca="1" si="762"/>
        <v>#NAME?</v>
      </c>
      <c r="BA79" s="3" t="e">
        <f t="shared" ca="1" si="762"/>
        <v>#NAME?</v>
      </c>
      <c r="BB79" s="3" t="e">
        <f t="shared" ca="1" si="762"/>
        <v>#NAME?</v>
      </c>
      <c r="BC79" s="3" t="e">
        <f t="shared" ca="1" si="762"/>
        <v>#NAME?</v>
      </c>
      <c r="BD79" s="3" t="e">
        <f t="shared" ca="1" si="762"/>
        <v>#NAME?</v>
      </c>
      <c r="BE79" s="3" t="e">
        <f t="shared" ca="1" si="762"/>
        <v>#NAME?</v>
      </c>
      <c r="BF79" s="3" t="e">
        <f t="shared" ca="1" si="762"/>
        <v>#NAME?</v>
      </c>
      <c r="BG79" s="3" t="e">
        <f t="shared" ca="1" si="762"/>
        <v>#NAME?</v>
      </c>
      <c r="BH79" s="3" t="e">
        <f t="shared" ca="1" si="762"/>
        <v>#NAME?</v>
      </c>
      <c r="BI79" s="3" t="e">
        <f t="shared" ca="1" si="762"/>
        <v>#NAME?</v>
      </c>
      <c r="BJ79" s="3" t="e">
        <f t="shared" ca="1" si="762"/>
        <v>#NAME?</v>
      </c>
      <c r="BK79" s="3" t="e">
        <f t="shared" ca="1" si="762"/>
        <v>#NAME?</v>
      </c>
      <c r="BL79" s="3" t="e">
        <f t="shared" ca="1" si="762"/>
        <v>#NAME?</v>
      </c>
      <c r="BM79" s="3" t="e">
        <f t="shared" ca="1" si="762"/>
        <v>#NAME?</v>
      </c>
      <c r="BN79" s="3" t="e">
        <f t="shared" ca="1" si="762"/>
        <v>#NAME?</v>
      </c>
      <c r="BO79" s="3" t="e">
        <f t="shared" ca="1" si="762"/>
        <v>#NAME?</v>
      </c>
      <c r="BP79" s="3" t="e">
        <f t="shared" ca="1" si="762"/>
        <v>#NAME?</v>
      </c>
      <c r="BQ79" s="3" t="e">
        <f t="shared" ca="1" si="762"/>
        <v>#NAME?</v>
      </c>
      <c r="BR79" s="3" t="e">
        <f t="shared" ca="1" si="762"/>
        <v>#NAME?</v>
      </c>
      <c r="BS79" s="3" t="e">
        <f t="shared" ca="1" si="762"/>
        <v>#NAME?</v>
      </c>
      <c r="BT79" s="3" t="e">
        <f t="shared" ca="1" si="762"/>
        <v>#NAME?</v>
      </c>
      <c r="BU79" s="3" t="e">
        <f t="shared" ca="1" si="762"/>
        <v>#NAME?</v>
      </c>
      <c r="BV79" s="3" t="e">
        <f t="shared" ca="1" si="762"/>
        <v>#NAME?</v>
      </c>
      <c r="BW79" s="3" t="e">
        <f t="shared" ca="1" si="762"/>
        <v>#NAME?</v>
      </c>
      <c r="BX79" s="3" t="e">
        <f t="shared" ca="1" si="762"/>
        <v>#NAME?</v>
      </c>
      <c r="BY79" s="3" t="e">
        <f t="shared" ca="1" si="762"/>
        <v>#NAME?</v>
      </c>
      <c r="BZ79" s="3" t="e">
        <f t="shared" ca="1" si="762"/>
        <v>#NAME?</v>
      </c>
      <c r="CA79" s="3" t="e">
        <f t="shared" ca="1" si="762"/>
        <v>#NAME?</v>
      </c>
      <c r="CB79" s="3" t="e">
        <f t="shared" ca="1" si="762"/>
        <v>#NAME?</v>
      </c>
      <c r="CC79" s="3" t="e">
        <f t="shared" ca="1" si="762"/>
        <v>#NAME?</v>
      </c>
      <c r="CD79" s="3" t="e">
        <f t="shared" ca="1" si="762"/>
        <v>#NAME?</v>
      </c>
      <c r="CE79" s="3" t="e">
        <f t="shared" ref="CE79:CF79" ca="1" si="763">CE77/CE78</f>
        <v>#NAME?</v>
      </c>
      <c r="CF79" s="3" t="e">
        <f t="shared" ca="1" si="763"/>
        <v>#NAME?</v>
      </c>
      <c r="CG79" s="3" t="e">
        <f t="shared" ref="CG79:CH79" ca="1" si="764">CG77/CG78</f>
        <v>#NAME?</v>
      </c>
      <c r="CH79" s="3" t="e">
        <f t="shared" ca="1" si="764"/>
        <v>#NAME?</v>
      </c>
      <c r="CI79" s="3" t="e">
        <f t="shared" ref="CI79:CJ79" ca="1" si="765">CI77/CI78</f>
        <v>#NAME?</v>
      </c>
      <c r="CJ79" s="3" t="e">
        <f t="shared" ca="1" si="765"/>
        <v>#NAME?</v>
      </c>
      <c r="CK79" s="3" t="e">
        <f t="shared" ref="CK79:CL79" ca="1" si="766">CK77/CK78</f>
        <v>#NAME?</v>
      </c>
      <c r="CL79" s="3" t="e">
        <f t="shared" ca="1" si="766"/>
        <v>#NAME?</v>
      </c>
      <c r="CM79" s="37" t="e">
        <f t="shared" ref="CM79:DB79" ca="1" si="767">CM77/CM78</f>
        <v>#NAME?</v>
      </c>
      <c r="CN79" s="37" t="e">
        <f t="shared" ca="1" si="767"/>
        <v>#NAME?</v>
      </c>
      <c r="CO79" s="37" t="e">
        <f t="shared" ca="1" si="767"/>
        <v>#NAME?</v>
      </c>
      <c r="CP79" s="37" t="e">
        <f t="shared" ca="1" si="767"/>
        <v>#NAME?</v>
      </c>
      <c r="CQ79" s="37" t="e">
        <f t="shared" ca="1" si="767"/>
        <v>#NAME?</v>
      </c>
      <c r="CR79" s="37" t="e">
        <f t="shared" ca="1" si="767"/>
        <v>#NAME?</v>
      </c>
      <c r="CS79" s="37" t="e">
        <f t="shared" ca="1" si="767"/>
        <v>#NAME?</v>
      </c>
      <c r="CT79" s="37" t="e">
        <f t="shared" ca="1" si="767"/>
        <v>#NAME?</v>
      </c>
      <c r="CU79" s="37" t="e">
        <f t="shared" ca="1" si="767"/>
        <v>#NAME?</v>
      </c>
      <c r="CV79" s="37" t="e">
        <f t="shared" ca="1" si="767"/>
        <v>#NAME?</v>
      </c>
      <c r="CW79" s="37" t="e">
        <f t="shared" ca="1" si="767"/>
        <v>#NAME?</v>
      </c>
      <c r="CX79" s="37" t="e">
        <f t="shared" ca="1" si="767"/>
        <v>#NAME?</v>
      </c>
      <c r="CY79" s="37" t="e">
        <f t="shared" ca="1" si="767"/>
        <v>#NAME?</v>
      </c>
      <c r="CZ79" s="37" t="e">
        <f t="shared" ca="1" si="767"/>
        <v>#NAME?</v>
      </c>
      <c r="DA79" s="37" t="e">
        <f t="shared" ca="1" si="767"/>
        <v>#NAME?</v>
      </c>
      <c r="DB79" s="37" t="e">
        <f t="shared" ca="1" si="767"/>
        <v>#NAME?</v>
      </c>
      <c r="DE79" s="134"/>
      <c r="DF79" s="3">
        <v>6.2725999999999997</v>
      </c>
    </row>
    <row r="80" spans="1:110" s="53" customFormat="1" x14ac:dyDescent="0.2">
      <c r="A80" s="53" t="s">
        <v>30</v>
      </c>
      <c r="B80" s="53" t="e">
        <f t="shared" ref="B80:AE80" ca="1" si="768">(B62-B61)/B79</f>
        <v>#NAME?</v>
      </c>
      <c r="C80" s="53" t="e">
        <f t="shared" ca="1" si="768"/>
        <v>#NAME?</v>
      </c>
      <c r="D80" s="53" t="e">
        <f t="shared" ca="1" si="768"/>
        <v>#NAME?</v>
      </c>
      <c r="E80" s="53">
        <f t="shared" ca="1" si="768"/>
        <v>0</v>
      </c>
      <c r="F80" s="53">
        <f t="shared" ca="1" si="768"/>
        <v>0</v>
      </c>
      <c r="G80" s="53">
        <f t="shared" ca="1" si="768"/>
        <v>0</v>
      </c>
      <c r="H80" s="53">
        <f t="shared" ca="1" si="768"/>
        <v>0</v>
      </c>
      <c r="I80" s="53">
        <f t="shared" ca="1" si="768"/>
        <v>1.8913642827535637</v>
      </c>
      <c r="J80" s="53">
        <f t="shared" ca="1" si="768"/>
        <v>-2.7828997385454168</v>
      </c>
      <c r="K80" s="53">
        <f t="shared" ca="1" si="768"/>
        <v>1.8393370691579234</v>
      </c>
      <c r="L80" s="53">
        <f t="shared" ca="1" si="768"/>
        <v>1.1231865574084099</v>
      </c>
      <c r="M80" s="53">
        <f t="shared" ca="1" si="768"/>
        <v>0.39033255747218154</v>
      </c>
      <c r="N80" s="53">
        <f t="shared" ca="1" si="768"/>
        <v>0.52396135573765368</v>
      </c>
      <c r="O80" s="53">
        <f t="shared" ca="1" si="768"/>
        <v>-1.9962854318783279</v>
      </c>
      <c r="P80" s="53">
        <f t="shared" ca="1" si="768"/>
        <v>-0.28943340879380036</v>
      </c>
      <c r="Q80" s="53">
        <f t="shared" ca="1" si="768"/>
        <v>0.76430826132703977</v>
      </c>
      <c r="R80" s="53">
        <f t="shared" ca="1" si="768"/>
        <v>1.7024359914548968</v>
      </c>
      <c r="S80" s="53">
        <f t="shared" ca="1" si="768"/>
        <v>2.4307783056467809</v>
      </c>
      <c r="T80" s="53">
        <f t="shared" ca="1" si="768"/>
        <v>0.78901890763000726</v>
      </c>
      <c r="U80" s="53">
        <f t="shared" ca="1" si="768"/>
        <v>1.075534865924819</v>
      </c>
      <c r="V80" s="53">
        <f t="shared" ca="1" si="768"/>
        <v>2.098667219334887</v>
      </c>
      <c r="W80" s="53">
        <f t="shared" ca="1" si="768"/>
        <v>8.0985556228677158</v>
      </c>
      <c r="X80" s="53">
        <f t="shared" ca="1" si="768"/>
        <v>6.0174409335841608</v>
      </c>
      <c r="Y80" s="53">
        <f t="shared" ca="1" si="768"/>
        <v>12.321844211331815</v>
      </c>
      <c r="Z80" s="53">
        <f t="shared" ca="1" si="768"/>
        <v>16.517233683002253</v>
      </c>
      <c r="AA80" s="53">
        <f t="shared" ref="AA80" ca="1" si="769">(AA62-AA61)/AA79</f>
        <v>16.517233683002253</v>
      </c>
      <c r="AB80" s="54">
        <f t="shared" ca="1" si="768"/>
        <v>27.184040194669929</v>
      </c>
      <c r="AC80" s="54">
        <f t="shared" ca="1" si="768"/>
        <v>36.270008297728133</v>
      </c>
      <c r="AD80" s="54">
        <f t="shared" ca="1" si="768"/>
        <v>46.504528269506174</v>
      </c>
      <c r="AE80" s="54">
        <f t="shared" ca="1" si="768"/>
        <v>58.491781440557567</v>
      </c>
      <c r="AI80" s="53" t="e">
        <f t="shared" ref="AI80:BN80" ca="1" si="770">(AI62-AI61)/AI79</f>
        <v>#NAME?</v>
      </c>
      <c r="AJ80" s="53" t="e">
        <f t="shared" ca="1" si="770"/>
        <v>#NAME?</v>
      </c>
      <c r="AK80" s="53" t="e">
        <f t="shared" ca="1" si="770"/>
        <v>#NAME?</v>
      </c>
      <c r="AL80" s="53" t="e">
        <f t="shared" ca="1" si="770"/>
        <v>#NAME?</v>
      </c>
      <c r="AM80" s="53" t="e">
        <f t="shared" ca="1" si="770"/>
        <v>#NAME?</v>
      </c>
      <c r="AN80" s="53" t="e">
        <f t="shared" ca="1" si="770"/>
        <v>#NAME?</v>
      </c>
      <c r="AO80" s="53" t="e">
        <f t="shared" ca="1" si="770"/>
        <v>#NAME?</v>
      </c>
      <c r="AP80" s="53" t="e">
        <f t="shared" ca="1" si="770"/>
        <v>#NAME?</v>
      </c>
      <c r="AQ80" s="53" t="e">
        <f t="shared" ca="1" si="770"/>
        <v>#NAME?</v>
      </c>
      <c r="AR80" s="53" t="e">
        <f t="shared" ca="1" si="770"/>
        <v>#NAME?</v>
      </c>
      <c r="AS80" s="53" t="e">
        <f t="shared" ca="1" si="770"/>
        <v>#NAME?</v>
      </c>
      <c r="AT80" s="53" t="e">
        <f t="shared" ca="1" si="770"/>
        <v>#NAME?</v>
      </c>
      <c r="AU80" s="53" t="e">
        <f t="shared" ca="1" si="770"/>
        <v>#NAME?</v>
      </c>
      <c r="AV80" s="53" t="e">
        <f t="shared" ca="1" si="770"/>
        <v>#NAME?</v>
      </c>
      <c r="AW80" s="53" t="e">
        <f t="shared" ca="1" si="770"/>
        <v>#NAME?</v>
      </c>
      <c r="AX80" s="53" t="e">
        <f t="shared" ca="1" si="770"/>
        <v>#NAME?</v>
      </c>
      <c r="AY80" s="53" t="e">
        <f t="shared" ca="1" si="770"/>
        <v>#NAME?</v>
      </c>
      <c r="AZ80" s="53" t="e">
        <f t="shared" ca="1" si="770"/>
        <v>#NAME?</v>
      </c>
      <c r="BA80" s="53" t="e">
        <f t="shared" ca="1" si="770"/>
        <v>#NAME?</v>
      </c>
      <c r="BB80" s="53" t="e">
        <f t="shared" ca="1" si="770"/>
        <v>#NAME?</v>
      </c>
      <c r="BC80" s="53" t="e">
        <f t="shared" ca="1" si="770"/>
        <v>#NAME?</v>
      </c>
      <c r="BD80" s="53" t="e">
        <f t="shared" ca="1" si="770"/>
        <v>#NAME?</v>
      </c>
      <c r="BE80" s="53" t="e">
        <f t="shared" ca="1" si="770"/>
        <v>#NAME?</v>
      </c>
      <c r="BF80" s="53" t="e">
        <f t="shared" ca="1" si="770"/>
        <v>#NAME?</v>
      </c>
      <c r="BG80" s="53" t="e">
        <f t="shared" ca="1" si="770"/>
        <v>#NAME?</v>
      </c>
      <c r="BH80" s="53" t="e">
        <f t="shared" ca="1" si="770"/>
        <v>#NAME?</v>
      </c>
      <c r="BI80" s="53" t="e">
        <f t="shared" ca="1" si="770"/>
        <v>#NAME?</v>
      </c>
      <c r="BJ80" s="53" t="e">
        <f t="shared" ca="1" si="770"/>
        <v>#NAME?</v>
      </c>
      <c r="BK80" s="53" t="e">
        <f t="shared" ca="1" si="770"/>
        <v>#NAME?</v>
      </c>
      <c r="BL80" s="53" t="e">
        <f t="shared" ca="1" si="770"/>
        <v>#NAME?</v>
      </c>
      <c r="BM80" s="53" t="e">
        <f t="shared" ca="1" si="770"/>
        <v>#NAME?</v>
      </c>
      <c r="BN80" s="53" t="e">
        <f t="shared" ca="1" si="770"/>
        <v>#NAME?</v>
      </c>
      <c r="BO80" s="53" t="e">
        <f t="shared" ref="BO80:CT80" ca="1" si="771">(BO62-BO61)/BO79</f>
        <v>#NAME?</v>
      </c>
      <c r="BP80" s="53" t="e">
        <f t="shared" ca="1" si="771"/>
        <v>#NAME?</v>
      </c>
      <c r="BQ80" s="53" t="e">
        <f t="shared" ca="1" si="771"/>
        <v>#NAME?</v>
      </c>
      <c r="BR80" s="53" t="e">
        <f t="shared" ca="1" si="771"/>
        <v>#NAME?</v>
      </c>
      <c r="BS80" s="53" t="e">
        <f t="shared" ca="1" si="771"/>
        <v>#NAME?</v>
      </c>
      <c r="BT80" s="53" t="e">
        <f t="shared" ca="1" si="771"/>
        <v>#NAME?</v>
      </c>
      <c r="BU80" s="53" t="e">
        <f t="shared" ca="1" si="771"/>
        <v>#NAME?</v>
      </c>
      <c r="BV80" s="53" t="e">
        <f t="shared" ca="1" si="771"/>
        <v>#NAME?</v>
      </c>
      <c r="BW80" s="53" t="e">
        <f t="shared" ca="1" si="771"/>
        <v>#NAME?</v>
      </c>
      <c r="BX80" s="53" t="e">
        <f t="shared" ca="1" si="771"/>
        <v>#NAME?</v>
      </c>
      <c r="BY80" s="53" t="e">
        <f t="shared" ca="1" si="771"/>
        <v>#NAME?</v>
      </c>
      <c r="BZ80" s="53" t="e">
        <f t="shared" ca="1" si="771"/>
        <v>#NAME?</v>
      </c>
      <c r="CA80" s="53" t="e">
        <f t="shared" ca="1" si="771"/>
        <v>#NAME?</v>
      </c>
      <c r="CB80" s="53" t="e">
        <f t="shared" ca="1" si="771"/>
        <v>#NAME?</v>
      </c>
      <c r="CC80" s="53" t="e">
        <f t="shared" ca="1" si="771"/>
        <v>#NAME?</v>
      </c>
      <c r="CD80" s="53" t="e">
        <f t="shared" ca="1" si="771"/>
        <v>#NAME?</v>
      </c>
      <c r="CE80" s="53" t="e">
        <f t="shared" ca="1" si="771"/>
        <v>#NAME?</v>
      </c>
      <c r="CF80" s="53" t="e">
        <f t="shared" ca="1" si="771"/>
        <v>#NAME?</v>
      </c>
      <c r="CG80" s="53" t="e">
        <f t="shared" ca="1" si="771"/>
        <v>#NAME?</v>
      </c>
      <c r="CH80" s="53" t="e">
        <f t="shared" ca="1" si="771"/>
        <v>#NAME?</v>
      </c>
      <c r="CI80" s="53" t="e">
        <f t="shared" ca="1" si="771"/>
        <v>#NAME?</v>
      </c>
      <c r="CJ80" s="53" t="e">
        <f t="shared" ca="1" si="771"/>
        <v>#NAME?</v>
      </c>
      <c r="CK80" s="53" t="e">
        <f t="shared" ref="CK80:CL80" ca="1" si="772">(CK62-CK61)/CK79</f>
        <v>#NAME?</v>
      </c>
      <c r="CL80" s="53" t="e">
        <f t="shared" ca="1" si="772"/>
        <v>#NAME?</v>
      </c>
      <c r="CM80" s="54" t="e">
        <f t="shared" ca="1" si="771"/>
        <v>#NAME?</v>
      </c>
      <c r="CN80" s="54" t="e">
        <f t="shared" ca="1" si="771"/>
        <v>#NAME?</v>
      </c>
      <c r="CO80" s="54" t="e">
        <f t="shared" ca="1" si="771"/>
        <v>#NAME?</v>
      </c>
      <c r="CP80" s="54" t="e">
        <f t="shared" ca="1" si="771"/>
        <v>#NAME?</v>
      </c>
      <c r="CQ80" s="54" t="e">
        <f t="shared" ca="1" si="771"/>
        <v>#NAME?</v>
      </c>
      <c r="CR80" s="54" t="e">
        <f t="shared" ca="1" si="771"/>
        <v>#NAME?</v>
      </c>
      <c r="CS80" s="54" t="e">
        <f t="shared" ca="1" si="771"/>
        <v>#NAME?</v>
      </c>
      <c r="CT80" s="54" t="e">
        <f t="shared" ca="1" si="771"/>
        <v>#NAME?</v>
      </c>
      <c r="CU80" s="54" t="e">
        <f t="shared" ref="CU80:DB80" ca="1" si="773">(CU62-CU61)/CU79</f>
        <v>#NAME?</v>
      </c>
      <c r="CV80" s="54" t="e">
        <f t="shared" ca="1" si="773"/>
        <v>#NAME?</v>
      </c>
      <c r="CW80" s="54" t="e">
        <f t="shared" ca="1" si="773"/>
        <v>#NAME?</v>
      </c>
      <c r="CX80" s="54" t="e">
        <f t="shared" ca="1" si="773"/>
        <v>#NAME?</v>
      </c>
      <c r="CY80" s="54" t="e">
        <f t="shared" ca="1" si="773"/>
        <v>#NAME?</v>
      </c>
      <c r="CZ80" s="54" t="e">
        <f t="shared" ca="1" si="773"/>
        <v>#NAME?</v>
      </c>
      <c r="DA80" s="54" t="e">
        <f t="shared" ca="1" si="773"/>
        <v>#NAME?</v>
      </c>
      <c r="DB80" s="54" t="e">
        <f t="shared" ca="1" si="773"/>
        <v>#NAME?</v>
      </c>
      <c r="DE80" s="132"/>
      <c r="DF80" s="53">
        <v>20.609316710773847</v>
      </c>
    </row>
    <row r="81" spans="1:110" s="3" customFormat="1" x14ac:dyDescent="0.2">
      <c r="A81" s="3" t="s">
        <v>31</v>
      </c>
      <c r="B81" s="3" t="e">
        <f ca="1">'Annual Raw'!C110</f>
        <v>#NAME?</v>
      </c>
      <c r="C81" s="3" t="e">
        <f ca="1">'Annual Raw'!D110</f>
        <v>#NAME?</v>
      </c>
      <c r="D81" s="3" t="e">
        <f ca="1">'Annual Raw'!E110</f>
        <v>#NAME?</v>
      </c>
      <c r="E81" s="3" t="e">
        <f ca="1">'Annual Raw'!F110</f>
        <v>#NAME?</v>
      </c>
      <c r="F81" s="3" t="e">
        <f ca="1">'Annual Raw'!G110</f>
        <v>#NAME?</v>
      </c>
      <c r="G81" s="3" t="e">
        <f ca="1">'Annual Raw'!H110</f>
        <v>#NAME?</v>
      </c>
      <c r="H81" s="3" t="e">
        <f ca="1">'Annual Raw'!I110</f>
        <v>#NAME?</v>
      </c>
      <c r="I81" s="3" t="e">
        <f ca="1">'Annual Raw'!J110</f>
        <v>#NAME?</v>
      </c>
      <c r="J81" s="3" t="e">
        <f ca="1">'Annual Raw'!K110</f>
        <v>#NAME?</v>
      </c>
      <c r="K81" s="3" t="e">
        <f ca="1">'Annual Raw'!L110</f>
        <v>#NAME?</v>
      </c>
      <c r="L81" s="3" t="e">
        <f ca="1">'Annual Raw'!M110</f>
        <v>#NAME?</v>
      </c>
      <c r="M81" s="3" t="e">
        <f ca="1">'Annual Raw'!N110</f>
        <v>#NAME?</v>
      </c>
      <c r="N81" s="3" t="e">
        <f ca="1">'Annual Raw'!O110</f>
        <v>#NAME?</v>
      </c>
      <c r="O81" s="3" t="e">
        <f ca="1">'Annual Raw'!P110</f>
        <v>#NAME?</v>
      </c>
      <c r="P81" s="3" t="e">
        <f ca="1">'Annual Raw'!Q110</f>
        <v>#NAME?</v>
      </c>
      <c r="Q81" s="3" t="e">
        <f ca="1">'Annual Raw'!R110</f>
        <v>#NAME?</v>
      </c>
      <c r="R81" s="3" t="e">
        <f ca="1">'Annual Raw'!S110</f>
        <v>#NAME?</v>
      </c>
      <c r="S81" s="3" t="e">
        <f ca="1">'Annual Raw'!T110</f>
        <v>#NAME?</v>
      </c>
      <c r="T81" s="3" t="e">
        <f ca="1">'Annual Raw'!U110</f>
        <v>#NAME?</v>
      </c>
      <c r="U81" s="3" t="e">
        <f ca="1">'Annual Raw'!V110</f>
        <v>#NAME?</v>
      </c>
      <c r="V81" s="3" t="e">
        <f ca="1">'Annual Raw'!W110</f>
        <v>#NAME?</v>
      </c>
      <c r="W81" s="3" t="e">
        <f ca="1">'Annual Raw'!X110</f>
        <v>#NAME?</v>
      </c>
      <c r="X81" s="3" t="e">
        <f ca="1">'Annual Raw'!Y110</f>
        <v>#NAME?</v>
      </c>
      <c r="Y81" s="3" t="e">
        <f ca="1">'Annual Raw'!Z110</f>
        <v>#NAME?</v>
      </c>
      <c r="Z81" s="3" t="e">
        <f ca="1">'Annual Raw'!AA110</f>
        <v>#NAME?</v>
      </c>
      <c r="AA81" s="3" t="e">
        <f ca="1">'Annual Raw'!AB110</f>
        <v>#NAME?</v>
      </c>
      <c r="AB81" s="37"/>
      <c r="AC81" s="37"/>
      <c r="AD81" s="37"/>
      <c r="AE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E81" s="134"/>
    </row>
    <row r="82" spans="1:110" s="3" customFormat="1" x14ac:dyDescent="0.2">
      <c r="A82" s="3" t="s">
        <v>32</v>
      </c>
      <c r="B82" s="3" t="e">
        <f ca="1">B81/B80</f>
        <v>#NAME?</v>
      </c>
      <c r="C82" s="3" t="e">
        <f t="shared" ref="C82:U82" ca="1" si="774">C81/C80</f>
        <v>#NAME?</v>
      </c>
      <c r="D82" s="3" t="e">
        <f t="shared" ca="1" si="774"/>
        <v>#NAME?</v>
      </c>
      <c r="E82" s="3" t="e">
        <f t="shared" ca="1" si="774"/>
        <v>#DIV/0!</v>
      </c>
      <c r="F82" s="3" t="e">
        <f t="shared" ca="1" si="774"/>
        <v>#DIV/0!</v>
      </c>
      <c r="G82" s="3" t="e">
        <f t="shared" ca="1" si="774"/>
        <v>#DIV/0!</v>
      </c>
      <c r="H82" s="3" t="e">
        <f t="shared" ca="1" si="774"/>
        <v>#DIV/0!</v>
      </c>
      <c r="I82" s="3">
        <f t="shared" ca="1" si="774"/>
        <v>0</v>
      </c>
      <c r="J82" s="3">
        <f t="shared" ca="1" si="774"/>
        <v>0</v>
      </c>
      <c r="K82" s="3">
        <f t="shared" ca="1" si="774"/>
        <v>0</v>
      </c>
      <c r="L82" s="3">
        <f t="shared" ca="1" si="774"/>
        <v>0</v>
      </c>
      <c r="M82" s="3">
        <f t="shared" ca="1" si="774"/>
        <v>0</v>
      </c>
      <c r="N82" s="3">
        <f t="shared" ca="1" si="774"/>
        <v>0</v>
      </c>
      <c r="O82" s="3">
        <f t="shared" ca="1" si="774"/>
        <v>0</v>
      </c>
      <c r="P82" s="3">
        <f t="shared" ca="1" si="774"/>
        <v>0</v>
      </c>
      <c r="Q82" s="3">
        <f t="shared" ca="1" si="774"/>
        <v>0</v>
      </c>
      <c r="R82" s="3">
        <f t="shared" ca="1" si="774"/>
        <v>0</v>
      </c>
      <c r="S82" s="3">
        <f t="shared" ca="1" si="774"/>
        <v>0</v>
      </c>
      <c r="T82" s="3">
        <f t="shared" ca="1" si="774"/>
        <v>0</v>
      </c>
      <c r="U82" s="3">
        <f t="shared" ca="1" si="774"/>
        <v>0</v>
      </c>
      <c r="V82" s="3">
        <f ca="1">V81/V80</f>
        <v>0</v>
      </c>
      <c r="W82" s="3">
        <f t="shared" ref="W82" ca="1" si="775">W81/W80</f>
        <v>0</v>
      </c>
      <c r="X82" s="3">
        <f t="shared" ref="X82:Y82" ca="1" si="776">X81/X80</f>
        <v>0</v>
      </c>
      <c r="Y82" s="3">
        <f t="shared" ca="1" si="776"/>
        <v>0</v>
      </c>
      <c r="Z82" s="3">
        <f t="shared" ref="Z82:AA82" ca="1" si="777">Z81/Z80</f>
        <v>0</v>
      </c>
      <c r="AA82" s="3">
        <f t="shared" ca="1" si="777"/>
        <v>0</v>
      </c>
      <c r="AB82" s="37">
        <f t="shared" ref="AA82:AD82" ca="1" si="778">AB81/AB80</f>
        <v>0</v>
      </c>
      <c r="AC82" s="37">
        <f t="shared" ca="1" si="778"/>
        <v>0</v>
      </c>
      <c r="AD82" s="37">
        <f t="shared" ca="1" si="778"/>
        <v>0</v>
      </c>
      <c r="AE82" s="37">
        <f t="shared" ref="AE82" ca="1" si="779">AE81/AE80</f>
        <v>0</v>
      </c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E82" s="134"/>
      <c r="DF82" s="3">
        <v>0</v>
      </c>
    </row>
    <row r="83" spans="1:110" s="3" customFormat="1" x14ac:dyDescent="0.2">
      <c r="A83" s="3" t="s">
        <v>33</v>
      </c>
      <c r="B83" s="3" t="e">
        <f ca="1">+B80</f>
        <v>#NAME?</v>
      </c>
      <c r="C83" s="3" t="e">
        <f t="shared" ref="C83:U83" ca="1" si="780">+C80</f>
        <v>#NAME?</v>
      </c>
      <c r="D83" s="3" t="e">
        <f t="shared" ca="1" si="780"/>
        <v>#NAME?</v>
      </c>
      <c r="E83" s="3">
        <f t="shared" ca="1" si="780"/>
        <v>0</v>
      </c>
      <c r="F83" s="3">
        <f t="shared" ca="1" si="780"/>
        <v>0</v>
      </c>
      <c r="G83" s="3">
        <f t="shared" ca="1" si="780"/>
        <v>0</v>
      </c>
      <c r="H83" s="3">
        <f t="shared" ca="1" si="780"/>
        <v>0</v>
      </c>
      <c r="I83" s="3">
        <f t="shared" ca="1" si="780"/>
        <v>1.8913642827535637</v>
      </c>
      <c r="J83" s="3">
        <f t="shared" ca="1" si="780"/>
        <v>-2.7828997385454168</v>
      </c>
      <c r="K83" s="3">
        <f t="shared" ca="1" si="780"/>
        <v>1.8393370691579234</v>
      </c>
      <c r="L83" s="3">
        <f t="shared" ca="1" si="780"/>
        <v>1.1231865574084099</v>
      </c>
      <c r="M83" s="3">
        <f t="shared" ca="1" si="780"/>
        <v>0.39033255747218154</v>
      </c>
      <c r="N83" s="3">
        <f t="shared" ca="1" si="780"/>
        <v>0.52396135573765368</v>
      </c>
      <c r="O83" s="3">
        <f t="shared" ca="1" si="780"/>
        <v>-1.9962854318783279</v>
      </c>
      <c r="P83" s="3">
        <f t="shared" ca="1" si="780"/>
        <v>-0.28943340879380036</v>
      </c>
      <c r="Q83" s="3">
        <f t="shared" ca="1" si="780"/>
        <v>0.76430826132703977</v>
      </c>
      <c r="R83" s="3">
        <f t="shared" ca="1" si="780"/>
        <v>1.7024359914548968</v>
      </c>
      <c r="S83" s="3">
        <f t="shared" ca="1" si="780"/>
        <v>2.4307783056467809</v>
      </c>
      <c r="T83" s="3">
        <f ca="1">+T80</f>
        <v>0.78901890763000726</v>
      </c>
      <c r="U83" s="3">
        <f t="shared" ca="1" si="780"/>
        <v>1.075534865924819</v>
      </c>
      <c r="V83" s="3">
        <f ca="1">+V80</f>
        <v>2.098667219334887</v>
      </c>
      <c r="W83" s="3">
        <f t="shared" ref="W83" ca="1" si="781">+W80</f>
        <v>8.0985556228677158</v>
      </c>
      <c r="X83" s="3">
        <f t="shared" ref="X83:Y83" ca="1" si="782">+X80</f>
        <v>6.0174409335841608</v>
      </c>
      <c r="Y83" s="3">
        <f t="shared" ca="1" si="782"/>
        <v>12.321844211331815</v>
      </c>
      <c r="Z83" s="3">
        <f t="shared" ref="Z83:AA83" ca="1" si="783">+Z80</f>
        <v>16.517233683002253</v>
      </c>
      <c r="AA83" s="3">
        <f t="shared" ca="1" si="783"/>
        <v>16.517233683002253</v>
      </c>
      <c r="AB83" s="37">
        <f t="shared" ref="AA83:AD83" ca="1" si="784">+AB80</f>
        <v>27.184040194669929</v>
      </c>
      <c r="AC83" s="37">
        <f t="shared" ca="1" si="784"/>
        <v>36.270008297728133</v>
      </c>
      <c r="AD83" s="37">
        <f t="shared" ca="1" si="784"/>
        <v>46.504528269506174</v>
      </c>
      <c r="AE83" s="37">
        <f t="shared" ref="AE83" ca="1" si="785">+AE80</f>
        <v>58.491781440557567</v>
      </c>
      <c r="AL83" s="3" t="e">
        <f ca="1">SUM(AI80:AL80)</f>
        <v>#NAME?</v>
      </c>
      <c r="AM83" s="3" t="e">
        <f t="shared" ref="AM83" ca="1" si="786">SUM(AJ80:AM80)</f>
        <v>#NAME?</v>
      </c>
      <c r="AN83" s="3" t="e">
        <f t="shared" ref="AN83" ca="1" si="787">SUM(AK80:AN80)</f>
        <v>#NAME?</v>
      </c>
      <c r="AO83" s="3" t="e">
        <f t="shared" ref="AO83" ca="1" si="788">SUM(AL80:AO80)</f>
        <v>#NAME?</v>
      </c>
      <c r="AP83" s="3" t="e">
        <f t="shared" ref="AP83" ca="1" si="789">SUM(AM80:AP80)</f>
        <v>#NAME?</v>
      </c>
      <c r="AQ83" s="3" t="e">
        <f t="shared" ref="AQ83" ca="1" si="790">SUM(AN80:AQ80)</f>
        <v>#NAME?</v>
      </c>
      <c r="AR83" s="3" t="e">
        <f t="shared" ref="AR83" ca="1" si="791">SUM(AO80:AR80)</f>
        <v>#NAME?</v>
      </c>
      <c r="AS83" s="3" t="e">
        <f t="shared" ref="AS83" ca="1" si="792">SUM(AP80:AS80)</f>
        <v>#NAME?</v>
      </c>
      <c r="AT83" s="3" t="e">
        <f t="shared" ref="AT83" ca="1" si="793">SUM(AQ80:AT80)</f>
        <v>#NAME?</v>
      </c>
      <c r="AU83" s="3" t="e">
        <f t="shared" ref="AU83" ca="1" si="794">SUM(AR80:AU80)</f>
        <v>#NAME?</v>
      </c>
      <c r="AV83" s="3" t="e">
        <f t="shared" ref="AV83" ca="1" si="795">SUM(AS80:AV80)</f>
        <v>#NAME?</v>
      </c>
      <c r="AW83" s="3" t="e">
        <f t="shared" ref="AW83" ca="1" si="796">SUM(AT80:AW80)</f>
        <v>#NAME?</v>
      </c>
      <c r="AX83" s="3" t="e">
        <f t="shared" ref="AX83" ca="1" si="797">SUM(AU80:AX80)</f>
        <v>#NAME?</v>
      </c>
      <c r="AY83" s="3" t="e">
        <f t="shared" ref="AY83" ca="1" si="798">SUM(AV80:AY80)</f>
        <v>#NAME?</v>
      </c>
      <c r="AZ83" s="3" t="e">
        <f t="shared" ref="AZ83" ca="1" si="799">SUM(AW80:AZ80)</f>
        <v>#NAME?</v>
      </c>
      <c r="BA83" s="3" t="e">
        <f t="shared" ref="BA83" ca="1" si="800">SUM(AX80:BA80)</f>
        <v>#NAME?</v>
      </c>
      <c r="BB83" s="3" t="e">
        <f t="shared" ref="BB83" ca="1" si="801">SUM(AY80:BB80)</f>
        <v>#NAME?</v>
      </c>
      <c r="BC83" s="3" t="e">
        <f t="shared" ref="BC83" ca="1" si="802">SUM(AZ80:BC80)</f>
        <v>#NAME?</v>
      </c>
      <c r="BD83" s="3" t="e">
        <f t="shared" ref="BD83" ca="1" si="803">SUM(BA80:BD80)</f>
        <v>#NAME?</v>
      </c>
      <c r="BE83" s="3" t="e">
        <f t="shared" ref="BE83" ca="1" si="804">SUM(BB80:BE80)</f>
        <v>#NAME?</v>
      </c>
      <c r="BF83" s="3" t="e">
        <f t="shared" ref="BF83" ca="1" si="805">SUM(BC80:BF80)</f>
        <v>#NAME?</v>
      </c>
      <c r="BG83" s="3" t="e">
        <f t="shared" ref="BG83" ca="1" si="806">SUM(BD80:BG80)</f>
        <v>#NAME?</v>
      </c>
      <c r="BH83" s="3" t="e">
        <f t="shared" ref="BH83" ca="1" si="807">SUM(BE80:BH80)</f>
        <v>#NAME?</v>
      </c>
      <c r="BI83" s="3" t="e">
        <f t="shared" ref="BI83" ca="1" si="808">SUM(BF80:BI80)</f>
        <v>#NAME?</v>
      </c>
      <c r="BJ83" s="3" t="e">
        <f t="shared" ref="BJ83" ca="1" si="809">SUM(BG80:BJ80)</f>
        <v>#NAME?</v>
      </c>
      <c r="BK83" s="3" t="e">
        <f t="shared" ref="BK83" ca="1" si="810">SUM(BH80:BK80)</f>
        <v>#NAME?</v>
      </c>
      <c r="BL83" s="3" t="e">
        <f t="shared" ref="BL83" ca="1" si="811">SUM(BI80:BL80)</f>
        <v>#NAME?</v>
      </c>
      <c r="BM83" s="3" t="e">
        <f t="shared" ref="BM83" ca="1" si="812">SUM(BJ80:BM80)</f>
        <v>#NAME?</v>
      </c>
      <c r="BN83" s="3" t="e">
        <f t="shared" ref="BN83" ca="1" si="813">SUM(BK80:BN80)</f>
        <v>#NAME?</v>
      </c>
      <c r="BO83" s="3" t="e">
        <f t="shared" ref="BO83" ca="1" si="814">SUM(BL80:BO80)</f>
        <v>#NAME?</v>
      </c>
      <c r="BP83" s="3" t="e">
        <f t="shared" ref="BP83" ca="1" si="815">SUM(BM80:BP80)</f>
        <v>#NAME?</v>
      </c>
      <c r="BQ83" s="3" t="e">
        <f t="shared" ref="BQ83" ca="1" si="816">SUM(BN80:BQ80)</f>
        <v>#NAME?</v>
      </c>
      <c r="BR83" s="3" t="e">
        <f t="shared" ref="BR83" ca="1" si="817">SUM(BO80:BR80)</f>
        <v>#NAME?</v>
      </c>
      <c r="BS83" s="3" t="e">
        <f t="shared" ref="BS83" ca="1" si="818">SUM(BP80:BS80)</f>
        <v>#NAME?</v>
      </c>
      <c r="BT83" s="3" t="e">
        <f t="shared" ref="BT83" ca="1" si="819">SUM(BQ80:BT80)</f>
        <v>#NAME?</v>
      </c>
      <c r="BU83" s="3" t="e">
        <f t="shared" ref="BU83" ca="1" si="820">SUM(BR80:BU80)</f>
        <v>#NAME?</v>
      </c>
      <c r="BV83" s="3" t="e">
        <f t="shared" ref="BV83" ca="1" si="821">SUM(BS80:BV80)</f>
        <v>#NAME?</v>
      </c>
      <c r="BW83" s="3" t="e">
        <f t="shared" ref="BW83" ca="1" si="822">SUM(BT80:BW80)</f>
        <v>#NAME?</v>
      </c>
      <c r="BX83" s="3" t="e">
        <f t="shared" ref="BX83" ca="1" si="823">SUM(BU80:BX80)</f>
        <v>#NAME?</v>
      </c>
      <c r="BY83" s="3" t="e">
        <f t="shared" ref="BY83" ca="1" si="824">SUM(BV80:BY80)</f>
        <v>#NAME?</v>
      </c>
      <c r="BZ83" s="3" t="e">
        <f t="shared" ref="BZ83" ca="1" si="825">SUM(BW80:BZ80)</f>
        <v>#NAME?</v>
      </c>
      <c r="CA83" s="3" t="e">
        <f t="shared" ref="CA83" ca="1" si="826">SUM(BX80:CA80)</f>
        <v>#NAME?</v>
      </c>
      <c r="CB83" s="3" t="e">
        <f t="shared" ref="CB83" ca="1" si="827">SUM(BY80:CB80)</f>
        <v>#NAME?</v>
      </c>
      <c r="CC83" s="3" t="e">
        <f t="shared" ref="CC83" ca="1" si="828">SUM(BZ80:CC80)</f>
        <v>#NAME?</v>
      </c>
      <c r="CD83" s="3" t="e">
        <f t="shared" ref="CD83" ca="1" si="829">SUM(CA80:CD80)</f>
        <v>#NAME?</v>
      </c>
      <c r="CE83" s="3" t="e">
        <f t="shared" ref="CE83" ca="1" si="830">SUM(CB80:CE80)</f>
        <v>#NAME?</v>
      </c>
      <c r="CF83" s="3" t="e">
        <f t="shared" ref="CF83" ca="1" si="831">SUM(CC80:CF80)</f>
        <v>#NAME?</v>
      </c>
      <c r="CG83" s="3" t="e">
        <f t="shared" ref="CG83" ca="1" si="832">SUM(CD80:CG80)</f>
        <v>#NAME?</v>
      </c>
      <c r="CH83" s="3" t="e">
        <f t="shared" ref="CH83:CL83" ca="1" si="833">SUM(CE80:CH80)</f>
        <v>#NAME?</v>
      </c>
      <c r="CI83" s="3" t="e">
        <f t="shared" ca="1" si="833"/>
        <v>#NAME?</v>
      </c>
      <c r="CJ83" s="3" t="e">
        <f t="shared" ca="1" si="833"/>
        <v>#NAME?</v>
      </c>
      <c r="CK83" s="3" t="e">
        <f t="shared" ca="1" si="833"/>
        <v>#NAME?</v>
      </c>
      <c r="CL83" s="3" t="e">
        <f t="shared" ca="1" si="833"/>
        <v>#NAME?</v>
      </c>
      <c r="CM83" s="37" t="e">
        <f t="shared" ref="CM83" ca="1" si="834">SUM(CJ80:CM80)</f>
        <v>#NAME?</v>
      </c>
      <c r="CN83" s="37" t="e">
        <f t="shared" ref="CN83" ca="1" si="835">SUM(CK80:CN80)</f>
        <v>#NAME?</v>
      </c>
      <c r="CO83" s="37" t="e">
        <f t="shared" ref="CO83" ca="1" si="836">SUM(CL80:CO80)</f>
        <v>#NAME?</v>
      </c>
      <c r="CP83" s="37" t="e">
        <f t="shared" ref="CP83" ca="1" si="837">SUM(CM80:CP80)</f>
        <v>#NAME?</v>
      </c>
      <c r="CQ83" s="37" t="e">
        <f t="shared" ref="CQ83" ca="1" si="838">SUM(CN80:CQ80)</f>
        <v>#NAME?</v>
      </c>
      <c r="CR83" s="37" t="e">
        <f t="shared" ref="CR83" ca="1" si="839">SUM(CO80:CR80)</f>
        <v>#NAME?</v>
      </c>
      <c r="CS83" s="37" t="e">
        <f t="shared" ref="CS83" ca="1" si="840">SUM(CP80:CS80)</f>
        <v>#NAME?</v>
      </c>
      <c r="CT83" s="37" t="e">
        <f t="shared" ref="CT83" ca="1" si="841">SUM(CQ80:CT80)</f>
        <v>#NAME?</v>
      </c>
      <c r="CU83" s="37" t="e">
        <f t="shared" ref="CU83" ca="1" si="842">SUM(CR80:CU80)</f>
        <v>#NAME?</v>
      </c>
      <c r="CV83" s="37" t="e">
        <f t="shared" ref="CV83" ca="1" si="843">SUM(CS80:CV80)</f>
        <v>#NAME?</v>
      </c>
      <c r="CW83" s="37" t="e">
        <f t="shared" ref="CW83" ca="1" si="844">SUM(CT80:CW80)</f>
        <v>#NAME?</v>
      </c>
      <c r="CX83" s="37" t="e">
        <f t="shared" ref="CX83" ca="1" si="845">SUM(CU80:CX80)</f>
        <v>#NAME?</v>
      </c>
      <c r="CY83" s="37" t="e">
        <f t="shared" ref="CY83" ca="1" si="846">SUM(CV80:CY80)</f>
        <v>#NAME?</v>
      </c>
      <c r="CZ83" s="37" t="e">
        <f t="shared" ref="CZ83" ca="1" si="847">SUM(CW80:CZ80)</f>
        <v>#NAME?</v>
      </c>
      <c r="DA83" s="37" t="e">
        <f t="shared" ref="DA83" ca="1" si="848">SUM(CX80:DA80)</f>
        <v>#NAME?</v>
      </c>
      <c r="DB83" s="37" t="e">
        <f t="shared" ref="DB83" ca="1" si="849">SUM(CY80:DB80)</f>
        <v>#NAME?</v>
      </c>
      <c r="DE83" s="134"/>
      <c r="DF83" s="3">
        <v>20.609316710773847</v>
      </c>
    </row>
    <row r="84" spans="1:110" s="97" customFormat="1" x14ac:dyDescent="0.2">
      <c r="A84" s="97" t="s">
        <v>425</v>
      </c>
      <c r="C84" s="101" t="e">
        <f t="shared" ref="C84:AA84" ca="1" si="850">+C83/B83-1</f>
        <v>#NAME?</v>
      </c>
      <c r="D84" s="101" t="e">
        <f t="shared" ca="1" si="850"/>
        <v>#NAME?</v>
      </c>
      <c r="E84" s="101" t="e">
        <f t="shared" ca="1" si="850"/>
        <v>#DIV/0!</v>
      </c>
      <c r="F84" s="101" t="e">
        <f t="shared" ca="1" si="850"/>
        <v>#DIV/0!</v>
      </c>
      <c r="G84" s="101" t="e">
        <f t="shared" ca="1" si="850"/>
        <v>#DIV/0!</v>
      </c>
      <c r="H84" s="101" t="e">
        <f t="shared" ca="1" si="850"/>
        <v>#DIV/0!</v>
      </c>
      <c r="I84" s="101" t="e">
        <f t="shared" ca="1" si="850"/>
        <v>#DIV/0!</v>
      </c>
      <c r="J84" s="101">
        <f t="shared" ca="1" si="850"/>
        <v>-2.4713716251921083</v>
      </c>
      <c r="K84" s="101">
        <f t="shared" ca="1" si="850"/>
        <v>-1.6609426288994944</v>
      </c>
      <c r="L84" s="101">
        <f t="shared" ca="1" si="850"/>
        <v>-0.38935251388011127</v>
      </c>
      <c r="M84" s="101">
        <f t="shared" ca="1" si="850"/>
        <v>-0.65247753821696608</v>
      </c>
      <c r="N84" s="101">
        <f t="shared" ca="1" si="850"/>
        <v>0.34234602189184704</v>
      </c>
      <c r="O84" s="101">
        <f t="shared" ca="1" si="850"/>
        <v>-4.8099860037728881</v>
      </c>
      <c r="P84" s="101">
        <f t="shared" ca="1" si="850"/>
        <v>-0.85501401544494104</v>
      </c>
      <c r="Q84" s="101">
        <f t="shared" ca="1" si="850"/>
        <v>-3.6407050399339083</v>
      </c>
      <c r="R84" s="101">
        <f t="shared" ca="1" si="850"/>
        <v>1.2274206332651971</v>
      </c>
      <c r="S84" s="101">
        <f t="shared" ca="1" si="850"/>
        <v>0.4278236114882914</v>
      </c>
      <c r="T84" s="101">
        <f t="shared" ca="1" si="850"/>
        <v>-0.67540482577243288</v>
      </c>
      <c r="U84" s="101">
        <f t="shared" ca="1" si="850"/>
        <v>0.36312939464964877</v>
      </c>
      <c r="V84" s="101">
        <f t="shared" ca="1" si="850"/>
        <v>0.9512777184868928</v>
      </c>
      <c r="W84" s="101">
        <f t="shared" ca="1" si="850"/>
        <v>2.8589041408071942</v>
      </c>
      <c r="X84" s="101">
        <f t="shared" ca="1" si="850"/>
        <v>-0.25697356247170255</v>
      </c>
      <c r="Y84" s="101">
        <f t="shared" ca="1" si="850"/>
        <v>1.0476884355543761</v>
      </c>
      <c r="Z84" s="101">
        <f t="shared" ca="1" si="850"/>
        <v>0.34048389183594274</v>
      </c>
      <c r="AA84" s="101">
        <f t="shared" ca="1" si="850"/>
        <v>0.34048389183594274</v>
      </c>
      <c r="AB84" s="174">
        <f t="shared" ref="AB84" ca="1" si="851">+AB83/AA83-1</f>
        <v>0.31901705312039974</v>
      </c>
      <c r="AC84" s="174">
        <f t="shared" ref="AC84" ca="1" si="852">+AC83/AB83-1</f>
        <v>0.33423906225829225</v>
      </c>
      <c r="AD84" s="174">
        <f t="shared" ref="AD84" ca="1" si="853">+AD83/AC83-1</f>
        <v>0.28217583761675358</v>
      </c>
      <c r="AE84" s="174">
        <f t="shared" ref="AE84" ca="1" si="854">+AE83/AD83-1</f>
        <v>0.25776528903985563</v>
      </c>
      <c r="AL84" s="176"/>
      <c r="AM84" s="176"/>
      <c r="AN84" s="176"/>
      <c r="AO84" s="176"/>
      <c r="AP84" s="176" t="e">
        <f t="shared" ref="AP84:CL84" ca="1" si="855">+IF(AL83&lt;0,1-AP83/AL83,AP83/AL83-1)</f>
        <v>#NAME?</v>
      </c>
      <c r="AQ84" s="176" t="e">
        <f t="shared" ca="1" si="855"/>
        <v>#NAME?</v>
      </c>
      <c r="AR84" s="176" t="e">
        <f t="shared" ca="1" si="855"/>
        <v>#NAME?</v>
      </c>
      <c r="AS84" s="176" t="e">
        <f t="shared" ca="1" si="855"/>
        <v>#NAME?</v>
      </c>
      <c r="AT84" s="176" t="e">
        <f t="shared" ca="1" si="855"/>
        <v>#NAME?</v>
      </c>
      <c r="AU84" s="176" t="e">
        <f t="shared" ca="1" si="855"/>
        <v>#NAME?</v>
      </c>
      <c r="AV84" s="176" t="e">
        <f t="shared" ca="1" si="855"/>
        <v>#NAME?</v>
      </c>
      <c r="AW84" s="176" t="e">
        <f t="shared" ca="1" si="855"/>
        <v>#NAME?</v>
      </c>
      <c r="AX84" s="176" t="e">
        <f t="shared" ca="1" si="855"/>
        <v>#NAME?</v>
      </c>
      <c r="AY84" s="176" t="e">
        <f t="shared" ca="1" si="855"/>
        <v>#NAME?</v>
      </c>
      <c r="AZ84" s="176" t="e">
        <f t="shared" ca="1" si="855"/>
        <v>#NAME?</v>
      </c>
      <c r="BA84" s="176" t="e">
        <f t="shared" ca="1" si="855"/>
        <v>#NAME?</v>
      </c>
      <c r="BB84" s="176" t="e">
        <f t="shared" ca="1" si="855"/>
        <v>#NAME?</v>
      </c>
      <c r="BC84" s="176" t="e">
        <f t="shared" ca="1" si="855"/>
        <v>#NAME?</v>
      </c>
      <c r="BD84" s="176" t="e">
        <f t="shared" ca="1" si="855"/>
        <v>#NAME?</v>
      </c>
      <c r="BE84" s="176" t="e">
        <f t="shared" ca="1" si="855"/>
        <v>#NAME?</v>
      </c>
      <c r="BF84" s="176" t="e">
        <f t="shared" ca="1" si="855"/>
        <v>#NAME?</v>
      </c>
      <c r="BG84" s="176" t="e">
        <f t="shared" ca="1" si="855"/>
        <v>#NAME?</v>
      </c>
      <c r="BH84" s="176" t="e">
        <f t="shared" ca="1" si="855"/>
        <v>#NAME?</v>
      </c>
      <c r="BI84" s="176" t="e">
        <f t="shared" ca="1" si="855"/>
        <v>#NAME?</v>
      </c>
      <c r="BJ84" s="176" t="e">
        <f t="shared" ca="1" si="855"/>
        <v>#NAME?</v>
      </c>
      <c r="BK84" s="176" t="e">
        <f t="shared" ca="1" si="855"/>
        <v>#NAME?</v>
      </c>
      <c r="BL84" s="176" t="e">
        <f t="shared" ca="1" si="855"/>
        <v>#NAME?</v>
      </c>
      <c r="BM84" s="176" t="e">
        <f t="shared" ca="1" si="855"/>
        <v>#NAME?</v>
      </c>
      <c r="BN84" s="176" t="e">
        <f t="shared" ca="1" si="855"/>
        <v>#NAME?</v>
      </c>
      <c r="BO84" s="176" t="e">
        <f t="shared" ca="1" si="855"/>
        <v>#NAME?</v>
      </c>
      <c r="BP84" s="176" t="e">
        <f t="shared" ca="1" si="855"/>
        <v>#NAME?</v>
      </c>
      <c r="BQ84" s="176" t="e">
        <f t="shared" ca="1" si="855"/>
        <v>#NAME?</v>
      </c>
      <c r="BR84" s="176" t="e">
        <f t="shared" ca="1" si="855"/>
        <v>#NAME?</v>
      </c>
      <c r="BS84" s="176" t="e">
        <f t="shared" ca="1" si="855"/>
        <v>#NAME?</v>
      </c>
      <c r="BT84" s="176" t="e">
        <f t="shared" ca="1" si="855"/>
        <v>#NAME?</v>
      </c>
      <c r="BU84" s="176" t="e">
        <f t="shared" ca="1" si="855"/>
        <v>#NAME?</v>
      </c>
      <c r="BV84" s="176" t="e">
        <f t="shared" ca="1" si="855"/>
        <v>#NAME?</v>
      </c>
      <c r="BW84" s="176" t="e">
        <f t="shared" ca="1" si="855"/>
        <v>#NAME?</v>
      </c>
      <c r="BX84" s="176" t="e">
        <f t="shared" ca="1" si="855"/>
        <v>#NAME?</v>
      </c>
      <c r="BY84" s="176" t="e">
        <f t="shared" ca="1" si="855"/>
        <v>#NAME?</v>
      </c>
      <c r="BZ84" s="176" t="e">
        <f t="shared" ca="1" si="855"/>
        <v>#NAME?</v>
      </c>
      <c r="CA84" s="176" t="e">
        <f t="shared" ca="1" si="855"/>
        <v>#NAME?</v>
      </c>
      <c r="CB84" s="176" t="e">
        <f t="shared" ca="1" si="855"/>
        <v>#NAME?</v>
      </c>
      <c r="CC84" s="176" t="e">
        <f t="shared" ca="1" si="855"/>
        <v>#NAME?</v>
      </c>
      <c r="CD84" s="176" t="e">
        <f t="shared" ca="1" si="855"/>
        <v>#NAME?</v>
      </c>
      <c r="CE84" s="176" t="e">
        <f t="shared" ca="1" si="855"/>
        <v>#NAME?</v>
      </c>
      <c r="CF84" s="176" t="e">
        <f t="shared" ca="1" si="855"/>
        <v>#NAME?</v>
      </c>
      <c r="CG84" s="176" t="e">
        <f t="shared" ca="1" si="855"/>
        <v>#NAME?</v>
      </c>
      <c r="CH84" s="176" t="e">
        <f t="shared" ca="1" si="855"/>
        <v>#NAME?</v>
      </c>
      <c r="CI84" s="176" t="e">
        <f t="shared" ca="1" si="855"/>
        <v>#NAME?</v>
      </c>
      <c r="CJ84" s="176" t="e">
        <f t="shared" ca="1" si="855"/>
        <v>#NAME?</v>
      </c>
      <c r="CK84" s="176" t="e">
        <f t="shared" ca="1" si="855"/>
        <v>#NAME?</v>
      </c>
      <c r="CL84" s="176" t="e">
        <f t="shared" ca="1" si="855"/>
        <v>#NAME?</v>
      </c>
      <c r="CM84" s="102" t="e">
        <f t="shared" ref="CM84:DB84" ca="1" si="856">+IF(CI83&lt;0,1-CM83/CI83,CM83/CI83-1)</f>
        <v>#NAME?</v>
      </c>
      <c r="CN84" s="102" t="e">
        <f t="shared" ca="1" si="856"/>
        <v>#NAME?</v>
      </c>
      <c r="CO84" s="102" t="e">
        <f t="shared" ca="1" si="856"/>
        <v>#NAME?</v>
      </c>
      <c r="CP84" s="102" t="e">
        <f t="shared" ca="1" si="856"/>
        <v>#NAME?</v>
      </c>
      <c r="CQ84" s="102" t="e">
        <f t="shared" ca="1" si="856"/>
        <v>#NAME?</v>
      </c>
      <c r="CR84" s="102" t="e">
        <f t="shared" ca="1" si="856"/>
        <v>#NAME?</v>
      </c>
      <c r="CS84" s="102" t="e">
        <f t="shared" ca="1" si="856"/>
        <v>#NAME?</v>
      </c>
      <c r="CT84" s="102" t="e">
        <f t="shared" ca="1" si="856"/>
        <v>#NAME?</v>
      </c>
      <c r="CU84" s="102" t="e">
        <f t="shared" ca="1" si="856"/>
        <v>#NAME?</v>
      </c>
      <c r="CV84" s="102" t="e">
        <f t="shared" ca="1" si="856"/>
        <v>#NAME?</v>
      </c>
      <c r="CW84" s="102" t="e">
        <f t="shared" ca="1" si="856"/>
        <v>#NAME?</v>
      </c>
      <c r="CX84" s="102" t="e">
        <f t="shared" ca="1" si="856"/>
        <v>#NAME?</v>
      </c>
      <c r="CY84" s="102" t="e">
        <f t="shared" ca="1" si="856"/>
        <v>#NAME?</v>
      </c>
      <c r="CZ84" s="102" t="e">
        <f t="shared" ca="1" si="856"/>
        <v>#NAME?</v>
      </c>
      <c r="DA84" s="102" t="e">
        <f t="shared" ca="1" si="856"/>
        <v>#NAME?</v>
      </c>
      <c r="DB84" s="102" t="e">
        <f t="shared" ca="1" si="856"/>
        <v>#NAME?</v>
      </c>
      <c r="DE84" s="135"/>
      <c r="DF84" s="97">
        <v>0.24774626952107126</v>
      </c>
    </row>
    <row r="85" spans="1:110" s="144" customFormat="1" x14ac:dyDescent="0.2">
      <c r="A85" s="144" t="s">
        <v>424</v>
      </c>
      <c r="AB85" s="145"/>
      <c r="AC85" s="145"/>
      <c r="AD85" s="145"/>
      <c r="AE85" s="145"/>
      <c r="CM85" s="145"/>
      <c r="CN85" s="145"/>
      <c r="CO85" s="145"/>
      <c r="CP85" s="145"/>
      <c r="CQ85" s="145"/>
      <c r="CR85" s="145"/>
      <c r="CS85" s="145"/>
      <c r="CT85" s="145"/>
      <c r="CU85" s="145"/>
      <c r="CV85" s="145"/>
      <c r="CW85" s="145"/>
      <c r="CX85" s="145"/>
      <c r="CY85" s="145"/>
      <c r="CZ85" s="145"/>
      <c r="DA85" s="145"/>
      <c r="DB85" s="145"/>
      <c r="DE85" s="146"/>
    </row>
    <row r="86" spans="1:110" s="144" customFormat="1" x14ac:dyDescent="0.2">
      <c r="A86" s="144" t="s">
        <v>436</v>
      </c>
      <c r="AB86" s="145"/>
      <c r="AC86" s="145"/>
      <c r="AD86" s="145"/>
      <c r="AE86" s="145"/>
      <c r="CM86" s="145"/>
      <c r="CN86" s="145"/>
      <c r="CO86" s="145"/>
      <c r="CP86" s="145"/>
      <c r="CQ86" s="145"/>
      <c r="CR86" s="145"/>
      <c r="CS86" s="145"/>
      <c r="CT86" s="145"/>
      <c r="CU86" s="145"/>
      <c r="CV86" s="145"/>
      <c r="CW86" s="145"/>
      <c r="CX86" s="145"/>
      <c r="CY86" s="145"/>
      <c r="CZ86" s="145"/>
      <c r="DA86" s="145"/>
      <c r="DB86" s="145"/>
      <c r="DE86" s="146"/>
    </row>
    <row r="87" spans="1:110" s="3" customFormat="1" x14ac:dyDescent="0.2">
      <c r="A87" s="3" t="s">
        <v>34</v>
      </c>
      <c r="B87" s="3" t="e">
        <f ca="1">'Annual Raw'!C112</f>
        <v>#NAME?</v>
      </c>
      <c r="C87" s="3" t="e">
        <f ca="1">'Annual Raw'!D112</f>
        <v>#NAME?</v>
      </c>
      <c r="D87" s="3" t="e">
        <f ca="1">'Annual Raw'!E112</f>
        <v>#NAME?</v>
      </c>
      <c r="E87" s="3" t="e">
        <f ca="1">'Annual Raw'!F112</f>
        <v>#NAME?</v>
      </c>
      <c r="F87" s="3" t="e">
        <f ca="1">'Annual Raw'!G112</f>
        <v>#NAME?</v>
      </c>
      <c r="G87" s="3" t="e">
        <f ca="1">'Annual Raw'!H112</f>
        <v>#NAME?</v>
      </c>
      <c r="H87" s="3" t="e">
        <f ca="1">'Annual Raw'!I112</f>
        <v>#NAME?</v>
      </c>
      <c r="I87" s="3" t="e">
        <f ca="1">'Annual Raw'!J112</f>
        <v>#NAME?</v>
      </c>
      <c r="J87" s="3" t="e">
        <f ca="1">'Annual Raw'!K112</f>
        <v>#NAME?</v>
      </c>
      <c r="K87" s="3" t="e">
        <f ca="1">'Annual Raw'!L112</f>
        <v>#NAME?</v>
      </c>
      <c r="L87" s="3" t="e">
        <f ca="1">'Annual Raw'!M112</f>
        <v>#NAME?</v>
      </c>
      <c r="M87" s="3" t="e">
        <f ca="1">'Annual Raw'!N112</f>
        <v>#NAME?</v>
      </c>
      <c r="N87" s="3" t="e">
        <f ca="1">'Annual Raw'!O112</f>
        <v>#NAME?</v>
      </c>
      <c r="O87" s="3" t="e">
        <f ca="1">'Annual Raw'!P112</f>
        <v>#NAME?</v>
      </c>
      <c r="P87" s="3" t="e">
        <f ca="1">'Annual Raw'!Q112</f>
        <v>#NAME?</v>
      </c>
      <c r="Q87" s="3" t="e">
        <f ca="1">'Annual Raw'!R112</f>
        <v>#NAME?</v>
      </c>
      <c r="R87" s="3" t="e">
        <f ca="1">'Annual Raw'!S112</f>
        <v>#NAME?</v>
      </c>
      <c r="S87" s="3" t="e">
        <f ca="1">'Annual Raw'!T112</f>
        <v>#NAME?</v>
      </c>
      <c r="T87" s="3" t="e">
        <f ca="1">'Annual Raw'!U112</f>
        <v>#NAME?</v>
      </c>
      <c r="U87" s="3" t="e">
        <f ca="1">'Annual Raw'!V112</f>
        <v>#NAME?</v>
      </c>
      <c r="V87" s="3" t="e">
        <f ca="1">'Annual Raw'!W112</f>
        <v>#NAME?</v>
      </c>
      <c r="W87" s="3" t="e">
        <f ca="1">'Annual Raw'!X112</f>
        <v>#NAME?</v>
      </c>
      <c r="X87" s="3" t="e">
        <f ca="1">'Annual Raw'!Y112</f>
        <v>#NAME?</v>
      </c>
      <c r="Y87" s="3" t="e">
        <f ca="1">'Annual Raw'!Z112</f>
        <v>#NAME?</v>
      </c>
      <c r="Z87" s="3" t="e">
        <f ca="1">'Annual Raw'!AA112</f>
        <v>#NAME?</v>
      </c>
      <c r="AA87" s="3" t="e">
        <f ca="1">'Annual Raw'!AB112</f>
        <v>#NAME?</v>
      </c>
      <c r="AB87" s="37"/>
      <c r="AC87" s="37"/>
      <c r="AD87" s="37"/>
      <c r="AE87" s="37"/>
      <c r="AI87" s="3" t="e">
        <f ca="1">'QTR Raw'!C49</f>
        <v>#NAME?</v>
      </c>
      <c r="AJ87" s="3" t="e">
        <f ca="1">'QTR Raw'!D49</f>
        <v>#NAME?</v>
      </c>
      <c r="AK87" s="3" t="e">
        <f ca="1">'QTR Raw'!E49</f>
        <v>#NAME?</v>
      </c>
      <c r="AL87" s="3" t="e">
        <f ca="1">'QTR Raw'!F49</f>
        <v>#NAME?</v>
      </c>
      <c r="AM87" s="3" t="e">
        <f ca="1">'QTR Raw'!G49</f>
        <v>#NAME?</v>
      </c>
      <c r="AN87" s="3" t="e">
        <f ca="1">'QTR Raw'!H49</f>
        <v>#NAME?</v>
      </c>
      <c r="AO87" s="3" t="e">
        <f ca="1">'QTR Raw'!I49</f>
        <v>#NAME?</v>
      </c>
      <c r="AP87" s="3" t="e">
        <f ca="1">'QTR Raw'!J49</f>
        <v>#NAME?</v>
      </c>
      <c r="AQ87" s="3" t="e">
        <f ca="1">'QTR Raw'!K49</f>
        <v>#NAME?</v>
      </c>
      <c r="AR87" s="3" t="e">
        <f ca="1">'QTR Raw'!L49</f>
        <v>#NAME?</v>
      </c>
      <c r="AS87" s="3" t="e">
        <f ca="1">'QTR Raw'!M49</f>
        <v>#NAME?</v>
      </c>
      <c r="AT87" s="3" t="e">
        <f ca="1">'QTR Raw'!N49</f>
        <v>#NAME?</v>
      </c>
      <c r="AU87" s="3" t="e">
        <f ca="1">'QTR Raw'!O49</f>
        <v>#NAME?</v>
      </c>
      <c r="AV87" s="3" t="e">
        <f ca="1">'QTR Raw'!P49</f>
        <v>#NAME?</v>
      </c>
      <c r="AW87" s="3" t="e">
        <f ca="1">'QTR Raw'!Q49</f>
        <v>#NAME?</v>
      </c>
      <c r="AX87" s="3" t="e">
        <f ca="1">'QTR Raw'!R49</f>
        <v>#NAME?</v>
      </c>
      <c r="AY87" s="3" t="e">
        <f ca="1">'QTR Raw'!S49</f>
        <v>#NAME?</v>
      </c>
      <c r="AZ87" s="3" t="e">
        <f ca="1">'QTR Raw'!T49</f>
        <v>#NAME?</v>
      </c>
      <c r="BA87" s="3" t="e">
        <f ca="1">'QTR Raw'!U49</f>
        <v>#NAME?</v>
      </c>
      <c r="BB87" s="3" t="e">
        <f ca="1">'QTR Raw'!V49</f>
        <v>#NAME?</v>
      </c>
      <c r="BC87" s="3" t="e">
        <f ca="1">'QTR Raw'!W49</f>
        <v>#NAME?</v>
      </c>
      <c r="BD87" s="3" t="e">
        <f ca="1">'QTR Raw'!X49</f>
        <v>#NAME?</v>
      </c>
      <c r="BE87" s="3" t="e">
        <f ca="1">'QTR Raw'!Y49</f>
        <v>#NAME?</v>
      </c>
      <c r="BF87" s="3" t="e">
        <f ca="1">'QTR Raw'!Z49</f>
        <v>#NAME?</v>
      </c>
      <c r="BG87" s="3" t="e">
        <f ca="1">'QTR Raw'!AA49</f>
        <v>#NAME?</v>
      </c>
      <c r="BH87" s="3" t="e">
        <f ca="1">'QTR Raw'!AB49</f>
        <v>#NAME?</v>
      </c>
      <c r="BI87" s="3" t="e">
        <f ca="1">'QTR Raw'!AC49</f>
        <v>#NAME?</v>
      </c>
      <c r="BJ87" s="3" t="e">
        <f ca="1">'QTR Raw'!AD49</f>
        <v>#NAME?</v>
      </c>
      <c r="BK87" s="3" t="e">
        <f ca="1">'QTR Raw'!AE49</f>
        <v>#NAME?</v>
      </c>
      <c r="BL87" s="3" t="e">
        <f ca="1">'QTR Raw'!AF49</f>
        <v>#NAME?</v>
      </c>
      <c r="BM87" s="3" t="e">
        <f ca="1">'QTR Raw'!AG49</f>
        <v>#NAME?</v>
      </c>
      <c r="BN87" s="3" t="e">
        <f ca="1">'QTR Raw'!AH49</f>
        <v>#NAME?</v>
      </c>
      <c r="BO87" s="3" t="e">
        <f ca="1">'QTR Raw'!AI49</f>
        <v>#NAME?</v>
      </c>
      <c r="BP87" s="3" t="e">
        <f ca="1">'QTR Raw'!AJ49</f>
        <v>#NAME?</v>
      </c>
      <c r="BQ87" s="3" t="e">
        <f ca="1">'QTR Raw'!AK49</f>
        <v>#NAME?</v>
      </c>
      <c r="BR87" s="3" t="e">
        <f ca="1">'QTR Raw'!AL49</f>
        <v>#NAME?</v>
      </c>
      <c r="BS87" s="3" t="e">
        <f ca="1">'QTR Raw'!AM49</f>
        <v>#NAME?</v>
      </c>
      <c r="BT87" s="3" t="e">
        <f ca="1">'QTR Raw'!AN49</f>
        <v>#NAME?</v>
      </c>
      <c r="BU87" s="3" t="e">
        <f ca="1">'QTR Raw'!AO49</f>
        <v>#NAME?</v>
      </c>
      <c r="BV87" s="3" t="e">
        <f ca="1">'QTR Raw'!AP49</f>
        <v>#NAME?</v>
      </c>
      <c r="BW87" s="3" t="e">
        <f ca="1">'QTR Raw'!AQ49</f>
        <v>#NAME?</v>
      </c>
      <c r="BX87" s="3" t="e">
        <f ca="1">'QTR Raw'!AR49</f>
        <v>#NAME?</v>
      </c>
      <c r="BY87" s="3" t="e">
        <f ca="1">'QTR Raw'!AS49</f>
        <v>#NAME?</v>
      </c>
      <c r="BZ87" s="3" t="e">
        <f ca="1">'QTR Raw'!AT49</f>
        <v>#NAME?</v>
      </c>
      <c r="CA87" s="3" t="e">
        <f ca="1">'QTR Raw'!AU49</f>
        <v>#NAME?</v>
      </c>
      <c r="CB87" s="3" t="e">
        <f ca="1">'QTR Raw'!AV49</f>
        <v>#NAME?</v>
      </c>
      <c r="CC87" s="3" t="e">
        <f ca="1">'QTR Raw'!AW49</f>
        <v>#NAME?</v>
      </c>
      <c r="CD87" s="3" t="e">
        <f ca="1">'QTR Raw'!AX49</f>
        <v>#NAME?</v>
      </c>
      <c r="CE87" s="3" t="e">
        <f ca="1">'QTR Raw'!AY49</f>
        <v>#NAME?</v>
      </c>
      <c r="CF87" s="3" t="e">
        <f ca="1">'QTR Raw'!AZ49</f>
        <v>#NAME?</v>
      </c>
      <c r="CG87" s="3" t="e">
        <f ca="1">'QTR Raw'!BA49</f>
        <v>#NAME?</v>
      </c>
      <c r="CH87" s="3" t="e">
        <f ca="1">'QTR Raw'!BB49</f>
        <v>#NAME?</v>
      </c>
      <c r="CI87" s="3" t="e">
        <f ca="1">'QTR Raw'!BC49</f>
        <v>#NAME?</v>
      </c>
      <c r="CJ87" s="3" t="e">
        <f ca="1">'QTR Raw'!BD49</f>
        <v>#NAME?</v>
      </c>
      <c r="CK87" s="3" t="e">
        <f ca="1">'QTR Raw'!BE49</f>
        <v>#NAME?</v>
      </c>
      <c r="CL87" s="3" t="e">
        <f ca="1">'QTR Raw'!BF49</f>
        <v>#NAME?</v>
      </c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34"/>
    </row>
    <row r="88" spans="1:110" s="3" customFormat="1" x14ac:dyDescent="0.2">
      <c r="A88" s="3" t="s">
        <v>35</v>
      </c>
      <c r="B88" s="3" t="e">
        <f ca="1">'Annual Raw'!C113</f>
        <v>#NAME?</v>
      </c>
      <c r="C88" s="3" t="e">
        <f ca="1">'Annual Raw'!D113</f>
        <v>#NAME?</v>
      </c>
      <c r="D88" s="3" t="e">
        <f ca="1">'Annual Raw'!E113</f>
        <v>#NAME?</v>
      </c>
      <c r="E88" s="3" t="e">
        <f ca="1">'Annual Raw'!F113</f>
        <v>#NAME?</v>
      </c>
      <c r="F88" s="3" t="e">
        <f ca="1">'Annual Raw'!G113</f>
        <v>#NAME?</v>
      </c>
      <c r="G88" s="3" t="e">
        <f ca="1">'Annual Raw'!H113</f>
        <v>#NAME?</v>
      </c>
      <c r="H88" s="3" t="e">
        <f ca="1">'Annual Raw'!I113</f>
        <v>#NAME?</v>
      </c>
      <c r="I88" s="3" t="e">
        <f ca="1">'Annual Raw'!J113</f>
        <v>#NAME?</v>
      </c>
      <c r="J88" s="3" t="e">
        <f ca="1">'Annual Raw'!K113</f>
        <v>#NAME?</v>
      </c>
      <c r="K88" s="3" t="e">
        <f ca="1">'Annual Raw'!L113</f>
        <v>#NAME?</v>
      </c>
      <c r="L88" s="3" t="e">
        <f ca="1">'Annual Raw'!M113</f>
        <v>#NAME?</v>
      </c>
      <c r="M88" s="3" t="e">
        <f ca="1">'Annual Raw'!N113</f>
        <v>#NAME?</v>
      </c>
      <c r="N88" s="3" t="e">
        <f ca="1">'Annual Raw'!O113</f>
        <v>#NAME?</v>
      </c>
      <c r="O88" s="3" t="e">
        <f ca="1">'Annual Raw'!P113</f>
        <v>#NAME?</v>
      </c>
      <c r="P88" s="3" t="e">
        <f ca="1">'Annual Raw'!Q113</f>
        <v>#NAME?</v>
      </c>
      <c r="Q88" s="3" t="e">
        <f ca="1">'Annual Raw'!R113</f>
        <v>#NAME?</v>
      </c>
      <c r="R88" s="3" t="e">
        <f ca="1">'Annual Raw'!S113</f>
        <v>#NAME?</v>
      </c>
      <c r="S88" s="3" t="e">
        <f ca="1">'Annual Raw'!T113</f>
        <v>#NAME?</v>
      </c>
      <c r="T88" s="3" t="e">
        <f ca="1">'Annual Raw'!U113</f>
        <v>#NAME?</v>
      </c>
      <c r="U88" s="3" t="e">
        <f ca="1">'Annual Raw'!V113</f>
        <v>#NAME?</v>
      </c>
      <c r="V88" s="3" t="e">
        <f ca="1">'Annual Raw'!W113</f>
        <v>#NAME?</v>
      </c>
      <c r="W88" s="3" t="e">
        <f ca="1">'Annual Raw'!X113</f>
        <v>#NAME?</v>
      </c>
      <c r="X88" s="3" t="e">
        <f ca="1">'Annual Raw'!Y113</f>
        <v>#NAME?</v>
      </c>
      <c r="Y88" s="3" t="e">
        <f ca="1">'Annual Raw'!Z113</f>
        <v>#NAME?</v>
      </c>
      <c r="Z88" s="3" t="e">
        <f ca="1">'Annual Raw'!AA113</f>
        <v>#NAME?</v>
      </c>
      <c r="AA88" s="3" t="e">
        <f ca="1">'Annual Raw'!AB113</f>
        <v>#NAME?</v>
      </c>
      <c r="AB88" s="37"/>
      <c r="AC88" s="37"/>
      <c r="AD88" s="37"/>
      <c r="AE88" s="37"/>
      <c r="AI88" s="3" t="e">
        <f ca="1">'QTR Raw'!C50</f>
        <v>#NAME?</v>
      </c>
      <c r="AJ88" s="3" t="e">
        <f ca="1">'QTR Raw'!D50</f>
        <v>#NAME?</v>
      </c>
      <c r="AK88" s="3" t="e">
        <f ca="1">'QTR Raw'!E50</f>
        <v>#NAME?</v>
      </c>
      <c r="AL88" s="3" t="e">
        <f ca="1">'QTR Raw'!F50</f>
        <v>#NAME?</v>
      </c>
      <c r="AM88" s="3" t="e">
        <f ca="1">'QTR Raw'!G50</f>
        <v>#NAME?</v>
      </c>
      <c r="AN88" s="3" t="e">
        <f ca="1">'QTR Raw'!H50</f>
        <v>#NAME?</v>
      </c>
      <c r="AO88" s="3" t="e">
        <f ca="1">'QTR Raw'!I50</f>
        <v>#NAME?</v>
      </c>
      <c r="AP88" s="3" t="e">
        <f ca="1">'QTR Raw'!J50</f>
        <v>#NAME?</v>
      </c>
      <c r="AQ88" s="3" t="e">
        <f ca="1">'QTR Raw'!K50</f>
        <v>#NAME?</v>
      </c>
      <c r="AR88" s="3" t="e">
        <f ca="1">'QTR Raw'!L50</f>
        <v>#NAME?</v>
      </c>
      <c r="AS88" s="3" t="e">
        <f ca="1">'QTR Raw'!M50</f>
        <v>#NAME?</v>
      </c>
      <c r="AT88" s="3" t="e">
        <f ca="1">'QTR Raw'!N50</f>
        <v>#NAME?</v>
      </c>
      <c r="AU88" s="3" t="e">
        <f ca="1">'QTR Raw'!O50</f>
        <v>#NAME?</v>
      </c>
      <c r="AV88" s="3" t="e">
        <f ca="1">'QTR Raw'!P50</f>
        <v>#NAME?</v>
      </c>
      <c r="AW88" s="3" t="e">
        <f ca="1">'QTR Raw'!Q50</f>
        <v>#NAME?</v>
      </c>
      <c r="AX88" s="3" t="e">
        <f ca="1">'QTR Raw'!R50</f>
        <v>#NAME?</v>
      </c>
      <c r="AY88" s="3" t="e">
        <f ca="1">'QTR Raw'!S50</f>
        <v>#NAME?</v>
      </c>
      <c r="AZ88" s="3" t="e">
        <f ca="1">'QTR Raw'!T50</f>
        <v>#NAME?</v>
      </c>
      <c r="BA88" s="3" t="e">
        <f ca="1">'QTR Raw'!U50</f>
        <v>#NAME?</v>
      </c>
      <c r="BB88" s="3" t="e">
        <f ca="1">'QTR Raw'!V50</f>
        <v>#NAME?</v>
      </c>
      <c r="BC88" s="3" t="e">
        <f ca="1">'QTR Raw'!W50</f>
        <v>#NAME?</v>
      </c>
      <c r="BD88" s="3" t="e">
        <f ca="1">'QTR Raw'!X50</f>
        <v>#NAME?</v>
      </c>
      <c r="BE88" s="3" t="e">
        <f ca="1">'QTR Raw'!Y50</f>
        <v>#NAME?</v>
      </c>
      <c r="BF88" s="3" t="e">
        <f ca="1">'QTR Raw'!Z50</f>
        <v>#NAME?</v>
      </c>
      <c r="BG88" s="3" t="e">
        <f ca="1">'QTR Raw'!AA50</f>
        <v>#NAME?</v>
      </c>
      <c r="BH88" s="3" t="e">
        <f ca="1">'QTR Raw'!AB50</f>
        <v>#NAME?</v>
      </c>
      <c r="BI88" s="3" t="e">
        <f ca="1">'QTR Raw'!AC50</f>
        <v>#NAME?</v>
      </c>
      <c r="BJ88" s="3" t="e">
        <f ca="1">'QTR Raw'!AD50</f>
        <v>#NAME?</v>
      </c>
      <c r="BK88" s="3" t="e">
        <f ca="1">'QTR Raw'!AE50</f>
        <v>#NAME?</v>
      </c>
      <c r="BL88" s="3" t="e">
        <f ca="1">'QTR Raw'!AF50</f>
        <v>#NAME?</v>
      </c>
      <c r="BM88" s="3" t="e">
        <f ca="1">'QTR Raw'!AG50</f>
        <v>#NAME?</v>
      </c>
      <c r="BN88" s="3" t="e">
        <f ca="1">'QTR Raw'!AH50</f>
        <v>#NAME?</v>
      </c>
      <c r="BO88" s="3" t="e">
        <f ca="1">'QTR Raw'!AI50</f>
        <v>#NAME?</v>
      </c>
      <c r="BP88" s="3" t="e">
        <f ca="1">'QTR Raw'!AJ50</f>
        <v>#NAME?</v>
      </c>
      <c r="BQ88" s="3" t="e">
        <f ca="1">'QTR Raw'!AK50</f>
        <v>#NAME?</v>
      </c>
      <c r="BR88" s="3" t="e">
        <f ca="1">'QTR Raw'!AL50</f>
        <v>#NAME?</v>
      </c>
      <c r="BS88" s="3" t="e">
        <f ca="1">'QTR Raw'!AM50</f>
        <v>#NAME?</v>
      </c>
      <c r="BT88" s="3" t="e">
        <f ca="1">'QTR Raw'!AN50</f>
        <v>#NAME?</v>
      </c>
      <c r="BU88" s="3" t="e">
        <f ca="1">'QTR Raw'!AO50</f>
        <v>#NAME?</v>
      </c>
      <c r="BV88" s="3" t="e">
        <f ca="1">'QTR Raw'!AP50</f>
        <v>#NAME?</v>
      </c>
      <c r="BW88" s="3" t="e">
        <f ca="1">'QTR Raw'!AQ50</f>
        <v>#NAME?</v>
      </c>
      <c r="BX88" s="3" t="e">
        <f ca="1">'QTR Raw'!AR50</f>
        <v>#NAME?</v>
      </c>
      <c r="BY88" s="3" t="e">
        <f ca="1">'QTR Raw'!AS50</f>
        <v>#NAME?</v>
      </c>
      <c r="BZ88" s="3" t="e">
        <f ca="1">'QTR Raw'!AT50</f>
        <v>#NAME?</v>
      </c>
      <c r="CA88" s="3" t="e">
        <f ca="1">'QTR Raw'!AU50</f>
        <v>#NAME?</v>
      </c>
      <c r="CB88" s="3" t="e">
        <f ca="1">'QTR Raw'!AV50</f>
        <v>#NAME?</v>
      </c>
      <c r="CC88" s="3" t="e">
        <f ca="1">'QTR Raw'!AW50</f>
        <v>#NAME?</v>
      </c>
      <c r="CD88" s="3" t="e">
        <f ca="1">'QTR Raw'!AX50</f>
        <v>#NAME?</v>
      </c>
      <c r="CE88" s="3" t="e">
        <f ca="1">'QTR Raw'!AY50</f>
        <v>#NAME?</v>
      </c>
      <c r="CF88" s="3" t="e">
        <f ca="1">'QTR Raw'!AZ50</f>
        <v>#NAME?</v>
      </c>
      <c r="CG88" s="3" t="e">
        <f ca="1">'QTR Raw'!BA50</f>
        <v>#NAME?</v>
      </c>
      <c r="CH88" s="3" t="e">
        <f ca="1">'QTR Raw'!BB50</f>
        <v>#NAME?</v>
      </c>
      <c r="CI88" s="3" t="e">
        <f ca="1">'QTR Raw'!BC50</f>
        <v>#NAME?</v>
      </c>
      <c r="CJ88" s="3" t="e">
        <f ca="1">'QTR Raw'!BD50</f>
        <v>#NAME?</v>
      </c>
      <c r="CK88" s="3" t="e">
        <f ca="1">'QTR Raw'!BE50</f>
        <v>#NAME?</v>
      </c>
      <c r="CL88" s="3" t="e">
        <f ca="1">'QTR Raw'!BF50</f>
        <v>#NAME?</v>
      </c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E88" s="134"/>
    </row>
    <row r="89" spans="1:110" s="3" customFormat="1" x14ac:dyDescent="0.2">
      <c r="AB89" s="37"/>
      <c r="AC89" s="37"/>
      <c r="AD89" s="37"/>
      <c r="AE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</row>
    <row r="90" spans="1:110" s="13" customFormat="1" x14ac:dyDescent="0.2">
      <c r="A90" s="13" t="s">
        <v>36</v>
      </c>
      <c r="AB90" s="37"/>
      <c r="AC90" s="37"/>
      <c r="AD90" s="37"/>
      <c r="AE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E90" s="134"/>
    </row>
    <row r="91" spans="1:110" s="13" customFormat="1" x14ac:dyDescent="0.2">
      <c r="A91" s="13" t="s">
        <v>457</v>
      </c>
      <c r="B91" s="13" t="e">
        <f ca="1">'Annual Raw'!C106</f>
        <v>#NAME?</v>
      </c>
      <c r="C91" s="13" t="e">
        <f ca="1">'Annual Raw'!D106</f>
        <v>#NAME?</v>
      </c>
      <c r="D91" s="13" t="e">
        <f ca="1">'Annual Raw'!E106</f>
        <v>#NAME?</v>
      </c>
      <c r="E91" s="13" t="e">
        <f ca="1">'Annual Raw'!F106</f>
        <v>#NAME?</v>
      </c>
      <c r="F91" s="13" t="e">
        <f ca="1">'Annual Raw'!G106</f>
        <v>#NAME?</v>
      </c>
      <c r="G91" s="13" t="e">
        <f ca="1">'Annual Raw'!H106</f>
        <v>#NAME?</v>
      </c>
      <c r="H91" s="13" t="e">
        <f ca="1">'Annual Raw'!I106</f>
        <v>#NAME?</v>
      </c>
      <c r="I91" s="13" t="e">
        <f ca="1">'Annual Raw'!J106</f>
        <v>#NAME?</v>
      </c>
      <c r="J91" s="13" t="e">
        <f ca="1">'Annual Raw'!K106</f>
        <v>#NAME?</v>
      </c>
      <c r="K91" s="13" t="e">
        <f ca="1">'Annual Raw'!L106</f>
        <v>#NAME?</v>
      </c>
      <c r="L91" s="13" t="e">
        <f ca="1">'Annual Raw'!M106</f>
        <v>#NAME?</v>
      </c>
      <c r="M91" s="13" t="e">
        <f ca="1">'Annual Raw'!N106</f>
        <v>#NAME?</v>
      </c>
      <c r="N91" s="13" t="e">
        <f ca="1">'Annual Raw'!O106</f>
        <v>#NAME?</v>
      </c>
      <c r="O91" s="13" t="e">
        <f ca="1">'Annual Raw'!P106</f>
        <v>#NAME?</v>
      </c>
      <c r="P91" s="13" t="e">
        <f ca="1">'Annual Raw'!Q106</f>
        <v>#NAME?</v>
      </c>
      <c r="Q91" s="13" t="e">
        <f ca="1">'Annual Raw'!R106</f>
        <v>#NAME?</v>
      </c>
      <c r="R91" s="13" t="e">
        <f ca="1">'Annual Raw'!S106</f>
        <v>#NAME?</v>
      </c>
      <c r="S91" s="13" t="e">
        <f ca="1">'Annual Raw'!T106</f>
        <v>#NAME?</v>
      </c>
      <c r="T91" s="13" t="e">
        <f ca="1">'Annual Raw'!U106</f>
        <v>#NAME?</v>
      </c>
      <c r="U91" s="13" t="e">
        <f ca="1">'Annual Raw'!V106</f>
        <v>#NAME?</v>
      </c>
      <c r="V91" s="13" t="e">
        <f ca="1">'Annual Raw'!W106</f>
        <v>#NAME?</v>
      </c>
      <c r="W91" s="13" t="e">
        <f ca="1">'Annual Raw'!X106</f>
        <v>#NAME?</v>
      </c>
      <c r="X91" s="13" t="e">
        <f ca="1">'Annual Raw'!Y106</f>
        <v>#NAME?</v>
      </c>
      <c r="Y91" s="13" t="e">
        <f ca="1">'Annual Raw'!Z106</f>
        <v>#NAME?</v>
      </c>
      <c r="Z91" s="13" t="e">
        <f ca="1">'Annual Raw'!AA106</f>
        <v>#NAME?</v>
      </c>
      <c r="AA91" s="13" t="e">
        <f ca="1">'Annual Raw'!AB106</f>
        <v>#NAME?</v>
      </c>
      <c r="AB91" s="37">
        <f>+CP91</f>
        <v>575</v>
      </c>
      <c r="AC91" s="37">
        <f>+CT91</f>
        <v>575</v>
      </c>
      <c r="AD91" s="37">
        <f>+CX91</f>
        <v>575</v>
      </c>
      <c r="AE91" s="37">
        <f>+DB91</f>
        <v>575</v>
      </c>
      <c r="AJ91" s="13" t="e">
        <f ca="1">'QTR Share Price'!HP21</f>
        <v>#NAME?</v>
      </c>
      <c r="AK91" s="13" t="e">
        <f ca="1">'QTR Share Price'!HQ21</f>
        <v>#NAME?</v>
      </c>
      <c r="AL91" s="13" t="e">
        <f ca="1">'QTR Share Price'!HR21</f>
        <v>#NAME?</v>
      </c>
      <c r="AM91" s="13" t="e">
        <f ca="1">'QTR Share Price'!HS21</f>
        <v>#NAME?</v>
      </c>
      <c r="AN91" s="13" t="e">
        <f ca="1">'QTR Share Price'!HT21</f>
        <v>#NAME?</v>
      </c>
      <c r="AO91" s="13" t="e">
        <f ca="1">'QTR Share Price'!HU21</f>
        <v>#NAME?</v>
      </c>
      <c r="AP91" s="13" t="e">
        <f ca="1">'QTR Share Price'!HV21</f>
        <v>#NAME?</v>
      </c>
      <c r="AQ91" s="13" t="e">
        <f ca="1">'QTR Share Price'!HW21</f>
        <v>#NAME?</v>
      </c>
      <c r="AR91" s="13" t="e">
        <f ca="1">'QTR Share Price'!HX21</f>
        <v>#NAME?</v>
      </c>
      <c r="AS91" s="13" t="e">
        <f ca="1">'QTR Share Price'!HY21</f>
        <v>#NAME?</v>
      </c>
      <c r="AT91" s="13" t="e">
        <f ca="1">'QTR Share Price'!HZ21</f>
        <v>#NAME?</v>
      </c>
      <c r="AU91" s="13" t="e">
        <f ca="1">'QTR Share Price'!IA21</f>
        <v>#NAME?</v>
      </c>
      <c r="AV91" s="13" t="e">
        <f ca="1">'QTR Share Price'!IB21</f>
        <v>#NAME?</v>
      </c>
      <c r="AW91" s="13" t="e">
        <f ca="1">'QTR Share Price'!IC21</f>
        <v>#NAME?</v>
      </c>
      <c r="AX91" s="13" t="e">
        <f ca="1">'QTR Share Price'!ID21</f>
        <v>#NAME?</v>
      </c>
      <c r="AY91" s="13" t="e">
        <f ca="1">'QTR Share Price'!IE21</f>
        <v>#NAME?</v>
      </c>
      <c r="AZ91" s="13" t="e">
        <f ca="1">'QTR Share Price'!IF21</f>
        <v>#NAME?</v>
      </c>
      <c r="BA91" s="13" t="e">
        <f ca="1">'QTR Share Price'!IG21</f>
        <v>#NAME?</v>
      </c>
      <c r="BB91" s="13" t="e">
        <f ca="1">'QTR Share Price'!IH21</f>
        <v>#NAME?</v>
      </c>
      <c r="BC91" s="13" t="e">
        <f ca="1">'QTR Share Price'!II21</f>
        <v>#NAME?</v>
      </c>
      <c r="BD91" s="13" t="e">
        <f ca="1">'QTR Share Price'!IJ21</f>
        <v>#NAME?</v>
      </c>
      <c r="BE91" s="13" t="e">
        <f ca="1">'QTR Share Price'!IK21</f>
        <v>#NAME?</v>
      </c>
      <c r="BF91" s="13" t="e">
        <f ca="1">'QTR Share Price'!IL21</f>
        <v>#NAME?</v>
      </c>
      <c r="BG91" s="13" t="e">
        <f ca="1">'QTR Share Price'!IM21</f>
        <v>#NAME?</v>
      </c>
      <c r="BH91" s="13" t="e">
        <f ca="1">'QTR Share Price'!IN21</f>
        <v>#NAME?</v>
      </c>
      <c r="BI91" s="13" t="e">
        <f ca="1">'QTR Share Price'!IO21</f>
        <v>#NAME?</v>
      </c>
      <c r="BJ91" s="13" t="e">
        <f ca="1">'QTR Share Price'!IP21</f>
        <v>#NAME?</v>
      </c>
      <c r="BK91" s="13" t="e">
        <f ca="1">'QTR Share Price'!IQ21</f>
        <v>#NAME?</v>
      </c>
      <c r="BL91" s="13" t="e">
        <f ca="1">'QTR Share Price'!IR21</f>
        <v>#NAME?</v>
      </c>
      <c r="BM91" s="13" t="e">
        <f ca="1">'QTR Share Price'!IS21</f>
        <v>#NAME?</v>
      </c>
      <c r="BN91" s="13" t="e">
        <f ca="1">'QTR Share Price'!IT21</f>
        <v>#NAME?</v>
      </c>
      <c r="BO91" s="13" t="e">
        <f ca="1">'QTR Share Price'!IU21</f>
        <v>#NAME?</v>
      </c>
      <c r="BP91" s="13" t="e">
        <f ca="1">'QTR Share Price'!IV21</f>
        <v>#NAME?</v>
      </c>
      <c r="BQ91" s="13" t="e">
        <f ca="1">'QTR Share Price'!IW21</f>
        <v>#NAME?</v>
      </c>
      <c r="BR91" s="13" t="e">
        <f ca="1">'QTR Share Price'!IX21</f>
        <v>#NAME?</v>
      </c>
      <c r="BS91" s="13" t="e">
        <f ca="1">'QTR Share Price'!IY21</f>
        <v>#NAME?</v>
      </c>
      <c r="BT91" s="13" t="e">
        <f ca="1">'QTR Share Price'!IZ21</f>
        <v>#NAME?</v>
      </c>
      <c r="BU91" s="13" t="e">
        <f ca="1">'QTR Share Price'!JA21</f>
        <v>#NAME?</v>
      </c>
      <c r="BV91" s="13" t="e">
        <f ca="1">'QTR Share Price'!JB21</f>
        <v>#NAME?</v>
      </c>
      <c r="BW91" s="13" t="e">
        <f ca="1">'QTR Share Price'!JC21</f>
        <v>#NAME?</v>
      </c>
      <c r="BX91" s="13" t="e">
        <f ca="1">'QTR Share Price'!JD21</f>
        <v>#NAME?</v>
      </c>
      <c r="BY91" s="13" t="e">
        <f ca="1">'QTR Share Price'!JE21</f>
        <v>#NAME?</v>
      </c>
      <c r="BZ91" s="13" t="e">
        <f ca="1">'QTR Share Price'!JF21</f>
        <v>#NAME?</v>
      </c>
      <c r="CA91" s="13" t="e">
        <f ca="1">'QTR Share Price'!JG21</f>
        <v>#NAME?</v>
      </c>
      <c r="CB91" s="13" t="e">
        <f ca="1">'QTR Share Price'!JH21</f>
        <v>#NAME?</v>
      </c>
      <c r="CC91" s="13" t="e">
        <f ca="1">'QTR Share Price'!JI21</f>
        <v>#NAME?</v>
      </c>
      <c r="CD91" s="13" t="e">
        <f ca="1">'QTR Share Price'!JJ21</f>
        <v>#NAME?</v>
      </c>
      <c r="CE91" s="13" t="e">
        <f ca="1">'QTR Share Price'!JK21</f>
        <v>#NAME?</v>
      </c>
      <c r="CF91" s="13" t="e">
        <f ca="1">'QTR Share Price'!JL21</f>
        <v>#NAME?</v>
      </c>
      <c r="CG91" s="13" t="e">
        <f ca="1">'QTR Share Price'!JM21</f>
        <v>#NAME?</v>
      </c>
      <c r="CH91" s="13" t="e">
        <f ca="1">'QTR Share Price'!JN21</f>
        <v>#NAME?</v>
      </c>
      <c r="CI91" s="13" t="e">
        <f ca="1">'QTR Share Price'!JO21</f>
        <v>#NAME?</v>
      </c>
      <c r="CJ91" s="13" t="e">
        <f ca="1">'QTR Share Price'!JP21</f>
        <v>#NAME?</v>
      </c>
      <c r="CK91" s="13" t="e">
        <f ca="1">'QTR Share Price'!JQ21</f>
        <v>#NAME?</v>
      </c>
      <c r="CL91" s="13" t="e">
        <f ca="1">'QTR Share Price'!JR21</f>
        <v>#NAME?</v>
      </c>
      <c r="CM91" s="37">
        <v>575</v>
      </c>
      <c r="CN91" s="37">
        <f t="shared" ref="CN91" si="857">+CM91</f>
        <v>575</v>
      </c>
      <c r="CO91" s="37">
        <f t="shared" ref="CO91" si="858">+CN91</f>
        <v>575</v>
      </c>
      <c r="CP91" s="37">
        <f t="shared" ref="CP91" si="859">+CO91</f>
        <v>575</v>
      </c>
      <c r="CQ91" s="37">
        <f t="shared" ref="CQ91" si="860">+CP91</f>
        <v>575</v>
      </c>
      <c r="CR91" s="37">
        <f t="shared" ref="CR91" si="861">+CQ91</f>
        <v>575</v>
      </c>
      <c r="CS91" s="37">
        <f t="shared" ref="CS91" si="862">+CR91</f>
        <v>575</v>
      </c>
      <c r="CT91" s="37">
        <f t="shared" ref="CT91" si="863">+CS91</f>
        <v>575</v>
      </c>
      <c r="CU91" s="37">
        <f t="shared" ref="CU91" si="864">+CT91</f>
        <v>575</v>
      </c>
      <c r="CV91" s="37">
        <f t="shared" ref="CV91" si="865">+CU91</f>
        <v>575</v>
      </c>
      <c r="CW91" s="37">
        <f t="shared" ref="CW91" si="866">+CV91</f>
        <v>575</v>
      </c>
      <c r="CX91" s="37">
        <f t="shared" ref="CX91" si="867">+CW91</f>
        <v>575</v>
      </c>
      <c r="CY91" s="37">
        <f t="shared" ref="CY91" si="868">+CX91</f>
        <v>575</v>
      </c>
      <c r="CZ91" s="37">
        <f t="shared" ref="CZ91" si="869">+CY91</f>
        <v>575</v>
      </c>
      <c r="DA91" s="37">
        <f t="shared" ref="DA91" si="870">+CZ91</f>
        <v>575</v>
      </c>
      <c r="DB91" s="37">
        <f t="shared" ref="DB91" si="871">+DA91</f>
        <v>575</v>
      </c>
      <c r="DE91" s="134"/>
      <c r="DF91" s="13">
        <v>417.7</v>
      </c>
    </row>
    <row r="92" spans="1:110" s="13" customFormat="1" x14ac:dyDescent="0.2">
      <c r="A92" s="13" t="s">
        <v>458</v>
      </c>
      <c r="B92" s="13" t="e">
        <f ca="1">'Annual Raw'!C107</f>
        <v>#NAME?</v>
      </c>
      <c r="C92" s="13" t="e">
        <f ca="1">'Annual Raw'!D107</f>
        <v>#NAME?</v>
      </c>
      <c r="D92" s="13" t="e">
        <f ca="1">'Annual Raw'!E107</f>
        <v>#NAME?</v>
      </c>
      <c r="E92" s="13" t="e">
        <f ca="1">'Annual Raw'!F107</f>
        <v>#NAME?</v>
      </c>
      <c r="F92" s="13" t="e">
        <f ca="1">'Annual Raw'!G107</f>
        <v>#NAME?</v>
      </c>
      <c r="G92" s="13" t="e">
        <f ca="1">'Annual Raw'!H107</f>
        <v>#NAME?</v>
      </c>
      <c r="H92" s="13" t="e">
        <f ca="1">'Annual Raw'!I107</f>
        <v>#NAME?</v>
      </c>
      <c r="I92" s="13" t="e">
        <f ca="1">'Annual Raw'!J107</f>
        <v>#NAME?</v>
      </c>
      <c r="J92" s="13" t="e">
        <f ca="1">'Annual Raw'!K107</f>
        <v>#NAME?</v>
      </c>
      <c r="K92" s="13" t="e">
        <f ca="1">'Annual Raw'!L107</f>
        <v>#NAME?</v>
      </c>
      <c r="L92" s="13" t="e">
        <f ca="1">'Annual Raw'!M107</f>
        <v>#NAME?</v>
      </c>
      <c r="M92" s="13" t="e">
        <f ca="1">'Annual Raw'!N107</f>
        <v>#NAME?</v>
      </c>
      <c r="N92" s="13" t="e">
        <f ca="1">'Annual Raw'!O107</f>
        <v>#NAME?</v>
      </c>
      <c r="O92" s="13" t="e">
        <f ca="1">'Annual Raw'!P107</f>
        <v>#NAME?</v>
      </c>
      <c r="P92" s="13" t="e">
        <f ca="1">'Annual Raw'!Q107</f>
        <v>#NAME?</v>
      </c>
      <c r="Q92" s="13" t="e">
        <f ca="1">'Annual Raw'!R107</f>
        <v>#NAME?</v>
      </c>
      <c r="R92" s="13" t="e">
        <f ca="1">'Annual Raw'!S107</f>
        <v>#NAME?</v>
      </c>
      <c r="S92" s="13" t="e">
        <f ca="1">'Annual Raw'!T107</f>
        <v>#NAME?</v>
      </c>
      <c r="T92" s="13" t="e">
        <f ca="1">'Annual Raw'!U107</f>
        <v>#NAME?</v>
      </c>
      <c r="U92" s="13" t="e">
        <f ca="1">'Annual Raw'!V107</f>
        <v>#NAME?</v>
      </c>
      <c r="V92" s="13" t="e">
        <f ca="1">'Annual Raw'!W107</f>
        <v>#NAME?</v>
      </c>
      <c r="W92" s="13" t="e">
        <f ca="1">'Annual Raw'!X107</f>
        <v>#NAME?</v>
      </c>
      <c r="X92" s="13" t="e">
        <f ca="1">'Annual Raw'!Y107</f>
        <v>#NAME?</v>
      </c>
      <c r="Y92" s="13" t="e">
        <f ca="1">'Annual Raw'!Z107</f>
        <v>#NAME?</v>
      </c>
      <c r="Z92" s="13" t="e">
        <f ca="1">'Annual Raw'!AA107</f>
        <v>#NAME?</v>
      </c>
      <c r="AA92" s="13" t="e">
        <f ca="1">'Annual Raw'!AB107</f>
        <v>#NAME?</v>
      </c>
      <c r="AB92" s="37" t="e">
        <f ca="1">+MAX(CM92:CP92)</f>
        <v>#NAME?</v>
      </c>
      <c r="AC92" s="37" t="e">
        <f ca="1">+MAX(CQ92:CT92)</f>
        <v>#NAME?</v>
      </c>
      <c r="AD92" s="37" t="e">
        <f ca="1">+MAX(CU92:CX92)</f>
        <v>#NAME?</v>
      </c>
      <c r="AE92" s="37" t="e">
        <f ca="1">+MAX(CY92:DB92)</f>
        <v>#NAME?</v>
      </c>
      <c r="AJ92" s="13" t="e">
        <f ca="1">'QTR Share Price'!HP19</f>
        <v>#NAME?</v>
      </c>
      <c r="AK92" s="13" t="e">
        <f ca="1">'QTR Share Price'!HQ19</f>
        <v>#NAME?</v>
      </c>
      <c r="AL92" s="13" t="e">
        <f ca="1">'QTR Share Price'!HR19</f>
        <v>#NAME?</v>
      </c>
      <c r="AM92" s="13" t="e">
        <f ca="1">'QTR Share Price'!HS19</f>
        <v>#NAME?</v>
      </c>
      <c r="AN92" s="13" t="e">
        <f ca="1">'QTR Share Price'!HT19</f>
        <v>#NAME?</v>
      </c>
      <c r="AO92" s="13" t="e">
        <f ca="1">'QTR Share Price'!HU19</f>
        <v>#NAME?</v>
      </c>
      <c r="AP92" s="13" t="e">
        <f ca="1">'QTR Share Price'!HV19</f>
        <v>#NAME?</v>
      </c>
      <c r="AQ92" s="13" t="e">
        <f ca="1">'QTR Share Price'!HW19</f>
        <v>#NAME?</v>
      </c>
      <c r="AR92" s="13" t="e">
        <f ca="1">'QTR Share Price'!HX19</f>
        <v>#NAME?</v>
      </c>
      <c r="AS92" s="13" t="e">
        <f ca="1">'QTR Share Price'!HY19</f>
        <v>#NAME?</v>
      </c>
      <c r="AT92" s="13" t="e">
        <f ca="1">'QTR Share Price'!HZ19</f>
        <v>#NAME?</v>
      </c>
      <c r="AU92" s="13" t="e">
        <f ca="1">'QTR Share Price'!IA19</f>
        <v>#NAME?</v>
      </c>
      <c r="AV92" s="13" t="e">
        <f ca="1">'QTR Share Price'!IB19</f>
        <v>#NAME?</v>
      </c>
      <c r="AW92" s="13" t="e">
        <f ca="1">'QTR Share Price'!IC19</f>
        <v>#NAME?</v>
      </c>
      <c r="AX92" s="13" t="e">
        <f ca="1">'QTR Share Price'!ID19</f>
        <v>#NAME?</v>
      </c>
      <c r="AY92" s="13" t="e">
        <f ca="1">'QTR Share Price'!IE19</f>
        <v>#NAME?</v>
      </c>
      <c r="AZ92" s="13" t="e">
        <f ca="1">'QTR Share Price'!IF19</f>
        <v>#NAME?</v>
      </c>
      <c r="BA92" s="13" t="e">
        <f ca="1">'QTR Share Price'!IG19</f>
        <v>#NAME?</v>
      </c>
      <c r="BB92" s="13" t="e">
        <f ca="1">'QTR Share Price'!IH19</f>
        <v>#NAME?</v>
      </c>
      <c r="BC92" s="13" t="e">
        <f ca="1">'QTR Share Price'!II19</f>
        <v>#NAME?</v>
      </c>
      <c r="BD92" s="13" t="e">
        <f ca="1">'QTR Share Price'!IJ19</f>
        <v>#NAME?</v>
      </c>
      <c r="BE92" s="13" t="e">
        <f ca="1">'QTR Share Price'!IK19</f>
        <v>#NAME?</v>
      </c>
      <c r="BF92" s="13" t="e">
        <f ca="1">'QTR Share Price'!IL19</f>
        <v>#NAME?</v>
      </c>
      <c r="BG92" s="13" t="e">
        <f ca="1">'QTR Share Price'!IM19</f>
        <v>#NAME?</v>
      </c>
      <c r="BH92" s="13" t="e">
        <f ca="1">'QTR Share Price'!IN19</f>
        <v>#NAME?</v>
      </c>
      <c r="BI92" s="13" t="e">
        <f ca="1">'QTR Share Price'!IO19</f>
        <v>#NAME?</v>
      </c>
      <c r="BJ92" s="13" t="e">
        <f ca="1">'QTR Share Price'!IP19</f>
        <v>#NAME?</v>
      </c>
      <c r="BK92" s="13" t="e">
        <f ca="1">'QTR Share Price'!IQ19</f>
        <v>#NAME?</v>
      </c>
      <c r="BL92" s="13" t="e">
        <f ca="1">'QTR Share Price'!IR19</f>
        <v>#NAME?</v>
      </c>
      <c r="BM92" s="13" t="e">
        <f ca="1">'QTR Share Price'!IS19</f>
        <v>#NAME?</v>
      </c>
      <c r="BN92" s="13" t="e">
        <f ca="1">'QTR Share Price'!IT19</f>
        <v>#NAME?</v>
      </c>
      <c r="BO92" s="13" t="e">
        <f ca="1">'QTR Share Price'!IU19</f>
        <v>#NAME?</v>
      </c>
      <c r="BP92" s="13" t="e">
        <f ca="1">'QTR Share Price'!IV19</f>
        <v>#NAME?</v>
      </c>
      <c r="BQ92" s="13" t="e">
        <f ca="1">'QTR Share Price'!IW19</f>
        <v>#NAME?</v>
      </c>
      <c r="BR92" s="13" t="e">
        <f ca="1">'QTR Share Price'!IX19</f>
        <v>#NAME?</v>
      </c>
      <c r="BS92" s="13" t="e">
        <f ca="1">'QTR Share Price'!IY19</f>
        <v>#NAME?</v>
      </c>
      <c r="BT92" s="13" t="e">
        <f ca="1">'QTR Share Price'!IZ19</f>
        <v>#NAME?</v>
      </c>
      <c r="BU92" s="13" t="e">
        <f ca="1">'QTR Share Price'!JA19</f>
        <v>#NAME?</v>
      </c>
      <c r="BV92" s="13" t="e">
        <f ca="1">'QTR Share Price'!JB19</f>
        <v>#NAME?</v>
      </c>
      <c r="BW92" s="13" t="e">
        <f ca="1">'QTR Share Price'!JC19</f>
        <v>#NAME?</v>
      </c>
      <c r="BX92" s="13" t="e">
        <f ca="1">'QTR Share Price'!JD19</f>
        <v>#NAME?</v>
      </c>
      <c r="BY92" s="13" t="e">
        <f ca="1">'QTR Share Price'!JE19</f>
        <v>#NAME?</v>
      </c>
      <c r="BZ92" s="13" t="e">
        <f ca="1">'QTR Share Price'!JF19</f>
        <v>#NAME?</v>
      </c>
      <c r="CA92" s="13" t="e">
        <f ca="1">'QTR Share Price'!JG19</f>
        <v>#NAME?</v>
      </c>
      <c r="CB92" s="13" t="e">
        <f ca="1">'QTR Share Price'!JH19</f>
        <v>#NAME?</v>
      </c>
      <c r="CC92" s="13" t="e">
        <f ca="1">'QTR Share Price'!JI19</f>
        <v>#NAME?</v>
      </c>
      <c r="CD92" s="13" t="e">
        <f ca="1">'QTR Share Price'!JJ19</f>
        <v>#NAME?</v>
      </c>
      <c r="CE92" s="13" t="e">
        <f ca="1">'QTR Share Price'!JK19</f>
        <v>#NAME?</v>
      </c>
      <c r="CF92" s="13" t="e">
        <f ca="1">'QTR Share Price'!JL19</f>
        <v>#NAME?</v>
      </c>
      <c r="CG92" s="13" t="e">
        <f ca="1">'QTR Share Price'!JM19</f>
        <v>#NAME?</v>
      </c>
      <c r="CH92" s="13" t="e">
        <f ca="1">'QTR Share Price'!JN19</f>
        <v>#NAME?</v>
      </c>
      <c r="CI92" s="13" t="e">
        <f ca="1">'QTR Share Price'!JO19</f>
        <v>#NAME?</v>
      </c>
      <c r="CJ92" s="13" t="e">
        <f ca="1">'QTR Share Price'!JP19</f>
        <v>#NAME?</v>
      </c>
      <c r="CK92" s="13" t="e">
        <f ca="1">'QTR Share Price'!JQ19</f>
        <v>#NAME?</v>
      </c>
      <c r="CL92" s="13" t="e">
        <f ca="1">'QTR Share Price'!JR19</f>
        <v>#NAME?</v>
      </c>
      <c r="CM92" s="37" t="e">
        <f t="shared" ref="CM92:DB92" ca="1" si="872">+CM83*CM100</f>
        <v>#NAME?</v>
      </c>
      <c r="CN92" s="37" t="e">
        <f t="shared" ca="1" si="872"/>
        <v>#NAME?</v>
      </c>
      <c r="CO92" s="37" t="e">
        <f t="shared" ca="1" si="872"/>
        <v>#NAME?</v>
      </c>
      <c r="CP92" s="37" t="e">
        <f t="shared" ca="1" si="872"/>
        <v>#NAME?</v>
      </c>
      <c r="CQ92" s="37" t="e">
        <f t="shared" ca="1" si="872"/>
        <v>#NAME?</v>
      </c>
      <c r="CR92" s="37" t="e">
        <f t="shared" ca="1" si="872"/>
        <v>#NAME?</v>
      </c>
      <c r="CS92" s="37" t="e">
        <f t="shared" ca="1" si="872"/>
        <v>#NAME?</v>
      </c>
      <c r="CT92" s="37" t="e">
        <f t="shared" ca="1" si="872"/>
        <v>#NAME?</v>
      </c>
      <c r="CU92" s="37" t="e">
        <f t="shared" ca="1" si="872"/>
        <v>#NAME?</v>
      </c>
      <c r="CV92" s="37" t="e">
        <f t="shared" ca="1" si="872"/>
        <v>#NAME?</v>
      </c>
      <c r="CW92" s="37" t="e">
        <f t="shared" ca="1" si="872"/>
        <v>#NAME?</v>
      </c>
      <c r="CX92" s="37" t="e">
        <f t="shared" ca="1" si="872"/>
        <v>#NAME?</v>
      </c>
      <c r="CY92" s="37" t="e">
        <f t="shared" ca="1" si="872"/>
        <v>#NAME?</v>
      </c>
      <c r="CZ92" s="37" t="e">
        <f t="shared" ca="1" si="872"/>
        <v>#NAME?</v>
      </c>
      <c r="DA92" s="37" t="e">
        <f t="shared" ca="1" si="872"/>
        <v>#NAME?</v>
      </c>
      <c r="DB92" s="37" t="e">
        <f t="shared" ca="1" si="872"/>
        <v>#NAME?</v>
      </c>
      <c r="DE92" s="134"/>
      <c r="DF92" s="13">
        <v>795.1</v>
      </c>
    </row>
    <row r="93" spans="1:110" s="13" customFormat="1" x14ac:dyDescent="0.2">
      <c r="A93" s="13" t="s">
        <v>459</v>
      </c>
      <c r="B93" s="13" t="e">
        <f ca="1">'Annual Raw'!C108</f>
        <v>#NAME?</v>
      </c>
      <c r="C93" s="13" t="e">
        <f ca="1">'Annual Raw'!D108</f>
        <v>#NAME?</v>
      </c>
      <c r="D93" s="13" t="e">
        <f ca="1">'Annual Raw'!E108</f>
        <v>#NAME?</v>
      </c>
      <c r="E93" s="13" t="e">
        <f ca="1">'Annual Raw'!F108</f>
        <v>#NAME?</v>
      </c>
      <c r="F93" s="13" t="e">
        <f ca="1">'Annual Raw'!G108</f>
        <v>#NAME?</v>
      </c>
      <c r="G93" s="13" t="e">
        <f ca="1">'Annual Raw'!H108</f>
        <v>#NAME?</v>
      </c>
      <c r="H93" s="13" t="e">
        <f ca="1">'Annual Raw'!I108</f>
        <v>#NAME?</v>
      </c>
      <c r="I93" s="13" t="e">
        <f ca="1">'Annual Raw'!J108</f>
        <v>#NAME?</v>
      </c>
      <c r="J93" s="13" t="e">
        <f ca="1">'Annual Raw'!K108</f>
        <v>#NAME?</v>
      </c>
      <c r="K93" s="13" t="e">
        <f ca="1">'Annual Raw'!L108</f>
        <v>#NAME?</v>
      </c>
      <c r="L93" s="13" t="e">
        <f ca="1">'Annual Raw'!M108</f>
        <v>#NAME?</v>
      </c>
      <c r="M93" s="13" t="e">
        <f ca="1">'Annual Raw'!N108</f>
        <v>#NAME?</v>
      </c>
      <c r="N93" s="13" t="e">
        <f ca="1">'Annual Raw'!O108</f>
        <v>#NAME?</v>
      </c>
      <c r="O93" s="13" t="e">
        <f ca="1">'Annual Raw'!P108</f>
        <v>#NAME?</v>
      </c>
      <c r="P93" s="13" t="e">
        <f ca="1">'Annual Raw'!Q108</f>
        <v>#NAME?</v>
      </c>
      <c r="Q93" s="13" t="e">
        <f ca="1">'Annual Raw'!R108</f>
        <v>#NAME?</v>
      </c>
      <c r="R93" s="13" t="e">
        <f ca="1">'Annual Raw'!S108</f>
        <v>#NAME?</v>
      </c>
      <c r="S93" s="13" t="e">
        <f ca="1">'Annual Raw'!T108</f>
        <v>#NAME?</v>
      </c>
      <c r="T93" s="13" t="e">
        <f ca="1">'Annual Raw'!U108</f>
        <v>#NAME?</v>
      </c>
      <c r="U93" s="13" t="e">
        <f ca="1">'Annual Raw'!V108</f>
        <v>#NAME?</v>
      </c>
      <c r="V93" s="13" t="e">
        <f ca="1">'Annual Raw'!W108</f>
        <v>#NAME?</v>
      </c>
      <c r="W93" s="13" t="e">
        <f ca="1">'Annual Raw'!X108</f>
        <v>#NAME?</v>
      </c>
      <c r="X93" s="13" t="e">
        <f ca="1">'Annual Raw'!Y108</f>
        <v>#NAME?</v>
      </c>
      <c r="Y93" s="13" t="e">
        <f ca="1">'Annual Raw'!Z108</f>
        <v>#NAME?</v>
      </c>
      <c r="Z93" s="13" t="e">
        <f ca="1">'Annual Raw'!AA108</f>
        <v>#NAME?</v>
      </c>
      <c r="AA93" s="13" t="e">
        <f ca="1">'Annual Raw'!AB108</f>
        <v>#NAME?</v>
      </c>
      <c r="AB93" s="37" t="e">
        <f ca="1">+MIN(CM93:CP93)</f>
        <v>#NAME?</v>
      </c>
      <c r="AC93" s="37" t="e">
        <f ca="1">+MIN(CQ93:CT93)</f>
        <v>#NAME?</v>
      </c>
      <c r="AD93" s="37" t="e">
        <f ca="1">+MIN(CU93:CX93)</f>
        <v>#NAME?</v>
      </c>
      <c r="AE93" s="37" t="e">
        <f ca="1">+MIN(CY93:DB93)</f>
        <v>#NAME?</v>
      </c>
      <c r="AJ93" s="13" t="e">
        <f ca="1">+'QTR Share Price'!HP20</f>
        <v>#NAME?</v>
      </c>
      <c r="AK93" s="13" t="e">
        <f ca="1">+'QTR Share Price'!HQ20</f>
        <v>#NAME?</v>
      </c>
      <c r="AL93" s="13" t="e">
        <f ca="1">+'QTR Share Price'!HR20</f>
        <v>#NAME?</v>
      </c>
      <c r="AM93" s="13" t="e">
        <f ca="1">+'QTR Share Price'!HS20</f>
        <v>#NAME?</v>
      </c>
      <c r="AN93" s="13" t="e">
        <f ca="1">+'QTR Share Price'!HT20</f>
        <v>#NAME?</v>
      </c>
      <c r="AO93" s="13" t="e">
        <f ca="1">+'QTR Share Price'!HU20</f>
        <v>#NAME?</v>
      </c>
      <c r="AP93" s="13" t="e">
        <f ca="1">+'QTR Share Price'!HV20</f>
        <v>#NAME?</v>
      </c>
      <c r="AQ93" s="13" t="e">
        <f ca="1">+'QTR Share Price'!HW20</f>
        <v>#NAME?</v>
      </c>
      <c r="AR93" s="13" t="e">
        <f ca="1">+'QTR Share Price'!HX20</f>
        <v>#NAME?</v>
      </c>
      <c r="AS93" s="13" t="e">
        <f ca="1">+'QTR Share Price'!HY20</f>
        <v>#NAME?</v>
      </c>
      <c r="AT93" s="13" t="e">
        <f ca="1">+'QTR Share Price'!HZ20</f>
        <v>#NAME?</v>
      </c>
      <c r="AU93" s="13" t="e">
        <f ca="1">+'QTR Share Price'!IA20</f>
        <v>#NAME?</v>
      </c>
      <c r="AV93" s="13" t="e">
        <f ca="1">+'QTR Share Price'!IB20</f>
        <v>#NAME?</v>
      </c>
      <c r="AW93" s="13" t="e">
        <f ca="1">+'QTR Share Price'!IC20</f>
        <v>#NAME?</v>
      </c>
      <c r="AX93" s="13" t="e">
        <f ca="1">+'QTR Share Price'!ID20</f>
        <v>#NAME?</v>
      </c>
      <c r="AY93" s="13" t="e">
        <f ca="1">+'QTR Share Price'!IE20</f>
        <v>#NAME?</v>
      </c>
      <c r="AZ93" s="13" t="e">
        <f ca="1">+'QTR Share Price'!IF20</f>
        <v>#NAME?</v>
      </c>
      <c r="BA93" s="13" t="e">
        <f ca="1">+'QTR Share Price'!IG20</f>
        <v>#NAME?</v>
      </c>
      <c r="BB93" s="13" t="e">
        <f ca="1">+'QTR Share Price'!IH20</f>
        <v>#NAME?</v>
      </c>
      <c r="BC93" s="13" t="e">
        <f ca="1">+'QTR Share Price'!II20</f>
        <v>#NAME?</v>
      </c>
      <c r="BD93" s="13" t="e">
        <f ca="1">+'QTR Share Price'!IJ20</f>
        <v>#NAME?</v>
      </c>
      <c r="BE93" s="13" t="e">
        <f ca="1">+'QTR Share Price'!IK20</f>
        <v>#NAME?</v>
      </c>
      <c r="BF93" s="13" t="e">
        <f ca="1">+'QTR Share Price'!IL20</f>
        <v>#NAME?</v>
      </c>
      <c r="BG93" s="13" t="e">
        <f ca="1">+'QTR Share Price'!IM20</f>
        <v>#NAME?</v>
      </c>
      <c r="BH93" s="13" t="e">
        <f ca="1">+'QTR Share Price'!IN20</f>
        <v>#NAME?</v>
      </c>
      <c r="BI93" s="13" t="e">
        <f ca="1">+'QTR Share Price'!IO20</f>
        <v>#NAME?</v>
      </c>
      <c r="BJ93" s="13" t="e">
        <f ca="1">+'QTR Share Price'!IP20</f>
        <v>#NAME?</v>
      </c>
      <c r="BK93" s="13" t="e">
        <f ca="1">+'QTR Share Price'!IQ20</f>
        <v>#NAME?</v>
      </c>
      <c r="BL93" s="13" t="e">
        <f ca="1">+'QTR Share Price'!IR20</f>
        <v>#NAME?</v>
      </c>
      <c r="BM93" s="13" t="e">
        <f ca="1">+'QTR Share Price'!IS20</f>
        <v>#NAME?</v>
      </c>
      <c r="BN93" s="13" t="e">
        <f ca="1">+'QTR Share Price'!IT20</f>
        <v>#NAME?</v>
      </c>
      <c r="BO93" s="13" t="e">
        <f ca="1">+'QTR Share Price'!IU20</f>
        <v>#NAME?</v>
      </c>
      <c r="BP93" s="13" t="e">
        <f ca="1">+'QTR Share Price'!IV20</f>
        <v>#NAME?</v>
      </c>
      <c r="BQ93" s="13" t="e">
        <f ca="1">+'QTR Share Price'!IW20</f>
        <v>#NAME?</v>
      </c>
      <c r="BR93" s="13" t="e">
        <f ca="1">+'QTR Share Price'!IX20</f>
        <v>#NAME?</v>
      </c>
      <c r="BS93" s="13" t="e">
        <f ca="1">+'QTR Share Price'!IY20</f>
        <v>#NAME?</v>
      </c>
      <c r="BT93" s="13" t="e">
        <f ca="1">+'QTR Share Price'!IZ20</f>
        <v>#NAME?</v>
      </c>
      <c r="BU93" s="13" t="e">
        <f ca="1">+'QTR Share Price'!JA20</f>
        <v>#NAME?</v>
      </c>
      <c r="BV93" s="13" t="e">
        <f ca="1">+'QTR Share Price'!JB20</f>
        <v>#NAME?</v>
      </c>
      <c r="BW93" s="13" t="e">
        <f ca="1">+'QTR Share Price'!JC20</f>
        <v>#NAME?</v>
      </c>
      <c r="BX93" s="13" t="e">
        <f ca="1">+'QTR Share Price'!JD20</f>
        <v>#NAME?</v>
      </c>
      <c r="BY93" s="13" t="e">
        <f ca="1">+'QTR Share Price'!JE20</f>
        <v>#NAME?</v>
      </c>
      <c r="BZ93" s="13" t="e">
        <f ca="1">+'QTR Share Price'!JF20</f>
        <v>#NAME?</v>
      </c>
      <c r="CA93" s="13" t="e">
        <f ca="1">+'QTR Share Price'!JG20</f>
        <v>#NAME?</v>
      </c>
      <c r="CB93" s="13" t="e">
        <f ca="1">+'QTR Share Price'!JH20</f>
        <v>#NAME?</v>
      </c>
      <c r="CC93" s="13" t="e">
        <f ca="1">+'QTR Share Price'!JI20</f>
        <v>#NAME?</v>
      </c>
      <c r="CD93" s="13" t="e">
        <f ca="1">+'QTR Share Price'!JJ20</f>
        <v>#NAME?</v>
      </c>
      <c r="CE93" s="13" t="e">
        <f ca="1">+'QTR Share Price'!JK20</f>
        <v>#NAME?</v>
      </c>
      <c r="CF93" s="13" t="e">
        <f ca="1">+'QTR Share Price'!JL20</f>
        <v>#NAME?</v>
      </c>
      <c r="CG93" s="13" t="e">
        <f ca="1">+'QTR Share Price'!JM20</f>
        <v>#NAME?</v>
      </c>
      <c r="CH93" s="13" t="e">
        <f ca="1">+'QTR Share Price'!JN20</f>
        <v>#NAME?</v>
      </c>
      <c r="CI93" s="13" t="e">
        <f ca="1">+'QTR Share Price'!JO20</f>
        <v>#NAME?</v>
      </c>
      <c r="CJ93" s="13" t="e">
        <f ca="1">+'QTR Share Price'!JP20</f>
        <v>#NAME?</v>
      </c>
      <c r="CK93" s="13" t="e">
        <f ca="1">+'QTR Share Price'!JQ20</f>
        <v>#NAME?</v>
      </c>
      <c r="CL93" s="13" t="e">
        <f ca="1">+'QTR Share Price'!JR20</f>
        <v>#NAME?</v>
      </c>
      <c r="CM93" s="37" t="e">
        <f t="shared" ref="CM93:DB93" ca="1" si="873">+CM101*CM83</f>
        <v>#NAME?</v>
      </c>
      <c r="CN93" s="37" t="e">
        <f t="shared" ca="1" si="873"/>
        <v>#NAME?</v>
      </c>
      <c r="CO93" s="37" t="e">
        <f t="shared" ca="1" si="873"/>
        <v>#NAME?</v>
      </c>
      <c r="CP93" s="37" t="e">
        <f t="shared" ca="1" si="873"/>
        <v>#NAME?</v>
      </c>
      <c r="CQ93" s="37" t="e">
        <f t="shared" ca="1" si="873"/>
        <v>#NAME?</v>
      </c>
      <c r="CR93" s="37" t="e">
        <f t="shared" ca="1" si="873"/>
        <v>#NAME?</v>
      </c>
      <c r="CS93" s="37" t="e">
        <f t="shared" ca="1" si="873"/>
        <v>#NAME?</v>
      </c>
      <c r="CT93" s="37" t="e">
        <f t="shared" ca="1" si="873"/>
        <v>#NAME?</v>
      </c>
      <c r="CU93" s="37" t="e">
        <f t="shared" ca="1" si="873"/>
        <v>#NAME?</v>
      </c>
      <c r="CV93" s="37" t="e">
        <f t="shared" ca="1" si="873"/>
        <v>#NAME?</v>
      </c>
      <c r="CW93" s="37" t="e">
        <f t="shared" ca="1" si="873"/>
        <v>#NAME?</v>
      </c>
      <c r="CX93" s="37" t="e">
        <f t="shared" ca="1" si="873"/>
        <v>#NAME?</v>
      </c>
      <c r="CY93" s="37" t="e">
        <f t="shared" ca="1" si="873"/>
        <v>#NAME?</v>
      </c>
      <c r="CZ93" s="37" t="e">
        <f t="shared" ca="1" si="873"/>
        <v>#NAME?</v>
      </c>
      <c r="DA93" s="37" t="e">
        <f t="shared" ca="1" si="873"/>
        <v>#NAME?</v>
      </c>
      <c r="DB93" s="37" t="e">
        <f t="shared" ca="1" si="873"/>
        <v>#NAME?</v>
      </c>
      <c r="DE93" s="134"/>
      <c r="DF93" s="13">
        <v>0</v>
      </c>
    </row>
    <row r="94" spans="1:110" s="14" customFormat="1" x14ac:dyDescent="0.2">
      <c r="AB94" s="16"/>
      <c r="AC94" s="16"/>
      <c r="AD94" s="16"/>
      <c r="AE94" s="16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34"/>
    </row>
    <row r="95" spans="1:110" s="51" customFormat="1" x14ac:dyDescent="0.2">
      <c r="A95" s="51" t="s">
        <v>346</v>
      </c>
      <c r="AB95" s="48" t="e">
        <f t="shared" ref="AB95:AD95" ca="1" si="874">+AB92/AB91-1</f>
        <v>#NAME?</v>
      </c>
      <c r="AC95" s="48" t="e">
        <f t="shared" ca="1" si="874"/>
        <v>#NAME?</v>
      </c>
      <c r="AD95" s="48" t="e">
        <f t="shared" ca="1" si="874"/>
        <v>#NAME?</v>
      </c>
      <c r="AE95" s="48" t="e">
        <f t="shared" ref="AE95" ca="1" si="875">+AE92/AE91-1</f>
        <v>#NAME?</v>
      </c>
      <c r="CM95" s="48" t="e">
        <f t="shared" ref="CM95:DB95" ca="1" si="876">+CM92/CM91-1</f>
        <v>#NAME?</v>
      </c>
      <c r="CN95" s="48" t="e">
        <f t="shared" ca="1" si="876"/>
        <v>#NAME?</v>
      </c>
      <c r="CO95" s="48" t="e">
        <f t="shared" ca="1" si="876"/>
        <v>#NAME?</v>
      </c>
      <c r="CP95" s="48" t="e">
        <f t="shared" ca="1" si="876"/>
        <v>#NAME?</v>
      </c>
      <c r="CQ95" s="48" t="e">
        <f t="shared" ca="1" si="876"/>
        <v>#NAME?</v>
      </c>
      <c r="CR95" s="48" t="e">
        <f t="shared" ca="1" si="876"/>
        <v>#NAME?</v>
      </c>
      <c r="CS95" s="48" t="e">
        <f t="shared" ca="1" si="876"/>
        <v>#NAME?</v>
      </c>
      <c r="CT95" s="48" t="e">
        <f t="shared" ca="1" si="876"/>
        <v>#NAME?</v>
      </c>
      <c r="CU95" s="48" t="e">
        <f t="shared" ca="1" si="876"/>
        <v>#NAME?</v>
      </c>
      <c r="CV95" s="48" t="e">
        <f t="shared" ca="1" si="876"/>
        <v>#NAME?</v>
      </c>
      <c r="CW95" s="48" t="e">
        <f t="shared" ca="1" si="876"/>
        <v>#NAME?</v>
      </c>
      <c r="CX95" s="48" t="e">
        <f t="shared" ca="1" si="876"/>
        <v>#NAME?</v>
      </c>
      <c r="CY95" s="48" t="e">
        <f t="shared" ca="1" si="876"/>
        <v>#NAME?</v>
      </c>
      <c r="CZ95" s="48" t="e">
        <f t="shared" ca="1" si="876"/>
        <v>#NAME?</v>
      </c>
      <c r="DA95" s="48" t="e">
        <f t="shared" ca="1" si="876"/>
        <v>#NAME?</v>
      </c>
      <c r="DB95" s="48" t="e">
        <f t="shared" ca="1" si="876"/>
        <v>#NAME?</v>
      </c>
      <c r="DE95" s="129"/>
      <c r="DF95" s="51">
        <v>0.90351927220493189</v>
      </c>
    </row>
    <row r="96" spans="1:110" s="51" customFormat="1" x14ac:dyDescent="0.2">
      <c r="A96" s="51" t="s">
        <v>347</v>
      </c>
      <c r="AB96" s="48" t="e">
        <f t="shared" ref="AB96:AD96" ca="1" si="877">+AB93/AB91-1</f>
        <v>#NAME?</v>
      </c>
      <c r="AC96" s="48" t="e">
        <f t="shared" ca="1" si="877"/>
        <v>#NAME?</v>
      </c>
      <c r="AD96" s="48" t="e">
        <f t="shared" ca="1" si="877"/>
        <v>#NAME?</v>
      </c>
      <c r="AE96" s="48" t="e">
        <f t="shared" ref="AE96" ca="1" si="878">+AE93/AE91-1</f>
        <v>#NAME?</v>
      </c>
      <c r="CM96" s="48" t="e">
        <f t="shared" ref="CM96:DB96" ca="1" si="879">+CM93/CM91-1</f>
        <v>#NAME?</v>
      </c>
      <c r="CN96" s="48" t="e">
        <f t="shared" ca="1" si="879"/>
        <v>#NAME?</v>
      </c>
      <c r="CO96" s="48" t="e">
        <f t="shared" ca="1" si="879"/>
        <v>#NAME?</v>
      </c>
      <c r="CP96" s="48" t="e">
        <f t="shared" ca="1" si="879"/>
        <v>#NAME?</v>
      </c>
      <c r="CQ96" s="48" t="e">
        <f t="shared" ca="1" si="879"/>
        <v>#NAME?</v>
      </c>
      <c r="CR96" s="48" t="e">
        <f t="shared" ca="1" si="879"/>
        <v>#NAME?</v>
      </c>
      <c r="CS96" s="48" t="e">
        <f t="shared" ca="1" si="879"/>
        <v>#NAME?</v>
      </c>
      <c r="CT96" s="48" t="e">
        <f t="shared" ca="1" si="879"/>
        <v>#NAME?</v>
      </c>
      <c r="CU96" s="48" t="e">
        <f t="shared" ca="1" si="879"/>
        <v>#NAME?</v>
      </c>
      <c r="CV96" s="48" t="e">
        <f t="shared" ca="1" si="879"/>
        <v>#NAME?</v>
      </c>
      <c r="CW96" s="48" t="e">
        <f t="shared" ca="1" si="879"/>
        <v>#NAME?</v>
      </c>
      <c r="CX96" s="48" t="e">
        <f t="shared" ca="1" si="879"/>
        <v>#NAME?</v>
      </c>
      <c r="CY96" s="48" t="e">
        <f t="shared" ca="1" si="879"/>
        <v>#NAME?</v>
      </c>
      <c r="CZ96" s="48" t="e">
        <f t="shared" ca="1" si="879"/>
        <v>#NAME?</v>
      </c>
      <c r="DA96" s="48" t="e">
        <f t="shared" ca="1" si="879"/>
        <v>#NAME?</v>
      </c>
      <c r="DB96" s="48" t="e">
        <f t="shared" ca="1" si="879"/>
        <v>#NAME?</v>
      </c>
      <c r="DE96" s="129"/>
      <c r="DF96" s="51">
        <v>-1</v>
      </c>
    </row>
    <row r="97" spans="1:110" s="14" customFormat="1" x14ac:dyDescent="0.2">
      <c r="AB97" s="16"/>
      <c r="AC97" s="16"/>
      <c r="AD97" s="16"/>
      <c r="AE97" s="16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E97" s="134"/>
    </row>
    <row r="98" spans="1:110" s="13" customFormat="1" x14ac:dyDescent="0.2">
      <c r="A98" s="13" t="s">
        <v>40</v>
      </c>
      <c r="AB98" s="37"/>
      <c r="AC98" s="37"/>
      <c r="AD98" s="37"/>
      <c r="AE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E98" s="134"/>
    </row>
    <row r="99" spans="1:110" s="13" customFormat="1" x14ac:dyDescent="0.2">
      <c r="A99" s="13" t="s">
        <v>460</v>
      </c>
      <c r="B99" s="13" t="e">
        <f t="shared" ref="B99:D99" ca="1" si="880">+B91/B83</f>
        <v>#NAME?</v>
      </c>
      <c r="C99" s="13" t="e">
        <f t="shared" ca="1" si="880"/>
        <v>#NAME?</v>
      </c>
      <c r="D99" s="13" t="e">
        <f t="shared" ca="1" si="880"/>
        <v>#NAME?</v>
      </c>
      <c r="E99" s="13" t="e">
        <f t="shared" ref="E99:AE99" ca="1" si="881">+E91/E83</f>
        <v>#DIV/0!</v>
      </c>
      <c r="F99" s="13" t="e">
        <f t="shared" ca="1" si="881"/>
        <v>#DIV/0!</v>
      </c>
      <c r="G99" s="13" t="e">
        <f t="shared" ca="1" si="881"/>
        <v>#DIV/0!</v>
      </c>
      <c r="H99" s="13" t="e">
        <f t="shared" ca="1" si="881"/>
        <v>#DIV/0!</v>
      </c>
      <c r="I99" s="13">
        <f t="shared" ca="1" si="881"/>
        <v>0</v>
      </c>
      <c r="J99" s="13">
        <f t="shared" ca="1" si="881"/>
        <v>0</v>
      </c>
      <c r="K99" s="13">
        <f t="shared" ca="1" si="881"/>
        <v>0</v>
      </c>
      <c r="L99" s="13">
        <f t="shared" ca="1" si="881"/>
        <v>0</v>
      </c>
      <c r="M99" s="13">
        <f t="shared" ca="1" si="881"/>
        <v>0</v>
      </c>
      <c r="N99" s="13">
        <f t="shared" ca="1" si="881"/>
        <v>0</v>
      </c>
      <c r="O99" s="13">
        <f t="shared" ca="1" si="881"/>
        <v>0</v>
      </c>
      <c r="P99" s="13">
        <f t="shared" ca="1" si="881"/>
        <v>0</v>
      </c>
      <c r="Q99" s="13">
        <f t="shared" ca="1" si="881"/>
        <v>0</v>
      </c>
      <c r="R99" s="13">
        <f t="shared" ca="1" si="881"/>
        <v>0</v>
      </c>
      <c r="S99" s="13">
        <f t="shared" ca="1" si="881"/>
        <v>0</v>
      </c>
      <c r="T99" s="13">
        <f t="shared" ca="1" si="881"/>
        <v>0</v>
      </c>
      <c r="U99" s="13">
        <f t="shared" ca="1" si="881"/>
        <v>0</v>
      </c>
      <c r="V99" s="13">
        <f t="shared" ca="1" si="881"/>
        <v>0</v>
      </c>
      <c r="W99" s="13">
        <f t="shared" ca="1" si="881"/>
        <v>0</v>
      </c>
      <c r="X99" s="13">
        <f t="shared" ca="1" si="881"/>
        <v>0</v>
      </c>
      <c r="Y99" s="13">
        <f t="shared" ca="1" si="881"/>
        <v>0</v>
      </c>
      <c r="Z99" s="13">
        <f t="shared" ref="Z99:AA99" ca="1" si="882">+Z91/Z83</f>
        <v>0</v>
      </c>
      <c r="AA99" s="13">
        <f t="shared" ca="1" si="882"/>
        <v>0</v>
      </c>
      <c r="AB99" s="37">
        <f t="shared" ca="1" si="881"/>
        <v>21.152117046705303</v>
      </c>
      <c r="AC99" s="37">
        <f t="shared" ca="1" si="881"/>
        <v>15.85331867806649</v>
      </c>
      <c r="AD99" s="37">
        <f t="shared" ca="1" si="881"/>
        <v>12.364387327352754</v>
      </c>
      <c r="AE99" s="37">
        <f t="shared" ca="1" si="881"/>
        <v>9.8304408899623841</v>
      </c>
      <c r="AL99" s="13" t="e">
        <f t="shared" ref="AL99:BQ99" ca="1" si="883">+AL91/AL83</f>
        <v>#NAME?</v>
      </c>
      <c r="AM99" s="13" t="e">
        <f t="shared" ca="1" si="883"/>
        <v>#NAME?</v>
      </c>
      <c r="AN99" s="13" t="e">
        <f t="shared" ca="1" si="883"/>
        <v>#NAME?</v>
      </c>
      <c r="AO99" s="13" t="e">
        <f t="shared" ca="1" si="883"/>
        <v>#NAME?</v>
      </c>
      <c r="AP99" s="13" t="e">
        <f t="shared" ca="1" si="883"/>
        <v>#NAME?</v>
      </c>
      <c r="AQ99" s="13" t="e">
        <f t="shared" ca="1" si="883"/>
        <v>#NAME?</v>
      </c>
      <c r="AR99" s="13" t="e">
        <f t="shared" ca="1" si="883"/>
        <v>#NAME?</v>
      </c>
      <c r="AS99" s="13" t="e">
        <f t="shared" ca="1" si="883"/>
        <v>#NAME?</v>
      </c>
      <c r="AT99" s="13" t="e">
        <f t="shared" ca="1" si="883"/>
        <v>#NAME?</v>
      </c>
      <c r="AU99" s="13" t="e">
        <f t="shared" ca="1" si="883"/>
        <v>#NAME?</v>
      </c>
      <c r="AV99" s="13" t="e">
        <f t="shared" ca="1" si="883"/>
        <v>#NAME?</v>
      </c>
      <c r="AW99" s="13" t="e">
        <f t="shared" ca="1" si="883"/>
        <v>#NAME?</v>
      </c>
      <c r="AX99" s="13" t="e">
        <f t="shared" ca="1" si="883"/>
        <v>#NAME?</v>
      </c>
      <c r="AY99" s="13" t="e">
        <f t="shared" ca="1" si="883"/>
        <v>#NAME?</v>
      </c>
      <c r="AZ99" s="13" t="e">
        <f t="shared" ca="1" si="883"/>
        <v>#NAME?</v>
      </c>
      <c r="BA99" s="13" t="e">
        <f t="shared" ca="1" si="883"/>
        <v>#NAME?</v>
      </c>
      <c r="BB99" s="13" t="e">
        <f t="shared" ca="1" si="883"/>
        <v>#NAME?</v>
      </c>
      <c r="BC99" s="13" t="e">
        <f t="shared" ca="1" si="883"/>
        <v>#NAME?</v>
      </c>
      <c r="BD99" s="13" t="e">
        <f t="shared" ca="1" si="883"/>
        <v>#NAME?</v>
      </c>
      <c r="BE99" s="13" t="e">
        <f t="shared" ca="1" si="883"/>
        <v>#NAME?</v>
      </c>
      <c r="BF99" s="13" t="e">
        <f t="shared" ca="1" si="883"/>
        <v>#NAME?</v>
      </c>
      <c r="BG99" s="13" t="e">
        <f t="shared" ca="1" si="883"/>
        <v>#NAME?</v>
      </c>
      <c r="BH99" s="13" t="e">
        <f t="shared" ca="1" si="883"/>
        <v>#NAME?</v>
      </c>
      <c r="BI99" s="13" t="e">
        <f t="shared" ca="1" si="883"/>
        <v>#NAME?</v>
      </c>
      <c r="BJ99" s="13" t="e">
        <f t="shared" ca="1" si="883"/>
        <v>#NAME?</v>
      </c>
      <c r="BK99" s="13" t="e">
        <f t="shared" ca="1" si="883"/>
        <v>#NAME?</v>
      </c>
      <c r="BL99" s="13" t="e">
        <f t="shared" ca="1" si="883"/>
        <v>#NAME?</v>
      </c>
      <c r="BM99" s="13" t="e">
        <f t="shared" ca="1" si="883"/>
        <v>#NAME?</v>
      </c>
      <c r="BN99" s="13" t="e">
        <f t="shared" ca="1" si="883"/>
        <v>#NAME?</v>
      </c>
      <c r="BO99" s="13" t="e">
        <f t="shared" ca="1" si="883"/>
        <v>#NAME?</v>
      </c>
      <c r="BP99" s="13" t="e">
        <f t="shared" ca="1" si="883"/>
        <v>#NAME?</v>
      </c>
      <c r="BQ99" s="13" t="e">
        <f t="shared" ca="1" si="883"/>
        <v>#NAME?</v>
      </c>
      <c r="BR99" s="13" t="e">
        <f t="shared" ref="BR99:DB99" ca="1" si="884">+BR91/BR83</f>
        <v>#NAME?</v>
      </c>
      <c r="BS99" s="13" t="e">
        <f t="shared" ca="1" si="884"/>
        <v>#NAME?</v>
      </c>
      <c r="BT99" s="13" t="e">
        <f t="shared" ca="1" si="884"/>
        <v>#NAME?</v>
      </c>
      <c r="BU99" s="13" t="e">
        <f t="shared" ca="1" si="884"/>
        <v>#NAME?</v>
      </c>
      <c r="BV99" s="13" t="e">
        <f t="shared" ca="1" si="884"/>
        <v>#NAME?</v>
      </c>
      <c r="BW99" s="13" t="e">
        <f t="shared" ca="1" si="884"/>
        <v>#NAME?</v>
      </c>
      <c r="BX99" s="13" t="e">
        <f t="shared" ca="1" si="884"/>
        <v>#NAME?</v>
      </c>
      <c r="BY99" s="13" t="e">
        <f t="shared" ca="1" si="884"/>
        <v>#NAME?</v>
      </c>
      <c r="BZ99" s="13" t="e">
        <f t="shared" ca="1" si="884"/>
        <v>#NAME?</v>
      </c>
      <c r="CA99" s="13" t="e">
        <f t="shared" ca="1" si="884"/>
        <v>#NAME?</v>
      </c>
      <c r="CB99" s="13" t="e">
        <f t="shared" ca="1" si="884"/>
        <v>#NAME?</v>
      </c>
      <c r="CC99" s="13" t="e">
        <f t="shared" ca="1" si="884"/>
        <v>#NAME?</v>
      </c>
      <c r="CD99" s="13" t="e">
        <f t="shared" ca="1" si="884"/>
        <v>#NAME?</v>
      </c>
      <c r="CE99" s="13" t="e">
        <f t="shared" ca="1" si="884"/>
        <v>#NAME?</v>
      </c>
      <c r="CF99" s="13" t="e">
        <f t="shared" ca="1" si="884"/>
        <v>#NAME?</v>
      </c>
      <c r="CG99" s="13" t="e">
        <f t="shared" ca="1" si="884"/>
        <v>#NAME?</v>
      </c>
      <c r="CH99" s="13" t="e">
        <f t="shared" ca="1" si="884"/>
        <v>#NAME?</v>
      </c>
      <c r="CI99" s="13" t="e">
        <f t="shared" ref="CI99:CJ99" ca="1" si="885">+CI91/CI83</f>
        <v>#NAME?</v>
      </c>
      <c r="CJ99" s="13" t="e">
        <f t="shared" ca="1" si="885"/>
        <v>#NAME?</v>
      </c>
      <c r="CK99" s="13" t="e">
        <f t="shared" ref="CK99:CL99" ca="1" si="886">+CK91/CK83</f>
        <v>#NAME?</v>
      </c>
      <c r="CL99" s="13" t="e">
        <f t="shared" ca="1" si="886"/>
        <v>#NAME?</v>
      </c>
      <c r="CM99" s="37" t="e">
        <f t="shared" ca="1" si="884"/>
        <v>#NAME?</v>
      </c>
      <c r="CN99" s="37" t="e">
        <f t="shared" ca="1" si="884"/>
        <v>#NAME?</v>
      </c>
      <c r="CO99" s="37" t="e">
        <f t="shared" ca="1" si="884"/>
        <v>#NAME?</v>
      </c>
      <c r="CP99" s="37" t="e">
        <f t="shared" ca="1" si="884"/>
        <v>#NAME?</v>
      </c>
      <c r="CQ99" s="37" t="e">
        <f t="shared" ca="1" si="884"/>
        <v>#NAME?</v>
      </c>
      <c r="CR99" s="37" t="e">
        <f t="shared" ca="1" si="884"/>
        <v>#NAME?</v>
      </c>
      <c r="CS99" s="37" t="e">
        <f t="shared" ca="1" si="884"/>
        <v>#NAME?</v>
      </c>
      <c r="CT99" s="37" t="e">
        <f t="shared" ca="1" si="884"/>
        <v>#NAME?</v>
      </c>
      <c r="CU99" s="37" t="e">
        <f t="shared" ca="1" si="884"/>
        <v>#NAME?</v>
      </c>
      <c r="CV99" s="37" t="e">
        <f t="shared" ca="1" si="884"/>
        <v>#NAME?</v>
      </c>
      <c r="CW99" s="37" t="e">
        <f t="shared" ca="1" si="884"/>
        <v>#NAME?</v>
      </c>
      <c r="CX99" s="37" t="e">
        <f t="shared" ca="1" si="884"/>
        <v>#NAME?</v>
      </c>
      <c r="CY99" s="37" t="e">
        <f t="shared" ca="1" si="884"/>
        <v>#NAME?</v>
      </c>
      <c r="CZ99" s="37" t="e">
        <f t="shared" ca="1" si="884"/>
        <v>#NAME?</v>
      </c>
      <c r="DA99" s="37" t="e">
        <f t="shared" ca="1" si="884"/>
        <v>#NAME?</v>
      </c>
      <c r="DB99" s="37" t="e">
        <f t="shared" ca="1" si="884"/>
        <v>#NAME?</v>
      </c>
      <c r="DE99" s="134"/>
      <c r="DF99" s="13">
        <v>20.267532682519295</v>
      </c>
    </row>
    <row r="100" spans="1:110" s="13" customFormat="1" x14ac:dyDescent="0.2">
      <c r="A100" s="13" t="s">
        <v>461</v>
      </c>
      <c r="B100" s="13" t="e">
        <f t="shared" ref="B100:D100" ca="1" si="887">+B92/B83</f>
        <v>#NAME?</v>
      </c>
      <c r="C100" s="13" t="e">
        <f t="shared" ca="1" si="887"/>
        <v>#NAME?</v>
      </c>
      <c r="D100" s="13" t="e">
        <f t="shared" ca="1" si="887"/>
        <v>#NAME?</v>
      </c>
      <c r="E100" s="13" t="e">
        <f t="shared" ref="E100:AE100" ca="1" si="888">+E92/E83</f>
        <v>#DIV/0!</v>
      </c>
      <c r="F100" s="13" t="e">
        <f t="shared" ca="1" si="888"/>
        <v>#DIV/0!</v>
      </c>
      <c r="G100" s="13" t="e">
        <f t="shared" ca="1" si="888"/>
        <v>#DIV/0!</v>
      </c>
      <c r="H100" s="13" t="e">
        <f t="shared" ca="1" si="888"/>
        <v>#DIV/0!</v>
      </c>
      <c r="I100" s="13">
        <f t="shared" ca="1" si="888"/>
        <v>0</v>
      </c>
      <c r="J100" s="13">
        <f t="shared" ca="1" si="888"/>
        <v>0</v>
      </c>
      <c r="K100" s="13">
        <f t="shared" ca="1" si="888"/>
        <v>0</v>
      </c>
      <c r="L100" s="13">
        <f t="shared" ca="1" si="888"/>
        <v>0</v>
      </c>
      <c r="M100" s="13">
        <f t="shared" ca="1" si="888"/>
        <v>0</v>
      </c>
      <c r="N100" s="13">
        <f t="shared" ca="1" si="888"/>
        <v>0</v>
      </c>
      <c r="O100" s="13">
        <f t="shared" ca="1" si="888"/>
        <v>0</v>
      </c>
      <c r="P100" s="13">
        <f t="shared" ca="1" si="888"/>
        <v>0</v>
      </c>
      <c r="Q100" s="13">
        <f t="shared" ca="1" si="888"/>
        <v>0</v>
      </c>
      <c r="R100" s="13">
        <f t="shared" ca="1" si="888"/>
        <v>0</v>
      </c>
      <c r="S100" s="13">
        <f t="shared" ca="1" si="888"/>
        <v>0</v>
      </c>
      <c r="T100" s="13">
        <f t="shared" ca="1" si="888"/>
        <v>0</v>
      </c>
      <c r="U100" s="13">
        <f t="shared" ca="1" si="888"/>
        <v>0</v>
      </c>
      <c r="V100" s="13">
        <f t="shared" ca="1" si="888"/>
        <v>0</v>
      </c>
      <c r="W100" s="13">
        <f t="shared" ca="1" si="888"/>
        <v>0</v>
      </c>
      <c r="X100" s="13">
        <f t="shared" ca="1" si="888"/>
        <v>0</v>
      </c>
      <c r="Y100" s="13">
        <f t="shared" ca="1" si="888"/>
        <v>0</v>
      </c>
      <c r="Z100" s="13">
        <f t="shared" ref="Z100:AA100" ca="1" si="889">+Z92/Z83</f>
        <v>0</v>
      </c>
      <c r="AA100" s="13">
        <f t="shared" ca="1" si="889"/>
        <v>0</v>
      </c>
      <c r="AB100" s="60">
        <f t="shared" ca="1" si="888"/>
        <v>25.000000000000011</v>
      </c>
      <c r="AC100" s="60">
        <f t="shared" ca="1" si="888"/>
        <v>25.000000000000025</v>
      </c>
      <c r="AD100" s="60">
        <f t="shared" ca="1" si="888"/>
        <v>25.000000000000014</v>
      </c>
      <c r="AE100" s="60">
        <f t="shared" ca="1" si="888"/>
        <v>24.999999999999996</v>
      </c>
      <c r="AL100" s="13" t="e">
        <f t="shared" ref="AL100:BQ100" ca="1" si="890">+AL92/AL83</f>
        <v>#NAME?</v>
      </c>
      <c r="AM100" s="13" t="e">
        <f t="shared" ca="1" si="890"/>
        <v>#NAME?</v>
      </c>
      <c r="AN100" s="13" t="e">
        <f t="shared" ca="1" si="890"/>
        <v>#NAME?</v>
      </c>
      <c r="AO100" s="13" t="e">
        <f t="shared" ca="1" si="890"/>
        <v>#NAME?</v>
      </c>
      <c r="AP100" s="13" t="e">
        <f t="shared" ca="1" si="890"/>
        <v>#NAME?</v>
      </c>
      <c r="AQ100" s="13" t="e">
        <f t="shared" ca="1" si="890"/>
        <v>#NAME?</v>
      </c>
      <c r="AR100" s="13" t="e">
        <f t="shared" ca="1" si="890"/>
        <v>#NAME?</v>
      </c>
      <c r="AS100" s="13" t="e">
        <f t="shared" ca="1" si="890"/>
        <v>#NAME?</v>
      </c>
      <c r="AT100" s="13" t="e">
        <f t="shared" ca="1" si="890"/>
        <v>#NAME?</v>
      </c>
      <c r="AU100" s="13" t="e">
        <f t="shared" ca="1" si="890"/>
        <v>#NAME?</v>
      </c>
      <c r="AV100" s="13" t="e">
        <f t="shared" ca="1" si="890"/>
        <v>#NAME?</v>
      </c>
      <c r="AW100" s="13" t="e">
        <f t="shared" ca="1" si="890"/>
        <v>#NAME?</v>
      </c>
      <c r="AX100" s="13" t="e">
        <f t="shared" ca="1" si="890"/>
        <v>#NAME?</v>
      </c>
      <c r="AY100" s="13" t="e">
        <f t="shared" ca="1" si="890"/>
        <v>#NAME?</v>
      </c>
      <c r="AZ100" s="13" t="e">
        <f t="shared" ca="1" si="890"/>
        <v>#NAME?</v>
      </c>
      <c r="BA100" s="13" t="e">
        <f t="shared" ca="1" si="890"/>
        <v>#NAME?</v>
      </c>
      <c r="BB100" s="13" t="e">
        <f t="shared" ca="1" si="890"/>
        <v>#NAME?</v>
      </c>
      <c r="BC100" s="13" t="e">
        <f t="shared" ca="1" si="890"/>
        <v>#NAME?</v>
      </c>
      <c r="BD100" s="13" t="e">
        <f t="shared" ca="1" si="890"/>
        <v>#NAME?</v>
      </c>
      <c r="BE100" s="13" t="e">
        <f t="shared" ca="1" si="890"/>
        <v>#NAME?</v>
      </c>
      <c r="BF100" s="13" t="e">
        <f t="shared" ca="1" si="890"/>
        <v>#NAME?</v>
      </c>
      <c r="BG100" s="13" t="e">
        <f t="shared" ca="1" si="890"/>
        <v>#NAME?</v>
      </c>
      <c r="BH100" s="13" t="e">
        <f t="shared" ca="1" si="890"/>
        <v>#NAME?</v>
      </c>
      <c r="BI100" s="13" t="e">
        <f t="shared" ca="1" si="890"/>
        <v>#NAME?</v>
      </c>
      <c r="BJ100" s="13" t="e">
        <f t="shared" ca="1" si="890"/>
        <v>#NAME?</v>
      </c>
      <c r="BK100" s="13" t="e">
        <f t="shared" ca="1" si="890"/>
        <v>#NAME?</v>
      </c>
      <c r="BL100" s="13" t="e">
        <f t="shared" ca="1" si="890"/>
        <v>#NAME?</v>
      </c>
      <c r="BM100" s="13" t="e">
        <f t="shared" ca="1" si="890"/>
        <v>#NAME?</v>
      </c>
      <c r="BN100" s="13" t="e">
        <f t="shared" ca="1" si="890"/>
        <v>#NAME?</v>
      </c>
      <c r="BO100" s="13" t="e">
        <f t="shared" ca="1" si="890"/>
        <v>#NAME?</v>
      </c>
      <c r="BP100" s="13" t="e">
        <f t="shared" ca="1" si="890"/>
        <v>#NAME?</v>
      </c>
      <c r="BQ100" s="13" t="e">
        <f t="shared" ca="1" si="890"/>
        <v>#NAME?</v>
      </c>
      <c r="BR100" s="13" t="e">
        <f t="shared" ref="BR100:CH100" ca="1" si="891">+BR92/BR83</f>
        <v>#NAME?</v>
      </c>
      <c r="BS100" s="13" t="e">
        <f t="shared" ca="1" si="891"/>
        <v>#NAME?</v>
      </c>
      <c r="BT100" s="13" t="e">
        <f t="shared" ca="1" si="891"/>
        <v>#NAME?</v>
      </c>
      <c r="BU100" s="13" t="e">
        <f t="shared" ca="1" si="891"/>
        <v>#NAME?</v>
      </c>
      <c r="BV100" s="13" t="e">
        <f t="shared" ca="1" si="891"/>
        <v>#NAME?</v>
      </c>
      <c r="BW100" s="13" t="e">
        <f t="shared" ca="1" si="891"/>
        <v>#NAME?</v>
      </c>
      <c r="BX100" s="13" t="e">
        <f t="shared" ca="1" si="891"/>
        <v>#NAME?</v>
      </c>
      <c r="BY100" s="13" t="e">
        <f t="shared" ca="1" si="891"/>
        <v>#NAME?</v>
      </c>
      <c r="BZ100" s="13" t="e">
        <f t="shared" ca="1" si="891"/>
        <v>#NAME?</v>
      </c>
      <c r="CA100" s="13" t="e">
        <f t="shared" ca="1" si="891"/>
        <v>#NAME?</v>
      </c>
      <c r="CB100" s="13" t="e">
        <f t="shared" ca="1" si="891"/>
        <v>#NAME?</v>
      </c>
      <c r="CC100" s="13" t="e">
        <f t="shared" ca="1" si="891"/>
        <v>#NAME?</v>
      </c>
      <c r="CD100" s="13" t="e">
        <f t="shared" ca="1" si="891"/>
        <v>#NAME?</v>
      </c>
      <c r="CE100" s="13" t="e">
        <f t="shared" ca="1" si="891"/>
        <v>#NAME?</v>
      </c>
      <c r="CF100" s="13" t="e">
        <f t="shared" ca="1" si="891"/>
        <v>#NAME?</v>
      </c>
      <c r="CG100" s="13" t="e">
        <f t="shared" ca="1" si="891"/>
        <v>#NAME?</v>
      </c>
      <c r="CH100" s="13" t="e">
        <f t="shared" ca="1" si="891"/>
        <v>#NAME?</v>
      </c>
      <c r="CI100" s="13" t="e">
        <f t="shared" ref="CI100:CJ100" ca="1" si="892">+CI92/CI83</f>
        <v>#NAME?</v>
      </c>
      <c r="CJ100" s="13" t="e">
        <f t="shared" ca="1" si="892"/>
        <v>#NAME?</v>
      </c>
      <c r="CK100" s="13" t="e">
        <f t="shared" ref="CK100:CL100" ca="1" si="893">+CK92/CK83</f>
        <v>#NAME?</v>
      </c>
      <c r="CL100" s="13" t="e">
        <f t="shared" ca="1" si="893"/>
        <v>#NAME?</v>
      </c>
      <c r="CM100" s="60">
        <v>25</v>
      </c>
      <c r="CN100" s="60">
        <f t="shared" ref="CN100:CN101" si="894">+CM100</f>
        <v>25</v>
      </c>
      <c r="CO100" s="60">
        <f t="shared" ref="CO100:CO101" si="895">+CN100</f>
        <v>25</v>
      </c>
      <c r="CP100" s="60">
        <f t="shared" ref="CP100:CP101" si="896">+CO100</f>
        <v>25</v>
      </c>
      <c r="CQ100" s="60">
        <f t="shared" ref="CQ100:CQ101" si="897">+CP100</f>
        <v>25</v>
      </c>
      <c r="CR100" s="60">
        <f t="shared" ref="CR100:CR101" si="898">+CQ100</f>
        <v>25</v>
      </c>
      <c r="CS100" s="60">
        <f t="shared" ref="CS100:CS101" si="899">+CR100</f>
        <v>25</v>
      </c>
      <c r="CT100" s="60">
        <f t="shared" ref="CT100:CT101" si="900">+CS100</f>
        <v>25</v>
      </c>
      <c r="CU100" s="60">
        <f t="shared" ref="CU100:CU101" si="901">+CT100</f>
        <v>25</v>
      </c>
      <c r="CV100" s="60">
        <f t="shared" ref="CV100:CV101" si="902">+CU100</f>
        <v>25</v>
      </c>
      <c r="CW100" s="60">
        <f t="shared" ref="CW100:CW101" si="903">+CV100</f>
        <v>25</v>
      </c>
      <c r="CX100" s="60">
        <f t="shared" ref="CX100:CX101" si="904">+CW100</f>
        <v>25</v>
      </c>
      <c r="CY100" s="60">
        <f t="shared" ref="CY100:CY101" si="905">+CX100</f>
        <v>25</v>
      </c>
      <c r="CZ100" s="60">
        <f t="shared" ref="CZ100:CZ101" si="906">+CY100</f>
        <v>25</v>
      </c>
      <c r="DA100" s="60">
        <f t="shared" ref="DA100:DA101" si="907">+CZ100</f>
        <v>25</v>
      </c>
      <c r="DB100" s="60">
        <f t="shared" ref="DB100:DB101" si="908">+DA100</f>
        <v>25</v>
      </c>
      <c r="DE100" s="136"/>
      <c r="DF100" s="13">
        <v>38.579639061218799</v>
      </c>
    </row>
    <row r="101" spans="1:110" s="13" customFormat="1" x14ac:dyDescent="0.2">
      <c r="A101" s="13" t="s">
        <v>462</v>
      </c>
      <c r="B101" s="13" t="e">
        <f t="shared" ref="B101:D101" ca="1" si="909">+B93/B83</f>
        <v>#NAME?</v>
      </c>
      <c r="C101" s="13" t="e">
        <f t="shared" ca="1" si="909"/>
        <v>#NAME?</v>
      </c>
      <c r="D101" s="13" t="e">
        <f t="shared" ca="1" si="909"/>
        <v>#NAME?</v>
      </c>
      <c r="E101" s="13" t="e">
        <f t="shared" ref="E101:AE101" ca="1" si="910">+E93/E83</f>
        <v>#DIV/0!</v>
      </c>
      <c r="F101" s="13" t="e">
        <f t="shared" ca="1" si="910"/>
        <v>#DIV/0!</v>
      </c>
      <c r="G101" s="13" t="e">
        <f t="shared" ca="1" si="910"/>
        <v>#DIV/0!</v>
      </c>
      <c r="H101" s="13" t="e">
        <f t="shared" ca="1" si="910"/>
        <v>#DIV/0!</v>
      </c>
      <c r="I101" s="13">
        <f t="shared" ca="1" si="910"/>
        <v>0</v>
      </c>
      <c r="J101" s="13">
        <f t="shared" ca="1" si="910"/>
        <v>0</v>
      </c>
      <c r="K101" s="13">
        <f t="shared" ca="1" si="910"/>
        <v>0</v>
      </c>
      <c r="L101" s="13">
        <f t="shared" ca="1" si="910"/>
        <v>0</v>
      </c>
      <c r="M101" s="13">
        <f t="shared" ca="1" si="910"/>
        <v>0</v>
      </c>
      <c r="N101" s="13">
        <f t="shared" ca="1" si="910"/>
        <v>0</v>
      </c>
      <c r="O101" s="13">
        <f t="shared" ca="1" si="910"/>
        <v>0</v>
      </c>
      <c r="P101" s="13">
        <f t="shared" ca="1" si="910"/>
        <v>0</v>
      </c>
      <c r="Q101" s="13">
        <f t="shared" ca="1" si="910"/>
        <v>0</v>
      </c>
      <c r="R101" s="13">
        <f t="shared" ca="1" si="910"/>
        <v>0</v>
      </c>
      <c r="S101" s="13">
        <f t="shared" ca="1" si="910"/>
        <v>0</v>
      </c>
      <c r="T101" s="13">
        <f t="shared" ca="1" si="910"/>
        <v>0</v>
      </c>
      <c r="U101" s="13">
        <f t="shared" ca="1" si="910"/>
        <v>0</v>
      </c>
      <c r="V101" s="13">
        <f t="shared" ca="1" si="910"/>
        <v>0</v>
      </c>
      <c r="W101" s="13">
        <f t="shared" ca="1" si="910"/>
        <v>0</v>
      </c>
      <c r="X101" s="13">
        <f t="shared" ca="1" si="910"/>
        <v>0</v>
      </c>
      <c r="Y101" s="13">
        <f t="shared" ca="1" si="910"/>
        <v>0</v>
      </c>
      <c r="Z101" s="13">
        <f t="shared" ref="Z101:AA101" ca="1" si="911">+Z93/Z83</f>
        <v>0</v>
      </c>
      <c r="AA101" s="13">
        <f t="shared" ca="1" si="911"/>
        <v>0</v>
      </c>
      <c r="AB101" s="60">
        <f t="shared" ca="1" si="910"/>
        <v>16.549865313498803</v>
      </c>
      <c r="AC101" s="60">
        <f t="shared" ca="1" si="910"/>
        <v>16.092220750732778</v>
      </c>
      <c r="AD101" s="60">
        <f t="shared" ca="1" si="910"/>
        <v>16.622393930975402</v>
      </c>
      <c r="AE101" s="60">
        <f t="shared" ca="1" si="910"/>
        <v>16.855300720085062</v>
      </c>
      <c r="AL101" s="13" t="e">
        <f t="shared" ref="AL101:BQ101" ca="1" si="912">+AL93/AL83</f>
        <v>#NAME?</v>
      </c>
      <c r="AM101" s="13" t="e">
        <f t="shared" ca="1" si="912"/>
        <v>#NAME?</v>
      </c>
      <c r="AN101" s="13" t="e">
        <f t="shared" ca="1" si="912"/>
        <v>#NAME?</v>
      </c>
      <c r="AO101" s="13" t="e">
        <f t="shared" ca="1" si="912"/>
        <v>#NAME?</v>
      </c>
      <c r="AP101" s="13" t="e">
        <f t="shared" ca="1" si="912"/>
        <v>#NAME?</v>
      </c>
      <c r="AQ101" s="13" t="e">
        <f t="shared" ca="1" si="912"/>
        <v>#NAME?</v>
      </c>
      <c r="AR101" s="13" t="e">
        <f t="shared" ca="1" si="912"/>
        <v>#NAME?</v>
      </c>
      <c r="AS101" s="13" t="e">
        <f t="shared" ca="1" si="912"/>
        <v>#NAME?</v>
      </c>
      <c r="AT101" s="13" t="e">
        <f t="shared" ca="1" si="912"/>
        <v>#NAME?</v>
      </c>
      <c r="AU101" s="13" t="e">
        <f t="shared" ca="1" si="912"/>
        <v>#NAME?</v>
      </c>
      <c r="AV101" s="13" t="e">
        <f t="shared" ca="1" si="912"/>
        <v>#NAME?</v>
      </c>
      <c r="AW101" s="13" t="e">
        <f t="shared" ca="1" si="912"/>
        <v>#NAME?</v>
      </c>
      <c r="AX101" s="13" t="e">
        <f t="shared" ca="1" si="912"/>
        <v>#NAME?</v>
      </c>
      <c r="AY101" s="13" t="e">
        <f t="shared" ca="1" si="912"/>
        <v>#NAME?</v>
      </c>
      <c r="AZ101" s="13" t="e">
        <f t="shared" ca="1" si="912"/>
        <v>#NAME?</v>
      </c>
      <c r="BA101" s="13" t="e">
        <f t="shared" ca="1" si="912"/>
        <v>#NAME?</v>
      </c>
      <c r="BB101" s="13" t="e">
        <f t="shared" ca="1" si="912"/>
        <v>#NAME?</v>
      </c>
      <c r="BC101" s="13" t="e">
        <f t="shared" ca="1" si="912"/>
        <v>#NAME?</v>
      </c>
      <c r="BD101" s="13" t="e">
        <f t="shared" ca="1" si="912"/>
        <v>#NAME?</v>
      </c>
      <c r="BE101" s="13" t="e">
        <f t="shared" ca="1" si="912"/>
        <v>#NAME?</v>
      </c>
      <c r="BF101" s="13" t="e">
        <f t="shared" ca="1" si="912"/>
        <v>#NAME?</v>
      </c>
      <c r="BG101" s="13" t="e">
        <f t="shared" ca="1" si="912"/>
        <v>#NAME?</v>
      </c>
      <c r="BH101" s="13" t="e">
        <f t="shared" ca="1" si="912"/>
        <v>#NAME?</v>
      </c>
      <c r="BI101" s="13" t="e">
        <f t="shared" ca="1" si="912"/>
        <v>#NAME?</v>
      </c>
      <c r="BJ101" s="13" t="e">
        <f t="shared" ca="1" si="912"/>
        <v>#NAME?</v>
      </c>
      <c r="BK101" s="13" t="e">
        <f t="shared" ca="1" si="912"/>
        <v>#NAME?</v>
      </c>
      <c r="BL101" s="13" t="e">
        <f t="shared" ca="1" si="912"/>
        <v>#NAME?</v>
      </c>
      <c r="BM101" s="13" t="e">
        <f t="shared" ca="1" si="912"/>
        <v>#NAME?</v>
      </c>
      <c r="BN101" s="13" t="e">
        <f t="shared" ca="1" si="912"/>
        <v>#NAME?</v>
      </c>
      <c r="BO101" s="13" t="e">
        <f t="shared" ca="1" si="912"/>
        <v>#NAME?</v>
      </c>
      <c r="BP101" s="13" t="e">
        <f t="shared" ca="1" si="912"/>
        <v>#NAME?</v>
      </c>
      <c r="BQ101" s="13" t="e">
        <f t="shared" ca="1" si="912"/>
        <v>#NAME?</v>
      </c>
      <c r="BR101" s="13" t="e">
        <f t="shared" ref="BR101:CH101" ca="1" si="913">+BR93/BR83</f>
        <v>#NAME?</v>
      </c>
      <c r="BS101" s="13" t="e">
        <f t="shared" ca="1" si="913"/>
        <v>#NAME?</v>
      </c>
      <c r="BT101" s="13" t="e">
        <f t="shared" ca="1" si="913"/>
        <v>#NAME?</v>
      </c>
      <c r="BU101" s="13" t="e">
        <f t="shared" ca="1" si="913"/>
        <v>#NAME?</v>
      </c>
      <c r="BV101" s="13" t="e">
        <f t="shared" ca="1" si="913"/>
        <v>#NAME?</v>
      </c>
      <c r="BW101" s="13" t="e">
        <f t="shared" ca="1" si="913"/>
        <v>#NAME?</v>
      </c>
      <c r="BX101" s="13" t="e">
        <f t="shared" ca="1" si="913"/>
        <v>#NAME?</v>
      </c>
      <c r="BY101" s="13" t="e">
        <f t="shared" ca="1" si="913"/>
        <v>#NAME?</v>
      </c>
      <c r="BZ101" s="13" t="e">
        <f t="shared" ca="1" si="913"/>
        <v>#NAME?</v>
      </c>
      <c r="CA101" s="13" t="e">
        <f t="shared" ca="1" si="913"/>
        <v>#NAME?</v>
      </c>
      <c r="CB101" s="13" t="e">
        <f t="shared" ca="1" si="913"/>
        <v>#NAME?</v>
      </c>
      <c r="CC101" s="13" t="e">
        <f t="shared" ca="1" si="913"/>
        <v>#NAME?</v>
      </c>
      <c r="CD101" s="13" t="e">
        <f t="shared" ca="1" si="913"/>
        <v>#NAME?</v>
      </c>
      <c r="CE101" s="13" t="e">
        <f t="shared" ca="1" si="913"/>
        <v>#NAME?</v>
      </c>
      <c r="CF101" s="13" t="e">
        <f t="shared" ca="1" si="913"/>
        <v>#NAME?</v>
      </c>
      <c r="CG101" s="13" t="e">
        <f t="shared" ca="1" si="913"/>
        <v>#NAME?</v>
      </c>
      <c r="CH101" s="13" t="e">
        <f t="shared" ca="1" si="913"/>
        <v>#NAME?</v>
      </c>
      <c r="CI101" s="13" t="e">
        <f t="shared" ref="CI101:CJ101" ca="1" si="914">+CI93/CI83</f>
        <v>#NAME?</v>
      </c>
      <c r="CJ101" s="13" t="e">
        <f t="shared" ca="1" si="914"/>
        <v>#NAME?</v>
      </c>
      <c r="CK101" s="13" t="e">
        <f t="shared" ref="CK101:CL101" ca="1" si="915">+CK93/CK83</f>
        <v>#NAME?</v>
      </c>
      <c r="CL101" s="13" t="e">
        <f t="shared" ca="1" si="915"/>
        <v>#NAME?</v>
      </c>
      <c r="CM101" s="60" t="e">
        <f t="shared" ref="CM101" ca="1" si="916">+CL101</f>
        <v>#NAME?</v>
      </c>
      <c r="CN101" s="60" t="e">
        <f t="shared" ca="1" si="894"/>
        <v>#NAME?</v>
      </c>
      <c r="CO101" s="60" t="e">
        <f t="shared" ca="1" si="895"/>
        <v>#NAME?</v>
      </c>
      <c r="CP101" s="60" t="e">
        <f t="shared" ca="1" si="896"/>
        <v>#NAME?</v>
      </c>
      <c r="CQ101" s="60" t="e">
        <f t="shared" ca="1" si="897"/>
        <v>#NAME?</v>
      </c>
      <c r="CR101" s="60" t="e">
        <f t="shared" ca="1" si="898"/>
        <v>#NAME?</v>
      </c>
      <c r="CS101" s="60" t="e">
        <f t="shared" ca="1" si="899"/>
        <v>#NAME?</v>
      </c>
      <c r="CT101" s="60" t="e">
        <f t="shared" ca="1" si="900"/>
        <v>#NAME?</v>
      </c>
      <c r="CU101" s="60" t="e">
        <f t="shared" ca="1" si="901"/>
        <v>#NAME?</v>
      </c>
      <c r="CV101" s="60" t="e">
        <f t="shared" ca="1" si="902"/>
        <v>#NAME?</v>
      </c>
      <c r="CW101" s="60" t="e">
        <f t="shared" ca="1" si="903"/>
        <v>#NAME?</v>
      </c>
      <c r="CX101" s="60" t="e">
        <f t="shared" ca="1" si="904"/>
        <v>#NAME?</v>
      </c>
      <c r="CY101" s="60" t="e">
        <f t="shared" ca="1" si="905"/>
        <v>#NAME?</v>
      </c>
      <c r="CZ101" s="60" t="e">
        <f t="shared" ca="1" si="906"/>
        <v>#NAME?</v>
      </c>
      <c r="DA101" s="60" t="e">
        <f t="shared" ca="1" si="907"/>
        <v>#NAME?</v>
      </c>
      <c r="DB101" s="60" t="e">
        <f t="shared" ca="1" si="908"/>
        <v>#NAME?</v>
      </c>
      <c r="DE101" s="136"/>
      <c r="DF101" s="13">
        <v>0</v>
      </c>
    </row>
    <row r="102" spans="1:110" s="13" customFormat="1" x14ac:dyDescent="0.2">
      <c r="AB102" s="60"/>
      <c r="AC102" s="60"/>
      <c r="AD102" s="60"/>
      <c r="AE102" s="60"/>
      <c r="CM102" s="60"/>
      <c r="CN102" s="60"/>
      <c r="CO102" s="60"/>
      <c r="CP102" s="60"/>
      <c r="CQ102" s="60"/>
      <c r="CR102" s="60"/>
      <c r="CS102" s="60"/>
      <c r="CT102" s="60"/>
      <c r="CU102" s="60"/>
      <c r="CV102" s="60"/>
      <c r="CW102" s="60"/>
      <c r="CX102" s="60"/>
      <c r="CY102" s="60"/>
      <c r="CZ102" s="60"/>
      <c r="DA102" s="60"/>
      <c r="DB102" s="60"/>
      <c r="DE102" s="136"/>
    </row>
    <row r="103" spans="1:110" s="13" customFormat="1" x14ac:dyDescent="0.2">
      <c r="A103" s="13" t="s">
        <v>463</v>
      </c>
      <c r="B103" s="13" t="e">
        <f t="shared" ref="B103:AD103" ca="1" si="917">+B92/C83</f>
        <v>#NAME?</v>
      </c>
      <c r="C103" s="13" t="e">
        <f t="shared" ca="1" si="917"/>
        <v>#NAME?</v>
      </c>
      <c r="D103" s="13" t="e">
        <f t="shared" ca="1" si="917"/>
        <v>#DIV/0!</v>
      </c>
      <c r="E103" s="13" t="e">
        <f t="shared" ca="1" si="917"/>
        <v>#DIV/0!</v>
      </c>
      <c r="F103" s="13" t="e">
        <f t="shared" ca="1" si="917"/>
        <v>#DIV/0!</v>
      </c>
      <c r="G103" s="13" t="e">
        <f t="shared" ca="1" si="917"/>
        <v>#DIV/0!</v>
      </c>
      <c r="H103" s="13">
        <f t="shared" ca="1" si="917"/>
        <v>0</v>
      </c>
      <c r="I103" s="13">
        <f t="shared" ca="1" si="917"/>
        <v>0</v>
      </c>
      <c r="J103" s="13">
        <f t="shared" ca="1" si="917"/>
        <v>0</v>
      </c>
      <c r="K103" s="13">
        <f t="shared" ca="1" si="917"/>
        <v>0</v>
      </c>
      <c r="L103" s="13">
        <f t="shared" ca="1" si="917"/>
        <v>0</v>
      </c>
      <c r="M103" s="13">
        <f t="shared" ca="1" si="917"/>
        <v>0</v>
      </c>
      <c r="N103" s="13">
        <f t="shared" ca="1" si="917"/>
        <v>0</v>
      </c>
      <c r="O103" s="13">
        <f t="shared" ca="1" si="917"/>
        <v>0</v>
      </c>
      <c r="P103" s="13">
        <f t="shared" ca="1" si="917"/>
        <v>0</v>
      </c>
      <c r="Q103" s="13">
        <f t="shared" ca="1" si="917"/>
        <v>0</v>
      </c>
      <c r="R103" s="13">
        <f t="shared" ca="1" si="917"/>
        <v>0</v>
      </c>
      <c r="S103" s="13">
        <f t="shared" ca="1" si="917"/>
        <v>0</v>
      </c>
      <c r="T103" s="13">
        <f t="shared" ca="1" si="917"/>
        <v>0</v>
      </c>
      <c r="U103" s="13">
        <f t="shared" ca="1" si="917"/>
        <v>0</v>
      </c>
      <c r="V103" s="13">
        <f t="shared" ca="1" si="917"/>
        <v>0</v>
      </c>
      <c r="W103" s="13">
        <f t="shared" ca="1" si="917"/>
        <v>0</v>
      </c>
      <c r="X103" s="13">
        <f t="shared" ca="1" si="917"/>
        <v>0</v>
      </c>
      <c r="Y103" s="13">
        <f t="shared" ca="1" si="917"/>
        <v>0</v>
      </c>
      <c r="Z103" s="13">
        <f t="shared" ref="Z103:AA103" ca="1" si="918">+Z92/AA83</f>
        <v>0</v>
      </c>
      <c r="AA103" s="13">
        <f t="shared" ca="1" si="918"/>
        <v>0</v>
      </c>
      <c r="AB103" s="37">
        <f t="shared" ca="1" si="917"/>
        <v>18.737271833194402</v>
      </c>
      <c r="AC103" s="37">
        <f t="shared" ca="1" si="917"/>
        <v>19.498105693887364</v>
      </c>
      <c r="AD103" s="37">
        <f t="shared" ca="1" si="917"/>
        <v>19.876522446476756</v>
      </c>
      <c r="AE103" s="37"/>
      <c r="AL103" s="13" t="e">
        <f t="shared" ref="AL103:BQ103" ca="1" si="919">+AL92/AP83</f>
        <v>#NAME?</v>
      </c>
      <c r="AM103" s="13" t="e">
        <f t="shared" ca="1" si="919"/>
        <v>#NAME?</v>
      </c>
      <c r="AN103" s="13" t="e">
        <f t="shared" ca="1" si="919"/>
        <v>#NAME?</v>
      </c>
      <c r="AO103" s="13" t="e">
        <f t="shared" ca="1" si="919"/>
        <v>#NAME?</v>
      </c>
      <c r="AP103" s="13" t="e">
        <f t="shared" ca="1" si="919"/>
        <v>#NAME?</v>
      </c>
      <c r="AQ103" s="13" t="e">
        <f t="shared" ca="1" si="919"/>
        <v>#NAME?</v>
      </c>
      <c r="AR103" s="13" t="e">
        <f t="shared" ca="1" si="919"/>
        <v>#NAME?</v>
      </c>
      <c r="AS103" s="13" t="e">
        <f t="shared" ca="1" si="919"/>
        <v>#NAME?</v>
      </c>
      <c r="AT103" s="13" t="e">
        <f t="shared" ca="1" si="919"/>
        <v>#NAME?</v>
      </c>
      <c r="AU103" s="13" t="e">
        <f t="shared" ca="1" si="919"/>
        <v>#NAME?</v>
      </c>
      <c r="AV103" s="13" t="e">
        <f t="shared" ca="1" si="919"/>
        <v>#NAME?</v>
      </c>
      <c r="AW103" s="13" t="e">
        <f t="shared" ca="1" si="919"/>
        <v>#NAME?</v>
      </c>
      <c r="AX103" s="13" t="e">
        <f t="shared" ca="1" si="919"/>
        <v>#NAME?</v>
      </c>
      <c r="AY103" s="13" t="e">
        <f t="shared" ca="1" si="919"/>
        <v>#NAME?</v>
      </c>
      <c r="AZ103" s="13" t="e">
        <f t="shared" ca="1" si="919"/>
        <v>#NAME?</v>
      </c>
      <c r="BA103" s="13" t="e">
        <f t="shared" ca="1" si="919"/>
        <v>#NAME?</v>
      </c>
      <c r="BB103" s="13" t="e">
        <f t="shared" ca="1" si="919"/>
        <v>#NAME?</v>
      </c>
      <c r="BC103" s="13" t="e">
        <f t="shared" ca="1" si="919"/>
        <v>#NAME?</v>
      </c>
      <c r="BD103" s="13" t="e">
        <f t="shared" ca="1" si="919"/>
        <v>#NAME?</v>
      </c>
      <c r="BE103" s="13" t="e">
        <f t="shared" ca="1" si="919"/>
        <v>#NAME?</v>
      </c>
      <c r="BF103" s="13" t="e">
        <f t="shared" ca="1" si="919"/>
        <v>#NAME?</v>
      </c>
      <c r="BG103" s="13" t="e">
        <f t="shared" ca="1" si="919"/>
        <v>#NAME?</v>
      </c>
      <c r="BH103" s="13" t="e">
        <f t="shared" ca="1" si="919"/>
        <v>#NAME?</v>
      </c>
      <c r="BI103" s="13" t="e">
        <f t="shared" ca="1" si="919"/>
        <v>#NAME?</v>
      </c>
      <c r="BJ103" s="13" t="e">
        <f t="shared" ca="1" si="919"/>
        <v>#NAME?</v>
      </c>
      <c r="BK103" s="13" t="e">
        <f t="shared" ca="1" si="919"/>
        <v>#NAME?</v>
      </c>
      <c r="BL103" s="13" t="e">
        <f t="shared" ca="1" si="919"/>
        <v>#NAME?</v>
      </c>
      <c r="BM103" s="13" t="e">
        <f t="shared" ca="1" si="919"/>
        <v>#NAME?</v>
      </c>
      <c r="BN103" s="13" t="e">
        <f t="shared" ca="1" si="919"/>
        <v>#NAME?</v>
      </c>
      <c r="BO103" s="13" t="e">
        <f t="shared" ca="1" si="919"/>
        <v>#NAME?</v>
      </c>
      <c r="BP103" s="13" t="e">
        <f t="shared" ca="1" si="919"/>
        <v>#NAME?</v>
      </c>
      <c r="BQ103" s="13" t="e">
        <f t="shared" ca="1" si="919"/>
        <v>#NAME?</v>
      </c>
      <c r="BR103" s="13" t="e">
        <f t="shared" ref="BR103:CL103" ca="1" si="920">+BR92/BV83</f>
        <v>#NAME?</v>
      </c>
      <c r="BS103" s="13" t="e">
        <f t="shared" ca="1" si="920"/>
        <v>#NAME?</v>
      </c>
      <c r="BT103" s="13" t="e">
        <f t="shared" ca="1" si="920"/>
        <v>#NAME?</v>
      </c>
      <c r="BU103" s="13" t="e">
        <f t="shared" ca="1" si="920"/>
        <v>#NAME?</v>
      </c>
      <c r="BV103" s="13" t="e">
        <f t="shared" ca="1" si="920"/>
        <v>#NAME?</v>
      </c>
      <c r="BW103" s="13" t="e">
        <f t="shared" ca="1" si="920"/>
        <v>#NAME?</v>
      </c>
      <c r="BX103" s="13" t="e">
        <f t="shared" ca="1" si="920"/>
        <v>#NAME?</v>
      </c>
      <c r="BY103" s="13" t="e">
        <f t="shared" ca="1" si="920"/>
        <v>#NAME?</v>
      </c>
      <c r="BZ103" s="13" t="e">
        <f t="shared" ca="1" si="920"/>
        <v>#NAME?</v>
      </c>
      <c r="CA103" s="13" t="e">
        <f t="shared" ca="1" si="920"/>
        <v>#NAME?</v>
      </c>
      <c r="CB103" s="13" t="e">
        <f t="shared" ca="1" si="920"/>
        <v>#NAME?</v>
      </c>
      <c r="CC103" s="13" t="e">
        <f t="shared" ca="1" si="920"/>
        <v>#NAME?</v>
      </c>
      <c r="CD103" s="13" t="e">
        <f t="shared" ca="1" si="920"/>
        <v>#NAME?</v>
      </c>
      <c r="CE103" s="13" t="e">
        <f t="shared" ca="1" si="920"/>
        <v>#NAME?</v>
      </c>
      <c r="CF103" s="13" t="e">
        <f t="shared" ca="1" si="920"/>
        <v>#NAME?</v>
      </c>
      <c r="CG103" s="13" t="e">
        <f t="shared" ca="1" si="920"/>
        <v>#NAME?</v>
      </c>
      <c r="CH103" s="13" t="e">
        <f t="shared" ca="1" si="920"/>
        <v>#NAME?</v>
      </c>
      <c r="CI103" s="13" t="e">
        <f t="shared" ca="1" si="920"/>
        <v>#NAME?</v>
      </c>
      <c r="CJ103" s="13" t="e">
        <f t="shared" ca="1" si="920"/>
        <v>#NAME?</v>
      </c>
      <c r="CK103" s="13" t="e">
        <f t="shared" ca="1" si="920"/>
        <v>#NAME?</v>
      </c>
      <c r="CL103" s="13" t="e">
        <f t="shared" ca="1" si="920"/>
        <v>#NAME?</v>
      </c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E103" s="134"/>
      <c r="DF103" s="13">
        <v>29.248779589278936</v>
      </c>
    </row>
    <row r="104" spans="1:110" s="98" customFormat="1" x14ac:dyDescent="0.2">
      <c r="A104" s="98" t="s">
        <v>426</v>
      </c>
      <c r="AB104" s="99"/>
      <c r="AC104" s="99"/>
      <c r="AD104" s="99"/>
      <c r="AE104" s="99"/>
      <c r="AL104" s="175"/>
      <c r="AM104" s="175"/>
      <c r="AN104" s="175"/>
      <c r="AO104" s="175" t="e">
        <f t="shared" ref="AO104:CI104" ca="1" si="921">+CORREL(AL83:AO83,AL100:AO100)</f>
        <v>#NAME?</v>
      </c>
      <c r="AP104" s="175" t="e">
        <f t="shared" ca="1" si="921"/>
        <v>#NAME?</v>
      </c>
      <c r="AQ104" s="175" t="e">
        <f t="shared" ca="1" si="921"/>
        <v>#NAME?</v>
      </c>
      <c r="AR104" s="175" t="e">
        <f t="shared" ca="1" si="921"/>
        <v>#NAME?</v>
      </c>
      <c r="AS104" s="175" t="e">
        <f t="shared" ca="1" si="921"/>
        <v>#NAME?</v>
      </c>
      <c r="AT104" s="175" t="e">
        <f t="shared" ca="1" si="921"/>
        <v>#NAME?</v>
      </c>
      <c r="AU104" s="175" t="e">
        <f t="shared" ca="1" si="921"/>
        <v>#NAME?</v>
      </c>
      <c r="AV104" s="175" t="e">
        <f t="shared" ca="1" si="921"/>
        <v>#NAME?</v>
      </c>
      <c r="AW104" s="175" t="e">
        <f t="shared" ca="1" si="921"/>
        <v>#NAME?</v>
      </c>
      <c r="AX104" s="175" t="e">
        <f t="shared" ca="1" si="921"/>
        <v>#NAME?</v>
      </c>
      <c r="AY104" s="175" t="e">
        <f t="shared" ca="1" si="921"/>
        <v>#NAME?</v>
      </c>
      <c r="AZ104" s="175" t="e">
        <f t="shared" ca="1" si="921"/>
        <v>#NAME?</v>
      </c>
      <c r="BA104" s="175" t="e">
        <f t="shared" ca="1" si="921"/>
        <v>#NAME?</v>
      </c>
      <c r="BB104" s="175" t="e">
        <f t="shared" ca="1" si="921"/>
        <v>#NAME?</v>
      </c>
      <c r="BC104" s="175" t="e">
        <f t="shared" ca="1" si="921"/>
        <v>#NAME?</v>
      </c>
      <c r="BD104" s="175" t="e">
        <f t="shared" ca="1" si="921"/>
        <v>#NAME?</v>
      </c>
      <c r="BE104" s="175" t="e">
        <f t="shared" ca="1" si="921"/>
        <v>#NAME?</v>
      </c>
      <c r="BF104" s="175" t="e">
        <f t="shared" ca="1" si="921"/>
        <v>#NAME?</v>
      </c>
      <c r="BG104" s="175" t="e">
        <f t="shared" ca="1" si="921"/>
        <v>#NAME?</v>
      </c>
      <c r="BH104" s="175" t="e">
        <f t="shared" ca="1" si="921"/>
        <v>#NAME?</v>
      </c>
      <c r="BI104" s="175" t="e">
        <f t="shared" ca="1" si="921"/>
        <v>#NAME?</v>
      </c>
      <c r="BJ104" s="175" t="e">
        <f t="shared" ca="1" si="921"/>
        <v>#NAME?</v>
      </c>
      <c r="BK104" s="175" t="e">
        <f t="shared" ca="1" si="921"/>
        <v>#NAME?</v>
      </c>
      <c r="BL104" s="175" t="e">
        <f t="shared" ca="1" si="921"/>
        <v>#NAME?</v>
      </c>
      <c r="BM104" s="175" t="e">
        <f t="shared" ca="1" si="921"/>
        <v>#NAME?</v>
      </c>
      <c r="BN104" s="175" t="e">
        <f t="shared" ca="1" si="921"/>
        <v>#NAME?</v>
      </c>
      <c r="BO104" s="175" t="e">
        <f t="shared" ca="1" si="921"/>
        <v>#NAME?</v>
      </c>
      <c r="BP104" s="175" t="e">
        <f t="shared" ca="1" si="921"/>
        <v>#NAME?</v>
      </c>
      <c r="BQ104" s="175" t="e">
        <f t="shared" ca="1" si="921"/>
        <v>#NAME?</v>
      </c>
      <c r="BR104" s="175" t="e">
        <f t="shared" ca="1" si="921"/>
        <v>#NAME?</v>
      </c>
      <c r="BS104" s="175" t="e">
        <f t="shared" ca="1" si="921"/>
        <v>#NAME?</v>
      </c>
      <c r="BT104" s="175" t="e">
        <f t="shared" ca="1" si="921"/>
        <v>#NAME?</v>
      </c>
      <c r="BU104" s="175" t="e">
        <f t="shared" ca="1" si="921"/>
        <v>#NAME?</v>
      </c>
      <c r="BV104" s="175" t="e">
        <f t="shared" ca="1" si="921"/>
        <v>#NAME?</v>
      </c>
      <c r="BW104" s="175" t="e">
        <f t="shared" ca="1" si="921"/>
        <v>#NAME?</v>
      </c>
      <c r="BX104" s="175" t="e">
        <f t="shared" ca="1" si="921"/>
        <v>#NAME?</v>
      </c>
      <c r="BY104" s="175" t="e">
        <f t="shared" ca="1" si="921"/>
        <v>#NAME?</v>
      </c>
      <c r="BZ104" s="175" t="e">
        <f t="shared" ca="1" si="921"/>
        <v>#NAME?</v>
      </c>
      <c r="CA104" s="175" t="e">
        <f t="shared" ca="1" si="921"/>
        <v>#NAME?</v>
      </c>
      <c r="CB104" s="175" t="e">
        <f t="shared" ca="1" si="921"/>
        <v>#NAME?</v>
      </c>
      <c r="CC104" s="175" t="e">
        <f t="shared" ca="1" si="921"/>
        <v>#NAME?</v>
      </c>
      <c r="CD104" s="175" t="e">
        <f t="shared" ca="1" si="921"/>
        <v>#NAME?</v>
      </c>
      <c r="CE104" s="175" t="e">
        <f t="shared" ca="1" si="921"/>
        <v>#NAME?</v>
      </c>
      <c r="CF104" s="175" t="e">
        <f t="shared" ca="1" si="921"/>
        <v>#NAME?</v>
      </c>
      <c r="CG104" s="175" t="e">
        <f t="shared" ca="1" si="921"/>
        <v>#NAME?</v>
      </c>
      <c r="CH104" s="175" t="e">
        <f t="shared" ca="1" si="921"/>
        <v>#NAME?</v>
      </c>
      <c r="CI104" s="175" t="e">
        <f t="shared" ca="1" si="921"/>
        <v>#NAME?</v>
      </c>
      <c r="CJ104" s="175" t="e">
        <f ca="1">+CORREL(CG83:CJ83,CG100:CJ100)</f>
        <v>#NAME?</v>
      </c>
      <c r="CK104" s="175" t="e">
        <f ca="1">+CORREL(CH83:CK83,CH100:CK100)</f>
        <v>#NAME?</v>
      </c>
      <c r="CL104" s="175" t="e">
        <f ca="1">+CORREL(CI83:CL83,CI100:CL100)</f>
        <v>#NAME?</v>
      </c>
      <c r="CM104" s="99"/>
      <c r="CN104" s="99"/>
      <c r="CO104" s="99"/>
      <c r="CP104" s="99"/>
      <c r="CQ104" s="99"/>
      <c r="CR104" s="99"/>
      <c r="CS104" s="99"/>
      <c r="CT104" s="99"/>
      <c r="CU104" s="99"/>
      <c r="CV104" s="99"/>
      <c r="CW104" s="99"/>
      <c r="CX104" s="99"/>
      <c r="CY104" s="99"/>
      <c r="CZ104" s="99"/>
      <c r="DA104" s="99"/>
      <c r="DB104" s="99"/>
      <c r="DE104" s="137"/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162" customFormat="1" x14ac:dyDescent="0.2">
      <c r="A106" s="49" t="s">
        <v>505</v>
      </c>
      <c r="E106" s="162">
        <f t="shared" ref="E106:AE106" ca="1" si="922">+E$134/E$79</f>
        <v>0</v>
      </c>
      <c r="F106" s="162">
        <f t="shared" ca="1" si="922"/>
        <v>0</v>
      </c>
      <c r="G106" s="162">
        <f t="shared" ca="1" si="922"/>
        <v>0</v>
      </c>
      <c r="H106" s="162">
        <f t="shared" ca="1" si="922"/>
        <v>0</v>
      </c>
      <c r="I106" s="162">
        <f t="shared" ca="1" si="922"/>
        <v>4.2722817332525587</v>
      </c>
      <c r="J106" s="162">
        <f t="shared" ca="1" si="922"/>
        <v>10.543330293658133</v>
      </c>
      <c r="K106" s="162">
        <f t="shared" ca="1" si="922"/>
        <v>11.416664254057329</v>
      </c>
      <c r="L106" s="162">
        <f t="shared" ca="1" si="922"/>
        <v>12.547874884417944</v>
      </c>
      <c r="M106" s="162">
        <f t="shared" ca="1" si="922"/>
        <v>12.938223384242578</v>
      </c>
      <c r="N106" s="162">
        <f t="shared" ca="1" si="922"/>
        <v>13.462184739980231</v>
      </c>
      <c r="O106" s="162">
        <f t="shared" ca="1" si="922"/>
        <v>11.465899308101903</v>
      </c>
      <c r="P106" s="162">
        <f t="shared" ca="1" si="922"/>
        <v>10.693332908203935</v>
      </c>
      <c r="Q106" s="162">
        <f t="shared" ca="1" si="922"/>
        <v>11.457625227178523</v>
      </c>
      <c r="R106" s="162">
        <f t="shared" ca="1" si="922"/>
        <v>12.243104932563849</v>
      </c>
      <c r="S106" s="162">
        <f t="shared" ca="1" si="922"/>
        <v>14.673899180563083</v>
      </c>
      <c r="T106" s="162">
        <f t="shared" ca="1" si="922"/>
        <v>15.462918088193094</v>
      </c>
      <c r="U106" s="162">
        <f t="shared" ca="1" si="922"/>
        <v>18.070050696680806</v>
      </c>
      <c r="V106" s="162">
        <f t="shared" ca="1" si="922"/>
        <v>20.289640659375699</v>
      </c>
      <c r="W106" s="162">
        <f t="shared" ca="1" si="922"/>
        <v>36.252112361700092</v>
      </c>
      <c r="X106" s="162">
        <f t="shared" ca="1" si="922"/>
        <v>42.284539106590564</v>
      </c>
      <c r="Y106" s="162">
        <f t="shared" ca="1" si="922"/>
        <v>62.598922296974145</v>
      </c>
      <c r="Z106" s="162">
        <f t="shared" ca="1" si="922"/>
        <v>80.310716449319258</v>
      </c>
      <c r="AA106" s="162">
        <f t="shared" ca="1" si="922"/>
        <v>80.310716449319258</v>
      </c>
      <c r="AB106" s="21">
        <f t="shared" ca="1" si="922"/>
        <v>242.107516902893</v>
      </c>
      <c r="AC106" s="21">
        <f t="shared" ca="1" si="922"/>
        <v>278.37752520062116</v>
      </c>
      <c r="AD106" s="21">
        <f t="shared" ca="1" si="922"/>
        <v>324.8820534701274</v>
      </c>
      <c r="AE106" s="21">
        <f t="shared" ca="1" si="922"/>
        <v>383.37383491068493</v>
      </c>
      <c r="AL106" s="162" t="e">
        <f t="shared" ref="AL106:BQ106" ca="1" si="923">+AL$134/AL$79</f>
        <v>#NAME?</v>
      </c>
      <c r="AM106" s="162" t="e">
        <f t="shared" ca="1" si="923"/>
        <v>#NAME?</v>
      </c>
      <c r="AN106" s="162" t="e">
        <f t="shared" ca="1" si="923"/>
        <v>#NAME?</v>
      </c>
      <c r="AO106" s="162" t="e">
        <f t="shared" ca="1" si="923"/>
        <v>#NAME?</v>
      </c>
      <c r="AP106" s="162" t="e">
        <f t="shared" ca="1" si="923"/>
        <v>#NAME?</v>
      </c>
      <c r="AQ106" s="162" t="e">
        <f t="shared" ca="1" si="923"/>
        <v>#NAME?</v>
      </c>
      <c r="AR106" s="162" t="e">
        <f t="shared" ca="1" si="923"/>
        <v>#NAME?</v>
      </c>
      <c r="AS106" s="162" t="e">
        <f t="shared" ca="1" si="923"/>
        <v>#NAME?</v>
      </c>
      <c r="AT106" s="162" t="e">
        <f t="shared" ca="1" si="923"/>
        <v>#NAME?</v>
      </c>
      <c r="AU106" s="162" t="e">
        <f t="shared" ca="1" si="923"/>
        <v>#NAME?</v>
      </c>
      <c r="AV106" s="162" t="e">
        <f t="shared" ca="1" si="923"/>
        <v>#NAME?</v>
      </c>
      <c r="AW106" s="162" t="e">
        <f t="shared" ca="1" si="923"/>
        <v>#NAME?</v>
      </c>
      <c r="AX106" s="162" t="e">
        <f t="shared" ca="1" si="923"/>
        <v>#NAME?</v>
      </c>
      <c r="AY106" s="162" t="e">
        <f t="shared" ca="1" si="923"/>
        <v>#NAME?</v>
      </c>
      <c r="AZ106" s="162" t="e">
        <f t="shared" ca="1" si="923"/>
        <v>#NAME?</v>
      </c>
      <c r="BA106" s="162" t="e">
        <f t="shared" ca="1" si="923"/>
        <v>#NAME?</v>
      </c>
      <c r="BB106" s="162" t="e">
        <f t="shared" ca="1" si="923"/>
        <v>#NAME?</v>
      </c>
      <c r="BC106" s="162" t="e">
        <f t="shared" ca="1" si="923"/>
        <v>#NAME?</v>
      </c>
      <c r="BD106" s="162" t="e">
        <f t="shared" ca="1" si="923"/>
        <v>#NAME?</v>
      </c>
      <c r="BE106" s="162" t="e">
        <f t="shared" ca="1" si="923"/>
        <v>#NAME?</v>
      </c>
      <c r="BF106" s="162" t="e">
        <f t="shared" ca="1" si="923"/>
        <v>#NAME?</v>
      </c>
      <c r="BG106" s="162" t="e">
        <f t="shared" ca="1" si="923"/>
        <v>#NAME?</v>
      </c>
      <c r="BH106" s="162" t="e">
        <f t="shared" ca="1" si="923"/>
        <v>#NAME?</v>
      </c>
      <c r="BI106" s="162" t="e">
        <f t="shared" ca="1" si="923"/>
        <v>#NAME?</v>
      </c>
      <c r="BJ106" s="162" t="e">
        <f t="shared" ca="1" si="923"/>
        <v>#NAME?</v>
      </c>
      <c r="BK106" s="162" t="e">
        <f t="shared" ca="1" si="923"/>
        <v>#NAME?</v>
      </c>
      <c r="BL106" s="162" t="e">
        <f t="shared" ca="1" si="923"/>
        <v>#NAME?</v>
      </c>
      <c r="BM106" s="162" t="e">
        <f t="shared" ca="1" si="923"/>
        <v>#NAME?</v>
      </c>
      <c r="BN106" s="162" t="e">
        <f t="shared" ca="1" si="923"/>
        <v>#NAME?</v>
      </c>
      <c r="BO106" s="162" t="e">
        <f t="shared" ca="1" si="923"/>
        <v>#NAME?</v>
      </c>
      <c r="BP106" s="162" t="e">
        <f t="shared" ca="1" si="923"/>
        <v>#NAME?</v>
      </c>
      <c r="BQ106" s="162" t="e">
        <f t="shared" ca="1" si="923"/>
        <v>#NAME?</v>
      </c>
      <c r="BR106" s="162" t="e">
        <f t="shared" ref="BR106:DB106" ca="1" si="924">+BR$134/BR$79</f>
        <v>#NAME?</v>
      </c>
      <c r="BS106" s="162" t="e">
        <f t="shared" ca="1" si="924"/>
        <v>#NAME?</v>
      </c>
      <c r="BT106" s="162" t="e">
        <f t="shared" ca="1" si="924"/>
        <v>#NAME?</v>
      </c>
      <c r="BU106" s="162" t="e">
        <f t="shared" ca="1" si="924"/>
        <v>#NAME?</v>
      </c>
      <c r="BV106" s="162" t="e">
        <f t="shared" ca="1" si="924"/>
        <v>#NAME?</v>
      </c>
      <c r="BW106" s="162" t="e">
        <f t="shared" ca="1" si="924"/>
        <v>#NAME?</v>
      </c>
      <c r="BX106" s="162" t="e">
        <f t="shared" ca="1" si="924"/>
        <v>#NAME?</v>
      </c>
      <c r="BY106" s="162" t="e">
        <f t="shared" ca="1" si="924"/>
        <v>#NAME?</v>
      </c>
      <c r="BZ106" s="162" t="e">
        <f t="shared" ca="1" si="924"/>
        <v>#NAME?</v>
      </c>
      <c r="CA106" s="162" t="e">
        <f t="shared" ca="1" si="924"/>
        <v>#NAME?</v>
      </c>
      <c r="CB106" s="162" t="e">
        <f t="shared" ca="1" si="924"/>
        <v>#NAME?</v>
      </c>
      <c r="CC106" s="162" t="e">
        <f t="shared" ca="1" si="924"/>
        <v>#NAME?</v>
      </c>
      <c r="CD106" s="162" t="e">
        <f t="shared" ca="1" si="924"/>
        <v>#NAME?</v>
      </c>
      <c r="CE106" s="162" t="e">
        <f t="shared" ca="1" si="924"/>
        <v>#NAME?</v>
      </c>
      <c r="CF106" s="162" t="e">
        <f t="shared" ca="1" si="924"/>
        <v>#NAME?</v>
      </c>
      <c r="CG106" s="162" t="e">
        <f t="shared" ca="1" si="924"/>
        <v>#NAME?</v>
      </c>
      <c r="CH106" s="162" t="e">
        <f t="shared" ca="1" si="924"/>
        <v>#NAME?</v>
      </c>
      <c r="CI106" s="162" t="e">
        <f t="shared" ca="1" si="924"/>
        <v>#NAME?</v>
      </c>
      <c r="CJ106" s="162" t="e">
        <f t="shared" ca="1" si="924"/>
        <v>#NAME?</v>
      </c>
      <c r="CK106" s="162" t="e">
        <f t="shared" ca="1" si="924"/>
        <v>#NAME?</v>
      </c>
      <c r="CL106" s="162" t="e">
        <f t="shared" ca="1" si="924"/>
        <v>#NAME?</v>
      </c>
      <c r="CM106" s="21" t="e">
        <f t="shared" ca="1" si="924"/>
        <v>#NAME?</v>
      </c>
      <c r="CN106" s="21" t="e">
        <f t="shared" ca="1" si="924"/>
        <v>#NAME?</v>
      </c>
      <c r="CO106" s="21" t="e">
        <f t="shared" ca="1" si="924"/>
        <v>#NAME?</v>
      </c>
      <c r="CP106" s="21" t="e">
        <f t="shared" ca="1" si="924"/>
        <v>#NAME?</v>
      </c>
      <c r="CQ106" s="21" t="e">
        <f t="shared" ca="1" si="924"/>
        <v>#NAME?</v>
      </c>
      <c r="CR106" s="21" t="e">
        <f t="shared" ca="1" si="924"/>
        <v>#NAME?</v>
      </c>
      <c r="CS106" s="21" t="e">
        <f t="shared" ca="1" si="924"/>
        <v>#NAME?</v>
      </c>
      <c r="CT106" s="21" t="e">
        <f t="shared" ca="1" si="924"/>
        <v>#NAME?</v>
      </c>
      <c r="CU106" s="21" t="e">
        <f t="shared" ca="1" si="924"/>
        <v>#NAME?</v>
      </c>
      <c r="CV106" s="21" t="e">
        <f t="shared" ca="1" si="924"/>
        <v>#NAME?</v>
      </c>
      <c r="CW106" s="21" t="e">
        <f t="shared" ca="1" si="924"/>
        <v>#NAME?</v>
      </c>
      <c r="CX106" s="21" t="e">
        <f t="shared" ca="1" si="924"/>
        <v>#NAME?</v>
      </c>
      <c r="CY106" s="21" t="e">
        <f t="shared" ca="1" si="924"/>
        <v>#NAME?</v>
      </c>
      <c r="CZ106" s="21" t="e">
        <f t="shared" ca="1" si="924"/>
        <v>#NAME?</v>
      </c>
      <c r="DA106" s="21" t="e">
        <f t="shared" ca="1" si="924"/>
        <v>#NAME?</v>
      </c>
      <c r="DB106" s="21" t="e">
        <f t="shared" ca="1" si="924"/>
        <v>#NAME?</v>
      </c>
      <c r="DE106" s="22"/>
      <c r="DF106" s="162">
        <v>214.92347670822309</v>
      </c>
    </row>
    <row r="107" spans="1:110" s="162" customFormat="1" x14ac:dyDescent="0.2">
      <c r="A107" s="49" t="s">
        <v>501</v>
      </c>
      <c r="AB107" s="21"/>
      <c r="AC107" s="21"/>
      <c r="AD107" s="21"/>
      <c r="AE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E107" s="22"/>
    </row>
    <row r="108" spans="1:110" s="162" customFormat="1" x14ac:dyDescent="0.2">
      <c r="A108" s="49" t="s">
        <v>502</v>
      </c>
      <c r="E108" s="162" t="e">
        <f t="shared" ref="E108:AE110" ca="1" si="925">+E91/E$106</f>
        <v>#DIV/0!</v>
      </c>
      <c r="F108" s="162" t="e">
        <f t="shared" ca="1" si="925"/>
        <v>#DIV/0!</v>
      </c>
      <c r="G108" s="162" t="e">
        <f t="shared" ca="1" si="925"/>
        <v>#DIV/0!</v>
      </c>
      <c r="H108" s="162" t="e">
        <f t="shared" ca="1" si="925"/>
        <v>#DIV/0!</v>
      </c>
      <c r="I108" s="162">
        <f t="shared" ca="1" si="925"/>
        <v>0</v>
      </c>
      <c r="J108" s="162">
        <f t="shared" ca="1" si="925"/>
        <v>0</v>
      </c>
      <c r="K108" s="162">
        <f t="shared" ca="1" si="925"/>
        <v>0</v>
      </c>
      <c r="L108" s="162">
        <f t="shared" ca="1" si="925"/>
        <v>0</v>
      </c>
      <c r="M108" s="162">
        <f t="shared" ca="1" si="925"/>
        <v>0</v>
      </c>
      <c r="N108" s="162">
        <f t="shared" ca="1" si="925"/>
        <v>0</v>
      </c>
      <c r="O108" s="162">
        <f t="shared" ca="1" si="925"/>
        <v>0</v>
      </c>
      <c r="P108" s="162">
        <f t="shared" ca="1" si="925"/>
        <v>0</v>
      </c>
      <c r="Q108" s="162">
        <f t="shared" ca="1" si="925"/>
        <v>0</v>
      </c>
      <c r="R108" s="162">
        <f t="shared" ca="1" si="925"/>
        <v>0</v>
      </c>
      <c r="S108" s="162">
        <f t="shared" ca="1" si="925"/>
        <v>0</v>
      </c>
      <c r="T108" s="162">
        <f t="shared" ca="1" si="925"/>
        <v>0</v>
      </c>
      <c r="U108" s="162">
        <f t="shared" ca="1" si="925"/>
        <v>0</v>
      </c>
      <c r="V108" s="162">
        <f t="shared" ca="1" si="925"/>
        <v>0</v>
      </c>
      <c r="W108" s="162">
        <f t="shared" ca="1" si="925"/>
        <v>0</v>
      </c>
      <c r="X108" s="162">
        <f t="shared" ca="1" si="925"/>
        <v>0</v>
      </c>
      <c r="Y108" s="162">
        <f t="shared" ca="1" si="925"/>
        <v>0</v>
      </c>
      <c r="Z108" s="162">
        <f t="shared" ca="1" si="925"/>
        <v>0</v>
      </c>
      <c r="AA108" s="162">
        <f t="shared" ref="AA108" ca="1" si="926">+AA91/AA$106</f>
        <v>0</v>
      </c>
      <c r="AB108" s="21">
        <f t="shared" ca="1" si="925"/>
        <v>2.374977891457319</v>
      </c>
      <c r="AC108" s="21">
        <f t="shared" ca="1" si="925"/>
        <v>2.0655403110779469</v>
      </c>
      <c r="AD108" s="21">
        <f t="shared" ca="1" si="925"/>
        <v>1.7698730781165501</v>
      </c>
      <c r="AE108" s="21">
        <f t="shared" ca="1" si="925"/>
        <v>1.499841532309993</v>
      </c>
      <c r="AL108" s="162" t="e">
        <f t="shared" ref="AL108:CI110" ca="1" si="927">+AL91/AL$106</f>
        <v>#NAME?</v>
      </c>
      <c r="AM108" s="162" t="e">
        <f t="shared" ca="1" si="927"/>
        <v>#NAME?</v>
      </c>
      <c r="AN108" s="162" t="e">
        <f t="shared" ca="1" si="927"/>
        <v>#NAME?</v>
      </c>
      <c r="AO108" s="162" t="e">
        <f t="shared" ca="1" si="927"/>
        <v>#NAME?</v>
      </c>
      <c r="AP108" s="162" t="e">
        <f t="shared" ca="1" si="927"/>
        <v>#NAME?</v>
      </c>
      <c r="AQ108" s="162" t="e">
        <f t="shared" ca="1" si="927"/>
        <v>#NAME?</v>
      </c>
      <c r="AR108" s="162" t="e">
        <f t="shared" ca="1" si="927"/>
        <v>#NAME?</v>
      </c>
      <c r="AS108" s="162" t="e">
        <f t="shared" ca="1" si="927"/>
        <v>#NAME?</v>
      </c>
      <c r="AT108" s="162" t="e">
        <f t="shared" ca="1" si="927"/>
        <v>#NAME?</v>
      </c>
      <c r="AU108" s="162" t="e">
        <f t="shared" ca="1" si="927"/>
        <v>#NAME?</v>
      </c>
      <c r="AV108" s="162" t="e">
        <f t="shared" ca="1" si="927"/>
        <v>#NAME?</v>
      </c>
      <c r="AW108" s="162" t="e">
        <f t="shared" ca="1" si="927"/>
        <v>#NAME?</v>
      </c>
      <c r="AX108" s="162" t="e">
        <f t="shared" ca="1" si="927"/>
        <v>#NAME?</v>
      </c>
      <c r="AY108" s="162" t="e">
        <f t="shared" ca="1" si="927"/>
        <v>#NAME?</v>
      </c>
      <c r="AZ108" s="162" t="e">
        <f t="shared" ca="1" si="927"/>
        <v>#NAME?</v>
      </c>
      <c r="BA108" s="162" t="e">
        <f t="shared" ca="1" si="927"/>
        <v>#NAME?</v>
      </c>
      <c r="BB108" s="162" t="e">
        <f t="shared" ca="1" si="927"/>
        <v>#NAME?</v>
      </c>
      <c r="BC108" s="162" t="e">
        <f t="shared" ca="1" si="927"/>
        <v>#NAME?</v>
      </c>
      <c r="BD108" s="162" t="e">
        <f t="shared" ca="1" si="927"/>
        <v>#NAME?</v>
      </c>
      <c r="BE108" s="162" t="e">
        <f t="shared" ca="1" si="927"/>
        <v>#NAME?</v>
      </c>
      <c r="BF108" s="162" t="e">
        <f t="shared" ca="1" si="927"/>
        <v>#NAME?</v>
      </c>
      <c r="BG108" s="162" t="e">
        <f t="shared" ca="1" si="927"/>
        <v>#NAME?</v>
      </c>
      <c r="BH108" s="162" t="e">
        <f t="shared" ca="1" si="927"/>
        <v>#NAME?</v>
      </c>
      <c r="BI108" s="162" t="e">
        <f t="shared" ca="1" si="927"/>
        <v>#NAME?</v>
      </c>
      <c r="BJ108" s="162" t="e">
        <f t="shared" ca="1" si="927"/>
        <v>#NAME?</v>
      </c>
      <c r="BK108" s="162" t="e">
        <f t="shared" ca="1" si="927"/>
        <v>#NAME?</v>
      </c>
      <c r="BL108" s="162" t="e">
        <f t="shared" ca="1" si="927"/>
        <v>#NAME?</v>
      </c>
      <c r="BM108" s="162" t="e">
        <f t="shared" ca="1" si="927"/>
        <v>#NAME?</v>
      </c>
      <c r="BN108" s="162" t="e">
        <f t="shared" ca="1" si="927"/>
        <v>#NAME?</v>
      </c>
      <c r="BO108" s="162" t="e">
        <f t="shared" ca="1" si="927"/>
        <v>#NAME?</v>
      </c>
      <c r="BP108" s="162" t="e">
        <f t="shared" ca="1" si="927"/>
        <v>#NAME?</v>
      </c>
      <c r="BQ108" s="162" t="e">
        <f t="shared" ca="1" si="927"/>
        <v>#NAME?</v>
      </c>
      <c r="BR108" s="162" t="e">
        <f t="shared" ca="1" si="927"/>
        <v>#NAME?</v>
      </c>
      <c r="BS108" s="162" t="e">
        <f t="shared" ca="1" si="927"/>
        <v>#NAME?</v>
      </c>
      <c r="BT108" s="162" t="e">
        <f t="shared" ca="1" si="927"/>
        <v>#NAME?</v>
      </c>
      <c r="BU108" s="162" t="e">
        <f t="shared" ca="1" si="927"/>
        <v>#NAME?</v>
      </c>
      <c r="BV108" s="162" t="e">
        <f t="shared" ca="1" si="927"/>
        <v>#NAME?</v>
      </c>
      <c r="BW108" s="162" t="e">
        <f t="shared" ca="1" si="927"/>
        <v>#NAME?</v>
      </c>
      <c r="BX108" s="162" t="e">
        <f t="shared" ca="1" si="927"/>
        <v>#NAME?</v>
      </c>
      <c r="BY108" s="162" t="e">
        <f t="shared" ca="1" si="927"/>
        <v>#NAME?</v>
      </c>
      <c r="BZ108" s="162" t="e">
        <f t="shared" ca="1" si="927"/>
        <v>#NAME?</v>
      </c>
      <c r="CA108" s="162" t="e">
        <f t="shared" ca="1" si="927"/>
        <v>#NAME?</v>
      </c>
      <c r="CB108" s="162" t="e">
        <f t="shared" ca="1" si="927"/>
        <v>#NAME?</v>
      </c>
      <c r="CC108" s="162" t="e">
        <f t="shared" ca="1" si="927"/>
        <v>#NAME?</v>
      </c>
      <c r="CD108" s="162" t="e">
        <f t="shared" ca="1" si="927"/>
        <v>#NAME?</v>
      </c>
      <c r="CE108" s="162" t="e">
        <f t="shared" ca="1" si="927"/>
        <v>#NAME?</v>
      </c>
      <c r="CF108" s="162" t="e">
        <f t="shared" ca="1" si="927"/>
        <v>#NAME?</v>
      </c>
      <c r="CG108" s="162" t="e">
        <f t="shared" ca="1" si="927"/>
        <v>#NAME?</v>
      </c>
      <c r="CH108" s="162" t="e">
        <f t="shared" ca="1" si="927"/>
        <v>#NAME?</v>
      </c>
      <c r="CI108" s="162" t="e">
        <f t="shared" ca="1" si="927"/>
        <v>#NAME?</v>
      </c>
      <c r="CJ108" s="162" t="e">
        <f ca="1">+CJ91/CJ$106</f>
        <v>#NAME?</v>
      </c>
      <c r="CK108" s="162" t="e">
        <f ca="1">+CK91/CK$106</f>
        <v>#NAME?</v>
      </c>
      <c r="CL108" s="162" t="e">
        <f ca="1">+CL91/CL$106</f>
        <v>#NAME?</v>
      </c>
      <c r="CM108" s="21" t="e">
        <f t="shared" ref="CM108:DB108" ca="1" si="928">+CM91/CM$106</f>
        <v>#NAME?</v>
      </c>
      <c r="CN108" s="21" t="e">
        <f t="shared" ca="1" si="928"/>
        <v>#NAME?</v>
      </c>
      <c r="CO108" s="21" t="e">
        <f t="shared" ca="1" si="928"/>
        <v>#NAME?</v>
      </c>
      <c r="CP108" s="21" t="e">
        <f t="shared" ca="1" si="928"/>
        <v>#NAME?</v>
      </c>
      <c r="CQ108" s="21" t="e">
        <f t="shared" ca="1" si="928"/>
        <v>#NAME?</v>
      </c>
      <c r="CR108" s="21" t="e">
        <f t="shared" ca="1" si="928"/>
        <v>#NAME?</v>
      </c>
      <c r="CS108" s="21" t="e">
        <f t="shared" ca="1" si="928"/>
        <v>#NAME?</v>
      </c>
      <c r="CT108" s="21" t="e">
        <f t="shared" ca="1" si="928"/>
        <v>#NAME?</v>
      </c>
      <c r="CU108" s="21" t="e">
        <f t="shared" ca="1" si="928"/>
        <v>#NAME?</v>
      </c>
      <c r="CV108" s="21" t="e">
        <f t="shared" ca="1" si="928"/>
        <v>#NAME?</v>
      </c>
      <c r="CW108" s="21" t="e">
        <f t="shared" ca="1" si="928"/>
        <v>#NAME?</v>
      </c>
      <c r="CX108" s="21" t="e">
        <f t="shared" ca="1" si="928"/>
        <v>#NAME?</v>
      </c>
      <c r="CY108" s="21" t="e">
        <f t="shared" ca="1" si="928"/>
        <v>#NAME?</v>
      </c>
      <c r="CZ108" s="21" t="e">
        <f t="shared" ca="1" si="928"/>
        <v>#NAME?</v>
      </c>
      <c r="DA108" s="21" t="e">
        <f t="shared" ca="1" si="928"/>
        <v>#NAME?</v>
      </c>
      <c r="DB108" s="21" t="e">
        <f t="shared" ca="1" si="928"/>
        <v>#NAME?</v>
      </c>
      <c r="DE108" s="22"/>
      <c r="DF108" s="162">
        <v>1.9434824263850119</v>
      </c>
    </row>
    <row r="109" spans="1:110" s="162" customFormat="1" x14ac:dyDescent="0.2">
      <c r="A109" s="49" t="s">
        <v>503</v>
      </c>
      <c r="E109" s="162" t="e">
        <f t="shared" ca="1" si="925"/>
        <v>#DIV/0!</v>
      </c>
      <c r="F109" s="162" t="e">
        <f t="shared" ca="1" si="925"/>
        <v>#DIV/0!</v>
      </c>
      <c r="G109" s="162" t="e">
        <f t="shared" ca="1" si="925"/>
        <v>#DIV/0!</v>
      </c>
      <c r="H109" s="162" t="e">
        <f t="shared" ca="1" si="925"/>
        <v>#DIV/0!</v>
      </c>
      <c r="I109" s="162">
        <f t="shared" ca="1" si="925"/>
        <v>0</v>
      </c>
      <c r="J109" s="162">
        <f t="shared" ca="1" si="925"/>
        <v>0</v>
      </c>
      <c r="K109" s="162">
        <f t="shared" ca="1" si="925"/>
        <v>0</v>
      </c>
      <c r="L109" s="162">
        <f t="shared" ca="1" si="925"/>
        <v>0</v>
      </c>
      <c r="M109" s="162">
        <f t="shared" ca="1" si="925"/>
        <v>0</v>
      </c>
      <c r="N109" s="162">
        <f t="shared" ca="1" si="925"/>
        <v>0</v>
      </c>
      <c r="O109" s="162">
        <f t="shared" ca="1" si="925"/>
        <v>0</v>
      </c>
      <c r="P109" s="162">
        <f t="shared" ca="1" si="925"/>
        <v>0</v>
      </c>
      <c r="Q109" s="162">
        <f t="shared" ca="1" si="925"/>
        <v>0</v>
      </c>
      <c r="R109" s="162">
        <f t="shared" ca="1" si="925"/>
        <v>0</v>
      </c>
      <c r="S109" s="162">
        <f t="shared" ca="1" si="925"/>
        <v>0</v>
      </c>
      <c r="T109" s="162">
        <f t="shared" ca="1" si="925"/>
        <v>0</v>
      </c>
      <c r="U109" s="162">
        <f t="shared" ca="1" si="925"/>
        <v>0</v>
      </c>
      <c r="V109" s="162">
        <f t="shared" ca="1" si="925"/>
        <v>0</v>
      </c>
      <c r="W109" s="162">
        <f t="shared" ca="1" si="925"/>
        <v>0</v>
      </c>
      <c r="X109" s="162">
        <f t="shared" ca="1" si="925"/>
        <v>0</v>
      </c>
      <c r="Y109" s="162">
        <f t="shared" ca="1" si="925"/>
        <v>0</v>
      </c>
      <c r="Z109" s="162">
        <f t="shared" ca="1" si="925"/>
        <v>0</v>
      </c>
      <c r="AA109" s="162">
        <f t="shared" ref="AA109" ca="1" si="929">+AA92/AA$106</f>
        <v>0</v>
      </c>
      <c r="AB109" s="21">
        <f t="shared" ca="1" si="925"/>
        <v>2.8070214983838357</v>
      </c>
      <c r="AC109" s="21">
        <f t="shared" ca="1" si="925"/>
        <v>3.25726800965605</v>
      </c>
      <c r="AD109" s="21">
        <f t="shared" ca="1" si="925"/>
        <v>3.5785701128134373</v>
      </c>
      <c r="AE109" s="21">
        <f t="shared" ca="1" si="925"/>
        <v>3.8142783957976985</v>
      </c>
      <c r="AL109" s="162" t="e">
        <f t="shared" ca="1" si="927"/>
        <v>#NAME?</v>
      </c>
      <c r="AM109" s="162" t="e">
        <f t="shared" ca="1" si="927"/>
        <v>#NAME?</v>
      </c>
      <c r="AN109" s="162" t="e">
        <f t="shared" ca="1" si="927"/>
        <v>#NAME?</v>
      </c>
      <c r="AO109" s="162" t="e">
        <f t="shared" ca="1" si="927"/>
        <v>#NAME?</v>
      </c>
      <c r="AP109" s="162" t="e">
        <f t="shared" ca="1" si="927"/>
        <v>#NAME?</v>
      </c>
      <c r="AQ109" s="162" t="e">
        <f t="shared" ca="1" si="927"/>
        <v>#NAME?</v>
      </c>
      <c r="AR109" s="162" t="e">
        <f t="shared" ca="1" si="927"/>
        <v>#NAME?</v>
      </c>
      <c r="AS109" s="162" t="e">
        <f t="shared" ca="1" si="927"/>
        <v>#NAME?</v>
      </c>
      <c r="AT109" s="162" t="e">
        <f t="shared" ca="1" si="927"/>
        <v>#NAME?</v>
      </c>
      <c r="AU109" s="162" t="e">
        <f t="shared" ca="1" si="927"/>
        <v>#NAME?</v>
      </c>
      <c r="AV109" s="162" t="e">
        <f t="shared" ca="1" si="927"/>
        <v>#NAME?</v>
      </c>
      <c r="AW109" s="162" t="e">
        <f t="shared" ca="1" si="927"/>
        <v>#NAME?</v>
      </c>
      <c r="AX109" s="162" t="e">
        <f t="shared" ca="1" si="927"/>
        <v>#NAME?</v>
      </c>
      <c r="AY109" s="162" t="e">
        <f t="shared" ca="1" si="927"/>
        <v>#NAME?</v>
      </c>
      <c r="AZ109" s="162" t="e">
        <f t="shared" ca="1" si="927"/>
        <v>#NAME?</v>
      </c>
      <c r="BA109" s="162" t="e">
        <f t="shared" ca="1" si="927"/>
        <v>#NAME?</v>
      </c>
      <c r="BB109" s="162" t="e">
        <f t="shared" ca="1" si="927"/>
        <v>#NAME?</v>
      </c>
      <c r="BC109" s="162" t="e">
        <f t="shared" ca="1" si="927"/>
        <v>#NAME?</v>
      </c>
      <c r="BD109" s="162" t="e">
        <f t="shared" ca="1" si="927"/>
        <v>#NAME?</v>
      </c>
      <c r="BE109" s="162" t="e">
        <f t="shared" ca="1" si="927"/>
        <v>#NAME?</v>
      </c>
      <c r="BF109" s="162" t="e">
        <f t="shared" ca="1" si="927"/>
        <v>#NAME?</v>
      </c>
      <c r="BG109" s="162" t="e">
        <f t="shared" ca="1" si="927"/>
        <v>#NAME?</v>
      </c>
      <c r="BH109" s="162" t="e">
        <f t="shared" ca="1" si="927"/>
        <v>#NAME?</v>
      </c>
      <c r="BI109" s="162" t="e">
        <f t="shared" ca="1" si="927"/>
        <v>#NAME?</v>
      </c>
      <c r="BJ109" s="162" t="e">
        <f t="shared" ca="1" si="927"/>
        <v>#NAME?</v>
      </c>
      <c r="BK109" s="162" t="e">
        <f t="shared" ca="1" si="927"/>
        <v>#NAME?</v>
      </c>
      <c r="BL109" s="162" t="e">
        <f t="shared" ca="1" si="927"/>
        <v>#NAME?</v>
      </c>
      <c r="BM109" s="162" t="e">
        <f t="shared" ca="1" si="927"/>
        <v>#NAME?</v>
      </c>
      <c r="BN109" s="162" t="e">
        <f t="shared" ca="1" si="927"/>
        <v>#NAME?</v>
      </c>
      <c r="BO109" s="162" t="e">
        <f t="shared" ca="1" si="927"/>
        <v>#NAME?</v>
      </c>
      <c r="BP109" s="162" t="e">
        <f t="shared" ca="1" si="927"/>
        <v>#NAME?</v>
      </c>
      <c r="BQ109" s="162" t="e">
        <f t="shared" ca="1" si="927"/>
        <v>#NAME?</v>
      </c>
      <c r="BR109" s="162" t="e">
        <f t="shared" ca="1" si="927"/>
        <v>#NAME?</v>
      </c>
      <c r="BS109" s="162" t="e">
        <f t="shared" ca="1" si="927"/>
        <v>#NAME?</v>
      </c>
      <c r="BT109" s="162" t="e">
        <f t="shared" ca="1" si="927"/>
        <v>#NAME?</v>
      </c>
      <c r="BU109" s="162" t="e">
        <f t="shared" ca="1" si="927"/>
        <v>#NAME?</v>
      </c>
      <c r="BV109" s="162" t="e">
        <f t="shared" ca="1" si="927"/>
        <v>#NAME?</v>
      </c>
      <c r="BW109" s="162" t="e">
        <f t="shared" ca="1" si="927"/>
        <v>#NAME?</v>
      </c>
      <c r="BX109" s="162" t="e">
        <f t="shared" ca="1" si="927"/>
        <v>#NAME?</v>
      </c>
      <c r="BY109" s="162" t="e">
        <f t="shared" ca="1" si="927"/>
        <v>#NAME?</v>
      </c>
      <c r="BZ109" s="162" t="e">
        <f t="shared" ca="1" si="927"/>
        <v>#NAME?</v>
      </c>
      <c r="CA109" s="162" t="e">
        <f t="shared" ca="1" si="927"/>
        <v>#NAME?</v>
      </c>
      <c r="CB109" s="162" t="e">
        <f t="shared" ca="1" si="927"/>
        <v>#NAME?</v>
      </c>
      <c r="CC109" s="162" t="e">
        <f t="shared" ca="1" si="927"/>
        <v>#NAME?</v>
      </c>
      <c r="CD109" s="162" t="e">
        <f t="shared" ca="1" si="927"/>
        <v>#NAME?</v>
      </c>
      <c r="CE109" s="162" t="e">
        <f t="shared" ca="1" si="927"/>
        <v>#NAME?</v>
      </c>
      <c r="CF109" s="162" t="e">
        <f t="shared" ca="1" si="927"/>
        <v>#NAME?</v>
      </c>
      <c r="CG109" s="162" t="e">
        <f t="shared" ca="1" si="927"/>
        <v>#NAME?</v>
      </c>
      <c r="CH109" s="162" t="e">
        <f t="shared" ca="1" si="927"/>
        <v>#NAME?</v>
      </c>
      <c r="CI109" s="162" t="e">
        <f t="shared" ca="1" si="927"/>
        <v>#NAME?</v>
      </c>
      <c r="CJ109" s="162" t="e">
        <f t="shared" ref="CJ109:CK110" ca="1" si="930">+CJ92/CJ$106</f>
        <v>#NAME?</v>
      </c>
      <c r="CK109" s="162" t="e">
        <f t="shared" ca="1" si="930"/>
        <v>#NAME?</v>
      </c>
      <c r="CL109" s="162" t="e">
        <f t="shared" ref="CL109" ca="1" si="931">+CL92/CL$106</f>
        <v>#NAME?</v>
      </c>
      <c r="CM109" s="94" t="e">
        <f t="shared" ref="CM109:DB109" ca="1" si="932">+CL109</f>
        <v>#NAME?</v>
      </c>
      <c r="CN109" s="94" t="e">
        <f t="shared" ca="1" si="932"/>
        <v>#NAME?</v>
      </c>
      <c r="CO109" s="94" t="e">
        <f t="shared" ca="1" si="932"/>
        <v>#NAME?</v>
      </c>
      <c r="CP109" s="94" t="e">
        <f t="shared" ca="1" si="932"/>
        <v>#NAME?</v>
      </c>
      <c r="CQ109" s="94" t="e">
        <f t="shared" ca="1" si="932"/>
        <v>#NAME?</v>
      </c>
      <c r="CR109" s="94" t="e">
        <f t="shared" ca="1" si="932"/>
        <v>#NAME?</v>
      </c>
      <c r="CS109" s="94" t="e">
        <f t="shared" ca="1" si="932"/>
        <v>#NAME?</v>
      </c>
      <c r="CT109" s="94" t="e">
        <f t="shared" ca="1" si="932"/>
        <v>#NAME?</v>
      </c>
      <c r="CU109" s="94" t="e">
        <f t="shared" ca="1" si="932"/>
        <v>#NAME?</v>
      </c>
      <c r="CV109" s="94" t="e">
        <f t="shared" ca="1" si="932"/>
        <v>#NAME?</v>
      </c>
      <c r="CW109" s="94" t="e">
        <f t="shared" ca="1" si="932"/>
        <v>#NAME?</v>
      </c>
      <c r="CX109" s="94" t="e">
        <f t="shared" ca="1" si="932"/>
        <v>#NAME?</v>
      </c>
      <c r="CY109" s="94" t="e">
        <f t="shared" ca="1" si="932"/>
        <v>#NAME?</v>
      </c>
      <c r="CZ109" s="94" t="e">
        <f t="shared" ca="1" si="932"/>
        <v>#NAME?</v>
      </c>
      <c r="DA109" s="94" t="e">
        <f t="shared" ca="1" si="932"/>
        <v>#NAME?</v>
      </c>
      <c r="DB109" s="94" t="e">
        <f t="shared" ca="1" si="932"/>
        <v>#NAME?</v>
      </c>
      <c r="DC109" s="94"/>
      <c r="DE109" s="22"/>
      <c r="DF109" s="162">
        <v>3.6994562538154727</v>
      </c>
    </row>
    <row r="110" spans="1:110" s="162" customFormat="1" x14ac:dyDescent="0.2">
      <c r="A110" s="49" t="s">
        <v>504</v>
      </c>
      <c r="E110" s="162" t="e">
        <f t="shared" ca="1" si="925"/>
        <v>#DIV/0!</v>
      </c>
      <c r="F110" s="162" t="e">
        <f t="shared" ca="1" si="925"/>
        <v>#DIV/0!</v>
      </c>
      <c r="G110" s="162" t="e">
        <f t="shared" ca="1" si="925"/>
        <v>#DIV/0!</v>
      </c>
      <c r="H110" s="162" t="e">
        <f t="shared" ca="1" si="925"/>
        <v>#DIV/0!</v>
      </c>
      <c r="I110" s="162">
        <f t="shared" ca="1" si="925"/>
        <v>0</v>
      </c>
      <c r="J110" s="162">
        <f t="shared" ca="1" si="925"/>
        <v>0</v>
      </c>
      <c r="K110" s="162">
        <f t="shared" ca="1" si="925"/>
        <v>0</v>
      </c>
      <c r="L110" s="162">
        <f t="shared" ca="1" si="925"/>
        <v>0</v>
      </c>
      <c r="M110" s="162">
        <f t="shared" ca="1" si="925"/>
        <v>0</v>
      </c>
      <c r="N110" s="162">
        <f t="shared" ca="1" si="925"/>
        <v>0</v>
      </c>
      <c r="O110" s="162">
        <f t="shared" ca="1" si="925"/>
        <v>0</v>
      </c>
      <c r="P110" s="162">
        <f t="shared" ca="1" si="925"/>
        <v>0</v>
      </c>
      <c r="Q110" s="162">
        <f t="shared" ca="1" si="925"/>
        <v>0</v>
      </c>
      <c r="R110" s="162">
        <f t="shared" ca="1" si="925"/>
        <v>0</v>
      </c>
      <c r="S110" s="162">
        <f t="shared" ca="1" si="925"/>
        <v>0</v>
      </c>
      <c r="T110" s="162">
        <f t="shared" ca="1" si="925"/>
        <v>0</v>
      </c>
      <c r="U110" s="162">
        <f t="shared" ca="1" si="925"/>
        <v>0</v>
      </c>
      <c r="V110" s="162">
        <f t="shared" ca="1" si="925"/>
        <v>0</v>
      </c>
      <c r="W110" s="162">
        <f t="shared" ca="1" si="925"/>
        <v>0</v>
      </c>
      <c r="X110" s="162">
        <f t="shared" ca="1" si="925"/>
        <v>0</v>
      </c>
      <c r="Y110" s="162">
        <f t="shared" ca="1" si="925"/>
        <v>0</v>
      </c>
      <c r="Z110" s="162">
        <f t="shared" ca="1" si="925"/>
        <v>0</v>
      </c>
      <c r="AA110" s="162">
        <f t="shared" ref="AA110" ca="1" si="933">+AA93/AA$106</f>
        <v>0</v>
      </c>
      <c r="AB110" s="21">
        <f t="shared" ca="1" si="925"/>
        <v>1.8582331092139224</v>
      </c>
      <c r="AC110" s="21">
        <f t="shared" ca="1" si="925"/>
        <v>2.0966670342274036</v>
      </c>
      <c r="AD110" s="21">
        <f t="shared" ca="1" si="925"/>
        <v>2.3793760849920003</v>
      </c>
      <c r="AE110" s="21">
        <f t="shared" ca="1" si="925"/>
        <v>2.5716323756517538</v>
      </c>
      <c r="AL110" s="162" t="e">
        <f t="shared" ca="1" si="927"/>
        <v>#NAME?</v>
      </c>
      <c r="AM110" s="162" t="e">
        <f t="shared" ca="1" si="927"/>
        <v>#NAME?</v>
      </c>
      <c r="AN110" s="162" t="e">
        <f t="shared" ca="1" si="927"/>
        <v>#NAME?</v>
      </c>
      <c r="AO110" s="162" t="e">
        <f t="shared" ca="1" si="927"/>
        <v>#NAME?</v>
      </c>
      <c r="AP110" s="162" t="e">
        <f t="shared" ca="1" si="927"/>
        <v>#NAME?</v>
      </c>
      <c r="AQ110" s="162" t="e">
        <f t="shared" ca="1" si="927"/>
        <v>#NAME?</v>
      </c>
      <c r="AR110" s="162" t="e">
        <f t="shared" ca="1" si="927"/>
        <v>#NAME?</v>
      </c>
      <c r="AS110" s="162" t="e">
        <f t="shared" ca="1" si="927"/>
        <v>#NAME?</v>
      </c>
      <c r="AT110" s="162" t="e">
        <f t="shared" ca="1" si="927"/>
        <v>#NAME?</v>
      </c>
      <c r="AU110" s="162" t="e">
        <f t="shared" ca="1" si="927"/>
        <v>#NAME?</v>
      </c>
      <c r="AV110" s="162" t="e">
        <f t="shared" ca="1" si="927"/>
        <v>#NAME?</v>
      </c>
      <c r="AW110" s="162" t="e">
        <f t="shared" ca="1" si="927"/>
        <v>#NAME?</v>
      </c>
      <c r="AX110" s="162" t="e">
        <f t="shared" ca="1" si="927"/>
        <v>#NAME?</v>
      </c>
      <c r="AY110" s="162" t="e">
        <f t="shared" ca="1" si="927"/>
        <v>#NAME?</v>
      </c>
      <c r="AZ110" s="162" t="e">
        <f t="shared" ca="1" si="927"/>
        <v>#NAME?</v>
      </c>
      <c r="BA110" s="162" t="e">
        <f t="shared" ca="1" si="927"/>
        <v>#NAME?</v>
      </c>
      <c r="BB110" s="162" t="e">
        <f t="shared" ca="1" si="927"/>
        <v>#NAME?</v>
      </c>
      <c r="BC110" s="162" t="e">
        <f t="shared" ca="1" si="927"/>
        <v>#NAME?</v>
      </c>
      <c r="BD110" s="162" t="e">
        <f t="shared" ca="1" si="927"/>
        <v>#NAME?</v>
      </c>
      <c r="BE110" s="162" t="e">
        <f t="shared" ca="1" si="927"/>
        <v>#NAME?</v>
      </c>
      <c r="BF110" s="162" t="e">
        <f t="shared" ca="1" si="927"/>
        <v>#NAME?</v>
      </c>
      <c r="BG110" s="162" t="e">
        <f t="shared" ca="1" si="927"/>
        <v>#NAME?</v>
      </c>
      <c r="BH110" s="162" t="e">
        <f t="shared" ca="1" si="927"/>
        <v>#NAME?</v>
      </c>
      <c r="BI110" s="162" t="e">
        <f t="shared" ca="1" si="927"/>
        <v>#NAME?</v>
      </c>
      <c r="BJ110" s="162" t="e">
        <f t="shared" ca="1" si="927"/>
        <v>#NAME?</v>
      </c>
      <c r="BK110" s="162" t="e">
        <f t="shared" ca="1" si="927"/>
        <v>#NAME?</v>
      </c>
      <c r="BL110" s="162" t="e">
        <f t="shared" ca="1" si="927"/>
        <v>#NAME?</v>
      </c>
      <c r="BM110" s="162" t="e">
        <f t="shared" ca="1" si="927"/>
        <v>#NAME?</v>
      </c>
      <c r="BN110" s="162" t="e">
        <f t="shared" ca="1" si="927"/>
        <v>#NAME?</v>
      </c>
      <c r="BO110" s="162" t="e">
        <f t="shared" ca="1" si="927"/>
        <v>#NAME?</v>
      </c>
      <c r="BP110" s="162" t="e">
        <f t="shared" ca="1" si="927"/>
        <v>#NAME?</v>
      </c>
      <c r="BQ110" s="162" t="e">
        <f t="shared" ca="1" si="927"/>
        <v>#NAME?</v>
      </c>
      <c r="BR110" s="162" t="e">
        <f t="shared" ca="1" si="927"/>
        <v>#NAME?</v>
      </c>
      <c r="BS110" s="162" t="e">
        <f t="shared" ca="1" si="927"/>
        <v>#NAME?</v>
      </c>
      <c r="BT110" s="162" t="e">
        <f t="shared" ca="1" si="927"/>
        <v>#NAME?</v>
      </c>
      <c r="BU110" s="162" t="e">
        <f t="shared" ca="1" si="927"/>
        <v>#NAME?</v>
      </c>
      <c r="BV110" s="162" t="e">
        <f t="shared" ca="1" si="927"/>
        <v>#NAME?</v>
      </c>
      <c r="BW110" s="162" t="e">
        <f t="shared" ca="1" si="927"/>
        <v>#NAME?</v>
      </c>
      <c r="BX110" s="162" t="e">
        <f t="shared" ca="1" si="927"/>
        <v>#NAME?</v>
      </c>
      <c r="BY110" s="162" t="e">
        <f t="shared" ca="1" si="927"/>
        <v>#NAME?</v>
      </c>
      <c r="BZ110" s="162" t="e">
        <f t="shared" ca="1" si="927"/>
        <v>#NAME?</v>
      </c>
      <c r="CA110" s="162" t="e">
        <f t="shared" ca="1" si="927"/>
        <v>#NAME?</v>
      </c>
      <c r="CB110" s="162" t="e">
        <f t="shared" ca="1" si="927"/>
        <v>#NAME?</v>
      </c>
      <c r="CC110" s="162" t="e">
        <f t="shared" ca="1" si="927"/>
        <v>#NAME?</v>
      </c>
      <c r="CD110" s="162" t="e">
        <f t="shared" ca="1" si="927"/>
        <v>#NAME?</v>
      </c>
      <c r="CE110" s="162" t="e">
        <f t="shared" ca="1" si="927"/>
        <v>#NAME?</v>
      </c>
      <c r="CF110" s="162" t="e">
        <f t="shared" ca="1" si="927"/>
        <v>#NAME?</v>
      </c>
      <c r="CG110" s="162" t="e">
        <f t="shared" ca="1" si="927"/>
        <v>#NAME?</v>
      </c>
      <c r="CH110" s="162" t="e">
        <f t="shared" ca="1" si="927"/>
        <v>#NAME?</v>
      </c>
      <c r="CI110" s="162" t="e">
        <f t="shared" ca="1" si="927"/>
        <v>#NAME?</v>
      </c>
      <c r="CJ110" s="162" t="e">
        <f t="shared" ca="1" si="930"/>
        <v>#NAME?</v>
      </c>
      <c r="CK110" s="162" t="e">
        <f t="shared" ca="1" si="930"/>
        <v>#NAME?</v>
      </c>
      <c r="CL110" s="162" t="e">
        <f t="shared" ref="CL110" ca="1" si="934">+CL93/CL$106</f>
        <v>#NAME?</v>
      </c>
      <c r="CM110" s="94" t="e">
        <f t="shared" ref="CM110:DB110" ca="1" si="935">+CL110</f>
        <v>#NAME?</v>
      </c>
      <c r="CN110" s="94" t="e">
        <f t="shared" ca="1" si="935"/>
        <v>#NAME?</v>
      </c>
      <c r="CO110" s="94" t="e">
        <f t="shared" ca="1" si="935"/>
        <v>#NAME?</v>
      </c>
      <c r="CP110" s="94" t="e">
        <f t="shared" ca="1" si="935"/>
        <v>#NAME?</v>
      </c>
      <c r="CQ110" s="94" t="e">
        <f t="shared" ca="1" si="935"/>
        <v>#NAME?</v>
      </c>
      <c r="CR110" s="94" t="e">
        <f t="shared" ca="1" si="935"/>
        <v>#NAME?</v>
      </c>
      <c r="CS110" s="94" t="e">
        <f t="shared" ca="1" si="935"/>
        <v>#NAME?</v>
      </c>
      <c r="CT110" s="94" t="e">
        <f t="shared" ca="1" si="935"/>
        <v>#NAME?</v>
      </c>
      <c r="CU110" s="94" t="e">
        <f t="shared" ca="1" si="935"/>
        <v>#NAME?</v>
      </c>
      <c r="CV110" s="94" t="e">
        <f t="shared" ca="1" si="935"/>
        <v>#NAME?</v>
      </c>
      <c r="CW110" s="94" t="e">
        <f t="shared" ca="1" si="935"/>
        <v>#NAME?</v>
      </c>
      <c r="CX110" s="94" t="e">
        <f t="shared" ca="1" si="935"/>
        <v>#NAME?</v>
      </c>
      <c r="CY110" s="94" t="e">
        <f t="shared" ca="1" si="935"/>
        <v>#NAME?</v>
      </c>
      <c r="CZ110" s="94" t="e">
        <f t="shared" ca="1" si="935"/>
        <v>#NAME?</v>
      </c>
      <c r="DA110" s="94" t="e">
        <f t="shared" ca="1" si="935"/>
        <v>#NAME?</v>
      </c>
      <c r="DB110" s="94" t="e">
        <f t="shared" ca="1" si="935"/>
        <v>#NAME?</v>
      </c>
      <c r="DC110" s="94"/>
      <c r="DE110" s="22"/>
      <c r="DF110" s="162">
        <v>0</v>
      </c>
    </row>
    <row r="111" spans="1:110" s="4" customFormat="1" x14ac:dyDescent="0.2">
      <c r="A111" s="3"/>
      <c r="AB111" s="17"/>
      <c r="AC111" s="17"/>
      <c r="AD111" s="17"/>
      <c r="AE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E111" s="119"/>
    </row>
    <row r="112" spans="1:110" s="177" customFormat="1" x14ac:dyDescent="0.2">
      <c r="A112" s="177" t="s">
        <v>510</v>
      </c>
      <c r="E112" s="177" t="e">
        <f t="shared" ref="E112:Y112" ca="1" si="936">+E24</f>
        <v>#NAME?</v>
      </c>
      <c r="F112" s="177" t="e">
        <f t="shared" ca="1" si="936"/>
        <v>#NAME?</v>
      </c>
      <c r="G112" s="177" t="e">
        <f t="shared" ca="1" si="936"/>
        <v>#NAME?</v>
      </c>
      <c r="H112" s="177" t="e">
        <f t="shared" ca="1" si="936"/>
        <v>#NAME?</v>
      </c>
      <c r="I112" s="177" t="e">
        <f t="shared" ca="1" si="936"/>
        <v>#NAME?</v>
      </c>
      <c r="J112" s="177" t="e">
        <f t="shared" ca="1" si="936"/>
        <v>#NAME?</v>
      </c>
      <c r="K112" s="177" t="e">
        <f t="shared" ca="1" si="936"/>
        <v>#NAME?</v>
      </c>
      <c r="L112" s="177" t="e">
        <f t="shared" ca="1" si="936"/>
        <v>#NAME?</v>
      </c>
      <c r="M112" s="177" t="e">
        <f t="shared" ca="1" si="936"/>
        <v>#NAME?</v>
      </c>
      <c r="N112" s="177" t="e">
        <f t="shared" ca="1" si="936"/>
        <v>#NAME?</v>
      </c>
      <c r="O112" s="177" t="e">
        <f t="shared" ca="1" si="936"/>
        <v>#NAME?</v>
      </c>
      <c r="P112" s="177" t="e">
        <f t="shared" ca="1" si="936"/>
        <v>#NAME?</v>
      </c>
      <c r="Q112" s="177" t="e">
        <f t="shared" ca="1" si="936"/>
        <v>#NAME?</v>
      </c>
      <c r="R112" s="177" t="e">
        <f t="shared" ca="1" si="936"/>
        <v>#NAME?</v>
      </c>
      <c r="S112" s="177" t="e">
        <f t="shared" ca="1" si="936"/>
        <v>#NAME?</v>
      </c>
      <c r="T112" s="177" t="e">
        <f t="shared" ca="1" si="936"/>
        <v>#NAME?</v>
      </c>
      <c r="U112" s="177" t="e">
        <f t="shared" ca="1" si="936"/>
        <v>#NAME?</v>
      </c>
      <c r="V112" s="177" t="e">
        <f t="shared" ca="1" si="936"/>
        <v>#NAME?</v>
      </c>
      <c r="W112" s="177" t="e">
        <f t="shared" ca="1" si="936"/>
        <v>#NAME?</v>
      </c>
      <c r="X112" s="177" t="e">
        <f t="shared" ca="1" si="936"/>
        <v>#NAME?</v>
      </c>
      <c r="Y112" s="177" t="e">
        <f t="shared" ca="1" si="936"/>
        <v>#NAME?</v>
      </c>
      <c r="Z112" s="177" t="e">
        <f ca="1">+Z24</f>
        <v>#NAME?</v>
      </c>
      <c r="AA112" s="177" t="e">
        <f ca="1">+AA24</f>
        <v>#NAME?</v>
      </c>
      <c r="AB112" s="178" t="e">
        <f t="shared" ref="AA112:AE112" ca="1" si="937">+AB24</f>
        <v>#NAME?</v>
      </c>
      <c r="AC112" s="178" t="e">
        <f t="shared" ca="1" si="937"/>
        <v>#NAME?</v>
      </c>
      <c r="AD112" s="178" t="e">
        <f t="shared" ca="1" si="937"/>
        <v>#NAME?</v>
      </c>
      <c r="AE112" s="178" t="e">
        <f t="shared" ca="1" si="937"/>
        <v>#NAME?</v>
      </c>
      <c r="AL112" s="177" t="e">
        <f t="shared" ref="AL112:BQ112" ca="1" si="938">+SUM(AI22:AL22)</f>
        <v>#NAME?</v>
      </c>
      <c r="AM112" s="177" t="e">
        <f t="shared" ca="1" si="938"/>
        <v>#NAME?</v>
      </c>
      <c r="AN112" s="177" t="e">
        <f t="shared" ca="1" si="938"/>
        <v>#NAME?</v>
      </c>
      <c r="AO112" s="177" t="e">
        <f t="shared" ca="1" si="938"/>
        <v>#NAME?</v>
      </c>
      <c r="AP112" s="177" t="e">
        <f t="shared" ca="1" si="938"/>
        <v>#NAME?</v>
      </c>
      <c r="AQ112" s="177" t="e">
        <f t="shared" ca="1" si="938"/>
        <v>#NAME?</v>
      </c>
      <c r="AR112" s="177" t="e">
        <f t="shared" ca="1" si="938"/>
        <v>#NAME?</v>
      </c>
      <c r="AS112" s="177" t="e">
        <f t="shared" ca="1" si="938"/>
        <v>#NAME?</v>
      </c>
      <c r="AT112" s="177" t="e">
        <f t="shared" ca="1" si="938"/>
        <v>#NAME?</v>
      </c>
      <c r="AU112" s="177" t="e">
        <f t="shared" ca="1" si="938"/>
        <v>#NAME?</v>
      </c>
      <c r="AV112" s="177" t="e">
        <f t="shared" ca="1" si="938"/>
        <v>#NAME?</v>
      </c>
      <c r="AW112" s="177" t="e">
        <f t="shared" ca="1" si="938"/>
        <v>#NAME?</v>
      </c>
      <c r="AX112" s="177" t="e">
        <f t="shared" ca="1" si="938"/>
        <v>#NAME?</v>
      </c>
      <c r="AY112" s="177" t="e">
        <f t="shared" ca="1" si="938"/>
        <v>#NAME?</v>
      </c>
      <c r="AZ112" s="177" t="e">
        <f t="shared" ca="1" si="938"/>
        <v>#NAME?</v>
      </c>
      <c r="BA112" s="177" t="e">
        <f t="shared" ca="1" si="938"/>
        <v>#NAME?</v>
      </c>
      <c r="BB112" s="177" t="e">
        <f t="shared" ca="1" si="938"/>
        <v>#NAME?</v>
      </c>
      <c r="BC112" s="177" t="e">
        <f t="shared" ca="1" si="938"/>
        <v>#NAME?</v>
      </c>
      <c r="BD112" s="177" t="e">
        <f t="shared" ca="1" si="938"/>
        <v>#NAME?</v>
      </c>
      <c r="BE112" s="177" t="e">
        <f t="shared" ca="1" si="938"/>
        <v>#NAME?</v>
      </c>
      <c r="BF112" s="177" t="e">
        <f t="shared" ca="1" si="938"/>
        <v>#NAME?</v>
      </c>
      <c r="BG112" s="177" t="e">
        <f t="shared" ca="1" si="938"/>
        <v>#NAME?</v>
      </c>
      <c r="BH112" s="177" t="e">
        <f t="shared" ca="1" si="938"/>
        <v>#NAME?</v>
      </c>
      <c r="BI112" s="177" t="e">
        <f t="shared" ca="1" si="938"/>
        <v>#NAME?</v>
      </c>
      <c r="BJ112" s="177" t="e">
        <f t="shared" ca="1" si="938"/>
        <v>#NAME?</v>
      </c>
      <c r="BK112" s="177" t="e">
        <f t="shared" ca="1" si="938"/>
        <v>#NAME?</v>
      </c>
      <c r="BL112" s="177" t="e">
        <f t="shared" ca="1" si="938"/>
        <v>#NAME?</v>
      </c>
      <c r="BM112" s="177" t="e">
        <f t="shared" ca="1" si="938"/>
        <v>#NAME?</v>
      </c>
      <c r="BN112" s="177" t="e">
        <f t="shared" ca="1" si="938"/>
        <v>#NAME?</v>
      </c>
      <c r="BO112" s="177" t="e">
        <f t="shared" ca="1" si="938"/>
        <v>#NAME?</v>
      </c>
      <c r="BP112" s="177" t="e">
        <f t="shared" ca="1" si="938"/>
        <v>#NAME?</v>
      </c>
      <c r="BQ112" s="177" t="e">
        <f t="shared" ca="1" si="938"/>
        <v>#NAME?</v>
      </c>
      <c r="BR112" s="177" t="e">
        <f t="shared" ref="BR112:CW112" ca="1" si="939">+SUM(BO22:BR22)</f>
        <v>#NAME?</v>
      </c>
      <c r="BS112" s="177" t="e">
        <f t="shared" ca="1" si="939"/>
        <v>#NAME?</v>
      </c>
      <c r="BT112" s="177" t="e">
        <f t="shared" ca="1" si="939"/>
        <v>#NAME?</v>
      </c>
      <c r="BU112" s="177" t="e">
        <f t="shared" ca="1" si="939"/>
        <v>#NAME?</v>
      </c>
      <c r="BV112" s="177" t="e">
        <f t="shared" ca="1" si="939"/>
        <v>#NAME?</v>
      </c>
      <c r="BW112" s="177" t="e">
        <f t="shared" ca="1" si="939"/>
        <v>#NAME?</v>
      </c>
      <c r="BX112" s="177" t="e">
        <f t="shared" ca="1" si="939"/>
        <v>#NAME?</v>
      </c>
      <c r="BY112" s="177" t="e">
        <f t="shared" ca="1" si="939"/>
        <v>#NAME?</v>
      </c>
      <c r="BZ112" s="177" t="e">
        <f t="shared" ca="1" si="939"/>
        <v>#NAME?</v>
      </c>
      <c r="CA112" s="177" t="e">
        <f t="shared" ca="1" si="939"/>
        <v>#NAME?</v>
      </c>
      <c r="CB112" s="177" t="e">
        <f t="shared" ca="1" si="939"/>
        <v>#NAME?</v>
      </c>
      <c r="CC112" s="177" t="e">
        <f t="shared" ca="1" si="939"/>
        <v>#NAME?</v>
      </c>
      <c r="CD112" s="177" t="e">
        <f t="shared" ca="1" si="939"/>
        <v>#NAME?</v>
      </c>
      <c r="CE112" s="177" t="e">
        <f t="shared" ca="1" si="939"/>
        <v>#NAME?</v>
      </c>
      <c r="CF112" s="177" t="e">
        <f t="shared" ca="1" si="939"/>
        <v>#NAME?</v>
      </c>
      <c r="CG112" s="177" t="e">
        <f t="shared" ca="1" si="939"/>
        <v>#NAME?</v>
      </c>
      <c r="CH112" s="177" t="e">
        <f t="shared" ca="1" si="939"/>
        <v>#NAME?</v>
      </c>
      <c r="CI112" s="177" t="e">
        <f t="shared" ca="1" si="939"/>
        <v>#NAME?</v>
      </c>
      <c r="CJ112" s="177" t="e">
        <f t="shared" ca="1" si="939"/>
        <v>#NAME?</v>
      </c>
      <c r="CK112" s="177" t="e">
        <f t="shared" ca="1" si="939"/>
        <v>#NAME?</v>
      </c>
      <c r="CL112" s="177" t="e">
        <f t="shared" ca="1" si="939"/>
        <v>#NAME?</v>
      </c>
      <c r="CM112" s="178" t="e">
        <f t="shared" ca="1" si="939"/>
        <v>#NAME?</v>
      </c>
      <c r="CN112" s="178" t="e">
        <f t="shared" ca="1" si="939"/>
        <v>#NAME?</v>
      </c>
      <c r="CO112" s="178" t="e">
        <f t="shared" ca="1" si="939"/>
        <v>#NAME?</v>
      </c>
      <c r="CP112" s="178" t="e">
        <f t="shared" ca="1" si="939"/>
        <v>#NAME?</v>
      </c>
      <c r="CQ112" s="178" t="e">
        <f t="shared" ca="1" si="939"/>
        <v>#NAME?</v>
      </c>
      <c r="CR112" s="178" t="e">
        <f t="shared" ca="1" si="939"/>
        <v>#NAME?</v>
      </c>
      <c r="CS112" s="178" t="e">
        <f t="shared" ca="1" si="939"/>
        <v>#NAME?</v>
      </c>
      <c r="CT112" s="178" t="e">
        <f t="shared" ca="1" si="939"/>
        <v>#NAME?</v>
      </c>
      <c r="CU112" s="178" t="e">
        <f t="shared" ca="1" si="939"/>
        <v>#NAME?</v>
      </c>
      <c r="CV112" s="178" t="e">
        <f t="shared" ca="1" si="939"/>
        <v>#NAME?</v>
      </c>
      <c r="CW112" s="178" t="e">
        <f t="shared" ca="1" si="939"/>
        <v>#NAME?</v>
      </c>
      <c r="CX112" s="178" t="e">
        <f t="shared" ref="CX112:DB112" ca="1" si="940">+SUM(CU22:CX22)</f>
        <v>#NAME?</v>
      </c>
      <c r="CY112" s="178" t="e">
        <f t="shared" ca="1" si="940"/>
        <v>#NAME?</v>
      </c>
      <c r="CZ112" s="178" t="e">
        <f t="shared" ca="1" si="940"/>
        <v>#NAME?</v>
      </c>
      <c r="DA112" s="178" t="e">
        <f t="shared" ca="1" si="940"/>
        <v>#NAME?</v>
      </c>
      <c r="DB112" s="178" t="e">
        <f t="shared" ca="1" si="940"/>
        <v>#NAME?</v>
      </c>
      <c r="DE112" s="179"/>
      <c r="DF112" s="177">
        <v>932.15700000000004</v>
      </c>
    </row>
    <row r="113" spans="1:110" s="163" customFormat="1" x14ac:dyDescent="0.2">
      <c r="A113" s="163" t="s">
        <v>511</v>
      </c>
      <c r="E113" s="163">
        <f t="shared" ref="E113:AE113" ca="1" si="941">+E112/E79</f>
        <v>0</v>
      </c>
      <c r="F113" s="163">
        <f t="shared" ca="1" si="941"/>
        <v>0</v>
      </c>
      <c r="G113" s="163">
        <f t="shared" ca="1" si="941"/>
        <v>0</v>
      </c>
      <c r="H113" s="163">
        <f t="shared" ca="1" si="941"/>
        <v>0</v>
      </c>
      <c r="I113" s="163">
        <f t="shared" ca="1" si="941"/>
        <v>16.218202722953798</v>
      </c>
      <c r="J113" s="163">
        <f t="shared" ca="1" si="941"/>
        <v>18.409527309249754</v>
      </c>
      <c r="K113" s="163">
        <f t="shared" ca="1" si="941"/>
        <v>28.733321987692502</v>
      </c>
      <c r="L113" s="163">
        <f t="shared" ca="1" si="941"/>
        <v>22.782626024296142</v>
      </c>
      <c r="M113" s="163">
        <f t="shared" ca="1" si="941"/>
        <v>16.727274176577499</v>
      </c>
      <c r="N113" s="163">
        <f t="shared" ca="1" si="941"/>
        <v>15.884290405892294</v>
      </c>
      <c r="O113" s="163">
        <f t="shared" ca="1" si="941"/>
        <v>16.312167203392534</v>
      </c>
      <c r="P113" s="163">
        <f t="shared" ca="1" si="941"/>
        <v>21.955983164875811</v>
      </c>
      <c r="Q113" s="163">
        <f t="shared" ca="1" si="941"/>
        <v>23.44810764276377</v>
      </c>
      <c r="R113" s="163">
        <f t="shared" ca="1" si="941"/>
        <v>23.929757995089755</v>
      </c>
      <c r="S113" s="163">
        <f t="shared" ca="1" si="941"/>
        <v>34.704715747855751</v>
      </c>
      <c r="T113" s="163">
        <f t="shared" ca="1" si="941"/>
        <v>31.743423779612922</v>
      </c>
      <c r="U113" s="163">
        <f t="shared" ca="1" si="941"/>
        <v>39.146223256703763</v>
      </c>
      <c r="V113" s="163">
        <f t="shared" ca="1" si="941"/>
        <v>48.242291872588723</v>
      </c>
      <c r="W113" s="163">
        <f t="shared" ca="1" si="941"/>
        <v>67.494340464879002</v>
      </c>
      <c r="X113" s="163">
        <f t="shared" ca="1" si="941"/>
        <v>74.582469789242111</v>
      </c>
      <c r="Y113" s="163">
        <f t="shared" ca="1" si="941"/>
        <v>108.69304594585978</v>
      </c>
      <c r="Z113" s="163">
        <f t="shared" ref="Z113:AA113" ca="1" si="942">+Z112/Z79</f>
        <v>134.8241558524376</v>
      </c>
      <c r="AA113" s="163">
        <f t="shared" ca="1" si="942"/>
        <v>134.8241558524376</v>
      </c>
      <c r="AB113" s="94">
        <f t="shared" ca="1" si="941"/>
        <v>182.05044869346474</v>
      </c>
      <c r="AC113" s="94">
        <f t="shared" ca="1" si="941"/>
        <v>223.03079428920495</v>
      </c>
      <c r="AD113" s="94">
        <f t="shared" ca="1" si="941"/>
        <v>273.3246165878403</v>
      </c>
      <c r="AE113" s="94">
        <f t="shared" ca="1" si="941"/>
        <v>334.99382433782966</v>
      </c>
      <c r="AL113" s="163" t="e">
        <f t="shared" ref="AL113:BQ113" ca="1" si="943">+AL112/AL79</f>
        <v>#NAME?</v>
      </c>
      <c r="AM113" s="163" t="e">
        <f t="shared" ca="1" si="943"/>
        <v>#NAME?</v>
      </c>
      <c r="AN113" s="163" t="e">
        <f t="shared" ca="1" si="943"/>
        <v>#NAME?</v>
      </c>
      <c r="AO113" s="163" t="e">
        <f t="shared" ca="1" si="943"/>
        <v>#NAME?</v>
      </c>
      <c r="AP113" s="163" t="e">
        <f t="shared" ca="1" si="943"/>
        <v>#NAME?</v>
      </c>
      <c r="AQ113" s="163" t="e">
        <f t="shared" ca="1" si="943"/>
        <v>#NAME?</v>
      </c>
      <c r="AR113" s="163" t="e">
        <f t="shared" ca="1" si="943"/>
        <v>#NAME?</v>
      </c>
      <c r="AS113" s="163" t="e">
        <f t="shared" ca="1" si="943"/>
        <v>#NAME?</v>
      </c>
      <c r="AT113" s="163" t="e">
        <f t="shared" ca="1" si="943"/>
        <v>#NAME?</v>
      </c>
      <c r="AU113" s="163" t="e">
        <f t="shared" ca="1" si="943"/>
        <v>#NAME?</v>
      </c>
      <c r="AV113" s="163" t="e">
        <f t="shared" ca="1" si="943"/>
        <v>#NAME?</v>
      </c>
      <c r="AW113" s="163" t="e">
        <f t="shared" ca="1" si="943"/>
        <v>#NAME?</v>
      </c>
      <c r="AX113" s="163" t="e">
        <f t="shared" ca="1" si="943"/>
        <v>#NAME?</v>
      </c>
      <c r="AY113" s="163" t="e">
        <f t="shared" ca="1" si="943"/>
        <v>#NAME?</v>
      </c>
      <c r="AZ113" s="163" t="e">
        <f t="shared" ca="1" si="943"/>
        <v>#NAME?</v>
      </c>
      <c r="BA113" s="163" t="e">
        <f t="shared" ca="1" si="943"/>
        <v>#NAME?</v>
      </c>
      <c r="BB113" s="163" t="e">
        <f t="shared" ca="1" si="943"/>
        <v>#NAME?</v>
      </c>
      <c r="BC113" s="163" t="e">
        <f t="shared" ca="1" si="943"/>
        <v>#NAME?</v>
      </c>
      <c r="BD113" s="163" t="e">
        <f t="shared" ca="1" si="943"/>
        <v>#NAME?</v>
      </c>
      <c r="BE113" s="163" t="e">
        <f t="shared" ca="1" si="943"/>
        <v>#NAME?</v>
      </c>
      <c r="BF113" s="163" t="e">
        <f t="shared" ca="1" si="943"/>
        <v>#NAME?</v>
      </c>
      <c r="BG113" s="163" t="e">
        <f t="shared" ca="1" si="943"/>
        <v>#NAME?</v>
      </c>
      <c r="BH113" s="163" t="e">
        <f t="shared" ca="1" si="943"/>
        <v>#NAME?</v>
      </c>
      <c r="BI113" s="163" t="e">
        <f t="shared" ca="1" si="943"/>
        <v>#NAME?</v>
      </c>
      <c r="BJ113" s="163" t="e">
        <f t="shared" ca="1" si="943"/>
        <v>#NAME?</v>
      </c>
      <c r="BK113" s="163" t="e">
        <f t="shared" ca="1" si="943"/>
        <v>#NAME?</v>
      </c>
      <c r="BL113" s="163" t="e">
        <f t="shared" ca="1" si="943"/>
        <v>#NAME?</v>
      </c>
      <c r="BM113" s="163" t="e">
        <f t="shared" ca="1" si="943"/>
        <v>#NAME?</v>
      </c>
      <c r="BN113" s="163" t="e">
        <f t="shared" ca="1" si="943"/>
        <v>#NAME?</v>
      </c>
      <c r="BO113" s="163" t="e">
        <f t="shared" ca="1" si="943"/>
        <v>#NAME?</v>
      </c>
      <c r="BP113" s="163" t="e">
        <f t="shared" ca="1" si="943"/>
        <v>#NAME?</v>
      </c>
      <c r="BQ113" s="163" t="e">
        <f t="shared" ca="1" si="943"/>
        <v>#NAME?</v>
      </c>
      <c r="BR113" s="163" t="e">
        <f t="shared" ref="BR113:CW113" ca="1" si="944">+BR112/BR79</f>
        <v>#NAME?</v>
      </c>
      <c r="BS113" s="163" t="e">
        <f t="shared" ca="1" si="944"/>
        <v>#NAME?</v>
      </c>
      <c r="BT113" s="163" t="e">
        <f t="shared" ca="1" si="944"/>
        <v>#NAME?</v>
      </c>
      <c r="BU113" s="163" t="e">
        <f t="shared" ca="1" si="944"/>
        <v>#NAME?</v>
      </c>
      <c r="BV113" s="163" t="e">
        <f t="shared" ca="1" si="944"/>
        <v>#NAME?</v>
      </c>
      <c r="BW113" s="163" t="e">
        <f t="shared" ca="1" si="944"/>
        <v>#NAME?</v>
      </c>
      <c r="BX113" s="163" t="e">
        <f t="shared" ca="1" si="944"/>
        <v>#NAME?</v>
      </c>
      <c r="BY113" s="163" t="e">
        <f t="shared" ca="1" si="944"/>
        <v>#NAME?</v>
      </c>
      <c r="BZ113" s="163" t="e">
        <f t="shared" ca="1" si="944"/>
        <v>#NAME?</v>
      </c>
      <c r="CA113" s="163" t="e">
        <f t="shared" ca="1" si="944"/>
        <v>#NAME?</v>
      </c>
      <c r="CB113" s="163" t="e">
        <f t="shared" ca="1" si="944"/>
        <v>#NAME?</v>
      </c>
      <c r="CC113" s="163" t="e">
        <f t="shared" ca="1" si="944"/>
        <v>#NAME?</v>
      </c>
      <c r="CD113" s="163" t="e">
        <f t="shared" ca="1" si="944"/>
        <v>#NAME?</v>
      </c>
      <c r="CE113" s="163" t="e">
        <f t="shared" ca="1" si="944"/>
        <v>#NAME?</v>
      </c>
      <c r="CF113" s="163" t="e">
        <f t="shared" ca="1" si="944"/>
        <v>#NAME?</v>
      </c>
      <c r="CG113" s="163" t="e">
        <f t="shared" ca="1" si="944"/>
        <v>#NAME?</v>
      </c>
      <c r="CH113" s="163" t="e">
        <f t="shared" ca="1" si="944"/>
        <v>#NAME?</v>
      </c>
      <c r="CI113" s="163" t="e">
        <f t="shared" ca="1" si="944"/>
        <v>#NAME?</v>
      </c>
      <c r="CJ113" s="163" t="e">
        <f t="shared" ca="1" si="944"/>
        <v>#NAME?</v>
      </c>
      <c r="CK113" s="163" t="e">
        <f t="shared" ref="CK113:CL113" ca="1" si="945">+CK112/CK79</f>
        <v>#NAME?</v>
      </c>
      <c r="CL113" s="163" t="e">
        <f t="shared" ca="1" si="945"/>
        <v>#NAME?</v>
      </c>
      <c r="CM113" s="50" t="e">
        <f t="shared" ca="1" si="944"/>
        <v>#NAME?</v>
      </c>
      <c r="CN113" s="50" t="e">
        <f t="shared" ca="1" si="944"/>
        <v>#NAME?</v>
      </c>
      <c r="CO113" s="50" t="e">
        <f t="shared" ca="1" si="944"/>
        <v>#NAME?</v>
      </c>
      <c r="CP113" s="50" t="e">
        <f t="shared" ca="1" si="944"/>
        <v>#NAME?</v>
      </c>
      <c r="CQ113" s="50" t="e">
        <f t="shared" ca="1" si="944"/>
        <v>#NAME?</v>
      </c>
      <c r="CR113" s="50" t="e">
        <f t="shared" ca="1" si="944"/>
        <v>#NAME?</v>
      </c>
      <c r="CS113" s="50" t="e">
        <f t="shared" ca="1" si="944"/>
        <v>#NAME?</v>
      </c>
      <c r="CT113" s="50" t="e">
        <f t="shared" ca="1" si="944"/>
        <v>#NAME?</v>
      </c>
      <c r="CU113" s="50" t="e">
        <f t="shared" ca="1" si="944"/>
        <v>#NAME?</v>
      </c>
      <c r="CV113" s="50" t="e">
        <f t="shared" ca="1" si="944"/>
        <v>#NAME?</v>
      </c>
      <c r="CW113" s="50" t="e">
        <f t="shared" ca="1" si="944"/>
        <v>#NAME?</v>
      </c>
      <c r="CX113" s="50" t="e">
        <f t="shared" ref="CX113:DB113" ca="1" si="946">+CX112/CX79</f>
        <v>#NAME?</v>
      </c>
      <c r="CY113" s="50" t="e">
        <f t="shared" ca="1" si="946"/>
        <v>#NAME?</v>
      </c>
      <c r="CZ113" s="50" t="e">
        <f t="shared" ca="1" si="946"/>
        <v>#NAME?</v>
      </c>
      <c r="DA113" s="50" t="e">
        <f t="shared" ca="1" si="946"/>
        <v>#NAME?</v>
      </c>
      <c r="DB113" s="50" t="e">
        <f t="shared" ca="1" si="946"/>
        <v>#NAME?</v>
      </c>
      <c r="DE113" s="164"/>
      <c r="DF113" s="163">
        <v>148.6077543602334</v>
      </c>
    </row>
    <row r="114" spans="1:110" s="163" customFormat="1" x14ac:dyDescent="0.2">
      <c r="AB114" s="94"/>
      <c r="AC114" s="94"/>
      <c r="AD114" s="94"/>
      <c r="AE114" s="94"/>
      <c r="CM114" s="94"/>
      <c r="CN114" s="94"/>
      <c r="CO114" s="94"/>
      <c r="CP114" s="94"/>
      <c r="CQ114" s="94"/>
      <c r="CR114" s="94"/>
      <c r="CS114" s="94"/>
      <c r="CT114" s="94"/>
      <c r="CU114" s="94"/>
      <c r="CV114" s="94"/>
      <c r="CW114" s="94"/>
      <c r="CX114" s="94"/>
      <c r="CY114" s="94"/>
      <c r="CZ114" s="94"/>
      <c r="DA114" s="94"/>
      <c r="DB114" s="94"/>
      <c r="DE114" s="164"/>
    </row>
    <row r="115" spans="1:110" s="163" customFormat="1" x14ac:dyDescent="0.2">
      <c r="A115" s="163" t="s">
        <v>506</v>
      </c>
      <c r="AB115" s="94"/>
      <c r="AC115" s="94"/>
      <c r="AD115" s="94"/>
      <c r="AE115" s="94"/>
      <c r="CM115" s="94"/>
      <c r="CN115" s="94"/>
      <c r="CO115" s="94"/>
      <c r="CP115" s="94"/>
      <c r="CQ115" s="94"/>
      <c r="CR115" s="94"/>
      <c r="CS115" s="94"/>
      <c r="CT115" s="94"/>
      <c r="CU115" s="94"/>
      <c r="CV115" s="94"/>
      <c r="CW115" s="94"/>
      <c r="CX115" s="94"/>
      <c r="CY115" s="94"/>
      <c r="CZ115" s="94"/>
      <c r="DA115" s="94"/>
      <c r="DB115" s="94"/>
      <c r="DE115" s="164"/>
    </row>
    <row r="116" spans="1:110" s="163" customFormat="1" x14ac:dyDescent="0.2">
      <c r="A116" s="163" t="s">
        <v>507</v>
      </c>
      <c r="E116" s="163" t="e">
        <f t="shared" ref="E116:AE118" ca="1" si="947">+E91/E$113</f>
        <v>#DIV/0!</v>
      </c>
      <c r="F116" s="163" t="e">
        <f t="shared" ca="1" si="947"/>
        <v>#DIV/0!</v>
      </c>
      <c r="G116" s="163" t="e">
        <f t="shared" ca="1" si="947"/>
        <v>#DIV/0!</v>
      </c>
      <c r="H116" s="163" t="e">
        <f t="shared" ca="1" si="947"/>
        <v>#DIV/0!</v>
      </c>
      <c r="I116" s="163">
        <f t="shared" ca="1" si="947"/>
        <v>0</v>
      </c>
      <c r="J116" s="163">
        <f t="shared" ca="1" si="947"/>
        <v>0</v>
      </c>
      <c r="K116" s="163">
        <f t="shared" ca="1" si="947"/>
        <v>0</v>
      </c>
      <c r="L116" s="163">
        <f t="shared" ca="1" si="947"/>
        <v>0</v>
      </c>
      <c r="M116" s="163">
        <f t="shared" ca="1" si="947"/>
        <v>0</v>
      </c>
      <c r="N116" s="163">
        <f t="shared" ca="1" si="947"/>
        <v>0</v>
      </c>
      <c r="O116" s="163">
        <f t="shared" ca="1" si="947"/>
        <v>0</v>
      </c>
      <c r="P116" s="163">
        <f t="shared" ca="1" si="947"/>
        <v>0</v>
      </c>
      <c r="Q116" s="163">
        <f t="shared" ca="1" si="947"/>
        <v>0</v>
      </c>
      <c r="R116" s="163">
        <f t="shared" ca="1" si="947"/>
        <v>0</v>
      </c>
      <c r="S116" s="163">
        <f t="shared" ca="1" si="947"/>
        <v>0</v>
      </c>
      <c r="T116" s="163">
        <f t="shared" ca="1" si="947"/>
        <v>0</v>
      </c>
      <c r="U116" s="163">
        <f t="shared" ca="1" si="947"/>
        <v>0</v>
      </c>
      <c r="V116" s="163">
        <f t="shared" ca="1" si="947"/>
        <v>0</v>
      </c>
      <c r="W116" s="163">
        <f t="shared" ca="1" si="947"/>
        <v>0</v>
      </c>
      <c r="X116" s="163">
        <f t="shared" ca="1" si="947"/>
        <v>0</v>
      </c>
      <c r="Y116" s="163">
        <f t="shared" ca="1" si="947"/>
        <v>0</v>
      </c>
      <c r="Z116" s="163">
        <f ca="1">+Z91/Z$113</f>
        <v>0</v>
      </c>
      <c r="AA116" s="163">
        <f ca="1">+AA91/AA$113</f>
        <v>0</v>
      </c>
      <c r="AB116" s="50">
        <f t="shared" ref="AA116:AE116" ca="1" si="948">+AB91/AB$113</f>
        <v>3.1584651624131999</v>
      </c>
      <c r="AC116" s="50">
        <f t="shared" ca="1" si="948"/>
        <v>2.5781193212915485</v>
      </c>
      <c r="AD116" s="50">
        <f t="shared" ca="1" si="948"/>
        <v>2.1037256255153589</v>
      </c>
      <c r="AE116" s="50">
        <f t="shared" ca="1" si="948"/>
        <v>1.7164495528733461</v>
      </c>
      <c r="AL116" s="163" t="e">
        <f t="shared" ref="AL116:BQ116" ca="1" si="949">+AL91/AL113</f>
        <v>#NAME?</v>
      </c>
      <c r="AM116" s="163" t="e">
        <f t="shared" ca="1" si="949"/>
        <v>#NAME?</v>
      </c>
      <c r="AN116" s="163" t="e">
        <f t="shared" ca="1" si="949"/>
        <v>#NAME?</v>
      </c>
      <c r="AO116" s="163" t="e">
        <f t="shared" ca="1" si="949"/>
        <v>#NAME?</v>
      </c>
      <c r="AP116" s="163" t="e">
        <f t="shared" ca="1" si="949"/>
        <v>#NAME?</v>
      </c>
      <c r="AQ116" s="163" t="e">
        <f t="shared" ca="1" si="949"/>
        <v>#NAME?</v>
      </c>
      <c r="AR116" s="163" t="e">
        <f t="shared" ca="1" si="949"/>
        <v>#NAME?</v>
      </c>
      <c r="AS116" s="163" t="e">
        <f t="shared" ca="1" si="949"/>
        <v>#NAME?</v>
      </c>
      <c r="AT116" s="163" t="e">
        <f t="shared" ca="1" si="949"/>
        <v>#NAME?</v>
      </c>
      <c r="AU116" s="163" t="e">
        <f t="shared" ca="1" si="949"/>
        <v>#NAME?</v>
      </c>
      <c r="AV116" s="163" t="e">
        <f t="shared" ca="1" si="949"/>
        <v>#NAME?</v>
      </c>
      <c r="AW116" s="163" t="e">
        <f t="shared" ca="1" si="949"/>
        <v>#NAME?</v>
      </c>
      <c r="AX116" s="163" t="e">
        <f t="shared" ca="1" si="949"/>
        <v>#NAME?</v>
      </c>
      <c r="AY116" s="163" t="e">
        <f t="shared" ca="1" si="949"/>
        <v>#NAME?</v>
      </c>
      <c r="AZ116" s="163" t="e">
        <f t="shared" ca="1" si="949"/>
        <v>#NAME?</v>
      </c>
      <c r="BA116" s="163" t="e">
        <f t="shared" ca="1" si="949"/>
        <v>#NAME?</v>
      </c>
      <c r="BB116" s="163" t="e">
        <f t="shared" ca="1" si="949"/>
        <v>#NAME?</v>
      </c>
      <c r="BC116" s="163" t="e">
        <f t="shared" ca="1" si="949"/>
        <v>#NAME?</v>
      </c>
      <c r="BD116" s="163" t="e">
        <f t="shared" ca="1" si="949"/>
        <v>#NAME?</v>
      </c>
      <c r="BE116" s="163" t="e">
        <f t="shared" ca="1" si="949"/>
        <v>#NAME?</v>
      </c>
      <c r="BF116" s="163" t="e">
        <f t="shared" ca="1" si="949"/>
        <v>#NAME?</v>
      </c>
      <c r="BG116" s="163" t="e">
        <f t="shared" ca="1" si="949"/>
        <v>#NAME?</v>
      </c>
      <c r="BH116" s="163" t="e">
        <f t="shared" ca="1" si="949"/>
        <v>#NAME?</v>
      </c>
      <c r="BI116" s="163" t="e">
        <f t="shared" ca="1" si="949"/>
        <v>#NAME?</v>
      </c>
      <c r="BJ116" s="163" t="e">
        <f t="shared" ca="1" si="949"/>
        <v>#NAME?</v>
      </c>
      <c r="BK116" s="163" t="e">
        <f t="shared" ca="1" si="949"/>
        <v>#NAME?</v>
      </c>
      <c r="BL116" s="163" t="e">
        <f t="shared" ca="1" si="949"/>
        <v>#NAME?</v>
      </c>
      <c r="BM116" s="163" t="e">
        <f t="shared" ca="1" si="949"/>
        <v>#NAME?</v>
      </c>
      <c r="BN116" s="163" t="e">
        <f t="shared" ca="1" si="949"/>
        <v>#NAME?</v>
      </c>
      <c r="BO116" s="163" t="e">
        <f t="shared" ca="1" si="949"/>
        <v>#NAME?</v>
      </c>
      <c r="BP116" s="163" t="e">
        <f t="shared" ca="1" si="949"/>
        <v>#NAME?</v>
      </c>
      <c r="BQ116" s="163" t="e">
        <f t="shared" ca="1" si="949"/>
        <v>#NAME?</v>
      </c>
      <c r="BR116" s="163" t="e">
        <f t="shared" ref="BR116:DB116" ca="1" si="950">+BR91/BR113</f>
        <v>#NAME?</v>
      </c>
      <c r="BS116" s="163" t="e">
        <f t="shared" ca="1" si="950"/>
        <v>#NAME?</v>
      </c>
      <c r="BT116" s="163" t="e">
        <f t="shared" ca="1" si="950"/>
        <v>#NAME?</v>
      </c>
      <c r="BU116" s="163" t="e">
        <f t="shared" ca="1" si="950"/>
        <v>#NAME?</v>
      </c>
      <c r="BV116" s="163" t="e">
        <f t="shared" ca="1" si="950"/>
        <v>#NAME?</v>
      </c>
      <c r="BW116" s="163" t="e">
        <f t="shared" ca="1" si="950"/>
        <v>#NAME?</v>
      </c>
      <c r="BX116" s="163" t="e">
        <f t="shared" ca="1" si="950"/>
        <v>#NAME?</v>
      </c>
      <c r="BY116" s="163" t="e">
        <f t="shared" ca="1" si="950"/>
        <v>#NAME?</v>
      </c>
      <c r="BZ116" s="163" t="e">
        <f t="shared" ca="1" si="950"/>
        <v>#NAME?</v>
      </c>
      <c r="CA116" s="163" t="e">
        <f t="shared" ca="1" si="950"/>
        <v>#NAME?</v>
      </c>
      <c r="CB116" s="163" t="e">
        <f t="shared" ca="1" si="950"/>
        <v>#NAME?</v>
      </c>
      <c r="CC116" s="163" t="e">
        <f t="shared" ca="1" si="950"/>
        <v>#NAME?</v>
      </c>
      <c r="CD116" s="163" t="e">
        <f t="shared" ca="1" si="950"/>
        <v>#NAME?</v>
      </c>
      <c r="CE116" s="163" t="e">
        <f t="shared" ca="1" si="950"/>
        <v>#NAME?</v>
      </c>
      <c r="CF116" s="163" t="e">
        <f t="shared" ca="1" si="950"/>
        <v>#NAME?</v>
      </c>
      <c r="CG116" s="163" t="e">
        <f t="shared" ca="1" si="950"/>
        <v>#NAME?</v>
      </c>
      <c r="CH116" s="163" t="e">
        <f t="shared" ca="1" si="950"/>
        <v>#NAME?</v>
      </c>
      <c r="CI116" s="163" t="e">
        <f t="shared" ca="1" si="950"/>
        <v>#NAME?</v>
      </c>
      <c r="CJ116" s="163" t="e">
        <f t="shared" ca="1" si="950"/>
        <v>#NAME?</v>
      </c>
      <c r="CK116" s="163" t="e">
        <f t="shared" ref="CK116:CL116" ca="1" si="951">+CK91/CK113</f>
        <v>#NAME?</v>
      </c>
      <c r="CL116" s="163" t="e">
        <f t="shared" ca="1" si="951"/>
        <v>#NAME?</v>
      </c>
      <c r="CM116" s="50" t="e">
        <f t="shared" ca="1" si="950"/>
        <v>#NAME?</v>
      </c>
      <c r="CN116" s="50" t="e">
        <f t="shared" ca="1" si="950"/>
        <v>#NAME?</v>
      </c>
      <c r="CO116" s="50" t="e">
        <f t="shared" ca="1" si="950"/>
        <v>#NAME?</v>
      </c>
      <c r="CP116" s="50" t="e">
        <f t="shared" ca="1" si="950"/>
        <v>#NAME?</v>
      </c>
      <c r="CQ116" s="50" t="e">
        <f t="shared" ca="1" si="950"/>
        <v>#NAME?</v>
      </c>
      <c r="CR116" s="50" t="e">
        <f t="shared" ca="1" si="950"/>
        <v>#NAME?</v>
      </c>
      <c r="CS116" s="50" t="e">
        <f t="shared" ca="1" si="950"/>
        <v>#NAME?</v>
      </c>
      <c r="CT116" s="50" t="e">
        <f t="shared" ca="1" si="950"/>
        <v>#NAME?</v>
      </c>
      <c r="CU116" s="50" t="e">
        <f t="shared" ca="1" si="950"/>
        <v>#NAME?</v>
      </c>
      <c r="CV116" s="50" t="e">
        <f t="shared" ca="1" si="950"/>
        <v>#NAME?</v>
      </c>
      <c r="CW116" s="50" t="e">
        <f t="shared" ca="1" si="950"/>
        <v>#NAME?</v>
      </c>
      <c r="CX116" s="50" t="e">
        <f t="shared" ca="1" si="950"/>
        <v>#NAME?</v>
      </c>
      <c r="CY116" s="50" t="e">
        <f t="shared" ca="1" si="950"/>
        <v>#NAME?</v>
      </c>
      <c r="CZ116" s="50" t="e">
        <f t="shared" ca="1" si="950"/>
        <v>#NAME?</v>
      </c>
      <c r="DA116" s="50" t="e">
        <f t="shared" ca="1" si="950"/>
        <v>#NAME?</v>
      </c>
      <c r="DB116" s="50" t="e">
        <f t="shared" ca="1" si="950"/>
        <v>#NAME?</v>
      </c>
      <c r="DE116" s="106"/>
      <c r="DF116" s="163">
        <v>2.8107550766662697</v>
      </c>
    </row>
    <row r="117" spans="1:110" s="163" customFormat="1" x14ac:dyDescent="0.2">
      <c r="A117" s="163" t="s">
        <v>508</v>
      </c>
      <c r="E117" s="163" t="e">
        <f t="shared" ca="1" si="947"/>
        <v>#DIV/0!</v>
      </c>
      <c r="F117" s="163" t="e">
        <f t="shared" ca="1" si="947"/>
        <v>#DIV/0!</v>
      </c>
      <c r="G117" s="163" t="e">
        <f t="shared" ca="1" si="947"/>
        <v>#DIV/0!</v>
      </c>
      <c r="H117" s="163" t="e">
        <f t="shared" ca="1" si="947"/>
        <v>#DIV/0!</v>
      </c>
      <c r="I117" s="163">
        <f t="shared" ca="1" si="947"/>
        <v>0</v>
      </c>
      <c r="J117" s="163">
        <f t="shared" ca="1" si="947"/>
        <v>0</v>
      </c>
      <c r="K117" s="163">
        <f t="shared" ca="1" si="947"/>
        <v>0</v>
      </c>
      <c r="L117" s="163">
        <f t="shared" ca="1" si="947"/>
        <v>0</v>
      </c>
      <c r="M117" s="163">
        <f t="shared" ca="1" si="947"/>
        <v>0</v>
      </c>
      <c r="N117" s="163">
        <f t="shared" ca="1" si="947"/>
        <v>0</v>
      </c>
      <c r="O117" s="163">
        <f t="shared" ca="1" si="947"/>
        <v>0</v>
      </c>
      <c r="P117" s="163">
        <f t="shared" ca="1" si="947"/>
        <v>0</v>
      </c>
      <c r="Q117" s="163">
        <f t="shared" ca="1" si="947"/>
        <v>0</v>
      </c>
      <c r="R117" s="163">
        <f t="shared" ca="1" si="947"/>
        <v>0</v>
      </c>
      <c r="S117" s="163">
        <f t="shared" ca="1" si="947"/>
        <v>0</v>
      </c>
      <c r="T117" s="163">
        <f t="shared" ca="1" si="947"/>
        <v>0</v>
      </c>
      <c r="U117" s="163">
        <f t="shared" ca="1" si="947"/>
        <v>0</v>
      </c>
      <c r="V117" s="163">
        <f t="shared" ca="1" si="947"/>
        <v>0</v>
      </c>
      <c r="W117" s="163">
        <f t="shared" ca="1" si="947"/>
        <v>0</v>
      </c>
      <c r="X117" s="163">
        <f t="shared" ca="1" si="947"/>
        <v>0</v>
      </c>
      <c r="Y117" s="163">
        <f t="shared" ca="1" si="947"/>
        <v>0</v>
      </c>
      <c r="Z117" s="163">
        <f t="shared" ref="Z117:AA118" ca="1" si="952">+Z92/Z$113</f>
        <v>0</v>
      </c>
      <c r="AA117" s="163">
        <f t="shared" ca="1" si="952"/>
        <v>0</v>
      </c>
      <c r="AB117" s="94">
        <f t="shared" ca="1" si="947"/>
        <v>3.7330366925437022</v>
      </c>
      <c r="AC117" s="94">
        <f t="shared" ca="1" si="947"/>
        <v>4.0655830076425117</v>
      </c>
      <c r="AD117" s="94">
        <f t="shared" ca="1" si="947"/>
        <v>4.253598601002766</v>
      </c>
      <c r="AE117" s="94">
        <f t="shared" ca="1" si="947"/>
        <v>4.3651387869743701</v>
      </c>
      <c r="AL117" s="163" t="e">
        <f t="shared" ref="AL117:BQ117" ca="1" si="953">+AL92/AL113</f>
        <v>#NAME?</v>
      </c>
      <c r="AM117" s="163" t="e">
        <f t="shared" ca="1" si="953"/>
        <v>#NAME?</v>
      </c>
      <c r="AN117" s="163" t="e">
        <f t="shared" ca="1" si="953"/>
        <v>#NAME?</v>
      </c>
      <c r="AO117" s="163" t="e">
        <f t="shared" ca="1" si="953"/>
        <v>#NAME?</v>
      </c>
      <c r="AP117" s="163" t="e">
        <f t="shared" ca="1" si="953"/>
        <v>#NAME?</v>
      </c>
      <c r="AQ117" s="163" t="e">
        <f t="shared" ca="1" si="953"/>
        <v>#NAME?</v>
      </c>
      <c r="AR117" s="163" t="e">
        <f t="shared" ca="1" si="953"/>
        <v>#NAME?</v>
      </c>
      <c r="AS117" s="163" t="e">
        <f t="shared" ca="1" si="953"/>
        <v>#NAME?</v>
      </c>
      <c r="AT117" s="163" t="e">
        <f t="shared" ca="1" si="953"/>
        <v>#NAME?</v>
      </c>
      <c r="AU117" s="163" t="e">
        <f t="shared" ca="1" si="953"/>
        <v>#NAME?</v>
      </c>
      <c r="AV117" s="163" t="e">
        <f t="shared" ca="1" si="953"/>
        <v>#NAME?</v>
      </c>
      <c r="AW117" s="163" t="e">
        <f t="shared" ca="1" si="953"/>
        <v>#NAME?</v>
      </c>
      <c r="AX117" s="163" t="e">
        <f t="shared" ca="1" si="953"/>
        <v>#NAME?</v>
      </c>
      <c r="AY117" s="163" t="e">
        <f t="shared" ca="1" si="953"/>
        <v>#NAME?</v>
      </c>
      <c r="AZ117" s="163" t="e">
        <f t="shared" ca="1" si="953"/>
        <v>#NAME?</v>
      </c>
      <c r="BA117" s="163" t="e">
        <f t="shared" ca="1" si="953"/>
        <v>#NAME?</v>
      </c>
      <c r="BB117" s="163" t="e">
        <f t="shared" ca="1" si="953"/>
        <v>#NAME?</v>
      </c>
      <c r="BC117" s="163" t="e">
        <f t="shared" ca="1" si="953"/>
        <v>#NAME?</v>
      </c>
      <c r="BD117" s="163" t="e">
        <f t="shared" ca="1" si="953"/>
        <v>#NAME?</v>
      </c>
      <c r="BE117" s="163" t="e">
        <f t="shared" ca="1" si="953"/>
        <v>#NAME?</v>
      </c>
      <c r="BF117" s="163" t="e">
        <f t="shared" ca="1" si="953"/>
        <v>#NAME?</v>
      </c>
      <c r="BG117" s="163" t="e">
        <f t="shared" ca="1" si="953"/>
        <v>#NAME?</v>
      </c>
      <c r="BH117" s="163" t="e">
        <f t="shared" ca="1" si="953"/>
        <v>#NAME?</v>
      </c>
      <c r="BI117" s="163" t="e">
        <f t="shared" ca="1" si="953"/>
        <v>#NAME?</v>
      </c>
      <c r="BJ117" s="163" t="e">
        <f t="shared" ca="1" si="953"/>
        <v>#NAME?</v>
      </c>
      <c r="BK117" s="163" t="e">
        <f t="shared" ca="1" si="953"/>
        <v>#NAME?</v>
      </c>
      <c r="BL117" s="163" t="e">
        <f t="shared" ca="1" si="953"/>
        <v>#NAME?</v>
      </c>
      <c r="BM117" s="163" t="e">
        <f t="shared" ca="1" si="953"/>
        <v>#NAME?</v>
      </c>
      <c r="BN117" s="163" t="e">
        <f t="shared" ca="1" si="953"/>
        <v>#NAME?</v>
      </c>
      <c r="BO117" s="163" t="e">
        <f t="shared" ca="1" si="953"/>
        <v>#NAME?</v>
      </c>
      <c r="BP117" s="163" t="e">
        <f t="shared" ca="1" si="953"/>
        <v>#NAME?</v>
      </c>
      <c r="BQ117" s="163" t="e">
        <f t="shared" ca="1" si="953"/>
        <v>#NAME?</v>
      </c>
      <c r="BR117" s="163" t="e">
        <f t="shared" ref="BR117:CJ117" ca="1" si="954">+BR92/BR113</f>
        <v>#NAME?</v>
      </c>
      <c r="BS117" s="163" t="e">
        <f t="shared" ca="1" si="954"/>
        <v>#NAME?</v>
      </c>
      <c r="BT117" s="163" t="e">
        <f t="shared" ca="1" si="954"/>
        <v>#NAME?</v>
      </c>
      <c r="BU117" s="163" t="e">
        <f t="shared" ca="1" si="954"/>
        <v>#NAME?</v>
      </c>
      <c r="BV117" s="163" t="e">
        <f t="shared" ca="1" si="954"/>
        <v>#NAME?</v>
      </c>
      <c r="BW117" s="163" t="e">
        <f t="shared" ca="1" si="954"/>
        <v>#NAME?</v>
      </c>
      <c r="BX117" s="163" t="e">
        <f t="shared" ca="1" si="954"/>
        <v>#NAME?</v>
      </c>
      <c r="BY117" s="163" t="e">
        <f t="shared" ca="1" si="954"/>
        <v>#NAME?</v>
      </c>
      <c r="BZ117" s="163" t="e">
        <f t="shared" ca="1" si="954"/>
        <v>#NAME?</v>
      </c>
      <c r="CA117" s="163" t="e">
        <f t="shared" ca="1" si="954"/>
        <v>#NAME?</v>
      </c>
      <c r="CB117" s="163" t="e">
        <f t="shared" ca="1" si="954"/>
        <v>#NAME?</v>
      </c>
      <c r="CC117" s="163" t="e">
        <f t="shared" ca="1" si="954"/>
        <v>#NAME?</v>
      </c>
      <c r="CD117" s="163" t="e">
        <f t="shared" ca="1" si="954"/>
        <v>#NAME?</v>
      </c>
      <c r="CE117" s="163" t="e">
        <f t="shared" ca="1" si="954"/>
        <v>#NAME?</v>
      </c>
      <c r="CF117" s="163" t="e">
        <f t="shared" ca="1" si="954"/>
        <v>#NAME?</v>
      </c>
      <c r="CG117" s="163" t="e">
        <f t="shared" ca="1" si="954"/>
        <v>#NAME?</v>
      </c>
      <c r="CH117" s="163" t="e">
        <f t="shared" ca="1" si="954"/>
        <v>#NAME?</v>
      </c>
      <c r="CI117" s="163" t="e">
        <f t="shared" ca="1" si="954"/>
        <v>#NAME?</v>
      </c>
      <c r="CJ117" s="163" t="e">
        <f t="shared" ca="1" si="954"/>
        <v>#NAME?</v>
      </c>
      <c r="CK117" s="163" t="e">
        <f t="shared" ref="CK117:CL117" ca="1" si="955">+CK92/CK113</f>
        <v>#NAME?</v>
      </c>
      <c r="CL117" s="163" t="e">
        <f t="shared" ca="1" si="955"/>
        <v>#NAME?</v>
      </c>
      <c r="CM117" s="94" t="e">
        <f t="shared" ref="CM117:DB117" ca="1" si="956">+CL117</f>
        <v>#NAME?</v>
      </c>
      <c r="CN117" s="94" t="e">
        <f t="shared" ca="1" si="956"/>
        <v>#NAME?</v>
      </c>
      <c r="CO117" s="94" t="e">
        <f t="shared" ca="1" si="956"/>
        <v>#NAME?</v>
      </c>
      <c r="CP117" s="94" t="e">
        <f t="shared" ca="1" si="956"/>
        <v>#NAME?</v>
      </c>
      <c r="CQ117" s="94" t="e">
        <f t="shared" ca="1" si="956"/>
        <v>#NAME?</v>
      </c>
      <c r="CR117" s="94" t="e">
        <f t="shared" ca="1" si="956"/>
        <v>#NAME?</v>
      </c>
      <c r="CS117" s="94" t="e">
        <f t="shared" ca="1" si="956"/>
        <v>#NAME?</v>
      </c>
      <c r="CT117" s="94" t="e">
        <f t="shared" ca="1" si="956"/>
        <v>#NAME?</v>
      </c>
      <c r="CU117" s="94" t="e">
        <f t="shared" ca="1" si="956"/>
        <v>#NAME?</v>
      </c>
      <c r="CV117" s="94" t="e">
        <f t="shared" ca="1" si="956"/>
        <v>#NAME?</v>
      </c>
      <c r="CW117" s="94" t="e">
        <f t="shared" ca="1" si="956"/>
        <v>#NAME?</v>
      </c>
      <c r="CX117" s="94" t="e">
        <f t="shared" ca="1" si="956"/>
        <v>#NAME?</v>
      </c>
      <c r="CY117" s="94" t="e">
        <f t="shared" ca="1" si="956"/>
        <v>#NAME?</v>
      </c>
      <c r="CZ117" s="94" t="e">
        <f t="shared" ca="1" si="956"/>
        <v>#NAME?</v>
      </c>
      <c r="DA117" s="94" t="e">
        <f t="shared" ca="1" si="956"/>
        <v>#NAME?</v>
      </c>
      <c r="DB117" s="94" t="e">
        <f t="shared" ca="1" si="956"/>
        <v>#NAME?</v>
      </c>
      <c r="DE117" s="164"/>
      <c r="DF117" s="163">
        <v>5.3503264578820948</v>
      </c>
    </row>
    <row r="118" spans="1:110" s="163" customFormat="1" x14ac:dyDescent="0.2">
      <c r="A118" s="163" t="s">
        <v>509</v>
      </c>
      <c r="E118" s="163" t="e">
        <f t="shared" ca="1" si="947"/>
        <v>#DIV/0!</v>
      </c>
      <c r="F118" s="163" t="e">
        <f t="shared" ca="1" si="947"/>
        <v>#DIV/0!</v>
      </c>
      <c r="G118" s="163" t="e">
        <f t="shared" ca="1" si="947"/>
        <v>#DIV/0!</v>
      </c>
      <c r="H118" s="163" t="e">
        <f t="shared" ca="1" si="947"/>
        <v>#DIV/0!</v>
      </c>
      <c r="I118" s="163">
        <f t="shared" ca="1" si="947"/>
        <v>0</v>
      </c>
      <c r="J118" s="163">
        <f t="shared" ca="1" si="947"/>
        <v>0</v>
      </c>
      <c r="K118" s="163">
        <f t="shared" ca="1" si="947"/>
        <v>0</v>
      </c>
      <c r="L118" s="163">
        <f t="shared" ca="1" si="947"/>
        <v>0</v>
      </c>
      <c r="M118" s="163">
        <f t="shared" ca="1" si="947"/>
        <v>0</v>
      </c>
      <c r="N118" s="163">
        <f t="shared" ca="1" si="947"/>
        <v>0</v>
      </c>
      <c r="O118" s="163">
        <f t="shared" ca="1" si="947"/>
        <v>0</v>
      </c>
      <c r="P118" s="163">
        <f t="shared" ca="1" si="947"/>
        <v>0</v>
      </c>
      <c r="Q118" s="163">
        <f t="shared" ca="1" si="947"/>
        <v>0</v>
      </c>
      <c r="R118" s="163">
        <f t="shared" ca="1" si="947"/>
        <v>0</v>
      </c>
      <c r="S118" s="163">
        <f t="shared" ca="1" si="947"/>
        <v>0</v>
      </c>
      <c r="T118" s="163">
        <f t="shared" ca="1" si="947"/>
        <v>0</v>
      </c>
      <c r="U118" s="163">
        <f t="shared" ca="1" si="947"/>
        <v>0</v>
      </c>
      <c r="V118" s="163">
        <f t="shared" ca="1" si="947"/>
        <v>0</v>
      </c>
      <c r="W118" s="163">
        <f t="shared" ca="1" si="947"/>
        <v>0</v>
      </c>
      <c r="X118" s="163">
        <f t="shared" ca="1" si="947"/>
        <v>0</v>
      </c>
      <c r="Y118" s="163">
        <f t="shared" ca="1" si="947"/>
        <v>0</v>
      </c>
      <c r="Z118" s="163">
        <f t="shared" ca="1" si="952"/>
        <v>0</v>
      </c>
      <c r="AA118" s="163">
        <f t="shared" ca="1" si="952"/>
        <v>0</v>
      </c>
      <c r="AB118" s="94">
        <f t="shared" ca="1" si="947"/>
        <v>2.4712501788778911</v>
      </c>
      <c r="AC118" s="94">
        <f t="shared" ca="1" si="947"/>
        <v>2.6169703695764537</v>
      </c>
      <c r="AD118" s="94">
        <f t="shared" ca="1" si="947"/>
        <v>2.8281996628045523</v>
      </c>
      <c r="AE118" s="94">
        <f t="shared" ca="1" si="947"/>
        <v>2.9430290775744137</v>
      </c>
      <c r="AL118" s="163" t="e">
        <f t="shared" ref="AL118:BQ118" ca="1" si="957">+AL93/AL113</f>
        <v>#NAME?</v>
      </c>
      <c r="AM118" s="163" t="e">
        <f t="shared" ca="1" si="957"/>
        <v>#NAME?</v>
      </c>
      <c r="AN118" s="163" t="e">
        <f t="shared" ca="1" si="957"/>
        <v>#NAME?</v>
      </c>
      <c r="AO118" s="163" t="e">
        <f t="shared" ca="1" si="957"/>
        <v>#NAME?</v>
      </c>
      <c r="AP118" s="163" t="e">
        <f t="shared" ca="1" si="957"/>
        <v>#NAME?</v>
      </c>
      <c r="AQ118" s="163" t="e">
        <f t="shared" ca="1" si="957"/>
        <v>#NAME?</v>
      </c>
      <c r="AR118" s="163" t="e">
        <f t="shared" ca="1" si="957"/>
        <v>#NAME?</v>
      </c>
      <c r="AS118" s="163" t="e">
        <f t="shared" ca="1" si="957"/>
        <v>#NAME?</v>
      </c>
      <c r="AT118" s="163" t="e">
        <f t="shared" ca="1" si="957"/>
        <v>#NAME?</v>
      </c>
      <c r="AU118" s="163" t="e">
        <f t="shared" ca="1" si="957"/>
        <v>#NAME?</v>
      </c>
      <c r="AV118" s="163" t="e">
        <f t="shared" ca="1" si="957"/>
        <v>#NAME?</v>
      </c>
      <c r="AW118" s="163" t="e">
        <f t="shared" ca="1" si="957"/>
        <v>#NAME?</v>
      </c>
      <c r="AX118" s="163" t="e">
        <f t="shared" ca="1" si="957"/>
        <v>#NAME?</v>
      </c>
      <c r="AY118" s="163" t="e">
        <f t="shared" ca="1" si="957"/>
        <v>#NAME?</v>
      </c>
      <c r="AZ118" s="163" t="e">
        <f t="shared" ca="1" si="957"/>
        <v>#NAME?</v>
      </c>
      <c r="BA118" s="163" t="e">
        <f t="shared" ca="1" si="957"/>
        <v>#NAME?</v>
      </c>
      <c r="BB118" s="163" t="e">
        <f t="shared" ca="1" si="957"/>
        <v>#NAME?</v>
      </c>
      <c r="BC118" s="163" t="e">
        <f t="shared" ca="1" si="957"/>
        <v>#NAME?</v>
      </c>
      <c r="BD118" s="163" t="e">
        <f t="shared" ca="1" si="957"/>
        <v>#NAME?</v>
      </c>
      <c r="BE118" s="163" t="e">
        <f t="shared" ca="1" si="957"/>
        <v>#NAME?</v>
      </c>
      <c r="BF118" s="163" t="e">
        <f t="shared" ca="1" si="957"/>
        <v>#NAME?</v>
      </c>
      <c r="BG118" s="163" t="e">
        <f t="shared" ca="1" si="957"/>
        <v>#NAME?</v>
      </c>
      <c r="BH118" s="163" t="e">
        <f t="shared" ca="1" si="957"/>
        <v>#NAME?</v>
      </c>
      <c r="BI118" s="163" t="e">
        <f t="shared" ca="1" si="957"/>
        <v>#NAME?</v>
      </c>
      <c r="BJ118" s="163" t="e">
        <f t="shared" ca="1" si="957"/>
        <v>#NAME?</v>
      </c>
      <c r="BK118" s="163" t="e">
        <f t="shared" ca="1" si="957"/>
        <v>#NAME?</v>
      </c>
      <c r="BL118" s="163" t="e">
        <f t="shared" ca="1" si="957"/>
        <v>#NAME?</v>
      </c>
      <c r="BM118" s="163" t="e">
        <f t="shared" ca="1" si="957"/>
        <v>#NAME?</v>
      </c>
      <c r="BN118" s="163" t="e">
        <f t="shared" ca="1" si="957"/>
        <v>#NAME?</v>
      </c>
      <c r="BO118" s="163" t="e">
        <f t="shared" ca="1" si="957"/>
        <v>#NAME?</v>
      </c>
      <c r="BP118" s="163" t="e">
        <f t="shared" ca="1" si="957"/>
        <v>#NAME?</v>
      </c>
      <c r="BQ118" s="163" t="e">
        <f t="shared" ca="1" si="957"/>
        <v>#NAME?</v>
      </c>
      <c r="BR118" s="163" t="e">
        <f t="shared" ref="BR118:CJ118" ca="1" si="958">+BR93/BR113</f>
        <v>#NAME?</v>
      </c>
      <c r="BS118" s="163" t="e">
        <f t="shared" ca="1" si="958"/>
        <v>#NAME?</v>
      </c>
      <c r="BT118" s="163" t="e">
        <f t="shared" ca="1" si="958"/>
        <v>#NAME?</v>
      </c>
      <c r="BU118" s="163" t="e">
        <f t="shared" ca="1" si="958"/>
        <v>#NAME?</v>
      </c>
      <c r="BV118" s="163" t="e">
        <f t="shared" ca="1" si="958"/>
        <v>#NAME?</v>
      </c>
      <c r="BW118" s="163" t="e">
        <f t="shared" ca="1" si="958"/>
        <v>#NAME?</v>
      </c>
      <c r="BX118" s="163" t="e">
        <f t="shared" ca="1" si="958"/>
        <v>#NAME?</v>
      </c>
      <c r="BY118" s="163" t="e">
        <f t="shared" ca="1" si="958"/>
        <v>#NAME?</v>
      </c>
      <c r="BZ118" s="163" t="e">
        <f t="shared" ca="1" si="958"/>
        <v>#NAME?</v>
      </c>
      <c r="CA118" s="163" t="e">
        <f t="shared" ca="1" si="958"/>
        <v>#NAME?</v>
      </c>
      <c r="CB118" s="163" t="e">
        <f t="shared" ca="1" si="958"/>
        <v>#NAME?</v>
      </c>
      <c r="CC118" s="163" t="e">
        <f t="shared" ca="1" si="958"/>
        <v>#NAME?</v>
      </c>
      <c r="CD118" s="163" t="e">
        <f t="shared" ca="1" si="958"/>
        <v>#NAME?</v>
      </c>
      <c r="CE118" s="163" t="e">
        <f t="shared" ca="1" si="958"/>
        <v>#NAME?</v>
      </c>
      <c r="CF118" s="163" t="e">
        <f t="shared" ca="1" si="958"/>
        <v>#NAME?</v>
      </c>
      <c r="CG118" s="163" t="e">
        <f t="shared" ca="1" si="958"/>
        <v>#NAME?</v>
      </c>
      <c r="CH118" s="163" t="e">
        <f t="shared" ca="1" si="958"/>
        <v>#NAME?</v>
      </c>
      <c r="CI118" s="163" t="e">
        <f t="shared" ca="1" si="958"/>
        <v>#NAME?</v>
      </c>
      <c r="CJ118" s="163" t="e">
        <f t="shared" ca="1" si="958"/>
        <v>#NAME?</v>
      </c>
      <c r="CK118" s="163" t="e">
        <f t="shared" ref="CK118:CL118" ca="1" si="959">+CK93/CK113</f>
        <v>#NAME?</v>
      </c>
      <c r="CL118" s="163" t="e">
        <f t="shared" ca="1" si="959"/>
        <v>#NAME?</v>
      </c>
      <c r="CM118" s="94" t="e">
        <f t="shared" ref="CM118:DB118" ca="1" si="960">+CL118</f>
        <v>#NAME?</v>
      </c>
      <c r="CN118" s="94" t="e">
        <f t="shared" ca="1" si="960"/>
        <v>#NAME?</v>
      </c>
      <c r="CO118" s="94" t="e">
        <f t="shared" ca="1" si="960"/>
        <v>#NAME?</v>
      </c>
      <c r="CP118" s="94" t="e">
        <f t="shared" ca="1" si="960"/>
        <v>#NAME?</v>
      </c>
      <c r="CQ118" s="94" t="e">
        <f t="shared" ca="1" si="960"/>
        <v>#NAME?</v>
      </c>
      <c r="CR118" s="94" t="e">
        <f t="shared" ca="1" si="960"/>
        <v>#NAME?</v>
      </c>
      <c r="CS118" s="94" t="e">
        <f t="shared" ca="1" si="960"/>
        <v>#NAME?</v>
      </c>
      <c r="CT118" s="94" t="e">
        <f t="shared" ca="1" si="960"/>
        <v>#NAME?</v>
      </c>
      <c r="CU118" s="94" t="e">
        <f t="shared" ca="1" si="960"/>
        <v>#NAME?</v>
      </c>
      <c r="CV118" s="94" t="e">
        <f t="shared" ca="1" si="960"/>
        <v>#NAME?</v>
      </c>
      <c r="CW118" s="94" t="e">
        <f t="shared" ca="1" si="960"/>
        <v>#NAME?</v>
      </c>
      <c r="CX118" s="94" t="e">
        <f t="shared" ca="1" si="960"/>
        <v>#NAME?</v>
      </c>
      <c r="CY118" s="94" t="e">
        <f t="shared" ca="1" si="960"/>
        <v>#NAME?</v>
      </c>
      <c r="CZ118" s="94" t="e">
        <f t="shared" ca="1" si="960"/>
        <v>#NAME?</v>
      </c>
      <c r="DA118" s="94" t="e">
        <f t="shared" ca="1" si="960"/>
        <v>#NAME?</v>
      </c>
      <c r="DB118" s="94" t="e">
        <f t="shared" ca="1" si="960"/>
        <v>#NAME?</v>
      </c>
      <c r="DE118" s="164"/>
      <c r="DF118" s="163">
        <v>0</v>
      </c>
    </row>
    <row r="119" spans="1:110" s="4" customFormat="1" x14ac:dyDescent="0.2">
      <c r="A119" s="3"/>
      <c r="AB119" s="17"/>
      <c r="AC119" s="17"/>
      <c r="AD119" s="17"/>
      <c r="AE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E119" s="119"/>
    </row>
    <row r="120" spans="1:110" s="4" customFormat="1" x14ac:dyDescent="0.2">
      <c r="A120" s="3"/>
      <c r="AB120" s="17"/>
      <c r="AC120" s="17"/>
      <c r="AD120" s="17"/>
      <c r="AE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E120" s="119"/>
    </row>
    <row r="121" spans="1:110" s="162" customFormat="1" x14ac:dyDescent="0.2">
      <c r="A121" s="49" t="s">
        <v>340</v>
      </c>
      <c r="B121" s="162" t="e">
        <f t="shared" ref="B121:AE121" ca="1" si="961">+B92*B79</f>
        <v>#NAME?</v>
      </c>
      <c r="C121" s="162" t="e">
        <f t="shared" ca="1" si="961"/>
        <v>#NAME?</v>
      </c>
      <c r="D121" s="162" t="e">
        <f t="shared" ca="1" si="961"/>
        <v>#NAME?</v>
      </c>
      <c r="E121" s="162">
        <f t="shared" ca="1" si="961"/>
        <v>0</v>
      </c>
      <c r="F121" s="162">
        <f t="shared" ca="1" si="961"/>
        <v>0</v>
      </c>
      <c r="G121" s="162">
        <f t="shared" ca="1" si="961"/>
        <v>0</v>
      </c>
      <c r="H121" s="162">
        <f t="shared" ca="1" si="961"/>
        <v>0</v>
      </c>
      <c r="I121" s="162">
        <f t="shared" ca="1" si="961"/>
        <v>0</v>
      </c>
      <c r="J121" s="162">
        <f t="shared" ca="1" si="961"/>
        <v>0</v>
      </c>
      <c r="K121" s="162">
        <f t="shared" ca="1" si="961"/>
        <v>0</v>
      </c>
      <c r="L121" s="162">
        <f t="shared" ca="1" si="961"/>
        <v>0</v>
      </c>
      <c r="M121" s="162">
        <f t="shared" ca="1" si="961"/>
        <v>0</v>
      </c>
      <c r="N121" s="162">
        <f t="shared" ca="1" si="961"/>
        <v>0</v>
      </c>
      <c r="O121" s="162">
        <f t="shared" ca="1" si="961"/>
        <v>0</v>
      </c>
      <c r="P121" s="162">
        <f t="shared" ca="1" si="961"/>
        <v>0</v>
      </c>
      <c r="Q121" s="162">
        <f t="shared" ca="1" si="961"/>
        <v>0</v>
      </c>
      <c r="R121" s="162">
        <f t="shared" ca="1" si="961"/>
        <v>0</v>
      </c>
      <c r="S121" s="162">
        <f t="shared" ca="1" si="961"/>
        <v>0</v>
      </c>
      <c r="T121" s="162">
        <f t="shared" ca="1" si="961"/>
        <v>0</v>
      </c>
      <c r="U121" s="162">
        <f t="shared" ca="1" si="961"/>
        <v>0</v>
      </c>
      <c r="V121" s="162">
        <f t="shared" ca="1" si="961"/>
        <v>0</v>
      </c>
      <c r="W121" s="162">
        <f t="shared" ca="1" si="961"/>
        <v>0</v>
      </c>
      <c r="X121" s="162">
        <f t="shared" ca="1" si="961"/>
        <v>0</v>
      </c>
      <c r="Y121" s="162">
        <f t="shared" ca="1" si="961"/>
        <v>0</v>
      </c>
      <c r="Z121" s="162">
        <f t="shared" ca="1" si="961"/>
        <v>0</v>
      </c>
      <c r="AA121" s="162">
        <f t="shared" ref="AA121" ca="1" si="962">+AA92*AA79</f>
        <v>0</v>
      </c>
      <c r="AB121" s="21">
        <f t="shared" ca="1" si="961"/>
        <v>4262.8652631271671</v>
      </c>
      <c r="AC121" s="21">
        <f t="shared" ca="1" si="961"/>
        <v>5687.6813512082426</v>
      </c>
      <c r="AD121" s="21">
        <f t="shared" ca="1" si="961"/>
        <v>7292.6076005826144</v>
      </c>
      <c r="AE121" s="21">
        <f t="shared" ca="1" si="961"/>
        <v>9172.3887066010338</v>
      </c>
      <c r="AL121" s="162" t="e">
        <f t="shared" ref="AL121:BQ121" ca="1" si="963">+AL92*AL79</f>
        <v>#NAME?</v>
      </c>
      <c r="AM121" s="162" t="e">
        <f t="shared" ca="1" si="963"/>
        <v>#NAME?</v>
      </c>
      <c r="AN121" s="162" t="e">
        <f t="shared" ca="1" si="963"/>
        <v>#NAME?</v>
      </c>
      <c r="AO121" s="162" t="e">
        <f t="shared" ca="1" si="963"/>
        <v>#NAME?</v>
      </c>
      <c r="AP121" s="162" t="e">
        <f t="shared" ca="1" si="963"/>
        <v>#NAME?</v>
      </c>
      <c r="AQ121" s="162" t="e">
        <f t="shared" ca="1" si="963"/>
        <v>#NAME?</v>
      </c>
      <c r="AR121" s="162" t="e">
        <f t="shared" ca="1" si="963"/>
        <v>#NAME?</v>
      </c>
      <c r="AS121" s="162" t="e">
        <f t="shared" ca="1" si="963"/>
        <v>#NAME?</v>
      </c>
      <c r="AT121" s="162" t="e">
        <f t="shared" ca="1" si="963"/>
        <v>#NAME?</v>
      </c>
      <c r="AU121" s="162" t="e">
        <f t="shared" ca="1" si="963"/>
        <v>#NAME?</v>
      </c>
      <c r="AV121" s="162" t="e">
        <f t="shared" ca="1" si="963"/>
        <v>#NAME?</v>
      </c>
      <c r="AW121" s="162" t="e">
        <f t="shared" ca="1" si="963"/>
        <v>#NAME?</v>
      </c>
      <c r="AX121" s="162" t="e">
        <f t="shared" ca="1" si="963"/>
        <v>#NAME?</v>
      </c>
      <c r="AY121" s="162" t="e">
        <f t="shared" ca="1" si="963"/>
        <v>#NAME?</v>
      </c>
      <c r="AZ121" s="162" t="e">
        <f t="shared" ca="1" si="963"/>
        <v>#NAME?</v>
      </c>
      <c r="BA121" s="162" t="e">
        <f t="shared" ca="1" si="963"/>
        <v>#NAME?</v>
      </c>
      <c r="BB121" s="162" t="e">
        <f t="shared" ca="1" si="963"/>
        <v>#NAME?</v>
      </c>
      <c r="BC121" s="162" t="e">
        <f t="shared" ca="1" si="963"/>
        <v>#NAME?</v>
      </c>
      <c r="BD121" s="162" t="e">
        <f t="shared" ca="1" si="963"/>
        <v>#NAME?</v>
      </c>
      <c r="BE121" s="162" t="e">
        <f t="shared" ca="1" si="963"/>
        <v>#NAME?</v>
      </c>
      <c r="BF121" s="162" t="e">
        <f t="shared" ca="1" si="963"/>
        <v>#NAME?</v>
      </c>
      <c r="BG121" s="162" t="e">
        <f t="shared" ca="1" si="963"/>
        <v>#NAME?</v>
      </c>
      <c r="BH121" s="162" t="e">
        <f t="shared" ca="1" si="963"/>
        <v>#NAME?</v>
      </c>
      <c r="BI121" s="162" t="e">
        <f t="shared" ca="1" si="963"/>
        <v>#NAME?</v>
      </c>
      <c r="BJ121" s="162" t="e">
        <f t="shared" ca="1" si="963"/>
        <v>#NAME?</v>
      </c>
      <c r="BK121" s="162" t="e">
        <f t="shared" ca="1" si="963"/>
        <v>#NAME?</v>
      </c>
      <c r="BL121" s="162" t="e">
        <f t="shared" ca="1" si="963"/>
        <v>#NAME?</v>
      </c>
      <c r="BM121" s="162" t="e">
        <f t="shared" ca="1" si="963"/>
        <v>#NAME?</v>
      </c>
      <c r="BN121" s="162" t="e">
        <f t="shared" ca="1" si="963"/>
        <v>#NAME?</v>
      </c>
      <c r="BO121" s="162" t="e">
        <f t="shared" ca="1" si="963"/>
        <v>#NAME?</v>
      </c>
      <c r="BP121" s="162" t="e">
        <f t="shared" ca="1" si="963"/>
        <v>#NAME?</v>
      </c>
      <c r="BQ121" s="162" t="e">
        <f t="shared" ca="1" si="963"/>
        <v>#NAME?</v>
      </c>
      <c r="BR121" s="162" t="e">
        <f t="shared" ref="BR121:CJ121" ca="1" si="964">+BR92*BR79</f>
        <v>#NAME?</v>
      </c>
      <c r="BS121" s="162" t="e">
        <f t="shared" ca="1" si="964"/>
        <v>#NAME?</v>
      </c>
      <c r="BT121" s="162" t="e">
        <f t="shared" ca="1" si="964"/>
        <v>#NAME?</v>
      </c>
      <c r="BU121" s="162" t="e">
        <f t="shared" ca="1" si="964"/>
        <v>#NAME?</v>
      </c>
      <c r="BV121" s="162" t="e">
        <f t="shared" ca="1" si="964"/>
        <v>#NAME?</v>
      </c>
      <c r="BW121" s="162" t="e">
        <f t="shared" ca="1" si="964"/>
        <v>#NAME?</v>
      </c>
      <c r="BX121" s="162" t="e">
        <f t="shared" ca="1" si="964"/>
        <v>#NAME?</v>
      </c>
      <c r="BY121" s="162" t="e">
        <f t="shared" ca="1" si="964"/>
        <v>#NAME?</v>
      </c>
      <c r="BZ121" s="162" t="e">
        <f t="shared" ca="1" si="964"/>
        <v>#NAME?</v>
      </c>
      <c r="CA121" s="162" t="e">
        <f t="shared" ca="1" si="964"/>
        <v>#NAME?</v>
      </c>
      <c r="CB121" s="162" t="e">
        <f t="shared" ca="1" si="964"/>
        <v>#NAME?</v>
      </c>
      <c r="CC121" s="162" t="e">
        <f t="shared" ca="1" si="964"/>
        <v>#NAME?</v>
      </c>
      <c r="CD121" s="162" t="e">
        <f t="shared" ca="1" si="964"/>
        <v>#NAME?</v>
      </c>
      <c r="CE121" s="162" t="e">
        <f t="shared" ca="1" si="964"/>
        <v>#NAME?</v>
      </c>
      <c r="CF121" s="162" t="e">
        <f t="shared" ca="1" si="964"/>
        <v>#NAME?</v>
      </c>
      <c r="CG121" s="162" t="e">
        <f t="shared" ca="1" si="964"/>
        <v>#NAME?</v>
      </c>
      <c r="CH121" s="162" t="e">
        <f t="shared" ca="1" si="964"/>
        <v>#NAME?</v>
      </c>
      <c r="CI121" s="162" t="e">
        <f t="shared" ca="1" si="964"/>
        <v>#NAME?</v>
      </c>
      <c r="CJ121" s="162" t="e">
        <f t="shared" ca="1" si="964"/>
        <v>#NAME?</v>
      </c>
      <c r="CK121" s="162" t="e">
        <f t="shared" ref="CK121:CL121" ca="1" si="965">+CK92*CK79</f>
        <v>#NAME?</v>
      </c>
      <c r="CL121" s="162" t="e">
        <f t="shared" ca="1" si="965"/>
        <v>#NAME?</v>
      </c>
      <c r="CM121" s="21" t="e">
        <f t="shared" ref="CM121:DB121" ca="1" si="966">+CM92*CM79</f>
        <v>#NAME?</v>
      </c>
      <c r="CN121" s="21" t="e">
        <f t="shared" ca="1" si="966"/>
        <v>#NAME?</v>
      </c>
      <c r="CO121" s="21" t="e">
        <f t="shared" ca="1" si="966"/>
        <v>#NAME?</v>
      </c>
      <c r="CP121" s="21" t="e">
        <f t="shared" ca="1" si="966"/>
        <v>#NAME?</v>
      </c>
      <c r="CQ121" s="21" t="e">
        <f t="shared" ca="1" si="966"/>
        <v>#NAME?</v>
      </c>
      <c r="CR121" s="21" t="e">
        <f t="shared" ca="1" si="966"/>
        <v>#NAME?</v>
      </c>
      <c r="CS121" s="21" t="e">
        <f t="shared" ca="1" si="966"/>
        <v>#NAME?</v>
      </c>
      <c r="CT121" s="21" t="e">
        <f t="shared" ca="1" si="966"/>
        <v>#NAME?</v>
      </c>
      <c r="CU121" s="21" t="e">
        <f t="shared" ca="1" si="966"/>
        <v>#NAME?</v>
      </c>
      <c r="CV121" s="21" t="e">
        <f t="shared" ca="1" si="966"/>
        <v>#NAME?</v>
      </c>
      <c r="CW121" s="21" t="e">
        <f t="shared" ca="1" si="966"/>
        <v>#NAME?</v>
      </c>
      <c r="CX121" s="21" t="e">
        <f t="shared" ca="1" si="966"/>
        <v>#NAME?</v>
      </c>
      <c r="CY121" s="21" t="e">
        <f t="shared" ca="1" si="966"/>
        <v>#NAME?</v>
      </c>
      <c r="CZ121" s="21" t="e">
        <f t="shared" ca="1" si="966"/>
        <v>#NAME?</v>
      </c>
      <c r="DA121" s="21" t="e">
        <f t="shared" ca="1" si="966"/>
        <v>#NAME?</v>
      </c>
      <c r="DB121" s="21" t="e">
        <f t="shared" ca="1" si="966"/>
        <v>#NAME?</v>
      </c>
      <c r="DE121" s="22"/>
      <c r="DF121" s="162">
        <v>4987.3442599999998</v>
      </c>
    </row>
    <row r="122" spans="1:110" s="162" customFormat="1" x14ac:dyDescent="0.2">
      <c r="A122" s="49" t="s">
        <v>341</v>
      </c>
      <c r="B122" s="162" t="e">
        <f t="shared" ref="B122:AE122" ca="1" si="967">+B93*B79</f>
        <v>#NAME?</v>
      </c>
      <c r="C122" s="162" t="e">
        <f t="shared" ca="1" si="967"/>
        <v>#NAME?</v>
      </c>
      <c r="D122" s="162" t="e">
        <f t="shared" ca="1" si="967"/>
        <v>#NAME?</v>
      </c>
      <c r="E122" s="162">
        <f t="shared" ca="1" si="967"/>
        <v>0</v>
      </c>
      <c r="F122" s="162">
        <f t="shared" ca="1" si="967"/>
        <v>0</v>
      </c>
      <c r="G122" s="162">
        <f t="shared" ca="1" si="967"/>
        <v>0</v>
      </c>
      <c r="H122" s="162">
        <f t="shared" ca="1" si="967"/>
        <v>0</v>
      </c>
      <c r="I122" s="162">
        <f t="shared" ca="1" si="967"/>
        <v>0</v>
      </c>
      <c r="J122" s="162">
        <f t="shared" ca="1" si="967"/>
        <v>0</v>
      </c>
      <c r="K122" s="162">
        <f t="shared" ca="1" si="967"/>
        <v>0</v>
      </c>
      <c r="L122" s="162">
        <f t="shared" ca="1" si="967"/>
        <v>0</v>
      </c>
      <c r="M122" s="162">
        <f t="shared" ca="1" si="967"/>
        <v>0</v>
      </c>
      <c r="N122" s="162">
        <f t="shared" ca="1" si="967"/>
        <v>0</v>
      </c>
      <c r="O122" s="162">
        <f t="shared" ca="1" si="967"/>
        <v>0</v>
      </c>
      <c r="P122" s="162">
        <f t="shared" ca="1" si="967"/>
        <v>0</v>
      </c>
      <c r="Q122" s="162">
        <f t="shared" ca="1" si="967"/>
        <v>0</v>
      </c>
      <c r="R122" s="162">
        <f t="shared" ca="1" si="967"/>
        <v>0</v>
      </c>
      <c r="S122" s="162">
        <f t="shared" ca="1" si="967"/>
        <v>0</v>
      </c>
      <c r="T122" s="162">
        <f t="shared" ca="1" si="967"/>
        <v>0</v>
      </c>
      <c r="U122" s="162">
        <f t="shared" ca="1" si="967"/>
        <v>0</v>
      </c>
      <c r="V122" s="162">
        <f t="shared" ca="1" si="967"/>
        <v>0</v>
      </c>
      <c r="W122" s="162">
        <f t="shared" ca="1" si="967"/>
        <v>0</v>
      </c>
      <c r="X122" s="162">
        <f t="shared" ca="1" si="967"/>
        <v>0</v>
      </c>
      <c r="Y122" s="162">
        <f t="shared" ca="1" si="967"/>
        <v>0</v>
      </c>
      <c r="Z122" s="162">
        <f t="shared" ca="1" si="967"/>
        <v>0</v>
      </c>
      <c r="AA122" s="162">
        <f t="shared" ref="AA122" ca="1" si="968">+AA93*AA79</f>
        <v>0</v>
      </c>
      <c r="AB122" s="21">
        <f t="shared" ca="1" si="967"/>
        <v>2821.9938381738884</v>
      </c>
      <c r="AC122" s="21">
        <f t="shared" ca="1" si="967"/>
        <v>3661.0969545387616</v>
      </c>
      <c r="AD122" s="21">
        <f t="shared" ca="1" si="967"/>
        <v>4848.823852836379</v>
      </c>
      <c r="AE122" s="21">
        <f t="shared" ca="1" si="967"/>
        <v>6184.1347988508996</v>
      </c>
      <c r="AL122" s="162" t="e">
        <f t="shared" ref="AL122:BQ122" ca="1" si="969">+AL93*AL79</f>
        <v>#NAME?</v>
      </c>
      <c r="AM122" s="162" t="e">
        <f t="shared" ca="1" si="969"/>
        <v>#NAME?</v>
      </c>
      <c r="AN122" s="162" t="e">
        <f t="shared" ca="1" si="969"/>
        <v>#NAME?</v>
      </c>
      <c r="AO122" s="162" t="e">
        <f t="shared" ca="1" si="969"/>
        <v>#NAME?</v>
      </c>
      <c r="AP122" s="162" t="e">
        <f t="shared" ca="1" si="969"/>
        <v>#NAME?</v>
      </c>
      <c r="AQ122" s="162" t="e">
        <f t="shared" ca="1" si="969"/>
        <v>#NAME?</v>
      </c>
      <c r="AR122" s="162" t="e">
        <f t="shared" ca="1" si="969"/>
        <v>#NAME?</v>
      </c>
      <c r="AS122" s="162" t="e">
        <f t="shared" ca="1" si="969"/>
        <v>#NAME?</v>
      </c>
      <c r="AT122" s="162" t="e">
        <f t="shared" ca="1" si="969"/>
        <v>#NAME?</v>
      </c>
      <c r="AU122" s="162" t="e">
        <f t="shared" ca="1" si="969"/>
        <v>#NAME?</v>
      </c>
      <c r="AV122" s="162" t="e">
        <f t="shared" ca="1" si="969"/>
        <v>#NAME?</v>
      </c>
      <c r="AW122" s="162" t="e">
        <f t="shared" ca="1" si="969"/>
        <v>#NAME?</v>
      </c>
      <c r="AX122" s="162" t="e">
        <f t="shared" ca="1" si="969"/>
        <v>#NAME?</v>
      </c>
      <c r="AY122" s="162" t="e">
        <f t="shared" ca="1" si="969"/>
        <v>#NAME?</v>
      </c>
      <c r="AZ122" s="162" t="e">
        <f t="shared" ca="1" si="969"/>
        <v>#NAME?</v>
      </c>
      <c r="BA122" s="162" t="e">
        <f t="shared" ca="1" si="969"/>
        <v>#NAME?</v>
      </c>
      <c r="BB122" s="162" t="e">
        <f t="shared" ca="1" si="969"/>
        <v>#NAME?</v>
      </c>
      <c r="BC122" s="162" t="e">
        <f t="shared" ca="1" si="969"/>
        <v>#NAME?</v>
      </c>
      <c r="BD122" s="162" t="e">
        <f t="shared" ca="1" si="969"/>
        <v>#NAME?</v>
      </c>
      <c r="BE122" s="162" t="e">
        <f t="shared" ca="1" si="969"/>
        <v>#NAME?</v>
      </c>
      <c r="BF122" s="162" t="e">
        <f t="shared" ca="1" si="969"/>
        <v>#NAME?</v>
      </c>
      <c r="BG122" s="162" t="e">
        <f t="shared" ca="1" si="969"/>
        <v>#NAME?</v>
      </c>
      <c r="BH122" s="162" t="e">
        <f t="shared" ca="1" si="969"/>
        <v>#NAME?</v>
      </c>
      <c r="BI122" s="162" t="e">
        <f t="shared" ca="1" si="969"/>
        <v>#NAME?</v>
      </c>
      <c r="BJ122" s="162" t="e">
        <f t="shared" ca="1" si="969"/>
        <v>#NAME?</v>
      </c>
      <c r="BK122" s="162" t="e">
        <f t="shared" ca="1" si="969"/>
        <v>#NAME?</v>
      </c>
      <c r="BL122" s="162" t="e">
        <f t="shared" ca="1" si="969"/>
        <v>#NAME?</v>
      </c>
      <c r="BM122" s="162" t="e">
        <f t="shared" ca="1" si="969"/>
        <v>#NAME?</v>
      </c>
      <c r="BN122" s="162" t="e">
        <f t="shared" ca="1" si="969"/>
        <v>#NAME?</v>
      </c>
      <c r="BO122" s="162" t="e">
        <f t="shared" ca="1" si="969"/>
        <v>#NAME?</v>
      </c>
      <c r="BP122" s="162" t="e">
        <f t="shared" ca="1" si="969"/>
        <v>#NAME?</v>
      </c>
      <c r="BQ122" s="162" t="e">
        <f t="shared" ca="1" si="969"/>
        <v>#NAME?</v>
      </c>
      <c r="BR122" s="162" t="e">
        <f t="shared" ref="BR122:CJ122" ca="1" si="970">+BR93*BR79</f>
        <v>#NAME?</v>
      </c>
      <c r="BS122" s="162" t="e">
        <f t="shared" ca="1" si="970"/>
        <v>#NAME?</v>
      </c>
      <c r="BT122" s="162" t="e">
        <f t="shared" ca="1" si="970"/>
        <v>#NAME?</v>
      </c>
      <c r="BU122" s="162" t="e">
        <f t="shared" ca="1" si="970"/>
        <v>#NAME?</v>
      </c>
      <c r="BV122" s="162" t="e">
        <f t="shared" ca="1" si="970"/>
        <v>#NAME?</v>
      </c>
      <c r="BW122" s="162" t="e">
        <f t="shared" ca="1" si="970"/>
        <v>#NAME?</v>
      </c>
      <c r="BX122" s="162" t="e">
        <f t="shared" ca="1" si="970"/>
        <v>#NAME?</v>
      </c>
      <c r="BY122" s="162" t="e">
        <f t="shared" ca="1" si="970"/>
        <v>#NAME?</v>
      </c>
      <c r="BZ122" s="162" t="e">
        <f t="shared" ca="1" si="970"/>
        <v>#NAME?</v>
      </c>
      <c r="CA122" s="162" t="e">
        <f t="shared" ca="1" si="970"/>
        <v>#NAME?</v>
      </c>
      <c r="CB122" s="162" t="e">
        <f t="shared" ca="1" si="970"/>
        <v>#NAME?</v>
      </c>
      <c r="CC122" s="162" t="e">
        <f t="shared" ca="1" si="970"/>
        <v>#NAME?</v>
      </c>
      <c r="CD122" s="162" t="e">
        <f t="shared" ca="1" si="970"/>
        <v>#NAME?</v>
      </c>
      <c r="CE122" s="162" t="e">
        <f t="shared" ca="1" si="970"/>
        <v>#NAME?</v>
      </c>
      <c r="CF122" s="162" t="e">
        <f t="shared" ca="1" si="970"/>
        <v>#NAME?</v>
      </c>
      <c r="CG122" s="162" t="e">
        <f t="shared" ca="1" si="970"/>
        <v>#NAME?</v>
      </c>
      <c r="CH122" s="162" t="e">
        <f t="shared" ca="1" si="970"/>
        <v>#NAME?</v>
      </c>
      <c r="CI122" s="162" t="e">
        <f t="shared" ca="1" si="970"/>
        <v>#NAME?</v>
      </c>
      <c r="CJ122" s="162" t="e">
        <f t="shared" ca="1" si="970"/>
        <v>#NAME?</v>
      </c>
      <c r="CK122" s="162" t="e">
        <f t="shared" ref="CK122:CL122" ca="1" si="971">+CK93*CK79</f>
        <v>#NAME?</v>
      </c>
      <c r="CL122" s="162" t="e">
        <f t="shared" ca="1" si="971"/>
        <v>#NAME?</v>
      </c>
      <c r="CM122" s="21" t="e">
        <f t="shared" ref="CM122:DB122" ca="1" si="972">+CM93*CM79</f>
        <v>#NAME?</v>
      </c>
      <c r="CN122" s="21" t="e">
        <f t="shared" ca="1" si="972"/>
        <v>#NAME?</v>
      </c>
      <c r="CO122" s="21" t="e">
        <f t="shared" ca="1" si="972"/>
        <v>#NAME?</v>
      </c>
      <c r="CP122" s="21" t="e">
        <f t="shared" ca="1" si="972"/>
        <v>#NAME?</v>
      </c>
      <c r="CQ122" s="21" t="e">
        <f t="shared" ca="1" si="972"/>
        <v>#NAME?</v>
      </c>
      <c r="CR122" s="21" t="e">
        <f t="shared" ca="1" si="972"/>
        <v>#NAME?</v>
      </c>
      <c r="CS122" s="21" t="e">
        <f t="shared" ca="1" si="972"/>
        <v>#NAME?</v>
      </c>
      <c r="CT122" s="21" t="e">
        <f t="shared" ca="1" si="972"/>
        <v>#NAME?</v>
      </c>
      <c r="CU122" s="21" t="e">
        <f t="shared" ca="1" si="972"/>
        <v>#NAME?</v>
      </c>
      <c r="CV122" s="21" t="e">
        <f t="shared" ca="1" si="972"/>
        <v>#NAME?</v>
      </c>
      <c r="CW122" s="21" t="e">
        <f t="shared" ca="1" si="972"/>
        <v>#NAME?</v>
      </c>
      <c r="CX122" s="21" t="e">
        <f t="shared" ca="1" si="972"/>
        <v>#NAME?</v>
      </c>
      <c r="CY122" s="21" t="e">
        <f t="shared" ca="1" si="972"/>
        <v>#NAME?</v>
      </c>
      <c r="CZ122" s="21" t="e">
        <f t="shared" ca="1" si="972"/>
        <v>#NAME?</v>
      </c>
      <c r="DA122" s="21" t="e">
        <f t="shared" ca="1" si="972"/>
        <v>#NAME?</v>
      </c>
      <c r="DB122" s="21" t="e">
        <f t="shared" ca="1" si="972"/>
        <v>#NAME?</v>
      </c>
      <c r="DE122" s="22"/>
      <c r="DF122" s="162">
        <v>0</v>
      </c>
    </row>
    <row r="123" spans="1:110" s="162" customFormat="1" x14ac:dyDescent="0.2">
      <c r="A123" s="49" t="s">
        <v>80</v>
      </c>
      <c r="B123" s="162" t="e">
        <f ca="1">+B182</f>
        <v>#NAME?</v>
      </c>
      <c r="C123" s="162" t="e">
        <f t="shared" ref="C123:W123" ca="1" si="973">+C182</f>
        <v>#NAME?</v>
      </c>
      <c r="D123" s="162" t="e">
        <f t="shared" ca="1" si="973"/>
        <v>#NAME?</v>
      </c>
      <c r="E123" s="162" t="e">
        <f t="shared" ca="1" si="973"/>
        <v>#NAME?</v>
      </c>
      <c r="F123" s="162" t="e">
        <f t="shared" ca="1" si="973"/>
        <v>#NAME?</v>
      </c>
      <c r="G123" s="162" t="e">
        <f t="shared" ca="1" si="973"/>
        <v>#NAME?</v>
      </c>
      <c r="H123" s="162" t="e">
        <f t="shared" ca="1" si="973"/>
        <v>#NAME?</v>
      </c>
      <c r="I123" s="162" t="e">
        <f t="shared" ca="1" si="973"/>
        <v>#NAME?</v>
      </c>
      <c r="J123" s="162" t="e">
        <f t="shared" ca="1" si="973"/>
        <v>#NAME?</v>
      </c>
      <c r="K123" s="162" t="e">
        <f t="shared" ca="1" si="973"/>
        <v>#NAME?</v>
      </c>
      <c r="L123" s="162" t="e">
        <f t="shared" ca="1" si="973"/>
        <v>#NAME?</v>
      </c>
      <c r="M123" s="162" t="e">
        <f t="shared" ca="1" si="973"/>
        <v>#NAME?</v>
      </c>
      <c r="N123" s="162" t="e">
        <f t="shared" ca="1" si="973"/>
        <v>#NAME?</v>
      </c>
      <c r="O123" s="162" t="e">
        <f t="shared" ca="1" si="973"/>
        <v>#NAME?</v>
      </c>
      <c r="P123" s="162" t="e">
        <f t="shared" ca="1" si="973"/>
        <v>#NAME?</v>
      </c>
      <c r="Q123" s="162" t="e">
        <f t="shared" ca="1" si="973"/>
        <v>#NAME?</v>
      </c>
      <c r="R123" s="162" t="e">
        <f t="shared" ca="1" si="973"/>
        <v>#NAME?</v>
      </c>
      <c r="S123" s="162" t="e">
        <f t="shared" ca="1" si="973"/>
        <v>#NAME?</v>
      </c>
      <c r="T123" s="162" t="e">
        <f t="shared" ca="1" si="973"/>
        <v>#NAME?</v>
      </c>
      <c r="U123" s="162" t="e">
        <f t="shared" ca="1" si="973"/>
        <v>#NAME?</v>
      </c>
      <c r="V123" s="162" t="e">
        <f t="shared" ca="1" si="973"/>
        <v>#NAME?</v>
      </c>
      <c r="W123" s="162" t="e">
        <f t="shared" ca="1" si="973"/>
        <v>#NAME?</v>
      </c>
      <c r="X123" s="162" t="e">
        <f t="shared" ref="X123:Y123" ca="1" si="974">+X182</f>
        <v>#NAME?</v>
      </c>
      <c r="Y123" s="162" t="e">
        <f t="shared" ca="1" si="974"/>
        <v>#NAME?</v>
      </c>
      <c r="Z123" s="162" t="e">
        <f t="shared" ref="Z123:AA123" ca="1" si="975">+Z182</f>
        <v>#NAME?</v>
      </c>
      <c r="AA123" s="162" t="e">
        <f t="shared" ca="1" si="975"/>
        <v>#NAME?</v>
      </c>
      <c r="AB123" s="21" t="e">
        <f t="shared" ref="AA123:AD123" ca="1" si="976">+AB182</f>
        <v>#NAME?</v>
      </c>
      <c r="AC123" s="21" t="e">
        <f t="shared" ca="1" si="976"/>
        <v>#NAME?</v>
      </c>
      <c r="AD123" s="21" t="e">
        <f t="shared" ca="1" si="976"/>
        <v>#NAME?</v>
      </c>
      <c r="AE123" s="21" t="e">
        <f t="shared" ref="AE123" ca="1" si="977">+AE182</f>
        <v>#NAME?</v>
      </c>
      <c r="AL123" s="162" t="e">
        <f t="shared" ref="AL123:AM123" ca="1" si="978">+AL182</f>
        <v>#NAME?</v>
      </c>
      <c r="AM123" s="162" t="e">
        <f t="shared" ca="1" si="978"/>
        <v>#NAME?</v>
      </c>
      <c r="AN123" s="162" t="e">
        <f t="shared" ref="AN123:AO123" ca="1" si="979">+AN182</f>
        <v>#NAME?</v>
      </c>
      <c r="AO123" s="162" t="e">
        <f t="shared" ca="1" si="979"/>
        <v>#NAME?</v>
      </c>
      <c r="AP123" s="162" t="e">
        <f t="shared" ref="AP123:CD123" ca="1" si="980">+AP182</f>
        <v>#NAME?</v>
      </c>
      <c r="AQ123" s="162" t="e">
        <f t="shared" ca="1" si="980"/>
        <v>#NAME?</v>
      </c>
      <c r="AR123" s="162" t="e">
        <f t="shared" ca="1" si="980"/>
        <v>#NAME?</v>
      </c>
      <c r="AS123" s="162" t="e">
        <f t="shared" ca="1" si="980"/>
        <v>#NAME?</v>
      </c>
      <c r="AT123" s="162" t="e">
        <f t="shared" ca="1" si="980"/>
        <v>#NAME?</v>
      </c>
      <c r="AU123" s="162" t="e">
        <f t="shared" ca="1" si="980"/>
        <v>#NAME?</v>
      </c>
      <c r="AV123" s="162" t="e">
        <f t="shared" ca="1" si="980"/>
        <v>#NAME?</v>
      </c>
      <c r="AW123" s="162" t="e">
        <f t="shared" ca="1" si="980"/>
        <v>#NAME?</v>
      </c>
      <c r="AX123" s="162" t="e">
        <f t="shared" ca="1" si="980"/>
        <v>#NAME?</v>
      </c>
      <c r="AY123" s="162" t="e">
        <f t="shared" ca="1" si="980"/>
        <v>#NAME?</v>
      </c>
      <c r="AZ123" s="162" t="e">
        <f t="shared" ca="1" si="980"/>
        <v>#NAME?</v>
      </c>
      <c r="BA123" s="162" t="e">
        <f t="shared" ca="1" si="980"/>
        <v>#NAME?</v>
      </c>
      <c r="BB123" s="162" t="e">
        <f t="shared" ca="1" si="980"/>
        <v>#NAME?</v>
      </c>
      <c r="BC123" s="162" t="e">
        <f t="shared" ca="1" si="980"/>
        <v>#NAME?</v>
      </c>
      <c r="BD123" s="162" t="e">
        <f t="shared" ca="1" si="980"/>
        <v>#NAME?</v>
      </c>
      <c r="BE123" s="162" t="e">
        <f t="shared" ca="1" si="980"/>
        <v>#NAME?</v>
      </c>
      <c r="BF123" s="162" t="e">
        <f t="shared" ca="1" si="980"/>
        <v>#NAME?</v>
      </c>
      <c r="BG123" s="162" t="e">
        <f t="shared" ca="1" si="980"/>
        <v>#NAME?</v>
      </c>
      <c r="BH123" s="162" t="e">
        <f t="shared" ca="1" si="980"/>
        <v>#NAME?</v>
      </c>
      <c r="BI123" s="162" t="e">
        <f t="shared" ca="1" si="980"/>
        <v>#NAME?</v>
      </c>
      <c r="BJ123" s="162" t="e">
        <f t="shared" ca="1" si="980"/>
        <v>#NAME?</v>
      </c>
      <c r="BK123" s="162" t="e">
        <f t="shared" ca="1" si="980"/>
        <v>#NAME?</v>
      </c>
      <c r="BL123" s="162" t="e">
        <f t="shared" ca="1" si="980"/>
        <v>#NAME?</v>
      </c>
      <c r="BM123" s="162" t="e">
        <f t="shared" ca="1" si="980"/>
        <v>#NAME?</v>
      </c>
      <c r="BN123" s="162" t="e">
        <f t="shared" ca="1" si="980"/>
        <v>#NAME?</v>
      </c>
      <c r="BO123" s="162" t="e">
        <f t="shared" ca="1" si="980"/>
        <v>#NAME?</v>
      </c>
      <c r="BP123" s="162" t="e">
        <f t="shared" ca="1" si="980"/>
        <v>#NAME?</v>
      </c>
      <c r="BQ123" s="162" t="e">
        <f t="shared" ca="1" si="980"/>
        <v>#NAME?</v>
      </c>
      <c r="BR123" s="162" t="e">
        <f t="shared" ca="1" si="980"/>
        <v>#NAME?</v>
      </c>
      <c r="BS123" s="162" t="e">
        <f t="shared" ca="1" si="980"/>
        <v>#NAME?</v>
      </c>
      <c r="BT123" s="162" t="e">
        <f t="shared" ca="1" si="980"/>
        <v>#NAME?</v>
      </c>
      <c r="BU123" s="162" t="e">
        <f t="shared" ca="1" si="980"/>
        <v>#NAME?</v>
      </c>
      <c r="BV123" s="162" t="e">
        <f t="shared" ca="1" si="980"/>
        <v>#NAME?</v>
      </c>
      <c r="BW123" s="162" t="e">
        <f t="shared" ca="1" si="980"/>
        <v>#NAME?</v>
      </c>
      <c r="BX123" s="162" t="e">
        <f t="shared" ca="1" si="980"/>
        <v>#NAME?</v>
      </c>
      <c r="BY123" s="162" t="e">
        <f t="shared" ca="1" si="980"/>
        <v>#NAME?</v>
      </c>
      <c r="BZ123" s="162" t="e">
        <f t="shared" ca="1" si="980"/>
        <v>#NAME?</v>
      </c>
      <c r="CA123" s="162" t="e">
        <f t="shared" ca="1" si="980"/>
        <v>#NAME?</v>
      </c>
      <c r="CB123" s="162" t="e">
        <f t="shared" ca="1" si="980"/>
        <v>#NAME?</v>
      </c>
      <c r="CC123" s="162" t="e">
        <f t="shared" ca="1" si="980"/>
        <v>#NAME?</v>
      </c>
      <c r="CD123" s="162" t="e">
        <f t="shared" ca="1" si="980"/>
        <v>#NAME?</v>
      </c>
      <c r="CE123" s="162" t="e">
        <f t="shared" ref="CE123:CF123" ca="1" si="981">+CE182</f>
        <v>#NAME?</v>
      </c>
      <c r="CF123" s="162" t="e">
        <f t="shared" ca="1" si="981"/>
        <v>#NAME?</v>
      </c>
      <c r="CG123" s="162" t="e">
        <f t="shared" ref="CG123:CH123" ca="1" si="982">+CG182</f>
        <v>#NAME?</v>
      </c>
      <c r="CH123" s="162" t="e">
        <f t="shared" ca="1" si="982"/>
        <v>#NAME?</v>
      </c>
      <c r="CI123" s="162" t="e">
        <f t="shared" ref="CI123:CJ123" ca="1" si="983">+CI182</f>
        <v>#NAME?</v>
      </c>
      <c r="CJ123" s="162" t="e">
        <f t="shared" ca="1" si="983"/>
        <v>#NAME?</v>
      </c>
      <c r="CK123" s="162" t="e">
        <f t="shared" ref="CK123:CL123" ca="1" si="984">+CK182</f>
        <v>#NAME?</v>
      </c>
      <c r="CL123" s="162" t="e">
        <f t="shared" ca="1" si="984"/>
        <v>#NAME?</v>
      </c>
      <c r="CM123" s="21" t="e">
        <f t="shared" ref="CM123:DB123" ca="1" si="985">+CM182</f>
        <v>#NAME?</v>
      </c>
      <c r="CN123" s="21" t="e">
        <f t="shared" ca="1" si="985"/>
        <v>#NAME?</v>
      </c>
      <c r="CO123" s="21" t="e">
        <f t="shared" ca="1" si="985"/>
        <v>#NAME?</v>
      </c>
      <c r="CP123" s="21" t="e">
        <f t="shared" ca="1" si="985"/>
        <v>#NAME?</v>
      </c>
      <c r="CQ123" s="21" t="e">
        <f t="shared" ca="1" si="985"/>
        <v>#NAME?</v>
      </c>
      <c r="CR123" s="21" t="e">
        <f t="shared" ca="1" si="985"/>
        <v>#NAME?</v>
      </c>
      <c r="CS123" s="21" t="e">
        <f t="shared" ca="1" si="985"/>
        <v>#NAME?</v>
      </c>
      <c r="CT123" s="21" t="e">
        <f t="shared" ca="1" si="985"/>
        <v>#NAME?</v>
      </c>
      <c r="CU123" s="21" t="e">
        <f t="shared" ca="1" si="985"/>
        <v>#NAME?</v>
      </c>
      <c r="CV123" s="21" t="e">
        <f t="shared" ca="1" si="985"/>
        <v>#NAME?</v>
      </c>
      <c r="CW123" s="21" t="e">
        <f t="shared" ca="1" si="985"/>
        <v>#NAME?</v>
      </c>
      <c r="CX123" s="21" t="e">
        <f t="shared" ca="1" si="985"/>
        <v>#NAME?</v>
      </c>
      <c r="CY123" s="21" t="e">
        <f t="shared" ca="1" si="985"/>
        <v>#NAME?</v>
      </c>
      <c r="CZ123" s="21" t="e">
        <f t="shared" ca="1" si="985"/>
        <v>#NAME?</v>
      </c>
      <c r="DA123" s="21" t="e">
        <f t="shared" ca="1" si="985"/>
        <v>#NAME?</v>
      </c>
      <c r="DB123" s="21" t="e">
        <f t="shared" ca="1" si="985"/>
        <v>#NAME?</v>
      </c>
      <c r="DE123" s="22"/>
      <c r="DF123" s="162">
        <v>-2749.7959999999998</v>
      </c>
    </row>
    <row r="124" spans="1:110" s="162" customFormat="1" x14ac:dyDescent="0.2">
      <c r="A124" s="49" t="s">
        <v>342</v>
      </c>
      <c r="B124" s="162" t="e">
        <f ca="1">+B121+B123</f>
        <v>#NAME?</v>
      </c>
      <c r="C124" s="162" t="e">
        <f t="shared" ref="C124:W124" ca="1" si="986">+C121+C123</f>
        <v>#NAME?</v>
      </c>
      <c r="D124" s="162" t="e">
        <f t="shared" ca="1" si="986"/>
        <v>#NAME?</v>
      </c>
      <c r="E124" s="162">
        <f t="shared" ca="1" si="986"/>
        <v>0</v>
      </c>
      <c r="F124" s="162">
        <f t="shared" ca="1" si="986"/>
        <v>0</v>
      </c>
      <c r="G124" s="162">
        <f t="shared" ca="1" si="986"/>
        <v>0</v>
      </c>
      <c r="H124" s="162">
        <f t="shared" ca="1" si="986"/>
        <v>0</v>
      </c>
      <c r="I124" s="162">
        <f t="shared" ca="1" si="986"/>
        <v>-54.216157899999999</v>
      </c>
      <c r="J124" s="162">
        <f t="shared" ca="1" si="986"/>
        <v>-68.489040400000022</v>
      </c>
      <c r="K124" s="162">
        <f t="shared" ca="1" si="986"/>
        <v>25.794343599999991</v>
      </c>
      <c r="L124" s="162">
        <f t="shared" ca="1" si="986"/>
        <v>-109.9362</v>
      </c>
      <c r="M124" s="162">
        <f t="shared" ca="1" si="986"/>
        <v>9.9180999999999955</v>
      </c>
      <c r="N124" s="162">
        <f t="shared" ca="1" si="986"/>
        <v>-8.2121999999999957</v>
      </c>
      <c r="O124" s="162">
        <f t="shared" ca="1" si="986"/>
        <v>-47.665800000000004</v>
      </c>
      <c r="P124" s="162">
        <f t="shared" ca="1" si="986"/>
        <v>-102.24860000000001</v>
      </c>
      <c r="Q124" s="162">
        <f t="shared" ca="1" si="986"/>
        <v>-227.0087</v>
      </c>
      <c r="R124" s="162">
        <f t="shared" ca="1" si="986"/>
        <v>-271.43760000000003</v>
      </c>
      <c r="S124" s="162">
        <f t="shared" ca="1" si="986"/>
        <v>154.97560000000001</v>
      </c>
      <c r="T124" s="162">
        <f t="shared" ca="1" si="986"/>
        <v>224.82659999999998</v>
      </c>
      <c r="U124" s="162">
        <f t="shared" ca="1" si="986"/>
        <v>-442.93639999999999</v>
      </c>
      <c r="V124" s="162">
        <f t="shared" ca="1" si="986"/>
        <v>-478.24549999999999</v>
      </c>
      <c r="W124" s="162">
        <f t="shared" ca="1" si="986"/>
        <v>-494.92300000000006</v>
      </c>
      <c r="X124" s="162">
        <f t="shared" ref="X124:Y124" ca="1" si="987">+X121+X123</f>
        <v>-493.18799999999993</v>
      </c>
      <c r="Y124" s="162">
        <f t="shared" ca="1" si="987"/>
        <v>-682.47699999999986</v>
      </c>
      <c r="Z124" s="162">
        <f t="shared" ref="Z124:AA124" ca="1" si="988">+Z121+Z123</f>
        <v>-1325.5509999999999</v>
      </c>
      <c r="AA124" s="162">
        <f t="shared" ca="1" si="988"/>
        <v>-1325.5509999999999</v>
      </c>
      <c r="AB124" s="21">
        <f t="shared" ref="AA124:AD124" ca="1" si="989">+AB121+AB123</f>
        <v>972.71351221353416</v>
      </c>
      <c r="AC124" s="21">
        <f t="shared" ca="1" si="989"/>
        <v>1747.2389069169367</v>
      </c>
      <c r="AD124" s="21">
        <f t="shared" ca="1" si="989"/>
        <v>2554.2660829903925</v>
      </c>
      <c r="AE124" s="21">
        <f t="shared" ref="AE124" ca="1" si="990">+AE121+AE123</f>
        <v>3452.1862064943471</v>
      </c>
      <c r="AL124" s="162" t="e">
        <f t="shared" ref="AL124" ca="1" si="991">+AL121+AL123</f>
        <v>#NAME?</v>
      </c>
      <c r="AM124" s="162" t="e">
        <f t="shared" ref="AM124:AO124" ca="1" si="992">+AM121+AM123</f>
        <v>#NAME?</v>
      </c>
      <c r="AN124" s="162" t="e">
        <f t="shared" ca="1" si="992"/>
        <v>#NAME?</v>
      </c>
      <c r="AO124" s="162" t="e">
        <f t="shared" ca="1" si="992"/>
        <v>#NAME?</v>
      </c>
      <c r="AP124" s="162" t="e">
        <f t="shared" ref="AP124:CD124" ca="1" si="993">+AP121+AP123</f>
        <v>#NAME?</v>
      </c>
      <c r="AQ124" s="162" t="e">
        <f t="shared" ca="1" si="993"/>
        <v>#NAME?</v>
      </c>
      <c r="AR124" s="162" t="e">
        <f t="shared" ca="1" si="993"/>
        <v>#NAME?</v>
      </c>
      <c r="AS124" s="162" t="e">
        <f t="shared" ca="1" si="993"/>
        <v>#NAME?</v>
      </c>
      <c r="AT124" s="162" t="e">
        <f t="shared" ca="1" si="993"/>
        <v>#NAME?</v>
      </c>
      <c r="AU124" s="162" t="e">
        <f t="shared" ca="1" si="993"/>
        <v>#NAME?</v>
      </c>
      <c r="AV124" s="162" t="e">
        <f t="shared" ca="1" si="993"/>
        <v>#NAME?</v>
      </c>
      <c r="AW124" s="162" t="e">
        <f t="shared" ca="1" si="993"/>
        <v>#NAME?</v>
      </c>
      <c r="AX124" s="162" t="e">
        <f t="shared" ca="1" si="993"/>
        <v>#NAME?</v>
      </c>
      <c r="AY124" s="162" t="e">
        <f t="shared" ca="1" si="993"/>
        <v>#NAME?</v>
      </c>
      <c r="AZ124" s="162" t="e">
        <f t="shared" ca="1" si="993"/>
        <v>#NAME?</v>
      </c>
      <c r="BA124" s="162" t="e">
        <f t="shared" ca="1" si="993"/>
        <v>#NAME?</v>
      </c>
      <c r="BB124" s="162" t="e">
        <f t="shared" ca="1" si="993"/>
        <v>#NAME?</v>
      </c>
      <c r="BC124" s="162" t="e">
        <f t="shared" ca="1" si="993"/>
        <v>#NAME?</v>
      </c>
      <c r="BD124" s="162" t="e">
        <f t="shared" ca="1" si="993"/>
        <v>#NAME?</v>
      </c>
      <c r="BE124" s="162" t="e">
        <f t="shared" ca="1" si="993"/>
        <v>#NAME?</v>
      </c>
      <c r="BF124" s="162" t="e">
        <f t="shared" ca="1" si="993"/>
        <v>#NAME?</v>
      </c>
      <c r="BG124" s="162" t="e">
        <f t="shared" ca="1" si="993"/>
        <v>#NAME?</v>
      </c>
      <c r="BH124" s="162" t="e">
        <f t="shared" ca="1" si="993"/>
        <v>#NAME?</v>
      </c>
      <c r="BI124" s="162" t="e">
        <f t="shared" ca="1" si="993"/>
        <v>#NAME?</v>
      </c>
      <c r="BJ124" s="162" t="e">
        <f t="shared" ca="1" si="993"/>
        <v>#NAME?</v>
      </c>
      <c r="BK124" s="162" t="e">
        <f t="shared" ca="1" si="993"/>
        <v>#NAME?</v>
      </c>
      <c r="BL124" s="162" t="e">
        <f t="shared" ca="1" si="993"/>
        <v>#NAME?</v>
      </c>
      <c r="BM124" s="162" t="e">
        <f t="shared" ca="1" si="993"/>
        <v>#NAME?</v>
      </c>
      <c r="BN124" s="162" t="e">
        <f t="shared" ca="1" si="993"/>
        <v>#NAME?</v>
      </c>
      <c r="BO124" s="162" t="e">
        <f t="shared" ca="1" si="993"/>
        <v>#NAME?</v>
      </c>
      <c r="BP124" s="162" t="e">
        <f t="shared" ca="1" si="993"/>
        <v>#NAME?</v>
      </c>
      <c r="BQ124" s="162" t="e">
        <f t="shared" ca="1" si="993"/>
        <v>#NAME?</v>
      </c>
      <c r="BR124" s="162" t="e">
        <f t="shared" ca="1" si="993"/>
        <v>#NAME?</v>
      </c>
      <c r="BS124" s="162" t="e">
        <f t="shared" ca="1" si="993"/>
        <v>#NAME?</v>
      </c>
      <c r="BT124" s="162" t="e">
        <f t="shared" ca="1" si="993"/>
        <v>#NAME?</v>
      </c>
      <c r="BU124" s="162" t="e">
        <f t="shared" ca="1" si="993"/>
        <v>#NAME?</v>
      </c>
      <c r="BV124" s="162" t="e">
        <f t="shared" ca="1" si="993"/>
        <v>#NAME?</v>
      </c>
      <c r="BW124" s="162" t="e">
        <f t="shared" ca="1" si="993"/>
        <v>#NAME?</v>
      </c>
      <c r="BX124" s="162" t="e">
        <f t="shared" ca="1" si="993"/>
        <v>#NAME?</v>
      </c>
      <c r="BY124" s="162" t="e">
        <f t="shared" ca="1" si="993"/>
        <v>#NAME?</v>
      </c>
      <c r="BZ124" s="162" t="e">
        <f t="shared" ca="1" si="993"/>
        <v>#NAME?</v>
      </c>
      <c r="CA124" s="162" t="e">
        <f t="shared" ca="1" si="993"/>
        <v>#NAME?</v>
      </c>
      <c r="CB124" s="162" t="e">
        <f t="shared" ca="1" si="993"/>
        <v>#NAME?</v>
      </c>
      <c r="CC124" s="162" t="e">
        <f t="shared" ca="1" si="993"/>
        <v>#NAME?</v>
      </c>
      <c r="CD124" s="162" t="e">
        <f t="shared" ca="1" si="993"/>
        <v>#NAME?</v>
      </c>
      <c r="CE124" s="162" t="e">
        <f t="shared" ref="CE124:CF124" ca="1" si="994">+CE121+CE123</f>
        <v>#NAME?</v>
      </c>
      <c r="CF124" s="162" t="e">
        <f t="shared" ca="1" si="994"/>
        <v>#NAME?</v>
      </c>
      <c r="CG124" s="162" t="e">
        <f t="shared" ref="CG124:CH124" ca="1" si="995">+CG121+CG123</f>
        <v>#NAME?</v>
      </c>
      <c r="CH124" s="162" t="e">
        <f t="shared" ca="1" si="995"/>
        <v>#NAME?</v>
      </c>
      <c r="CI124" s="162" t="e">
        <f t="shared" ref="CI124:CJ124" ca="1" si="996">+CI121+CI123</f>
        <v>#NAME?</v>
      </c>
      <c r="CJ124" s="162" t="e">
        <f t="shared" ca="1" si="996"/>
        <v>#NAME?</v>
      </c>
      <c r="CK124" s="162" t="e">
        <f t="shared" ref="CK124:CL124" ca="1" si="997">+CK121+CK123</f>
        <v>#NAME?</v>
      </c>
      <c r="CL124" s="162" t="e">
        <f t="shared" ca="1" si="997"/>
        <v>#NAME?</v>
      </c>
      <c r="CM124" s="21" t="e">
        <f t="shared" ref="CM124:DB124" ca="1" si="998">+CM121+CM123</f>
        <v>#NAME?</v>
      </c>
      <c r="CN124" s="21" t="e">
        <f t="shared" ca="1" si="998"/>
        <v>#NAME?</v>
      </c>
      <c r="CO124" s="21" t="e">
        <f t="shared" ca="1" si="998"/>
        <v>#NAME?</v>
      </c>
      <c r="CP124" s="21" t="e">
        <f t="shared" ca="1" si="998"/>
        <v>#NAME?</v>
      </c>
      <c r="CQ124" s="21" t="e">
        <f t="shared" ca="1" si="998"/>
        <v>#NAME?</v>
      </c>
      <c r="CR124" s="21" t="e">
        <f t="shared" ca="1" si="998"/>
        <v>#NAME?</v>
      </c>
      <c r="CS124" s="21" t="e">
        <f t="shared" ca="1" si="998"/>
        <v>#NAME?</v>
      </c>
      <c r="CT124" s="21" t="e">
        <f t="shared" ca="1" si="998"/>
        <v>#NAME?</v>
      </c>
      <c r="CU124" s="21" t="e">
        <f t="shared" ca="1" si="998"/>
        <v>#NAME?</v>
      </c>
      <c r="CV124" s="21" t="e">
        <f t="shared" ca="1" si="998"/>
        <v>#NAME?</v>
      </c>
      <c r="CW124" s="21" t="e">
        <f t="shared" ca="1" si="998"/>
        <v>#NAME?</v>
      </c>
      <c r="CX124" s="21" t="e">
        <f t="shared" ca="1" si="998"/>
        <v>#NAME?</v>
      </c>
      <c r="CY124" s="21" t="e">
        <f t="shared" ca="1" si="998"/>
        <v>#NAME?</v>
      </c>
      <c r="CZ124" s="21" t="e">
        <f t="shared" ca="1" si="998"/>
        <v>#NAME?</v>
      </c>
      <c r="DA124" s="21" t="e">
        <f t="shared" ca="1" si="998"/>
        <v>#NAME?</v>
      </c>
      <c r="DB124" s="21" t="e">
        <f t="shared" ca="1" si="998"/>
        <v>#NAME?</v>
      </c>
      <c r="DE124" s="22"/>
      <c r="DF124" s="162">
        <v>2237.54826</v>
      </c>
    </row>
    <row r="125" spans="1:110" s="162" customFormat="1" x14ac:dyDescent="0.2">
      <c r="A125" s="49" t="s">
        <v>345</v>
      </c>
      <c r="B125" s="162" t="e">
        <f ca="1">+B122+B123</f>
        <v>#NAME?</v>
      </c>
      <c r="C125" s="162" t="e">
        <f t="shared" ref="C125:W125" ca="1" si="999">+C122+C123</f>
        <v>#NAME?</v>
      </c>
      <c r="D125" s="162" t="e">
        <f t="shared" ca="1" si="999"/>
        <v>#NAME?</v>
      </c>
      <c r="E125" s="162">
        <f t="shared" ca="1" si="999"/>
        <v>0</v>
      </c>
      <c r="F125" s="162">
        <f t="shared" ca="1" si="999"/>
        <v>0</v>
      </c>
      <c r="G125" s="162">
        <f t="shared" ca="1" si="999"/>
        <v>0</v>
      </c>
      <c r="H125" s="162">
        <f t="shared" ca="1" si="999"/>
        <v>0</v>
      </c>
      <c r="I125" s="162">
        <f t="shared" ca="1" si="999"/>
        <v>-54.216157899999999</v>
      </c>
      <c r="J125" s="162">
        <f t="shared" ca="1" si="999"/>
        <v>-68.489040400000022</v>
      </c>
      <c r="K125" s="162">
        <f t="shared" ca="1" si="999"/>
        <v>25.794343599999991</v>
      </c>
      <c r="L125" s="162">
        <f t="shared" ca="1" si="999"/>
        <v>-109.9362</v>
      </c>
      <c r="M125" s="162">
        <f t="shared" ca="1" si="999"/>
        <v>9.9180999999999955</v>
      </c>
      <c r="N125" s="162">
        <f t="shared" ca="1" si="999"/>
        <v>-8.2121999999999957</v>
      </c>
      <c r="O125" s="162">
        <f t="shared" ca="1" si="999"/>
        <v>-47.665800000000004</v>
      </c>
      <c r="P125" s="162">
        <f t="shared" ca="1" si="999"/>
        <v>-102.24860000000001</v>
      </c>
      <c r="Q125" s="162">
        <f t="shared" ca="1" si="999"/>
        <v>-227.0087</v>
      </c>
      <c r="R125" s="162">
        <f t="shared" ca="1" si="999"/>
        <v>-271.43760000000003</v>
      </c>
      <c r="S125" s="162">
        <f t="shared" ca="1" si="999"/>
        <v>154.97560000000001</v>
      </c>
      <c r="T125" s="162">
        <f t="shared" ca="1" si="999"/>
        <v>224.82659999999998</v>
      </c>
      <c r="U125" s="162">
        <f t="shared" ca="1" si="999"/>
        <v>-442.93639999999999</v>
      </c>
      <c r="V125" s="162">
        <f t="shared" ca="1" si="999"/>
        <v>-478.24549999999999</v>
      </c>
      <c r="W125" s="162">
        <f t="shared" ca="1" si="999"/>
        <v>-494.92300000000006</v>
      </c>
      <c r="X125" s="162">
        <f t="shared" ref="X125:Y125" ca="1" si="1000">+X122+X123</f>
        <v>-493.18799999999993</v>
      </c>
      <c r="Y125" s="162">
        <f t="shared" ca="1" si="1000"/>
        <v>-682.47699999999986</v>
      </c>
      <c r="Z125" s="162">
        <f t="shared" ref="Z125:AA125" ca="1" si="1001">+Z122+Z123</f>
        <v>-1325.5509999999999</v>
      </c>
      <c r="AA125" s="162">
        <f t="shared" ca="1" si="1001"/>
        <v>-1325.5509999999999</v>
      </c>
      <c r="AB125" s="21">
        <f t="shared" ref="AA125:AD125" ca="1" si="1002">+AB122+AB123</f>
        <v>-468.15791273974446</v>
      </c>
      <c r="AC125" s="21">
        <f t="shared" ca="1" si="1002"/>
        <v>-279.34548975254438</v>
      </c>
      <c r="AD125" s="21">
        <f t="shared" ca="1" si="1002"/>
        <v>110.48233524415718</v>
      </c>
      <c r="AE125" s="21">
        <f t="shared" ref="AE125" ca="1" si="1003">+AE122+AE123</f>
        <v>463.93229874421286</v>
      </c>
      <c r="AL125" s="162" t="e">
        <f t="shared" ref="AL125:AM125" ca="1" si="1004">+AL122+AL123</f>
        <v>#NAME?</v>
      </c>
      <c r="AM125" s="162" t="e">
        <f t="shared" ca="1" si="1004"/>
        <v>#NAME?</v>
      </c>
      <c r="AN125" s="162" t="e">
        <f t="shared" ref="AN125:AO125" ca="1" si="1005">+AN122+AN123</f>
        <v>#NAME?</v>
      </c>
      <c r="AO125" s="162" t="e">
        <f t="shared" ca="1" si="1005"/>
        <v>#NAME?</v>
      </c>
      <c r="AP125" s="162" t="e">
        <f t="shared" ref="AP125:CD125" ca="1" si="1006">+AP122+AP123</f>
        <v>#NAME?</v>
      </c>
      <c r="AQ125" s="162" t="e">
        <f t="shared" ca="1" si="1006"/>
        <v>#NAME?</v>
      </c>
      <c r="AR125" s="162" t="e">
        <f t="shared" ca="1" si="1006"/>
        <v>#NAME?</v>
      </c>
      <c r="AS125" s="162" t="e">
        <f t="shared" ca="1" si="1006"/>
        <v>#NAME?</v>
      </c>
      <c r="AT125" s="162" t="e">
        <f t="shared" ca="1" si="1006"/>
        <v>#NAME?</v>
      </c>
      <c r="AU125" s="162" t="e">
        <f t="shared" ca="1" si="1006"/>
        <v>#NAME?</v>
      </c>
      <c r="AV125" s="162" t="e">
        <f t="shared" ca="1" si="1006"/>
        <v>#NAME?</v>
      </c>
      <c r="AW125" s="162" t="e">
        <f t="shared" ca="1" si="1006"/>
        <v>#NAME?</v>
      </c>
      <c r="AX125" s="162" t="e">
        <f t="shared" ca="1" si="1006"/>
        <v>#NAME?</v>
      </c>
      <c r="AY125" s="162" t="e">
        <f t="shared" ca="1" si="1006"/>
        <v>#NAME?</v>
      </c>
      <c r="AZ125" s="162" t="e">
        <f t="shared" ca="1" si="1006"/>
        <v>#NAME?</v>
      </c>
      <c r="BA125" s="162" t="e">
        <f t="shared" ca="1" si="1006"/>
        <v>#NAME?</v>
      </c>
      <c r="BB125" s="162" t="e">
        <f t="shared" ca="1" si="1006"/>
        <v>#NAME?</v>
      </c>
      <c r="BC125" s="162" t="e">
        <f t="shared" ca="1" si="1006"/>
        <v>#NAME?</v>
      </c>
      <c r="BD125" s="162" t="e">
        <f t="shared" ca="1" si="1006"/>
        <v>#NAME?</v>
      </c>
      <c r="BE125" s="162" t="e">
        <f t="shared" ca="1" si="1006"/>
        <v>#NAME?</v>
      </c>
      <c r="BF125" s="162" t="e">
        <f t="shared" ca="1" si="1006"/>
        <v>#NAME?</v>
      </c>
      <c r="BG125" s="162" t="e">
        <f t="shared" ca="1" si="1006"/>
        <v>#NAME?</v>
      </c>
      <c r="BH125" s="162" t="e">
        <f t="shared" ca="1" si="1006"/>
        <v>#NAME?</v>
      </c>
      <c r="BI125" s="162" t="e">
        <f t="shared" ca="1" si="1006"/>
        <v>#NAME?</v>
      </c>
      <c r="BJ125" s="162" t="e">
        <f t="shared" ca="1" si="1006"/>
        <v>#NAME?</v>
      </c>
      <c r="BK125" s="162" t="e">
        <f t="shared" ca="1" si="1006"/>
        <v>#NAME?</v>
      </c>
      <c r="BL125" s="162" t="e">
        <f t="shared" ca="1" si="1006"/>
        <v>#NAME?</v>
      </c>
      <c r="BM125" s="162" t="e">
        <f t="shared" ca="1" si="1006"/>
        <v>#NAME?</v>
      </c>
      <c r="BN125" s="162" t="e">
        <f t="shared" ca="1" si="1006"/>
        <v>#NAME?</v>
      </c>
      <c r="BO125" s="162" t="e">
        <f t="shared" ca="1" si="1006"/>
        <v>#NAME?</v>
      </c>
      <c r="BP125" s="162" t="e">
        <f t="shared" ca="1" si="1006"/>
        <v>#NAME?</v>
      </c>
      <c r="BQ125" s="162" t="e">
        <f t="shared" ca="1" si="1006"/>
        <v>#NAME?</v>
      </c>
      <c r="BR125" s="162" t="e">
        <f t="shared" ca="1" si="1006"/>
        <v>#NAME?</v>
      </c>
      <c r="BS125" s="162" t="e">
        <f t="shared" ca="1" si="1006"/>
        <v>#NAME?</v>
      </c>
      <c r="BT125" s="162" t="e">
        <f t="shared" ca="1" si="1006"/>
        <v>#NAME?</v>
      </c>
      <c r="BU125" s="162" t="e">
        <f t="shared" ca="1" si="1006"/>
        <v>#NAME?</v>
      </c>
      <c r="BV125" s="162" t="e">
        <f t="shared" ca="1" si="1006"/>
        <v>#NAME?</v>
      </c>
      <c r="BW125" s="162" t="e">
        <f t="shared" ca="1" si="1006"/>
        <v>#NAME?</v>
      </c>
      <c r="BX125" s="162" t="e">
        <f t="shared" ca="1" si="1006"/>
        <v>#NAME?</v>
      </c>
      <c r="BY125" s="162" t="e">
        <f t="shared" ca="1" si="1006"/>
        <v>#NAME?</v>
      </c>
      <c r="BZ125" s="162" t="e">
        <f t="shared" ca="1" si="1006"/>
        <v>#NAME?</v>
      </c>
      <c r="CA125" s="162" t="e">
        <f t="shared" ca="1" si="1006"/>
        <v>#NAME?</v>
      </c>
      <c r="CB125" s="162" t="e">
        <f t="shared" ca="1" si="1006"/>
        <v>#NAME?</v>
      </c>
      <c r="CC125" s="162" t="e">
        <f t="shared" ca="1" si="1006"/>
        <v>#NAME?</v>
      </c>
      <c r="CD125" s="162" t="e">
        <f t="shared" ca="1" si="1006"/>
        <v>#NAME?</v>
      </c>
      <c r="CE125" s="162" t="e">
        <f t="shared" ref="CE125:CF125" ca="1" si="1007">+CE122+CE123</f>
        <v>#NAME?</v>
      </c>
      <c r="CF125" s="162" t="e">
        <f t="shared" ca="1" si="1007"/>
        <v>#NAME?</v>
      </c>
      <c r="CG125" s="162" t="e">
        <f t="shared" ref="CG125:CH125" ca="1" si="1008">+CG122+CG123</f>
        <v>#NAME?</v>
      </c>
      <c r="CH125" s="162" t="e">
        <f t="shared" ca="1" si="1008"/>
        <v>#NAME?</v>
      </c>
      <c r="CI125" s="162" t="e">
        <f t="shared" ref="CI125:CJ125" ca="1" si="1009">+CI122+CI123</f>
        <v>#NAME?</v>
      </c>
      <c r="CJ125" s="162" t="e">
        <f t="shared" ca="1" si="1009"/>
        <v>#NAME?</v>
      </c>
      <c r="CK125" s="162" t="e">
        <f t="shared" ref="CK125:CL125" ca="1" si="1010">+CK122+CK123</f>
        <v>#NAME?</v>
      </c>
      <c r="CL125" s="162" t="e">
        <f t="shared" ca="1" si="1010"/>
        <v>#NAME?</v>
      </c>
      <c r="CM125" s="21" t="e">
        <f t="shared" ref="CM125:DB125" ca="1" si="1011">+CM122+CM123</f>
        <v>#NAME?</v>
      </c>
      <c r="CN125" s="21" t="e">
        <f t="shared" ca="1" si="1011"/>
        <v>#NAME?</v>
      </c>
      <c r="CO125" s="21" t="e">
        <f t="shared" ca="1" si="1011"/>
        <v>#NAME?</v>
      </c>
      <c r="CP125" s="21" t="e">
        <f t="shared" ca="1" si="1011"/>
        <v>#NAME?</v>
      </c>
      <c r="CQ125" s="21" t="e">
        <f t="shared" ca="1" si="1011"/>
        <v>#NAME?</v>
      </c>
      <c r="CR125" s="21" t="e">
        <f t="shared" ca="1" si="1011"/>
        <v>#NAME?</v>
      </c>
      <c r="CS125" s="21" t="e">
        <f t="shared" ca="1" si="1011"/>
        <v>#NAME?</v>
      </c>
      <c r="CT125" s="21" t="e">
        <f t="shared" ca="1" si="1011"/>
        <v>#NAME?</v>
      </c>
      <c r="CU125" s="21" t="e">
        <f t="shared" ca="1" si="1011"/>
        <v>#NAME?</v>
      </c>
      <c r="CV125" s="21" t="e">
        <f t="shared" ca="1" si="1011"/>
        <v>#NAME?</v>
      </c>
      <c r="CW125" s="21" t="e">
        <f t="shared" ca="1" si="1011"/>
        <v>#NAME?</v>
      </c>
      <c r="CX125" s="21" t="e">
        <f t="shared" ca="1" si="1011"/>
        <v>#NAME?</v>
      </c>
      <c r="CY125" s="21" t="e">
        <f t="shared" ca="1" si="1011"/>
        <v>#NAME?</v>
      </c>
      <c r="CZ125" s="21" t="e">
        <f t="shared" ca="1" si="1011"/>
        <v>#NAME?</v>
      </c>
      <c r="DA125" s="21" t="e">
        <f t="shared" ca="1" si="1011"/>
        <v>#NAME?</v>
      </c>
      <c r="DB125" s="21" t="e">
        <f t="shared" ca="1" si="1011"/>
        <v>#NAME?</v>
      </c>
      <c r="DE125" s="22"/>
      <c r="DF125" s="162">
        <v>-2749.7959999999998</v>
      </c>
    </row>
    <row r="126" spans="1:110" s="162" customFormat="1" x14ac:dyDescent="0.2">
      <c r="A126" s="49" t="s">
        <v>13</v>
      </c>
      <c r="B126" s="162" t="e">
        <f t="shared" ref="B126:AE126" ca="1" si="1012">+B42</f>
        <v>#NAME?</v>
      </c>
      <c r="C126" s="162" t="e">
        <f t="shared" ca="1" si="1012"/>
        <v>#NAME?</v>
      </c>
      <c r="D126" s="162" t="e">
        <f t="shared" ca="1" si="1012"/>
        <v>#NAME?</v>
      </c>
      <c r="E126" s="162" t="e">
        <f t="shared" ca="1" si="1012"/>
        <v>#NAME?</v>
      </c>
      <c r="F126" s="162" t="e">
        <f t="shared" ca="1" si="1012"/>
        <v>#NAME?</v>
      </c>
      <c r="G126" s="162" t="e">
        <f t="shared" ca="1" si="1012"/>
        <v>#NAME?</v>
      </c>
      <c r="H126" s="162" t="e">
        <f t="shared" ca="1" si="1012"/>
        <v>#NAME?</v>
      </c>
      <c r="I126" s="162" t="e">
        <f t="shared" ca="1" si="1012"/>
        <v>#NAME?</v>
      </c>
      <c r="J126" s="162" t="e">
        <f t="shared" ca="1" si="1012"/>
        <v>#NAME?</v>
      </c>
      <c r="K126" s="162" t="e">
        <f t="shared" ca="1" si="1012"/>
        <v>#NAME?</v>
      </c>
      <c r="L126" s="162" t="e">
        <f t="shared" ca="1" si="1012"/>
        <v>#NAME?</v>
      </c>
      <c r="M126" s="162" t="e">
        <f t="shared" ca="1" si="1012"/>
        <v>#NAME?</v>
      </c>
      <c r="N126" s="162" t="e">
        <f t="shared" ca="1" si="1012"/>
        <v>#NAME?</v>
      </c>
      <c r="O126" s="162" t="e">
        <f t="shared" ca="1" si="1012"/>
        <v>#NAME?</v>
      </c>
      <c r="P126" s="162" t="e">
        <f t="shared" ca="1" si="1012"/>
        <v>#NAME?</v>
      </c>
      <c r="Q126" s="162" t="e">
        <f t="shared" ca="1" si="1012"/>
        <v>#NAME?</v>
      </c>
      <c r="R126" s="162" t="e">
        <f t="shared" ca="1" si="1012"/>
        <v>#NAME?</v>
      </c>
      <c r="S126" s="162" t="e">
        <f t="shared" ca="1" si="1012"/>
        <v>#NAME?</v>
      </c>
      <c r="T126" s="162" t="e">
        <f t="shared" ca="1" si="1012"/>
        <v>#NAME?</v>
      </c>
      <c r="U126" s="162" t="e">
        <f t="shared" ca="1" si="1012"/>
        <v>#NAME?</v>
      </c>
      <c r="V126" s="162" t="e">
        <f t="shared" ca="1" si="1012"/>
        <v>#NAME?</v>
      </c>
      <c r="W126" s="162" t="e">
        <f t="shared" ca="1" si="1012"/>
        <v>#NAME?</v>
      </c>
      <c r="X126" s="162" t="e">
        <f t="shared" ca="1" si="1012"/>
        <v>#NAME?</v>
      </c>
      <c r="Y126" s="162" t="e">
        <f t="shared" ca="1" si="1012"/>
        <v>#NAME?</v>
      </c>
      <c r="Z126" s="162" t="e">
        <f t="shared" ca="1" si="1012"/>
        <v>#NAME?</v>
      </c>
      <c r="AA126" s="162" t="e">
        <f t="shared" ref="AA126" ca="1" si="1013">+AA42</f>
        <v>#NAME?</v>
      </c>
      <c r="AB126" s="21" t="e">
        <f t="shared" ca="1" si="1012"/>
        <v>#NAME?</v>
      </c>
      <c r="AC126" s="21" t="e">
        <f t="shared" ca="1" si="1012"/>
        <v>#NAME?</v>
      </c>
      <c r="AD126" s="21" t="e">
        <f t="shared" ca="1" si="1012"/>
        <v>#NAME?</v>
      </c>
      <c r="AE126" s="21" t="e">
        <f t="shared" ca="1" si="1012"/>
        <v>#NAME?</v>
      </c>
      <c r="AL126" s="162" t="e">
        <f t="shared" ref="AL126:BQ126" ca="1" si="1014">+SUM(AI42:AL42)</f>
        <v>#NAME?</v>
      </c>
      <c r="AM126" s="162" t="e">
        <f t="shared" ca="1" si="1014"/>
        <v>#NAME?</v>
      </c>
      <c r="AN126" s="162" t="e">
        <f t="shared" ca="1" si="1014"/>
        <v>#NAME?</v>
      </c>
      <c r="AO126" s="162" t="e">
        <f t="shared" ca="1" si="1014"/>
        <v>#NAME?</v>
      </c>
      <c r="AP126" s="162" t="e">
        <f t="shared" ca="1" si="1014"/>
        <v>#NAME?</v>
      </c>
      <c r="AQ126" s="162" t="e">
        <f t="shared" ca="1" si="1014"/>
        <v>#NAME?</v>
      </c>
      <c r="AR126" s="162" t="e">
        <f t="shared" ca="1" si="1014"/>
        <v>#NAME?</v>
      </c>
      <c r="AS126" s="162" t="e">
        <f t="shared" ca="1" si="1014"/>
        <v>#NAME?</v>
      </c>
      <c r="AT126" s="162" t="e">
        <f t="shared" ca="1" si="1014"/>
        <v>#NAME?</v>
      </c>
      <c r="AU126" s="162" t="e">
        <f t="shared" ca="1" si="1014"/>
        <v>#NAME?</v>
      </c>
      <c r="AV126" s="162" t="e">
        <f t="shared" ca="1" si="1014"/>
        <v>#NAME?</v>
      </c>
      <c r="AW126" s="162" t="e">
        <f t="shared" ca="1" si="1014"/>
        <v>#NAME?</v>
      </c>
      <c r="AX126" s="162" t="e">
        <f t="shared" ca="1" si="1014"/>
        <v>#NAME?</v>
      </c>
      <c r="AY126" s="162" t="e">
        <f t="shared" ca="1" si="1014"/>
        <v>#NAME?</v>
      </c>
      <c r="AZ126" s="162" t="e">
        <f t="shared" ca="1" si="1014"/>
        <v>#NAME?</v>
      </c>
      <c r="BA126" s="162" t="e">
        <f t="shared" ca="1" si="1014"/>
        <v>#NAME?</v>
      </c>
      <c r="BB126" s="162" t="e">
        <f t="shared" ca="1" si="1014"/>
        <v>#NAME?</v>
      </c>
      <c r="BC126" s="162" t="e">
        <f t="shared" ca="1" si="1014"/>
        <v>#NAME?</v>
      </c>
      <c r="BD126" s="162" t="e">
        <f t="shared" ca="1" si="1014"/>
        <v>#NAME?</v>
      </c>
      <c r="BE126" s="162" t="e">
        <f t="shared" ca="1" si="1014"/>
        <v>#NAME?</v>
      </c>
      <c r="BF126" s="162" t="e">
        <f t="shared" ca="1" si="1014"/>
        <v>#NAME?</v>
      </c>
      <c r="BG126" s="162" t="e">
        <f t="shared" ca="1" si="1014"/>
        <v>#NAME?</v>
      </c>
      <c r="BH126" s="162" t="e">
        <f t="shared" ca="1" si="1014"/>
        <v>#NAME?</v>
      </c>
      <c r="BI126" s="162" t="e">
        <f t="shared" ca="1" si="1014"/>
        <v>#NAME?</v>
      </c>
      <c r="BJ126" s="162" t="e">
        <f t="shared" ca="1" si="1014"/>
        <v>#NAME?</v>
      </c>
      <c r="BK126" s="162" t="e">
        <f t="shared" ca="1" si="1014"/>
        <v>#NAME?</v>
      </c>
      <c r="BL126" s="162" t="e">
        <f t="shared" ca="1" si="1014"/>
        <v>#NAME?</v>
      </c>
      <c r="BM126" s="162" t="e">
        <f t="shared" ca="1" si="1014"/>
        <v>#NAME?</v>
      </c>
      <c r="BN126" s="162" t="e">
        <f t="shared" ca="1" si="1014"/>
        <v>#NAME?</v>
      </c>
      <c r="BO126" s="162" t="e">
        <f t="shared" ca="1" si="1014"/>
        <v>#NAME?</v>
      </c>
      <c r="BP126" s="162" t="e">
        <f t="shared" ca="1" si="1014"/>
        <v>#NAME?</v>
      </c>
      <c r="BQ126" s="162" t="e">
        <f t="shared" ca="1" si="1014"/>
        <v>#NAME?</v>
      </c>
      <c r="BR126" s="162" t="e">
        <f t="shared" ref="BR126:CW126" ca="1" si="1015">+SUM(BO42:BR42)</f>
        <v>#NAME?</v>
      </c>
      <c r="BS126" s="162" t="e">
        <f t="shared" ca="1" si="1015"/>
        <v>#NAME?</v>
      </c>
      <c r="BT126" s="162" t="e">
        <f t="shared" ca="1" si="1015"/>
        <v>#NAME?</v>
      </c>
      <c r="BU126" s="162" t="e">
        <f t="shared" ca="1" si="1015"/>
        <v>#NAME?</v>
      </c>
      <c r="BV126" s="162" t="e">
        <f t="shared" ca="1" si="1015"/>
        <v>#NAME?</v>
      </c>
      <c r="BW126" s="162" t="e">
        <f t="shared" ca="1" si="1015"/>
        <v>#NAME?</v>
      </c>
      <c r="BX126" s="162" t="e">
        <f t="shared" ca="1" si="1015"/>
        <v>#NAME?</v>
      </c>
      <c r="BY126" s="162" t="e">
        <f t="shared" ca="1" si="1015"/>
        <v>#NAME?</v>
      </c>
      <c r="BZ126" s="162" t="e">
        <f t="shared" ca="1" si="1015"/>
        <v>#NAME?</v>
      </c>
      <c r="CA126" s="162" t="e">
        <f t="shared" ca="1" si="1015"/>
        <v>#NAME?</v>
      </c>
      <c r="CB126" s="162" t="e">
        <f t="shared" ca="1" si="1015"/>
        <v>#NAME?</v>
      </c>
      <c r="CC126" s="162" t="e">
        <f t="shared" ca="1" si="1015"/>
        <v>#NAME?</v>
      </c>
      <c r="CD126" s="162" t="e">
        <f t="shared" ca="1" si="1015"/>
        <v>#NAME?</v>
      </c>
      <c r="CE126" s="162" t="e">
        <f t="shared" ca="1" si="1015"/>
        <v>#NAME?</v>
      </c>
      <c r="CF126" s="162" t="e">
        <f t="shared" ca="1" si="1015"/>
        <v>#NAME?</v>
      </c>
      <c r="CG126" s="162" t="e">
        <f t="shared" ca="1" si="1015"/>
        <v>#NAME?</v>
      </c>
      <c r="CH126" s="162" t="e">
        <f t="shared" ca="1" si="1015"/>
        <v>#NAME?</v>
      </c>
      <c r="CI126" s="162" t="e">
        <f t="shared" ca="1" si="1015"/>
        <v>#NAME?</v>
      </c>
      <c r="CJ126" s="162" t="e">
        <f t="shared" ca="1" si="1015"/>
        <v>#NAME?</v>
      </c>
      <c r="CK126" s="162" t="e">
        <f t="shared" ca="1" si="1015"/>
        <v>#NAME?</v>
      </c>
      <c r="CL126" s="162" t="e">
        <f t="shared" ca="1" si="1015"/>
        <v>#NAME?</v>
      </c>
      <c r="CM126" s="21" t="e">
        <f t="shared" ca="1" si="1015"/>
        <v>#NAME?</v>
      </c>
      <c r="CN126" s="21" t="e">
        <f t="shared" ca="1" si="1015"/>
        <v>#NAME?</v>
      </c>
      <c r="CO126" s="21" t="e">
        <f t="shared" ca="1" si="1015"/>
        <v>#NAME?</v>
      </c>
      <c r="CP126" s="21" t="e">
        <f t="shared" ca="1" si="1015"/>
        <v>#NAME?</v>
      </c>
      <c r="CQ126" s="21" t="e">
        <f t="shared" ca="1" si="1015"/>
        <v>#NAME?</v>
      </c>
      <c r="CR126" s="21" t="e">
        <f t="shared" ca="1" si="1015"/>
        <v>#NAME?</v>
      </c>
      <c r="CS126" s="21" t="e">
        <f t="shared" ca="1" si="1015"/>
        <v>#NAME?</v>
      </c>
      <c r="CT126" s="21" t="e">
        <f t="shared" ca="1" si="1015"/>
        <v>#NAME?</v>
      </c>
      <c r="CU126" s="21" t="e">
        <f t="shared" ca="1" si="1015"/>
        <v>#NAME?</v>
      </c>
      <c r="CV126" s="21" t="e">
        <f t="shared" ca="1" si="1015"/>
        <v>#NAME?</v>
      </c>
      <c r="CW126" s="21" t="e">
        <f t="shared" ca="1" si="1015"/>
        <v>#NAME?</v>
      </c>
      <c r="CX126" s="21" t="e">
        <f t="shared" ref="CX126:DB126" ca="1" si="1016">+SUM(CU42:CX42)</f>
        <v>#NAME?</v>
      </c>
      <c r="CY126" s="21" t="e">
        <f t="shared" ca="1" si="1016"/>
        <v>#NAME?</v>
      </c>
      <c r="CZ126" s="21" t="e">
        <f t="shared" ca="1" si="1016"/>
        <v>#NAME?</v>
      </c>
      <c r="DA126" s="21" t="e">
        <f t="shared" ca="1" si="1016"/>
        <v>#NAME?</v>
      </c>
      <c r="DB126" s="21" t="e">
        <f t="shared" ca="1" si="1016"/>
        <v>#NAME?</v>
      </c>
      <c r="DE126" s="22"/>
      <c r="DF126" s="162">
        <v>378.86900000000003</v>
      </c>
    </row>
    <row r="127" spans="1:110" s="162" customFormat="1" x14ac:dyDescent="0.2">
      <c r="A127" s="49" t="s">
        <v>343</v>
      </c>
      <c r="B127" s="162" t="e">
        <f ca="1">+B124/B126</f>
        <v>#NAME?</v>
      </c>
      <c r="C127" s="162" t="e">
        <f t="shared" ref="C127:W127" ca="1" si="1017">+C124/C126</f>
        <v>#NAME?</v>
      </c>
      <c r="D127" s="162" t="e">
        <f t="shared" ca="1" si="1017"/>
        <v>#NAME?</v>
      </c>
      <c r="E127" s="162" t="e">
        <f t="shared" ca="1" si="1017"/>
        <v>#DIV/0!</v>
      </c>
      <c r="F127" s="162" t="e">
        <f t="shared" ca="1" si="1017"/>
        <v>#DIV/0!</v>
      </c>
      <c r="G127" s="162" t="e">
        <f t="shared" ca="1" si="1017"/>
        <v>#DIV/0!</v>
      </c>
      <c r="H127" s="162" t="e">
        <f t="shared" ca="1" si="1017"/>
        <v>#DIV/0!</v>
      </c>
      <c r="I127" s="162">
        <f t="shared" ca="1" si="1017"/>
        <v>-2.7159712551128075</v>
      </c>
      <c r="J127" s="162">
        <f t="shared" ca="1" si="1017"/>
        <v>4.229529408393625</v>
      </c>
      <c r="K127" s="162">
        <f t="shared" ca="1" si="1017"/>
        <v>0.56790608585057156</v>
      </c>
      <c r="L127" s="162">
        <f t="shared" ca="1" si="1017"/>
        <v>-89.31367292225265</v>
      </c>
      <c r="M127" s="162">
        <f t="shared" ca="1" si="1017"/>
        <v>4.5902253899199197</v>
      </c>
      <c r="N127" s="162">
        <f t="shared" ca="1" si="1017"/>
        <v>-0.787235062358004</v>
      </c>
      <c r="O127" s="162">
        <f t="shared" ca="1" si="1017"/>
        <v>10.242559683692546</v>
      </c>
      <c r="P127" s="162">
        <f t="shared" ca="1" si="1017"/>
        <v>-9.4743055169474193</v>
      </c>
      <c r="Q127" s="162">
        <f t="shared" ca="1" si="1017"/>
        <v>-17.67677656476306</v>
      </c>
      <c r="R127" s="162">
        <f t="shared" ca="1" si="1017"/>
        <v>38.754654483152386</v>
      </c>
      <c r="S127" s="162">
        <f t="shared" ca="1" si="1017"/>
        <v>6.0819823320029363</v>
      </c>
      <c r="T127" s="162">
        <f t="shared" ca="1" si="1017"/>
        <v>73.754748548371623</v>
      </c>
      <c r="U127" s="162">
        <f t="shared" ca="1" si="1017"/>
        <v>-10.007442268197291</v>
      </c>
      <c r="V127" s="162">
        <f t="shared" ca="1" si="1017"/>
        <v>-9.6919913911203679</v>
      </c>
      <c r="W127" s="162">
        <f t="shared" ca="1" si="1017"/>
        <v>-4.3564481061906388</v>
      </c>
      <c r="X127" s="162">
        <f t="shared" ref="X127:Y127" ca="1" si="1018">+X124/X126</f>
        <v>-4.2860941886031609</v>
      </c>
      <c r="Y127" s="162">
        <f t="shared" ca="1" si="1018"/>
        <v>-2.9597760469069843</v>
      </c>
      <c r="Z127" s="162">
        <f t="shared" ref="Z127:AA127" ca="1" si="1019">+Z124/Z126</f>
        <v>-4.2585657972094699</v>
      </c>
      <c r="AA127" s="162">
        <f t="shared" ca="1" si="1019"/>
        <v>-4.2585657972094699</v>
      </c>
      <c r="AB127" s="21">
        <f t="shared" ref="AA127:AD127" ca="1" si="1020">+AB124/AB126</f>
        <v>2.0047331919361637</v>
      </c>
      <c r="AC127" s="21">
        <f t="shared" ca="1" si="1020"/>
        <v>2.942919664399978</v>
      </c>
      <c r="AD127" s="21">
        <f t="shared" ca="1" si="1020"/>
        <v>3.510680797933917</v>
      </c>
      <c r="AE127" s="21">
        <f t="shared" ref="AE127" ca="1" si="1021">+AE124/AE126</f>
        <v>3.871242023793994</v>
      </c>
      <c r="AL127" s="162" t="e">
        <f t="shared" ref="AL127" ca="1" si="1022">+AL124/AL126</f>
        <v>#NAME?</v>
      </c>
      <c r="AM127" s="162" t="e">
        <f t="shared" ref="AM127:AO127" ca="1" si="1023">+AM124/AM126</f>
        <v>#NAME?</v>
      </c>
      <c r="AN127" s="162" t="e">
        <f t="shared" ca="1" si="1023"/>
        <v>#NAME?</v>
      </c>
      <c r="AO127" s="162" t="e">
        <f t="shared" ca="1" si="1023"/>
        <v>#NAME?</v>
      </c>
      <c r="AP127" s="162" t="e">
        <f t="shared" ref="AP127:CD127" ca="1" si="1024">+AP124/AP126</f>
        <v>#NAME?</v>
      </c>
      <c r="AQ127" s="162" t="e">
        <f t="shared" ca="1" si="1024"/>
        <v>#NAME?</v>
      </c>
      <c r="AR127" s="162" t="e">
        <f t="shared" ca="1" si="1024"/>
        <v>#NAME?</v>
      </c>
      <c r="AS127" s="162" t="e">
        <f t="shared" ca="1" si="1024"/>
        <v>#NAME?</v>
      </c>
      <c r="AT127" s="162" t="e">
        <f t="shared" ca="1" si="1024"/>
        <v>#NAME?</v>
      </c>
      <c r="AU127" s="162" t="e">
        <f t="shared" ca="1" si="1024"/>
        <v>#NAME?</v>
      </c>
      <c r="AV127" s="162" t="e">
        <f t="shared" ca="1" si="1024"/>
        <v>#NAME?</v>
      </c>
      <c r="AW127" s="162" t="e">
        <f t="shared" ca="1" si="1024"/>
        <v>#NAME?</v>
      </c>
      <c r="AX127" s="162" t="e">
        <f t="shared" ca="1" si="1024"/>
        <v>#NAME?</v>
      </c>
      <c r="AY127" s="162" t="e">
        <f t="shared" ca="1" si="1024"/>
        <v>#NAME?</v>
      </c>
      <c r="AZ127" s="162" t="e">
        <f t="shared" ca="1" si="1024"/>
        <v>#NAME?</v>
      </c>
      <c r="BA127" s="162" t="e">
        <f t="shared" ca="1" si="1024"/>
        <v>#NAME?</v>
      </c>
      <c r="BB127" s="162" t="e">
        <f t="shared" ca="1" si="1024"/>
        <v>#NAME?</v>
      </c>
      <c r="BC127" s="162" t="e">
        <f t="shared" ca="1" si="1024"/>
        <v>#NAME?</v>
      </c>
      <c r="BD127" s="162" t="e">
        <f t="shared" ca="1" si="1024"/>
        <v>#NAME?</v>
      </c>
      <c r="BE127" s="162" t="e">
        <f t="shared" ca="1" si="1024"/>
        <v>#NAME?</v>
      </c>
      <c r="BF127" s="162" t="e">
        <f t="shared" ca="1" si="1024"/>
        <v>#NAME?</v>
      </c>
      <c r="BG127" s="162" t="e">
        <f t="shared" ca="1" si="1024"/>
        <v>#NAME?</v>
      </c>
      <c r="BH127" s="162" t="e">
        <f t="shared" ca="1" si="1024"/>
        <v>#NAME?</v>
      </c>
      <c r="BI127" s="162" t="e">
        <f t="shared" ca="1" si="1024"/>
        <v>#NAME?</v>
      </c>
      <c r="BJ127" s="162" t="e">
        <f t="shared" ca="1" si="1024"/>
        <v>#NAME?</v>
      </c>
      <c r="BK127" s="162" t="e">
        <f t="shared" ca="1" si="1024"/>
        <v>#NAME?</v>
      </c>
      <c r="BL127" s="162" t="e">
        <f t="shared" ca="1" si="1024"/>
        <v>#NAME?</v>
      </c>
      <c r="BM127" s="162" t="e">
        <f t="shared" ca="1" si="1024"/>
        <v>#NAME?</v>
      </c>
      <c r="BN127" s="162" t="e">
        <f t="shared" ca="1" si="1024"/>
        <v>#NAME?</v>
      </c>
      <c r="BO127" s="162" t="e">
        <f t="shared" ca="1" si="1024"/>
        <v>#NAME?</v>
      </c>
      <c r="BP127" s="162" t="e">
        <f t="shared" ca="1" si="1024"/>
        <v>#NAME?</v>
      </c>
      <c r="BQ127" s="162" t="e">
        <f t="shared" ca="1" si="1024"/>
        <v>#NAME?</v>
      </c>
      <c r="BR127" s="162" t="e">
        <f t="shared" ca="1" si="1024"/>
        <v>#NAME?</v>
      </c>
      <c r="BS127" s="162" t="e">
        <f t="shared" ca="1" si="1024"/>
        <v>#NAME?</v>
      </c>
      <c r="BT127" s="162" t="e">
        <f t="shared" ca="1" si="1024"/>
        <v>#NAME?</v>
      </c>
      <c r="BU127" s="162" t="e">
        <f t="shared" ca="1" si="1024"/>
        <v>#NAME?</v>
      </c>
      <c r="BV127" s="162" t="e">
        <f t="shared" ca="1" si="1024"/>
        <v>#NAME?</v>
      </c>
      <c r="BW127" s="162" t="e">
        <f t="shared" ca="1" si="1024"/>
        <v>#NAME?</v>
      </c>
      <c r="BX127" s="162" t="e">
        <f t="shared" ca="1" si="1024"/>
        <v>#NAME?</v>
      </c>
      <c r="BY127" s="162" t="e">
        <f t="shared" ca="1" si="1024"/>
        <v>#NAME?</v>
      </c>
      <c r="BZ127" s="162" t="e">
        <f t="shared" ca="1" si="1024"/>
        <v>#NAME?</v>
      </c>
      <c r="CA127" s="162" t="e">
        <f t="shared" ca="1" si="1024"/>
        <v>#NAME?</v>
      </c>
      <c r="CB127" s="162" t="e">
        <f t="shared" ca="1" si="1024"/>
        <v>#NAME?</v>
      </c>
      <c r="CC127" s="162" t="e">
        <f t="shared" ca="1" si="1024"/>
        <v>#NAME?</v>
      </c>
      <c r="CD127" s="162" t="e">
        <f t="shared" ca="1" si="1024"/>
        <v>#NAME?</v>
      </c>
      <c r="CE127" s="162" t="e">
        <f t="shared" ref="CE127:CF127" ca="1" si="1025">+CE124/CE126</f>
        <v>#NAME?</v>
      </c>
      <c r="CF127" s="162" t="e">
        <f t="shared" ca="1" si="1025"/>
        <v>#NAME?</v>
      </c>
      <c r="CG127" s="162" t="e">
        <f t="shared" ref="CG127:CH127" ca="1" si="1026">+CG124/CG126</f>
        <v>#NAME?</v>
      </c>
      <c r="CH127" s="162" t="e">
        <f t="shared" ca="1" si="1026"/>
        <v>#NAME?</v>
      </c>
      <c r="CI127" s="162" t="e">
        <f t="shared" ref="CI127:CJ127" ca="1" si="1027">+CI124/CI126</f>
        <v>#NAME?</v>
      </c>
      <c r="CJ127" s="162" t="e">
        <f t="shared" ca="1" si="1027"/>
        <v>#NAME?</v>
      </c>
      <c r="CK127" s="162" t="e">
        <f t="shared" ref="CK127:CL127" ca="1" si="1028">+CK124/CK126</f>
        <v>#NAME?</v>
      </c>
      <c r="CL127" s="162" t="e">
        <f t="shared" ca="1" si="1028"/>
        <v>#NAME?</v>
      </c>
      <c r="CM127" s="21" t="e">
        <f t="shared" ref="CM127:DB127" ca="1" si="1029">+CM124/CM126</f>
        <v>#NAME?</v>
      </c>
      <c r="CN127" s="21" t="e">
        <f t="shared" ca="1" si="1029"/>
        <v>#NAME?</v>
      </c>
      <c r="CO127" s="21" t="e">
        <f t="shared" ca="1" si="1029"/>
        <v>#NAME?</v>
      </c>
      <c r="CP127" s="21" t="e">
        <f t="shared" ca="1" si="1029"/>
        <v>#NAME?</v>
      </c>
      <c r="CQ127" s="21" t="e">
        <f t="shared" ca="1" si="1029"/>
        <v>#NAME?</v>
      </c>
      <c r="CR127" s="21" t="e">
        <f t="shared" ca="1" si="1029"/>
        <v>#NAME?</v>
      </c>
      <c r="CS127" s="21" t="e">
        <f t="shared" ca="1" si="1029"/>
        <v>#NAME?</v>
      </c>
      <c r="CT127" s="21" t="e">
        <f t="shared" ca="1" si="1029"/>
        <v>#NAME?</v>
      </c>
      <c r="CU127" s="21" t="e">
        <f t="shared" ca="1" si="1029"/>
        <v>#NAME?</v>
      </c>
      <c r="CV127" s="21" t="e">
        <f t="shared" ca="1" si="1029"/>
        <v>#NAME?</v>
      </c>
      <c r="CW127" s="21" t="e">
        <f t="shared" ca="1" si="1029"/>
        <v>#NAME?</v>
      </c>
      <c r="CX127" s="21" t="e">
        <f t="shared" ca="1" si="1029"/>
        <v>#NAME?</v>
      </c>
      <c r="CY127" s="21" t="e">
        <f t="shared" ca="1" si="1029"/>
        <v>#NAME?</v>
      </c>
      <c r="CZ127" s="21" t="e">
        <f t="shared" ca="1" si="1029"/>
        <v>#NAME?</v>
      </c>
      <c r="DA127" s="21" t="e">
        <f t="shared" ca="1" si="1029"/>
        <v>#NAME?</v>
      </c>
      <c r="DB127" s="21" t="e">
        <f t="shared" ca="1" si="1029"/>
        <v>#NAME?</v>
      </c>
      <c r="DE127" s="22"/>
      <c r="DF127" s="162">
        <v>5.9058626068641136</v>
      </c>
    </row>
    <row r="128" spans="1:110" s="162" customFormat="1" x14ac:dyDescent="0.2">
      <c r="A128" s="49" t="s">
        <v>344</v>
      </c>
      <c r="B128" s="162" t="e">
        <f ca="1">+B125/B126</f>
        <v>#NAME?</v>
      </c>
      <c r="C128" s="162" t="e">
        <f t="shared" ref="C128:W128" ca="1" si="1030">+C125/C126</f>
        <v>#NAME?</v>
      </c>
      <c r="D128" s="162" t="e">
        <f t="shared" ca="1" si="1030"/>
        <v>#NAME?</v>
      </c>
      <c r="E128" s="162" t="e">
        <f t="shared" ca="1" si="1030"/>
        <v>#DIV/0!</v>
      </c>
      <c r="F128" s="162" t="e">
        <f t="shared" ca="1" si="1030"/>
        <v>#DIV/0!</v>
      </c>
      <c r="G128" s="162" t="e">
        <f t="shared" ca="1" si="1030"/>
        <v>#DIV/0!</v>
      </c>
      <c r="H128" s="162" t="e">
        <f t="shared" ca="1" si="1030"/>
        <v>#DIV/0!</v>
      </c>
      <c r="I128" s="162">
        <f t="shared" ca="1" si="1030"/>
        <v>-2.7159712551128075</v>
      </c>
      <c r="J128" s="162">
        <f t="shared" ca="1" si="1030"/>
        <v>4.229529408393625</v>
      </c>
      <c r="K128" s="162">
        <f t="shared" ca="1" si="1030"/>
        <v>0.56790608585057156</v>
      </c>
      <c r="L128" s="162">
        <f t="shared" ca="1" si="1030"/>
        <v>-89.31367292225265</v>
      </c>
      <c r="M128" s="162">
        <f t="shared" ca="1" si="1030"/>
        <v>4.5902253899199197</v>
      </c>
      <c r="N128" s="162">
        <f t="shared" ca="1" si="1030"/>
        <v>-0.787235062358004</v>
      </c>
      <c r="O128" s="162">
        <f t="shared" ca="1" si="1030"/>
        <v>10.242559683692546</v>
      </c>
      <c r="P128" s="162">
        <f t="shared" ca="1" si="1030"/>
        <v>-9.4743055169474193</v>
      </c>
      <c r="Q128" s="162">
        <f t="shared" ca="1" si="1030"/>
        <v>-17.67677656476306</v>
      </c>
      <c r="R128" s="162">
        <f t="shared" ca="1" si="1030"/>
        <v>38.754654483152386</v>
      </c>
      <c r="S128" s="162">
        <f t="shared" ca="1" si="1030"/>
        <v>6.0819823320029363</v>
      </c>
      <c r="T128" s="162">
        <f t="shared" ca="1" si="1030"/>
        <v>73.754748548371623</v>
      </c>
      <c r="U128" s="162">
        <f t="shared" ca="1" si="1030"/>
        <v>-10.007442268197291</v>
      </c>
      <c r="V128" s="162">
        <f t="shared" ca="1" si="1030"/>
        <v>-9.6919913911203679</v>
      </c>
      <c r="W128" s="162">
        <f t="shared" ca="1" si="1030"/>
        <v>-4.3564481061906388</v>
      </c>
      <c r="X128" s="162">
        <f t="shared" ref="X128:Y128" ca="1" si="1031">+X125/X126</f>
        <v>-4.2860941886031609</v>
      </c>
      <c r="Y128" s="162">
        <f t="shared" ca="1" si="1031"/>
        <v>-2.9597760469069843</v>
      </c>
      <c r="Z128" s="162">
        <f t="shared" ref="Z128:AA128" ca="1" si="1032">+Z125/Z126</f>
        <v>-4.2585657972094699</v>
      </c>
      <c r="AA128" s="162">
        <f t="shared" ca="1" si="1032"/>
        <v>-4.2585657972094699</v>
      </c>
      <c r="AB128" s="21">
        <f t="shared" ref="AA128:AD128" ca="1" si="1033">+AB125/AB126</f>
        <v>-0.96485932903427107</v>
      </c>
      <c r="AC128" s="21">
        <f t="shared" ca="1" si="1033"/>
        <v>-0.47050883064687121</v>
      </c>
      <c r="AD128" s="21">
        <f t="shared" ca="1" si="1033"/>
        <v>0.15185113854640617</v>
      </c>
      <c r="AE128" s="21">
        <f t="shared" ref="AE128" ca="1" si="1034">+AE125/AE126</f>
        <v>0.52024835963809635</v>
      </c>
      <c r="AL128" s="162" t="e">
        <f t="shared" ref="AL128:AM128" ca="1" si="1035">+AL125/AL126</f>
        <v>#NAME?</v>
      </c>
      <c r="AM128" s="162" t="e">
        <f t="shared" ca="1" si="1035"/>
        <v>#NAME?</v>
      </c>
      <c r="AN128" s="162" t="e">
        <f t="shared" ref="AN128:AO128" ca="1" si="1036">+AN125/AN126</f>
        <v>#NAME?</v>
      </c>
      <c r="AO128" s="162" t="e">
        <f t="shared" ca="1" si="1036"/>
        <v>#NAME?</v>
      </c>
      <c r="AP128" s="162" t="e">
        <f t="shared" ref="AP128:CD128" ca="1" si="1037">+AP125/AP126</f>
        <v>#NAME?</v>
      </c>
      <c r="AQ128" s="162" t="e">
        <f t="shared" ca="1" si="1037"/>
        <v>#NAME?</v>
      </c>
      <c r="AR128" s="162" t="e">
        <f t="shared" ca="1" si="1037"/>
        <v>#NAME?</v>
      </c>
      <c r="AS128" s="162" t="e">
        <f t="shared" ca="1" si="1037"/>
        <v>#NAME?</v>
      </c>
      <c r="AT128" s="162" t="e">
        <f t="shared" ca="1" si="1037"/>
        <v>#NAME?</v>
      </c>
      <c r="AU128" s="162" t="e">
        <f t="shared" ca="1" si="1037"/>
        <v>#NAME?</v>
      </c>
      <c r="AV128" s="162" t="e">
        <f t="shared" ca="1" si="1037"/>
        <v>#NAME?</v>
      </c>
      <c r="AW128" s="162" t="e">
        <f t="shared" ca="1" si="1037"/>
        <v>#NAME?</v>
      </c>
      <c r="AX128" s="162" t="e">
        <f t="shared" ca="1" si="1037"/>
        <v>#NAME?</v>
      </c>
      <c r="AY128" s="162" t="e">
        <f t="shared" ca="1" si="1037"/>
        <v>#NAME?</v>
      </c>
      <c r="AZ128" s="162" t="e">
        <f t="shared" ca="1" si="1037"/>
        <v>#NAME?</v>
      </c>
      <c r="BA128" s="162" t="e">
        <f t="shared" ca="1" si="1037"/>
        <v>#NAME?</v>
      </c>
      <c r="BB128" s="162" t="e">
        <f t="shared" ca="1" si="1037"/>
        <v>#NAME?</v>
      </c>
      <c r="BC128" s="162" t="e">
        <f t="shared" ca="1" si="1037"/>
        <v>#NAME?</v>
      </c>
      <c r="BD128" s="162" t="e">
        <f t="shared" ca="1" si="1037"/>
        <v>#NAME?</v>
      </c>
      <c r="BE128" s="162" t="e">
        <f t="shared" ca="1" si="1037"/>
        <v>#NAME?</v>
      </c>
      <c r="BF128" s="162" t="e">
        <f t="shared" ca="1" si="1037"/>
        <v>#NAME?</v>
      </c>
      <c r="BG128" s="162" t="e">
        <f t="shared" ca="1" si="1037"/>
        <v>#NAME?</v>
      </c>
      <c r="BH128" s="162" t="e">
        <f t="shared" ca="1" si="1037"/>
        <v>#NAME?</v>
      </c>
      <c r="BI128" s="162" t="e">
        <f t="shared" ca="1" si="1037"/>
        <v>#NAME?</v>
      </c>
      <c r="BJ128" s="162" t="e">
        <f t="shared" ca="1" si="1037"/>
        <v>#NAME?</v>
      </c>
      <c r="BK128" s="162" t="e">
        <f t="shared" ca="1" si="1037"/>
        <v>#NAME?</v>
      </c>
      <c r="BL128" s="162" t="e">
        <f t="shared" ca="1" si="1037"/>
        <v>#NAME?</v>
      </c>
      <c r="BM128" s="162" t="e">
        <f t="shared" ca="1" si="1037"/>
        <v>#NAME?</v>
      </c>
      <c r="BN128" s="162" t="e">
        <f t="shared" ca="1" si="1037"/>
        <v>#NAME?</v>
      </c>
      <c r="BO128" s="162" t="e">
        <f t="shared" ca="1" si="1037"/>
        <v>#NAME?</v>
      </c>
      <c r="BP128" s="162" t="e">
        <f t="shared" ca="1" si="1037"/>
        <v>#NAME?</v>
      </c>
      <c r="BQ128" s="162" t="e">
        <f t="shared" ca="1" si="1037"/>
        <v>#NAME?</v>
      </c>
      <c r="BR128" s="162" t="e">
        <f t="shared" ca="1" si="1037"/>
        <v>#NAME?</v>
      </c>
      <c r="BS128" s="162" t="e">
        <f t="shared" ca="1" si="1037"/>
        <v>#NAME?</v>
      </c>
      <c r="BT128" s="162" t="e">
        <f t="shared" ca="1" si="1037"/>
        <v>#NAME?</v>
      </c>
      <c r="BU128" s="162" t="e">
        <f t="shared" ca="1" si="1037"/>
        <v>#NAME?</v>
      </c>
      <c r="BV128" s="162" t="e">
        <f t="shared" ca="1" si="1037"/>
        <v>#NAME?</v>
      </c>
      <c r="BW128" s="162" t="e">
        <f t="shared" ca="1" si="1037"/>
        <v>#NAME?</v>
      </c>
      <c r="BX128" s="162" t="e">
        <f t="shared" ca="1" si="1037"/>
        <v>#NAME?</v>
      </c>
      <c r="BY128" s="162" t="e">
        <f t="shared" ca="1" si="1037"/>
        <v>#NAME?</v>
      </c>
      <c r="BZ128" s="162" t="e">
        <f t="shared" ca="1" si="1037"/>
        <v>#NAME?</v>
      </c>
      <c r="CA128" s="162" t="e">
        <f t="shared" ca="1" si="1037"/>
        <v>#NAME?</v>
      </c>
      <c r="CB128" s="162" t="e">
        <f t="shared" ca="1" si="1037"/>
        <v>#NAME?</v>
      </c>
      <c r="CC128" s="162" t="e">
        <f t="shared" ca="1" si="1037"/>
        <v>#NAME?</v>
      </c>
      <c r="CD128" s="162" t="e">
        <f t="shared" ca="1" si="1037"/>
        <v>#NAME?</v>
      </c>
      <c r="CE128" s="162" t="e">
        <f t="shared" ref="CE128:CF128" ca="1" si="1038">+CE125/CE126</f>
        <v>#NAME?</v>
      </c>
      <c r="CF128" s="162" t="e">
        <f t="shared" ca="1" si="1038"/>
        <v>#NAME?</v>
      </c>
      <c r="CG128" s="162" t="e">
        <f t="shared" ref="CG128:CH128" ca="1" si="1039">+CG125/CG126</f>
        <v>#NAME?</v>
      </c>
      <c r="CH128" s="162" t="e">
        <f t="shared" ca="1" si="1039"/>
        <v>#NAME?</v>
      </c>
      <c r="CI128" s="162" t="e">
        <f t="shared" ref="CI128:CJ128" ca="1" si="1040">+CI125/CI126</f>
        <v>#NAME?</v>
      </c>
      <c r="CJ128" s="162" t="e">
        <f t="shared" ca="1" si="1040"/>
        <v>#NAME?</v>
      </c>
      <c r="CK128" s="162" t="e">
        <f t="shared" ref="CK128:CL128" ca="1" si="1041">+CK125/CK126</f>
        <v>#NAME?</v>
      </c>
      <c r="CL128" s="162" t="e">
        <f t="shared" ca="1" si="1041"/>
        <v>#NAME?</v>
      </c>
      <c r="CM128" s="21" t="e">
        <f t="shared" ref="CM128:DB128" ca="1" si="1042">+CM125/CM126</f>
        <v>#NAME?</v>
      </c>
      <c r="CN128" s="21" t="e">
        <f t="shared" ca="1" si="1042"/>
        <v>#NAME?</v>
      </c>
      <c r="CO128" s="21" t="e">
        <f t="shared" ca="1" si="1042"/>
        <v>#NAME?</v>
      </c>
      <c r="CP128" s="21" t="e">
        <f t="shared" ca="1" si="1042"/>
        <v>#NAME?</v>
      </c>
      <c r="CQ128" s="21" t="e">
        <f t="shared" ca="1" si="1042"/>
        <v>#NAME?</v>
      </c>
      <c r="CR128" s="21" t="e">
        <f t="shared" ca="1" si="1042"/>
        <v>#NAME?</v>
      </c>
      <c r="CS128" s="21" t="e">
        <f t="shared" ca="1" si="1042"/>
        <v>#NAME?</v>
      </c>
      <c r="CT128" s="21" t="e">
        <f t="shared" ca="1" si="1042"/>
        <v>#NAME?</v>
      </c>
      <c r="CU128" s="21" t="e">
        <f t="shared" ca="1" si="1042"/>
        <v>#NAME?</v>
      </c>
      <c r="CV128" s="21" t="e">
        <f t="shared" ca="1" si="1042"/>
        <v>#NAME?</v>
      </c>
      <c r="CW128" s="21" t="e">
        <f t="shared" ca="1" si="1042"/>
        <v>#NAME?</v>
      </c>
      <c r="CX128" s="21" t="e">
        <f t="shared" ca="1" si="1042"/>
        <v>#NAME?</v>
      </c>
      <c r="CY128" s="21" t="e">
        <f t="shared" ca="1" si="1042"/>
        <v>#NAME?</v>
      </c>
      <c r="CZ128" s="21" t="e">
        <f t="shared" ca="1" si="1042"/>
        <v>#NAME?</v>
      </c>
      <c r="DA128" s="21" t="e">
        <f t="shared" ca="1" si="1042"/>
        <v>#NAME?</v>
      </c>
      <c r="DB128" s="21" t="e">
        <f t="shared" ca="1" si="1042"/>
        <v>#NAME?</v>
      </c>
      <c r="DE128" s="22"/>
      <c r="DF128" s="162">
        <v>-7.2579070866183288</v>
      </c>
    </row>
    <row r="129" spans="1:110" s="10" customFormat="1" x14ac:dyDescent="0.2">
      <c r="A129" s="149" t="s">
        <v>490</v>
      </c>
      <c r="AB129" s="20"/>
      <c r="AC129" s="20"/>
      <c r="AD129" s="20"/>
      <c r="AE129" s="20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E129" s="126"/>
    </row>
    <row r="130" spans="1:110" x14ac:dyDescent="0.2">
      <c r="A130" s="152" t="s">
        <v>491</v>
      </c>
      <c r="AA130" s="2"/>
    </row>
    <row r="131" spans="1:110" s="23" customFormat="1" outlineLevel="1" x14ac:dyDescent="0.2">
      <c r="A131" s="23" t="s">
        <v>41</v>
      </c>
      <c r="B131" s="23" t="e">
        <f ca="1">'Annual Raw'!C41</f>
        <v>#NAME?</v>
      </c>
      <c r="C131" s="23" t="e">
        <f ca="1">'Annual Raw'!D41</f>
        <v>#NAME?</v>
      </c>
      <c r="D131" s="23" t="e">
        <f ca="1">'Annual Raw'!E41</f>
        <v>#NAME?</v>
      </c>
      <c r="E131" s="23" t="e">
        <f ca="1">'Annual Raw'!F41</f>
        <v>#NAME?</v>
      </c>
      <c r="F131" s="23" t="e">
        <f ca="1">'Annual Raw'!G41</f>
        <v>#NAME?</v>
      </c>
      <c r="G131" s="23" t="e">
        <f ca="1">'Annual Raw'!H41</f>
        <v>#NAME?</v>
      </c>
      <c r="H131" s="23" t="e">
        <f ca="1">'Annual Raw'!I41</f>
        <v>#NAME?</v>
      </c>
      <c r="I131" s="23" t="e">
        <f ca="1">'Annual Raw'!J41</f>
        <v>#NAME?</v>
      </c>
      <c r="J131" s="23" t="e">
        <f ca="1">'Annual Raw'!K41</f>
        <v>#NAME?</v>
      </c>
      <c r="K131" s="23" t="e">
        <f ca="1">'Annual Raw'!L41</f>
        <v>#NAME?</v>
      </c>
      <c r="L131" s="23" t="e">
        <f ca="1">'Annual Raw'!M41</f>
        <v>#NAME?</v>
      </c>
      <c r="M131" s="23" t="e">
        <f ca="1">'Annual Raw'!N41</f>
        <v>#NAME?</v>
      </c>
      <c r="N131" s="23" t="e">
        <f ca="1">'Annual Raw'!O41</f>
        <v>#NAME?</v>
      </c>
      <c r="O131" s="23" t="e">
        <f ca="1">'Annual Raw'!P41</f>
        <v>#NAME?</v>
      </c>
      <c r="P131" s="23" t="e">
        <f ca="1">'Annual Raw'!Q41</f>
        <v>#NAME?</v>
      </c>
      <c r="Q131" s="23" t="e">
        <f ca="1">'Annual Raw'!R41</f>
        <v>#NAME?</v>
      </c>
      <c r="R131" s="23" t="e">
        <f ca="1">'Annual Raw'!S41</f>
        <v>#NAME?</v>
      </c>
      <c r="S131" s="23" t="e">
        <f ca="1">'Annual Raw'!T41</f>
        <v>#NAME?</v>
      </c>
      <c r="T131" s="23" t="e">
        <f ca="1">'Annual Raw'!U41</f>
        <v>#NAME?</v>
      </c>
      <c r="U131" s="23" t="e">
        <f ca="1">'Annual Raw'!V41</f>
        <v>#NAME?</v>
      </c>
      <c r="V131" s="23" t="e">
        <f ca="1">'Annual Raw'!W41</f>
        <v>#NAME?</v>
      </c>
      <c r="W131" s="23" t="e">
        <f ca="1">'Annual Raw'!X41</f>
        <v>#NAME?</v>
      </c>
      <c r="X131" s="23" t="e">
        <f ca="1">'Annual Raw'!Y41</f>
        <v>#NAME?</v>
      </c>
      <c r="Y131" s="23" t="e">
        <f ca="1">'Annual Raw'!Z41</f>
        <v>#NAME?</v>
      </c>
      <c r="Z131" s="23" t="e">
        <f ca="1">'Annual Raw'!AA41</f>
        <v>#NAME?</v>
      </c>
      <c r="AA131" s="23" t="e">
        <f ca="1">'Annual Raw'!AB41</f>
        <v>#NAME?</v>
      </c>
      <c r="AB131" s="24" t="e">
        <f ca="1">+CP131</f>
        <v>#NAME?</v>
      </c>
      <c r="AC131" s="24" t="e">
        <f ca="1">+CT131</f>
        <v>#NAME?</v>
      </c>
      <c r="AD131" s="24" t="e">
        <f ca="1">+CX131</f>
        <v>#NAME?</v>
      </c>
      <c r="AE131" s="24" t="e">
        <f ca="1">+DB131</f>
        <v>#NAME?</v>
      </c>
      <c r="AJ131" s="23" t="e">
        <f ca="1">+'QTR Raw'!D56</f>
        <v>#NAME?</v>
      </c>
      <c r="AK131" s="23" t="e">
        <f t="shared" ref="AK131:CE131" ca="1" si="1043">+AJ131</f>
        <v>#NAME?</v>
      </c>
      <c r="AL131" s="23" t="e">
        <f ca="1">+'QTR Raw'!F56</f>
        <v>#NAME?</v>
      </c>
      <c r="AM131" s="23" t="e">
        <f t="shared" ca="1" si="1043"/>
        <v>#NAME?</v>
      </c>
      <c r="AN131" s="23" t="e">
        <f ca="1">+'QTR Raw'!H56</f>
        <v>#NAME?</v>
      </c>
      <c r="AO131" s="23" t="e">
        <f t="shared" ca="1" si="1043"/>
        <v>#NAME?</v>
      </c>
      <c r="AP131" s="23" t="e">
        <f ca="1">+'QTR Raw'!J56</f>
        <v>#NAME?</v>
      </c>
      <c r="AQ131" s="23" t="e">
        <f t="shared" ca="1" si="1043"/>
        <v>#NAME?</v>
      </c>
      <c r="AR131" s="23" t="e">
        <f ca="1">+'QTR Raw'!L56</f>
        <v>#NAME?</v>
      </c>
      <c r="AS131" s="23" t="e">
        <f t="shared" ca="1" si="1043"/>
        <v>#NAME?</v>
      </c>
      <c r="AT131" s="23" t="e">
        <f ca="1">+'QTR Raw'!N56</f>
        <v>#NAME?</v>
      </c>
      <c r="AU131" s="23" t="e">
        <f t="shared" ca="1" si="1043"/>
        <v>#NAME?</v>
      </c>
      <c r="AV131" s="23" t="e">
        <f ca="1">+'QTR Raw'!P56</f>
        <v>#NAME?</v>
      </c>
      <c r="AW131" s="23" t="e">
        <f t="shared" ca="1" si="1043"/>
        <v>#NAME?</v>
      </c>
      <c r="AX131" s="23" t="e">
        <f ca="1">+'QTR Raw'!R56</f>
        <v>#NAME?</v>
      </c>
      <c r="AY131" s="23" t="e">
        <f t="shared" ca="1" si="1043"/>
        <v>#NAME?</v>
      </c>
      <c r="AZ131" s="23" t="e">
        <f ca="1">+'QTR Raw'!T56</f>
        <v>#NAME?</v>
      </c>
      <c r="BA131" s="23" t="e">
        <f t="shared" ca="1" si="1043"/>
        <v>#NAME?</v>
      </c>
      <c r="BB131" s="23" t="e">
        <f ca="1">+'QTR Raw'!V56</f>
        <v>#NAME?</v>
      </c>
      <c r="BC131" s="23" t="e">
        <f t="shared" ca="1" si="1043"/>
        <v>#NAME?</v>
      </c>
      <c r="BD131" s="23" t="e">
        <f ca="1">+'QTR Raw'!X56</f>
        <v>#NAME?</v>
      </c>
      <c r="BE131" s="23" t="e">
        <f t="shared" ca="1" si="1043"/>
        <v>#NAME?</v>
      </c>
      <c r="BF131" s="23" t="e">
        <f ca="1">+'QTR Raw'!Z56</f>
        <v>#NAME?</v>
      </c>
      <c r="BG131" s="23" t="e">
        <f t="shared" ca="1" si="1043"/>
        <v>#NAME?</v>
      </c>
      <c r="BH131" s="23" t="e">
        <f ca="1">+'QTR Raw'!AB56</f>
        <v>#NAME?</v>
      </c>
      <c r="BI131" s="23" t="e">
        <f t="shared" ca="1" si="1043"/>
        <v>#NAME?</v>
      </c>
      <c r="BJ131" s="23" t="e">
        <f ca="1">+'QTR Raw'!AD56</f>
        <v>#NAME?</v>
      </c>
      <c r="BK131" s="23" t="e">
        <f t="shared" ca="1" si="1043"/>
        <v>#NAME?</v>
      </c>
      <c r="BL131" s="23" t="e">
        <f ca="1">+'QTR Raw'!AF56</f>
        <v>#NAME?</v>
      </c>
      <c r="BM131" s="23" t="e">
        <f t="shared" ca="1" si="1043"/>
        <v>#NAME?</v>
      </c>
      <c r="BN131" s="23" t="e">
        <f ca="1">+'QTR Raw'!AH56</f>
        <v>#NAME?</v>
      </c>
      <c r="BO131" s="23" t="e">
        <f t="shared" ca="1" si="1043"/>
        <v>#NAME?</v>
      </c>
      <c r="BP131" s="23" t="e">
        <f ca="1">+'QTR Raw'!AJ56</f>
        <v>#NAME?</v>
      </c>
      <c r="BQ131" s="23" t="e">
        <f t="shared" ca="1" si="1043"/>
        <v>#NAME?</v>
      </c>
      <c r="BR131" s="23" t="e">
        <f ca="1">+'QTR Raw'!AL56</f>
        <v>#NAME?</v>
      </c>
      <c r="BS131" s="23" t="e">
        <f t="shared" ca="1" si="1043"/>
        <v>#NAME?</v>
      </c>
      <c r="BT131" s="23" t="e">
        <f ca="1">+'QTR Raw'!AN56</f>
        <v>#NAME?</v>
      </c>
      <c r="BU131" s="23" t="e">
        <f t="shared" ca="1" si="1043"/>
        <v>#NAME?</v>
      </c>
      <c r="BV131" s="23" t="e">
        <f ca="1">+'QTR Raw'!AP56</f>
        <v>#NAME?</v>
      </c>
      <c r="BW131" s="23" t="e">
        <f t="shared" ca="1" si="1043"/>
        <v>#NAME?</v>
      </c>
      <c r="BX131" s="23" t="e">
        <f ca="1">+'QTR Raw'!AR56</f>
        <v>#NAME?</v>
      </c>
      <c r="BY131" s="23" t="e">
        <f t="shared" ca="1" si="1043"/>
        <v>#NAME?</v>
      </c>
      <c r="BZ131" s="23" t="e">
        <f ca="1">+'QTR Raw'!AT56</f>
        <v>#NAME?</v>
      </c>
      <c r="CA131" s="23" t="e">
        <f t="shared" ca="1" si="1043"/>
        <v>#NAME?</v>
      </c>
      <c r="CB131" s="23" t="e">
        <f ca="1">+'QTR Raw'!AV56</f>
        <v>#NAME?</v>
      </c>
      <c r="CC131" s="23" t="e">
        <f t="shared" ca="1" si="1043"/>
        <v>#NAME?</v>
      </c>
      <c r="CD131" s="23" t="e">
        <f ca="1">+'QTR Raw'!AX56</f>
        <v>#NAME?</v>
      </c>
      <c r="CE131" s="23" t="e">
        <f t="shared" ca="1" si="1043"/>
        <v>#NAME?</v>
      </c>
      <c r="CF131" s="23" t="e">
        <f ca="1">+'QTR Raw'!AZ56</f>
        <v>#NAME?</v>
      </c>
      <c r="CG131" s="23" t="e">
        <f t="shared" ref="CG131:CG132" ca="1" si="1044">+CF131</f>
        <v>#NAME?</v>
      </c>
      <c r="CH131" s="23" t="e">
        <f ca="1">Z131</f>
        <v>#NAME?</v>
      </c>
      <c r="CI131" s="23" t="e">
        <f ca="1">CH131</f>
        <v>#NAME?</v>
      </c>
      <c r="CJ131" s="23" t="e">
        <f ca="1">+'QTR Raw'!BD56</f>
        <v>#NAME?</v>
      </c>
      <c r="CK131" s="23" t="e">
        <f t="shared" ref="CK131:DB131" ca="1" si="1045">CJ131</f>
        <v>#NAME?</v>
      </c>
      <c r="CL131" s="23" t="e">
        <f ca="1">+'QTR Raw'!BF56</f>
        <v>#NAME?</v>
      </c>
      <c r="CM131" s="24" t="e">
        <f t="shared" ca="1" si="1045"/>
        <v>#NAME?</v>
      </c>
      <c r="CN131" s="24" t="e">
        <f t="shared" ca="1" si="1045"/>
        <v>#NAME?</v>
      </c>
      <c r="CO131" s="24" t="e">
        <f t="shared" ca="1" si="1045"/>
        <v>#NAME?</v>
      </c>
      <c r="CP131" s="24" t="e">
        <f t="shared" ca="1" si="1045"/>
        <v>#NAME?</v>
      </c>
      <c r="CQ131" s="24" t="e">
        <f t="shared" ca="1" si="1045"/>
        <v>#NAME?</v>
      </c>
      <c r="CR131" s="24" t="e">
        <f t="shared" ca="1" si="1045"/>
        <v>#NAME?</v>
      </c>
      <c r="CS131" s="24" t="e">
        <f t="shared" ca="1" si="1045"/>
        <v>#NAME?</v>
      </c>
      <c r="CT131" s="24" t="e">
        <f t="shared" ca="1" si="1045"/>
        <v>#NAME?</v>
      </c>
      <c r="CU131" s="24" t="e">
        <f t="shared" ca="1" si="1045"/>
        <v>#NAME?</v>
      </c>
      <c r="CV131" s="24" t="e">
        <f t="shared" ca="1" si="1045"/>
        <v>#NAME?</v>
      </c>
      <c r="CW131" s="24" t="e">
        <f t="shared" ca="1" si="1045"/>
        <v>#NAME?</v>
      </c>
      <c r="CX131" s="24" t="e">
        <f t="shared" ca="1" si="1045"/>
        <v>#NAME?</v>
      </c>
      <c r="CY131" s="24" t="e">
        <f t="shared" ca="1" si="1045"/>
        <v>#NAME?</v>
      </c>
      <c r="CZ131" s="24" t="e">
        <f t="shared" ca="1" si="1045"/>
        <v>#NAME?</v>
      </c>
      <c r="DA131" s="24" t="e">
        <f t="shared" ca="1" si="1045"/>
        <v>#NAME?</v>
      </c>
      <c r="DB131" s="24" t="e">
        <f t="shared" ca="1" si="1045"/>
        <v>#NAME?</v>
      </c>
      <c r="DE131" s="123"/>
      <c r="DF131" s="23">
        <v>31.363</v>
      </c>
    </row>
    <row r="132" spans="1:110" s="23" customFormat="1" outlineLevel="1" x14ac:dyDescent="0.2">
      <c r="A132" s="23" t="s">
        <v>42</v>
      </c>
      <c r="B132" s="23" t="e">
        <f ca="1">'Annual Raw'!C42</f>
        <v>#NAME?</v>
      </c>
      <c r="C132" s="23" t="e">
        <f ca="1">'Annual Raw'!D42</f>
        <v>#NAME?</v>
      </c>
      <c r="D132" s="23" t="e">
        <f ca="1">'Annual Raw'!E42</f>
        <v>#NAME?</v>
      </c>
      <c r="E132" s="23" t="e">
        <f ca="1">'Annual Raw'!F42</f>
        <v>#NAME?</v>
      </c>
      <c r="F132" s="23" t="e">
        <f ca="1">'Annual Raw'!G42</f>
        <v>#NAME?</v>
      </c>
      <c r="G132" s="23" t="e">
        <f ca="1">'Annual Raw'!H42</f>
        <v>#NAME?</v>
      </c>
      <c r="H132" s="23" t="e">
        <f ca="1">'Annual Raw'!I42</f>
        <v>#NAME?</v>
      </c>
      <c r="I132" s="23" t="e">
        <f ca="1">'Annual Raw'!J42</f>
        <v>#NAME?</v>
      </c>
      <c r="J132" s="23" t="e">
        <f ca="1">'Annual Raw'!K42</f>
        <v>#NAME?</v>
      </c>
      <c r="K132" s="23" t="e">
        <f ca="1">'Annual Raw'!L42</f>
        <v>#NAME?</v>
      </c>
      <c r="L132" s="23" t="e">
        <f ca="1">'Annual Raw'!M42</f>
        <v>#NAME?</v>
      </c>
      <c r="M132" s="23" t="e">
        <f ca="1">'Annual Raw'!N42</f>
        <v>#NAME?</v>
      </c>
      <c r="N132" s="23" t="e">
        <f ca="1">'Annual Raw'!O42</f>
        <v>#NAME?</v>
      </c>
      <c r="O132" s="23" t="e">
        <f ca="1">'Annual Raw'!P42</f>
        <v>#NAME?</v>
      </c>
      <c r="P132" s="23" t="e">
        <f ca="1">'Annual Raw'!Q42</f>
        <v>#NAME?</v>
      </c>
      <c r="Q132" s="23" t="e">
        <f ca="1">'Annual Raw'!R42</f>
        <v>#NAME?</v>
      </c>
      <c r="R132" s="23" t="e">
        <f ca="1">'Annual Raw'!S42</f>
        <v>#NAME?</v>
      </c>
      <c r="S132" s="23" t="e">
        <f ca="1">'Annual Raw'!T42</f>
        <v>#NAME?</v>
      </c>
      <c r="T132" s="23" t="e">
        <f ca="1">'Annual Raw'!U42</f>
        <v>#NAME?</v>
      </c>
      <c r="U132" s="23" t="e">
        <f ca="1">'Annual Raw'!V42</f>
        <v>#NAME?</v>
      </c>
      <c r="V132" s="23" t="e">
        <f ca="1">'Annual Raw'!W42</f>
        <v>#NAME?</v>
      </c>
      <c r="W132" s="23" t="e">
        <f ca="1">'Annual Raw'!X42</f>
        <v>#NAME?</v>
      </c>
      <c r="X132" s="23" t="e">
        <f ca="1">'Annual Raw'!Y42</f>
        <v>#NAME?</v>
      </c>
      <c r="Y132" s="23" t="e">
        <f ca="1">'Annual Raw'!Z42</f>
        <v>#NAME?</v>
      </c>
      <c r="Z132" s="23" t="e">
        <f ca="1">'Annual Raw'!AA42</f>
        <v>#NAME?</v>
      </c>
      <c r="AA132" s="23" t="e">
        <f ca="1">'Annual Raw'!AB42</f>
        <v>#NAME?</v>
      </c>
      <c r="AB132" s="24" t="e">
        <f t="shared" ref="AB132:AB133" ca="1" si="1046">+CP132</f>
        <v>#NAME?</v>
      </c>
      <c r="AC132" s="24" t="e">
        <f t="shared" ref="AC132:AC133" ca="1" si="1047">+CT132</f>
        <v>#NAME?</v>
      </c>
      <c r="AD132" s="24" t="e">
        <f t="shared" ref="AD132:AD133" ca="1" si="1048">+CX132</f>
        <v>#NAME?</v>
      </c>
      <c r="AE132" s="24" t="e">
        <f t="shared" ref="AE132:AE133" ca="1" si="1049">+DB132</f>
        <v>#NAME?</v>
      </c>
      <c r="AJ132" s="23" t="e">
        <f ca="1">+'QTR Raw'!D57</f>
        <v>#NAME?</v>
      </c>
      <c r="AK132" s="23" t="e">
        <f t="shared" ref="AK132:CE132" ca="1" si="1050">+AJ132</f>
        <v>#NAME?</v>
      </c>
      <c r="AL132" s="23" t="e">
        <f ca="1">+'QTR Raw'!F57</f>
        <v>#NAME?</v>
      </c>
      <c r="AM132" s="23" t="e">
        <f t="shared" ca="1" si="1050"/>
        <v>#NAME?</v>
      </c>
      <c r="AN132" s="23" t="e">
        <f ca="1">+'QTR Raw'!H57</f>
        <v>#NAME?</v>
      </c>
      <c r="AO132" s="23" t="e">
        <f t="shared" ca="1" si="1050"/>
        <v>#NAME?</v>
      </c>
      <c r="AP132" s="23" t="e">
        <f ca="1">+'QTR Raw'!J57</f>
        <v>#NAME?</v>
      </c>
      <c r="AQ132" s="23" t="e">
        <f t="shared" ca="1" si="1050"/>
        <v>#NAME?</v>
      </c>
      <c r="AR132" s="23" t="e">
        <f ca="1">+'QTR Raw'!L57</f>
        <v>#NAME?</v>
      </c>
      <c r="AS132" s="23" t="e">
        <f t="shared" ca="1" si="1050"/>
        <v>#NAME?</v>
      </c>
      <c r="AT132" s="23" t="e">
        <f ca="1">+'QTR Raw'!N57</f>
        <v>#NAME?</v>
      </c>
      <c r="AU132" s="23" t="e">
        <f t="shared" ca="1" si="1050"/>
        <v>#NAME?</v>
      </c>
      <c r="AV132" s="23" t="e">
        <f ca="1">+'QTR Raw'!P57</f>
        <v>#NAME?</v>
      </c>
      <c r="AW132" s="23" t="e">
        <f t="shared" ca="1" si="1050"/>
        <v>#NAME?</v>
      </c>
      <c r="AX132" s="23" t="e">
        <f ca="1">+'QTR Raw'!R57</f>
        <v>#NAME?</v>
      </c>
      <c r="AY132" s="23" t="e">
        <f t="shared" ca="1" si="1050"/>
        <v>#NAME?</v>
      </c>
      <c r="AZ132" s="23" t="e">
        <f ca="1">+'QTR Raw'!T57</f>
        <v>#NAME?</v>
      </c>
      <c r="BA132" s="23" t="e">
        <f t="shared" ca="1" si="1050"/>
        <v>#NAME?</v>
      </c>
      <c r="BB132" s="23" t="e">
        <f ca="1">+'QTR Raw'!V57</f>
        <v>#NAME?</v>
      </c>
      <c r="BC132" s="23" t="e">
        <f t="shared" ca="1" si="1050"/>
        <v>#NAME?</v>
      </c>
      <c r="BD132" s="23" t="e">
        <f ca="1">+'QTR Raw'!X57</f>
        <v>#NAME?</v>
      </c>
      <c r="BE132" s="23" t="e">
        <f t="shared" ca="1" si="1050"/>
        <v>#NAME?</v>
      </c>
      <c r="BF132" s="23" t="e">
        <f ca="1">+'QTR Raw'!Z57</f>
        <v>#NAME?</v>
      </c>
      <c r="BG132" s="23" t="e">
        <f t="shared" ca="1" si="1050"/>
        <v>#NAME?</v>
      </c>
      <c r="BH132" s="23" t="e">
        <f ca="1">+'QTR Raw'!AB57</f>
        <v>#NAME?</v>
      </c>
      <c r="BI132" s="23" t="e">
        <f t="shared" ca="1" si="1050"/>
        <v>#NAME?</v>
      </c>
      <c r="BJ132" s="23" t="e">
        <f ca="1">+'QTR Raw'!AD57</f>
        <v>#NAME?</v>
      </c>
      <c r="BK132" s="23" t="e">
        <f t="shared" ca="1" si="1050"/>
        <v>#NAME?</v>
      </c>
      <c r="BL132" s="23" t="e">
        <f ca="1">+'QTR Raw'!AF57</f>
        <v>#NAME?</v>
      </c>
      <c r="BM132" s="23" t="e">
        <f t="shared" ca="1" si="1050"/>
        <v>#NAME?</v>
      </c>
      <c r="BN132" s="23" t="e">
        <f ca="1">+'QTR Raw'!AH57</f>
        <v>#NAME?</v>
      </c>
      <c r="BO132" s="23" t="e">
        <f t="shared" ca="1" si="1050"/>
        <v>#NAME?</v>
      </c>
      <c r="BP132" s="23" t="e">
        <f ca="1">+'QTR Raw'!AJ57</f>
        <v>#NAME?</v>
      </c>
      <c r="BQ132" s="23" t="e">
        <f t="shared" ca="1" si="1050"/>
        <v>#NAME?</v>
      </c>
      <c r="BR132" s="23" t="e">
        <f ca="1">+'QTR Raw'!AL57</f>
        <v>#NAME?</v>
      </c>
      <c r="BS132" s="23" t="e">
        <f t="shared" ca="1" si="1050"/>
        <v>#NAME?</v>
      </c>
      <c r="BT132" s="23" t="e">
        <f ca="1">+'QTR Raw'!AN57</f>
        <v>#NAME?</v>
      </c>
      <c r="BU132" s="23" t="e">
        <f t="shared" ca="1" si="1050"/>
        <v>#NAME?</v>
      </c>
      <c r="BV132" s="23" t="e">
        <f ca="1">+'QTR Raw'!AP57</f>
        <v>#NAME?</v>
      </c>
      <c r="BW132" s="23" t="e">
        <f t="shared" ca="1" si="1050"/>
        <v>#NAME?</v>
      </c>
      <c r="BX132" s="23" t="e">
        <f ca="1">+'QTR Raw'!AR57</f>
        <v>#NAME?</v>
      </c>
      <c r="BY132" s="23" t="e">
        <f t="shared" ca="1" si="1050"/>
        <v>#NAME?</v>
      </c>
      <c r="BZ132" s="23" t="e">
        <f ca="1">+'QTR Raw'!AT57</f>
        <v>#NAME?</v>
      </c>
      <c r="CA132" s="23" t="e">
        <f t="shared" ca="1" si="1050"/>
        <v>#NAME?</v>
      </c>
      <c r="CB132" s="23" t="e">
        <f ca="1">+'QTR Raw'!AV57</f>
        <v>#NAME?</v>
      </c>
      <c r="CC132" s="23" t="e">
        <f t="shared" ca="1" si="1050"/>
        <v>#NAME?</v>
      </c>
      <c r="CD132" s="23" t="e">
        <f ca="1">+'QTR Raw'!AX57</f>
        <v>#NAME?</v>
      </c>
      <c r="CE132" s="23" t="e">
        <f t="shared" ca="1" si="1050"/>
        <v>#NAME?</v>
      </c>
      <c r="CF132" s="23" t="e">
        <f ca="1">+'QTR Raw'!AZ57</f>
        <v>#NAME?</v>
      </c>
      <c r="CG132" s="23" t="e">
        <f t="shared" ca="1" si="1044"/>
        <v>#NAME?</v>
      </c>
      <c r="CH132" s="23" t="e">
        <f t="shared" ref="CH132:CH133" ca="1" si="1051">Z132</f>
        <v>#NAME?</v>
      </c>
      <c r="CI132" s="23" t="e">
        <f ca="1">CH132</f>
        <v>#NAME?</v>
      </c>
      <c r="CJ132" s="23" t="e">
        <f ca="1">+'QTR Raw'!BD57</f>
        <v>#NAME?</v>
      </c>
      <c r="CK132" s="23" t="e">
        <f t="shared" ref="CK132:DB132" ca="1" si="1052">CJ132</f>
        <v>#NAME?</v>
      </c>
      <c r="CL132" s="23" t="e">
        <f ca="1">+'QTR Raw'!BF57</f>
        <v>#NAME?</v>
      </c>
      <c r="CM132" s="24" t="e">
        <f t="shared" ca="1" si="1052"/>
        <v>#NAME?</v>
      </c>
      <c r="CN132" s="24" t="e">
        <f t="shared" ca="1" si="1052"/>
        <v>#NAME?</v>
      </c>
      <c r="CO132" s="24" t="e">
        <f t="shared" ca="1" si="1052"/>
        <v>#NAME?</v>
      </c>
      <c r="CP132" s="24" t="e">
        <f t="shared" ca="1" si="1052"/>
        <v>#NAME?</v>
      </c>
      <c r="CQ132" s="24" t="e">
        <f t="shared" ca="1" si="1052"/>
        <v>#NAME?</v>
      </c>
      <c r="CR132" s="24" t="e">
        <f t="shared" ca="1" si="1052"/>
        <v>#NAME?</v>
      </c>
      <c r="CS132" s="24" t="e">
        <f t="shared" ca="1" si="1052"/>
        <v>#NAME?</v>
      </c>
      <c r="CT132" s="24" t="e">
        <f t="shared" ca="1" si="1052"/>
        <v>#NAME?</v>
      </c>
      <c r="CU132" s="24" t="e">
        <f t="shared" ca="1" si="1052"/>
        <v>#NAME?</v>
      </c>
      <c r="CV132" s="24" t="e">
        <f t="shared" ca="1" si="1052"/>
        <v>#NAME?</v>
      </c>
      <c r="CW132" s="24" t="e">
        <f t="shared" ca="1" si="1052"/>
        <v>#NAME?</v>
      </c>
      <c r="CX132" s="24" t="e">
        <f t="shared" ca="1" si="1052"/>
        <v>#NAME?</v>
      </c>
      <c r="CY132" s="24" t="e">
        <f t="shared" ca="1" si="1052"/>
        <v>#NAME?</v>
      </c>
      <c r="CZ132" s="24" t="e">
        <f t="shared" ca="1" si="1052"/>
        <v>#NAME?</v>
      </c>
      <c r="DA132" s="24" t="e">
        <f t="shared" ca="1" si="1052"/>
        <v>#NAME?</v>
      </c>
      <c r="DB132" s="24" t="e">
        <f t="shared" ca="1" si="1052"/>
        <v>#NAME?</v>
      </c>
      <c r="DE132" s="123"/>
      <c r="DF132" s="23">
        <v>0</v>
      </c>
    </row>
    <row r="133" spans="1:110" s="23" customFormat="1" outlineLevel="1" x14ac:dyDescent="0.2">
      <c r="A133" s="23" t="s">
        <v>43</v>
      </c>
      <c r="B133" s="23" t="e">
        <f ca="1">'Annual Raw'!C43</f>
        <v>#NAME?</v>
      </c>
      <c r="C133" s="23" t="e">
        <f ca="1">'Annual Raw'!D43</f>
        <v>#NAME?</v>
      </c>
      <c r="D133" s="23" t="e">
        <f ca="1">'Annual Raw'!E43</f>
        <v>#NAME?</v>
      </c>
      <c r="E133" s="23" t="e">
        <f ca="1">'Annual Raw'!F43</f>
        <v>#NAME?</v>
      </c>
      <c r="F133" s="23" t="e">
        <f ca="1">'Annual Raw'!G43</f>
        <v>#NAME?</v>
      </c>
      <c r="G133" s="23" t="e">
        <f ca="1">'Annual Raw'!H43</f>
        <v>#NAME?</v>
      </c>
      <c r="H133" s="23" t="e">
        <f ca="1">'Annual Raw'!I43</f>
        <v>#NAME?</v>
      </c>
      <c r="I133" s="23" t="e">
        <f ca="1">'Annual Raw'!J43</f>
        <v>#NAME?</v>
      </c>
      <c r="J133" s="23" t="e">
        <f ca="1">'Annual Raw'!K43</f>
        <v>#NAME?</v>
      </c>
      <c r="K133" s="23" t="e">
        <f ca="1">'Annual Raw'!L43</f>
        <v>#NAME?</v>
      </c>
      <c r="L133" s="23" t="e">
        <f ca="1">'Annual Raw'!M43</f>
        <v>#NAME?</v>
      </c>
      <c r="M133" s="23" t="e">
        <f ca="1">'Annual Raw'!N43</f>
        <v>#NAME?</v>
      </c>
      <c r="N133" s="23" t="e">
        <f ca="1">'Annual Raw'!O43</f>
        <v>#NAME?</v>
      </c>
      <c r="O133" s="23" t="e">
        <f ca="1">'Annual Raw'!P43</f>
        <v>#NAME?</v>
      </c>
      <c r="P133" s="23" t="e">
        <f ca="1">'Annual Raw'!Q43</f>
        <v>#NAME?</v>
      </c>
      <c r="Q133" s="23" t="e">
        <f ca="1">'Annual Raw'!R43</f>
        <v>#NAME?</v>
      </c>
      <c r="R133" s="23" t="e">
        <f ca="1">'Annual Raw'!S43</f>
        <v>#NAME?</v>
      </c>
      <c r="S133" s="23" t="e">
        <f ca="1">'Annual Raw'!T43</f>
        <v>#NAME?</v>
      </c>
      <c r="T133" s="23" t="e">
        <f ca="1">'Annual Raw'!U43</f>
        <v>#NAME?</v>
      </c>
      <c r="U133" s="23" t="e">
        <f ca="1">'Annual Raw'!V43</f>
        <v>#NAME?</v>
      </c>
      <c r="V133" s="23" t="e">
        <f ca="1">'Annual Raw'!W43</f>
        <v>#NAME?</v>
      </c>
      <c r="W133" s="23" t="e">
        <f ca="1">'Annual Raw'!X43</f>
        <v>#NAME?</v>
      </c>
      <c r="X133" s="23" t="e">
        <f ca="1">'Annual Raw'!Y43</f>
        <v>#NAME?</v>
      </c>
      <c r="Y133" s="23" t="e">
        <f ca="1">'Annual Raw'!Z43</f>
        <v>#NAME?</v>
      </c>
      <c r="Z133" s="23" t="e">
        <f ca="1">'Annual Raw'!AA43</f>
        <v>#NAME?</v>
      </c>
      <c r="AA133" s="23" t="e">
        <f ca="1">'Annual Raw'!AB43</f>
        <v>#NAME?</v>
      </c>
      <c r="AB133" s="24" t="e">
        <f t="shared" ca="1" si="1046"/>
        <v>#NAME?</v>
      </c>
      <c r="AC133" s="24" t="e">
        <f t="shared" ca="1" si="1047"/>
        <v>#NAME?</v>
      </c>
      <c r="AD133" s="24" t="e">
        <f t="shared" ca="1" si="1048"/>
        <v>#NAME?</v>
      </c>
      <c r="AE133" s="24" t="e">
        <f t="shared" ca="1" si="1049"/>
        <v>#NAME?</v>
      </c>
      <c r="AJ133" s="23" t="e">
        <f ca="1">+'QTR Raw'!D58</f>
        <v>#NAME?</v>
      </c>
      <c r="AK133" s="23" t="e">
        <f ca="1">+AJ133+AK62</f>
        <v>#NAME?</v>
      </c>
      <c r="AL133" s="23" t="e">
        <f ca="1">+'QTR Raw'!F58</f>
        <v>#NAME?</v>
      </c>
      <c r="AM133" s="23" t="e">
        <f ca="1">+AL133+AM62</f>
        <v>#NAME?</v>
      </c>
      <c r="AN133" s="23" t="e">
        <f ca="1">+'QTR Raw'!H58</f>
        <v>#NAME?</v>
      </c>
      <c r="AO133" s="23" t="e">
        <f ca="1">+AN133+AO62</f>
        <v>#NAME?</v>
      </c>
      <c r="AP133" s="23" t="e">
        <f ca="1">+'QTR Raw'!J58</f>
        <v>#NAME?</v>
      </c>
      <c r="AQ133" s="23" t="e">
        <f ca="1">+AP133+AQ62</f>
        <v>#NAME?</v>
      </c>
      <c r="AR133" s="23" t="e">
        <f ca="1">+'QTR Raw'!L58</f>
        <v>#NAME?</v>
      </c>
      <c r="AS133" s="23" t="e">
        <f ca="1">+AR133+AS62</f>
        <v>#NAME?</v>
      </c>
      <c r="AT133" s="23" t="e">
        <f ca="1">+'QTR Raw'!N58</f>
        <v>#NAME?</v>
      </c>
      <c r="AU133" s="23" t="e">
        <f ca="1">+AT133+AU62</f>
        <v>#NAME?</v>
      </c>
      <c r="AV133" s="23" t="e">
        <f ca="1">+'QTR Raw'!P58</f>
        <v>#NAME?</v>
      </c>
      <c r="AW133" s="23" t="e">
        <f ca="1">+AV133+AW62</f>
        <v>#NAME?</v>
      </c>
      <c r="AX133" s="23" t="e">
        <f ca="1">+'QTR Raw'!R58</f>
        <v>#NAME?</v>
      </c>
      <c r="AY133" s="23" t="e">
        <f ca="1">+AX133+AY62</f>
        <v>#NAME?</v>
      </c>
      <c r="AZ133" s="23" t="e">
        <f ca="1">+'QTR Raw'!T58</f>
        <v>#NAME?</v>
      </c>
      <c r="BA133" s="23" t="e">
        <f ca="1">+AZ133+BA62</f>
        <v>#NAME?</v>
      </c>
      <c r="BB133" s="23" t="e">
        <f ca="1">+'QTR Raw'!V58</f>
        <v>#NAME?</v>
      </c>
      <c r="BC133" s="23" t="e">
        <f ca="1">+BB133+BC62</f>
        <v>#NAME?</v>
      </c>
      <c r="BD133" s="23" t="e">
        <f ca="1">+'QTR Raw'!X58</f>
        <v>#NAME?</v>
      </c>
      <c r="BE133" s="23" t="e">
        <f ca="1">+BD133+BE62</f>
        <v>#NAME?</v>
      </c>
      <c r="BF133" s="23" t="e">
        <f ca="1">+'QTR Raw'!Z58</f>
        <v>#NAME?</v>
      </c>
      <c r="BG133" s="23" t="e">
        <f ca="1">+BF133+BG62</f>
        <v>#NAME?</v>
      </c>
      <c r="BH133" s="23" t="e">
        <f ca="1">+'QTR Raw'!AB58</f>
        <v>#NAME?</v>
      </c>
      <c r="BI133" s="23" t="e">
        <f ca="1">+BH133+BI62</f>
        <v>#NAME?</v>
      </c>
      <c r="BJ133" s="23" t="e">
        <f ca="1">+'QTR Raw'!AD58</f>
        <v>#NAME?</v>
      </c>
      <c r="BK133" s="23" t="e">
        <f ca="1">+BJ133+BK62</f>
        <v>#NAME?</v>
      </c>
      <c r="BL133" s="23" t="e">
        <f ca="1">+'QTR Raw'!AF58</f>
        <v>#NAME?</v>
      </c>
      <c r="BM133" s="23" t="e">
        <f ca="1">+BL133+BM62</f>
        <v>#NAME?</v>
      </c>
      <c r="BN133" s="23" t="e">
        <f ca="1">+'QTR Raw'!AH58</f>
        <v>#NAME?</v>
      </c>
      <c r="BO133" s="23" t="e">
        <f ca="1">+BN133+BO62</f>
        <v>#NAME?</v>
      </c>
      <c r="BP133" s="23" t="e">
        <f ca="1">+'QTR Raw'!AJ58</f>
        <v>#NAME?</v>
      </c>
      <c r="BQ133" s="23" t="e">
        <f ca="1">+BP133+BQ62</f>
        <v>#NAME?</v>
      </c>
      <c r="BR133" s="23" t="e">
        <f ca="1">+'QTR Raw'!AL58</f>
        <v>#NAME?</v>
      </c>
      <c r="BS133" s="23" t="e">
        <f ca="1">+BR133+BS62</f>
        <v>#NAME?</v>
      </c>
      <c r="BT133" s="23" t="e">
        <f ca="1">+'QTR Raw'!AN58</f>
        <v>#NAME?</v>
      </c>
      <c r="BU133" s="23" t="e">
        <f ca="1">+BT133+BU62</f>
        <v>#NAME?</v>
      </c>
      <c r="BV133" s="23" t="e">
        <f ca="1">+'QTR Raw'!AP58</f>
        <v>#NAME?</v>
      </c>
      <c r="BW133" s="23" t="e">
        <f ca="1">+BV133+BW62</f>
        <v>#NAME?</v>
      </c>
      <c r="BX133" s="23" t="e">
        <f ca="1">+'QTR Raw'!AR58</f>
        <v>#NAME?</v>
      </c>
      <c r="BY133" s="23" t="e">
        <f ca="1">+BX133+BY62</f>
        <v>#NAME?</v>
      </c>
      <c r="BZ133" s="23" t="e">
        <f ca="1">+'QTR Raw'!AT58</f>
        <v>#NAME?</v>
      </c>
      <c r="CA133" s="23" t="e">
        <f ca="1">+BZ133+CA62</f>
        <v>#NAME?</v>
      </c>
      <c r="CB133" s="23" t="e">
        <f ca="1">+'QTR Raw'!AV58</f>
        <v>#NAME?</v>
      </c>
      <c r="CC133" s="23" t="e">
        <f ca="1">+CB133+CC62</f>
        <v>#NAME?</v>
      </c>
      <c r="CD133" s="23" t="e">
        <f ca="1">+'QTR Raw'!AX58</f>
        <v>#NAME?</v>
      </c>
      <c r="CE133" s="23" t="e">
        <f ca="1">+CD133+CE62</f>
        <v>#NAME?</v>
      </c>
      <c r="CF133" s="23" t="e">
        <f ca="1">+'QTR Raw'!AZ58</f>
        <v>#NAME?</v>
      </c>
      <c r="CG133" s="23" t="e">
        <f ca="1">+CF133+CG62</f>
        <v>#NAME?</v>
      </c>
      <c r="CH133" s="23" t="e">
        <f t="shared" ca="1" si="1051"/>
        <v>#NAME?</v>
      </c>
      <c r="CI133" s="23" t="e">
        <f ca="1">CH133+CI62</f>
        <v>#NAME?</v>
      </c>
      <c r="CJ133" s="23" t="e">
        <f ca="1">+'QTR Raw'!BD58</f>
        <v>#NAME?</v>
      </c>
      <c r="CK133" s="23" t="e">
        <f t="shared" ref="CK133:DB133" ca="1" si="1053">CJ133+CK62</f>
        <v>#NAME?</v>
      </c>
      <c r="CL133" s="23" t="e">
        <f ca="1">+'QTR Raw'!BF58</f>
        <v>#NAME?</v>
      </c>
      <c r="CM133" s="24" t="e">
        <f t="shared" ca="1" si="1053"/>
        <v>#NAME?</v>
      </c>
      <c r="CN133" s="24" t="e">
        <f t="shared" ca="1" si="1053"/>
        <v>#NAME?</v>
      </c>
      <c r="CO133" s="24" t="e">
        <f t="shared" ca="1" si="1053"/>
        <v>#NAME?</v>
      </c>
      <c r="CP133" s="24" t="e">
        <f t="shared" ca="1" si="1053"/>
        <v>#NAME?</v>
      </c>
      <c r="CQ133" s="24" t="e">
        <f t="shared" ca="1" si="1053"/>
        <v>#NAME?</v>
      </c>
      <c r="CR133" s="24" t="e">
        <f t="shared" ca="1" si="1053"/>
        <v>#NAME?</v>
      </c>
      <c r="CS133" s="24" t="e">
        <f t="shared" ca="1" si="1053"/>
        <v>#NAME?</v>
      </c>
      <c r="CT133" s="24" t="e">
        <f t="shared" ca="1" si="1053"/>
        <v>#NAME?</v>
      </c>
      <c r="CU133" s="24" t="e">
        <f t="shared" ca="1" si="1053"/>
        <v>#NAME?</v>
      </c>
      <c r="CV133" s="24" t="e">
        <f t="shared" ca="1" si="1053"/>
        <v>#NAME?</v>
      </c>
      <c r="CW133" s="24" t="e">
        <f t="shared" ca="1" si="1053"/>
        <v>#NAME?</v>
      </c>
      <c r="CX133" s="24" t="e">
        <f t="shared" ca="1" si="1053"/>
        <v>#NAME?</v>
      </c>
      <c r="CY133" s="24" t="e">
        <f t="shared" ca="1" si="1053"/>
        <v>#NAME?</v>
      </c>
      <c r="CZ133" s="24" t="e">
        <f t="shared" ca="1" si="1053"/>
        <v>#NAME?</v>
      </c>
      <c r="DA133" s="24" t="e">
        <f t="shared" ca="1" si="1053"/>
        <v>#NAME?</v>
      </c>
      <c r="DB133" s="24" t="e">
        <f t="shared" ca="1" si="1053"/>
        <v>#NAME?</v>
      </c>
      <c r="DE133" s="123"/>
      <c r="DF133" s="23">
        <v>1316.7660000000001</v>
      </c>
    </row>
    <row r="134" spans="1:110" s="22" customFormat="1" x14ac:dyDescent="0.2">
      <c r="A134" s="22" t="s">
        <v>44</v>
      </c>
      <c r="B134" s="22" t="e">
        <f ca="1">B131+B132+B133</f>
        <v>#NAME?</v>
      </c>
      <c r="C134" s="22" t="e">
        <f t="shared" ref="C134:V134" ca="1" si="1054">C131+C132+C133</f>
        <v>#NAME?</v>
      </c>
      <c r="D134" s="22" t="e">
        <f t="shared" ca="1" si="1054"/>
        <v>#NAME?</v>
      </c>
      <c r="E134" s="22" t="e">
        <f t="shared" ca="1" si="1054"/>
        <v>#NAME?</v>
      </c>
      <c r="F134" s="22" t="e">
        <f t="shared" ca="1" si="1054"/>
        <v>#NAME?</v>
      </c>
      <c r="G134" s="22" t="e">
        <f t="shared" ca="1" si="1054"/>
        <v>#NAME?</v>
      </c>
      <c r="H134" s="22" t="e">
        <f t="shared" ca="1" si="1054"/>
        <v>#NAME?</v>
      </c>
      <c r="I134" s="22" t="e">
        <f t="shared" ca="1" si="1054"/>
        <v>#NAME?</v>
      </c>
      <c r="J134" s="22" t="e">
        <f t="shared" ca="1" si="1054"/>
        <v>#NAME?</v>
      </c>
      <c r="K134" s="22" t="e">
        <f t="shared" ca="1" si="1054"/>
        <v>#NAME?</v>
      </c>
      <c r="L134" s="22" t="e">
        <f t="shared" ca="1" si="1054"/>
        <v>#NAME?</v>
      </c>
      <c r="M134" s="22" t="e">
        <f ca="1">M131+M132+M133</f>
        <v>#NAME?</v>
      </c>
      <c r="N134" s="22" t="e">
        <f t="shared" ca="1" si="1054"/>
        <v>#NAME?</v>
      </c>
      <c r="O134" s="22" t="e">
        <f t="shared" ca="1" si="1054"/>
        <v>#NAME?</v>
      </c>
      <c r="P134" s="22" t="e">
        <f t="shared" ca="1" si="1054"/>
        <v>#NAME?</v>
      </c>
      <c r="Q134" s="22" t="e">
        <f t="shared" ca="1" si="1054"/>
        <v>#NAME?</v>
      </c>
      <c r="R134" s="22" t="e">
        <f t="shared" ca="1" si="1054"/>
        <v>#NAME?</v>
      </c>
      <c r="S134" s="22" t="e">
        <f t="shared" ca="1" si="1054"/>
        <v>#NAME?</v>
      </c>
      <c r="T134" s="22" t="e">
        <f t="shared" ca="1" si="1054"/>
        <v>#NAME?</v>
      </c>
      <c r="U134" s="22" t="e">
        <f t="shared" ca="1" si="1054"/>
        <v>#NAME?</v>
      </c>
      <c r="V134" s="22" t="e">
        <f t="shared" ca="1" si="1054"/>
        <v>#NAME?</v>
      </c>
      <c r="W134" s="22" t="e">
        <f t="shared" ref="W134" ca="1" si="1055">W131+W132+W133</f>
        <v>#NAME?</v>
      </c>
      <c r="X134" s="22" t="e">
        <f t="shared" ref="X134:Y134" ca="1" si="1056">X131+X132+X133</f>
        <v>#NAME?</v>
      </c>
      <c r="Y134" s="22" t="e">
        <f t="shared" ca="1" si="1056"/>
        <v>#NAME?</v>
      </c>
      <c r="Z134" s="22" t="e">
        <f t="shared" ref="Z134:AA134" ca="1" si="1057">Z131+Z132+Z133</f>
        <v>#NAME?</v>
      </c>
      <c r="AA134" s="22" t="e">
        <f t="shared" ca="1" si="1057"/>
        <v>#NAME?</v>
      </c>
      <c r="AB134" s="21" t="e">
        <f t="shared" ref="AA134:AD134" ca="1" si="1058">AB131+AB132+AB133</f>
        <v>#NAME?</v>
      </c>
      <c r="AC134" s="21" t="e">
        <f t="shared" ca="1" si="1058"/>
        <v>#NAME?</v>
      </c>
      <c r="AD134" s="21" t="e">
        <f t="shared" ca="1" si="1058"/>
        <v>#NAME?</v>
      </c>
      <c r="AE134" s="21" t="e">
        <f t="shared" ref="AE134" ca="1" si="1059">AE131+AE132+AE133</f>
        <v>#NAME?</v>
      </c>
      <c r="AJ134" s="22" t="e">
        <f t="shared" ref="AJ134" ca="1" si="1060">AJ131+AJ132+AJ133</f>
        <v>#NAME?</v>
      </c>
      <c r="AK134" s="22" t="e">
        <f t="shared" ref="AK134" ca="1" si="1061">AK131+AK132+AK133</f>
        <v>#NAME?</v>
      </c>
      <c r="AL134" s="22" t="e">
        <f t="shared" ref="AL134:AM134" ca="1" si="1062">AL131+AL132+AL133</f>
        <v>#NAME?</v>
      </c>
      <c r="AM134" s="22" t="e">
        <f t="shared" ca="1" si="1062"/>
        <v>#NAME?</v>
      </c>
      <c r="AN134" s="22" t="e">
        <f t="shared" ref="AN134:AO134" ca="1" si="1063">AN131+AN132+AN133</f>
        <v>#NAME?</v>
      </c>
      <c r="AO134" s="22" t="e">
        <f t="shared" ca="1" si="1063"/>
        <v>#NAME?</v>
      </c>
      <c r="AP134" s="22" t="e">
        <f t="shared" ref="AP134:CE134" ca="1" si="1064">AP131+AP132+AP133</f>
        <v>#NAME?</v>
      </c>
      <c r="AQ134" s="22" t="e">
        <f t="shared" ca="1" si="1064"/>
        <v>#NAME?</v>
      </c>
      <c r="AR134" s="22" t="e">
        <f t="shared" ca="1" si="1064"/>
        <v>#NAME?</v>
      </c>
      <c r="AS134" s="22" t="e">
        <f t="shared" ca="1" si="1064"/>
        <v>#NAME?</v>
      </c>
      <c r="AT134" s="22" t="e">
        <f t="shared" ca="1" si="1064"/>
        <v>#NAME?</v>
      </c>
      <c r="AU134" s="22" t="e">
        <f t="shared" ca="1" si="1064"/>
        <v>#NAME?</v>
      </c>
      <c r="AV134" s="22" t="e">
        <f t="shared" ca="1" si="1064"/>
        <v>#NAME?</v>
      </c>
      <c r="AW134" s="22" t="e">
        <f t="shared" ca="1" si="1064"/>
        <v>#NAME?</v>
      </c>
      <c r="AX134" s="22" t="e">
        <f t="shared" ca="1" si="1064"/>
        <v>#NAME?</v>
      </c>
      <c r="AY134" s="22" t="e">
        <f t="shared" ca="1" si="1064"/>
        <v>#NAME?</v>
      </c>
      <c r="AZ134" s="22" t="e">
        <f t="shared" ca="1" si="1064"/>
        <v>#NAME?</v>
      </c>
      <c r="BA134" s="22" t="e">
        <f t="shared" ca="1" si="1064"/>
        <v>#NAME?</v>
      </c>
      <c r="BB134" s="22" t="e">
        <f t="shared" ca="1" si="1064"/>
        <v>#NAME?</v>
      </c>
      <c r="BC134" s="22" t="e">
        <f t="shared" ca="1" si="1064"/>
        <v>#NAME?</v>
      </c>
      <c r="BD134" s="22" t="e">
        <f t="shared" ca="1" si="1064"/>
        <v>#NAME?</v>
      </c>
      <c r="BE134" s="22" t="e">
        <f t="shared" ca="1" si="1064"/>
        <v>#NAME?</v>
      </c>
      <c r="BF134" s="22" t="e">
        <f t="shared" ca="1" si="1064"/>
        <v>#NAME?</v>
      </c>
      <c r="BG134" s="22" t="e">
        <f t="shared" ca="1" si="1064"/>
        <v>#NAME?</v>
      </c>
      <c r="BH134" s="22" t="e">
        <f t="shared" ca="1" si="1064"/>
        <v>#NAME?</v>
      </c>
      <c r="BI134" s="22" t="e">
        <f t="shared" ca="1" si="1064"/>
        <v>#NAME?</v>
      </c>
      <c r="BJ134" s="22" t="e">
        <f t="shared" ca="1" si="1064"/>
        <v>#NAME?</v>
      </c>
      <c r="BK134" s="22" t="e">
        <f t="shared" ca="1" si="1064"/>
        <v>#NAME?</v>
      </c>
      <c r="BL134" s="22" t="e">
        <f t="shared" ca="1" si="1064"/>
        <v>#NAME?</v>
      </c>
      <c r="BM134" s="22" t="e">
        <f t="shared" ca="1" si="1064"/>
        <v>#NAME?</v>
      </c>
      <c r="BN134" s="22" t="e">
        <f t="shared" ca="1" si="1064"/>
        <v>#NAME?</v>
      </c>
      <c r="BO134" s="22" t="e">
        <f t="shared" ca="1" si="1064"/>
        <v>#NAME?</v>
      </c>
      <c r="BP134" s="22" t="e">
        <f t="shared" ca="1" si="1064"/>
        <v>#NAME?</v>
      </c>
      <c r="BQ134" s="22" t="e">
        <f t="shared" ca="1" si="1064"/>
        <v>#NAME?</v>
      </c>
      <c r="BR134" s="22" t="e">
        <f t="shared" ca="1" si="1064"/>
        <v>#NAME?</v>
      </c>
      <c r="BS134" s="22" t="e">
        <f t="shared" ca="1" si="1064"/>
        <v>#NAME?</v>
      </c>
      <c r="BT134" s="22" t="e">
        <f t="shared" ca="1" si="1064"/>
        <v>#NAME?</v>
      </c>
      <c r="BU134" s="22" t="e">
        <f t="shared" ca="1" si="1064"/>
        <v>#NAME?</v>
      </c>
      <c r="BV134" s="22" t="e">
        <f t="shared" ca="1" si="1064"/>
        <v>#NAME?</v>
      </c>
      <c r="BW134" s="22" t="e">
        <f t="shared" ca="1" si="1064"/>
        <v>#NAME?</v>
      </c>
      <c r="BX134" s="22" t="e">
        <f t="shared" ca="1" si="1064"/>
        <v>#NAME?</v>
      </c>
      <c r="BY134" s="22" t="e">
        <f t="shared" ca="1" si="1064"/>
        <v>#NAME?</v>
      </c>
      <c r="BZ134" s="22" t="e">
        <f t="shared" ca="1" si="1064"/>
        <v>#NAME?</v>
      </c>
      <c r="CA134" s="22" t="e">
        <f t="shared" ca="1" si="1064"/>
        <v>#NAME?</v>
      </c>
      <c r="CB134" s="22" t="e">
        <f t="shared" ca="1" si="1064"/>
        <v>#NAME?</v>
      </c>
      <c r="CC134" s="22" t="e">
        <f t="shared" ca="1" si="1064"/>
        <v>#NAME?</v>
      </c>
      <c r="CD134" s="22" t="e">
        <f t="shared" ca="1" si="1064"/>
        <v>#NAME?</v>
      </c>
      <c r="CE134" s="22" t="e">
        <f t="shared" ca="1" si="1064"/>
        <v>#NAME?</v>
      </c>
      <c r="CF134" s="22" t="e">
        <f t="shared" ref="CF134:CG134" ca="1" si="1065">CF131+CF132+CF133</f>
        <v>#NAME?</v>
      </c>
      <c r="CG134" s="22" t="e">
        <f t="shared" ca="1" si="1065"/>
        <v>#NAME?</v>
      </c>
      <c r="CH134" s="22" t="e">
        <f t="shared" ref="CH134:CI134" ca="1" si="1066">CH131+CH132+CH133</f>
        <v>#NAME?</v>
      </c>
      <c r="CI134" s="22" t="e">
        <f t="shared" ca="1" si="1066"/>
        <v>#NAME?</v>
      </c>
      <c r="CJ134" s="22" t="e">
        <f t="shared" ref="CJ134:DB134" ca="1" si="1067">CJ131+CJ132+CJ133</f>
        <v>#NAME?</v>
      </c>
      <c r="CK134" s="22" t="e">
        <f t="shared" ca="1" si="1067"/>
        <v>#NAME?</v>
      </c>
      <c r="CL134" s="22" t="e">
        <f t="shared" ref="CL134" ca="1" si="1068">CL131+CL132+CL133</f>
        <v>#NAME?</v>
      </c>
      <c r="CM134" s="21" t="e">
        <f t="shared" ca="1" si="1067"/>
        <v>#NAME?</v>
      </c>
      <c r="CN134" s="21" t="e">
        <f t="shared" ca="1" si="1067"/>
        <v>#NAME?</v>
      </c>
      <c r="CO134" s="21" t="e">
        <f t="shared" ca="1" si="1067"/>
        <v>#NAME?</v>
      </c>
      <c r="CP134" s="21" t="e">
        <f t="shared" ca="1" si="1067"/>
        <v>#NAME?</v>
      </c>
      <c r="CQ134" s="21" t="e">
        <f t="shared" ca="1" si="1067"/>
        <v>#NAME?</v>
      </c>
      <c r="CR134" s="21" t="e">
        <f t="shared" ca="1" si="1067"/>
        <v>#NAME?</v>
      </c>
      <c r="CS134" s="21" t="e">
        <f t="shared" ca="1" si="1067"/>
        <v>#NAME?</v>
      </c>
      <c r="CT134" s="21" t="e">
        <f t="shared" ca="1" si="1067"/>
        <v>#NAME?</v>
      </c>
      <c r="CU134" s="21" t="e">
        <f t="shared" ca="1" si="1067"/>
        <v>#NAME?</v>
      </c>
      <c r="CV134" s="21" t="e">
        <f t="shared" ca="1" si="1067"/>
        <v>#NAME?</v>
      </c>
      <c r="CW134" s="21" t="e">
        <f t="shared" ca="1" si="1067"/>
        <v>#NAME?</v>
      </c>
      <c r="CX134" s="21" t="e">
        <f t="shared" ca="1" si="1067"/>
        <v>#NAME?</v>
      </c>
      <c r="CY134" s="21" t="e">
        <f t="shared" ca="1" si="1067"/>
        <v>#NAME?</v>
      </c>
      <c r="CZ134" s="21" t="e">
        <f t="shared" ca="1" si="1067"/>
        <v>#NAME?</v>
      </c>
      <c r="DA134" s="21" t="e">
        <f t="shared" ca="1" si="1067"/>
        <v>#NAME?</v>
      </c>
      <c r="DB134" s="21" t="e">
        <f t="shared" ca="1" si="1067"/>
        <v>#NAME?</v>
      </c>
      <c r="DE134" s="126"/>
      <c r="DF134" s="22">
        <v>1348.1290000000001</v>
      </c>
    </row>
    <row r="135" spans="1:110" s="22" customFormat="1" x14ac:dyDescent="0.2">
      <c r="AB135" s="21"/>
      <c r="AC135" s="21"/>
      <c r="AD135" s="21"/>
      <c r="AE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E135" s="126"/>
    </row>
    <row r="136" spans="1:110" s="23" customFormat="1" x14ac:dyDescent="0.2">
      <c r="A136" s="23" t="s">
        <v>23</v>
      </c>
      <c r="B136" s="23" t="e">
        <f ca="1">'Annual Raw'!C45</f>
        <v>#NAME?</v>
      </c>
      <c r="C136" s="23" t="e">
        <f ca="1">'Annual Raw'!D45</f>
        <v>#NAME?</v>
      </c>
      <c r="D136" s="23" t="e">
        <f ca="1">'Annual Raw'!E45</f>
        <v>#NAME?</v>
      </c>
      <c r="E136" s="23" t="e">
        <f ca="1">'Annual Raw'!F45</f>
        <v>#NAME?</v>
      </c>
      <c r="F136" s="23" t="e">
        <f ca="1">'Annual Raw'!G45</f>
        <v>#NAME?</v>
      </c>
      <c r="G136" s="23" t="e">
        <f ca="1">'Annual Raw'!H45</f>
        <v>#NAME?</v>
      </c>
      <c r="H136" s="23" t="e">
        <f ca="1">'Annual Raw'!I45</f>
        <v>#NAME?</v>
      </c>
      <c r="I136" s="23" t="e">
        <f ca="1">'Annual Raw'!J45</f>
        <v>#NAME?</v>
      </c>
      <c r="J136" s="23" t="e">
        <f ca="1">'Annual Raw'!K45</f>
        <v>#NAME?</v>
      </c>
      <c r="K136" s="23" t="e">
        <f ca="1">'Annual Raw'!L45</f>
        <v>#NAME?</v>
      </c>
      <c r="L136" s="23" t="e">
        <f ca="1">'Annual Raw'!M45</f>
        <v>#NAME?</v>
      </c>
      <c r="M136" s="23" t="e">
        <f ca="1">'Annual Raw'!N45</f>
        <v>#NAME?</v>
      </c>
      <c r="N136" s="23" t="e">
        <f ca="1">'Annual Raw'!O45</f>
        <v>#NAME?</v>
      </c>
      <c r="O136" s="23" t="e">
        <f ca="1">'Annual Raw'!P45</f>
        <v>#NAME?</v>
      </c>
      <c r="P136" s="23" t="e">
        <f ca="1">'Annual Raw'!Q45</f>
        <v>#NAME?</v>
      </c>
      <c r="Q136" s="23" t="e">
        <f ca="1">'Annual Raw'!R45</f>
        <v>#NAME?</v>
      </c>
      <c r="R136" s="23" t="e">
        <f ca="1">'Annual Raw'!S45</f>
        <v>#NAME?</v>
      </c>
      <c r="S136" s="23" t="e">
        <f ca="1">'Annual Raw'!T45</f>
        <v>#NAME?</v>
      </c>
      <c r="T136" s="23" t="e">
        <f ca="1">'Annual Raw'!U45</f>
        <v>#NAME?</v>
      </c>
      <c r="U136" s="23" t="e">
        <f ca="1">'Annual Raw'!V45</f>
        <v>#NAME?</v>
      </c>
      <c r="V136" s="23" t="e">
        <f ca="1">'Annual Raw'!W45</f>
        <v>#NAME?</v>
      </c>
      <c r="W136" s="23" t="e">
        <f ca="1">'Annual Raw'!X45</f>
        <v>#NAME?</v>
      </c>
      <c r="X136" s="23" t="e">
        <f ca="1">'Annual Raw'!Y45</f>
        <v>#NAME?</v>
      </c>
      <c r="Y136" s="23" t="e">
        <f ca="1">'Annual Raw'!Z45</f>
        <v>#NAME?</v>
      </c>
      <c r="Z136" s="23" t="e">
        <f ca="1">'Annual Raw'!AA45</f>
        <v>#NAME?</v>
      </c>
      <c r="AA136" s="23" t="e">
        <f ca="1">'Annual Raw'!AB45</f>
        <v>#NAME?</v>
      </c>
      <c r="AB136" s="24" t="e">
        <f ca="1">+CP136</f>
        <v>#NAME?</v>
      </c>
      <c r="AC136" s="24" t="e">
        <f ca="1">+CT136</f>
        <v>#NAME?</v>
      </c>
      <c r="AD136" s="24" t="e">
        <f ca="1">+CX136</f>
        <v>#NAME?</v>
      </c>
      <c r="AE136" s="24" t="e">
        <f ca="1">+DB136</f>
        <v>#NAME?</v>
      </c>
      <c r="AJ136" s="23" t="e">
        <f ca="1">+'QTR Raw'!D60</f>
        <v>#NAME?</v>
      </c>
      <c r="AK136" s="23" t="e">
        <f t="shared" ref="AK136:CE136" ca="1" si="1069">+AJ136</f>
        <v>#NAME?</v>
      </c>
      <c r="AL136" s="23" t="e">
        <f ca="1">+'QTR Raw'!F60</f>
        <v>#NAME?</v>
      </c>
      <c r="AM136" s="23" t="e">
        <f t="shared" ca="1" si="1069"/>
        <v>#NAME?</v>
      </c>
      <c r="AN136" s="23" t="e">
        <f ca="1">+'QTR Raw'!H60</f>
        <v>#NAME?</v>
      </c>
      <c r="AO136" s="23" t="e">
        <f t="shared" ca="1" si="1069"/>
        <v>#NAME?</v>
      </c>
      <c r="AP136" s="23" t="e">
        <f ca="1">+'QTR Raw'!J60</f>
        <v>#NAME?</v>
      </c>
      <c r="AQ136" s="23" t="e">
        <f t="shared" ca="1" si="1069"/>
        <v>#NAME?</v>
      </c>
      <c r="AR136" s="23" t="e">
        <f ca="1">+'QTR Raw'!L60</f>
        <v>#NAME?</v>
      </c>
      <c r="AS136" s="23" t="e">
        <f t="shared" ca="1" si="1069"/>
        <v>#NAME?</v>
      </c>
      <c r="AT136" s="23" t="e">
        <f ca="1">+'QTR Raw'!N60</f>
        <v>#NAME?</v>
      </c>
      <c r="AU136" s="23" t="e">
        <f t="shared" ca="1" si="1069"/>
        <v>#NAME?</v>
      </c>
      <c r="AV136" s="23" t="e">
        <f ca="1">+'QTR Raw'!P60</f>
        <v>#NAME?</v>
      </c>
      <c r="AW136" s="23" t="e">
        <f t="shared" ca="1" si="1069"/>
        <v>#NAME?</v>
      </c>
      <c r="AX136" s="23" t="e">
        <f ca="1">+'QTR Raw'!R60</f>
        <v>#NAME?</v>
      </c>
      <c r="AY136" s="23" t="e">
        <f t="shared" ca="1" si="1069"/>
        <v>#NAME?</v>
      </c>
      <c r="AZ136" s="23" t="e">
        <f ca="1">+'QTR Raw'!T60</f>
        <v>#NAME?</v>
      </c>
      <c r="BA136" s="23" t="e">
        <f t="shared" ca="1" si="1069"/>
        <v>#NAME?</v>
      </c>
      <c r="BB136" s="23" t="e">
        <f ca="1">+'QTR Raw'!V60</f>
        <v>#NAME?</v>
      </c>
      <c r="BC136" s="23" t="e">
        <f t="shared" ca="1" si="1069"/>
        <v>#NAME?</v>
      </c>
      <c r="BD136" s="23" t="e">
        <f ca="1">+'QTR Raw'!X60</f>
        <v>#NAME?</v>
      </c>
      <c r="BE136" s="23" t="e">
        <f t="shared" ca="1" si="1069"/>
        <v>#NAME?</v>
      </c>
      <c r="BF136" s="23" t="e">
        <f ca="1">+'QTR Raw'!Z60</f>
        <v>#NAME?</v>
      </c>
      <c r="BG136" s="23" t="e">
        <f t="shared" ca="1" si="1069"/>
        <v>#NAME?</v>
      </c>
      <c r="BH136" s="22" t="e">
        <f ca="1">+'QTR Raw'!AB60</f>
        <v>#NAME?</v>
      </c>
      <c r="BI136" s="23" t="e">
        <f t="shared" ca="1" si="1069"/>
        <v>#NAME?</v>
      </c>
      <c r="BJ136" s="23" t="e">
        <f ca="1">+'QTR Raw'!AD60</f>
        <v>#NAME?</v>
      </c>
      <c r="BK136" s="23" t="e">
        <f t="shared" ca="1" si="1069"/>
        <v>#NAME?</v>
      </c>
      <c r="BL136" s="23" t="e">
        <f ca="1">+'QTR Raw'!AF60</f>
        <v>#NAME?</v>
      </c>
      <c r="BM136" s="23" t="e">
        <f t="shared" ca="1" si="1069"/>
        <v>#NAME?</v>
      </c>
      <c r="BN136" s="23" t="e">
        <f ca="1">+'QTR Raw'!AH60</f>
        <v>#NAME?</v>
      </c>
      <c r="BO136" s="23" t="e">
        <f t="shared" ca="1" si="1069"/>
        <v>#NAME?</v>
      </c>
      <c r="BP136" s="23" t="e">
        <f ca="1">+'QTR Raw'!AJ60</f>
        <v>#NAME?</v>
      </c>
      <c r="BQ136" s="23" t="e">
        <f t="shared" ca="1" si="1069"/>
        <v>#NAME?</v>
      </c>
      <c r="BR136" s="23" t="e">
        <f ca="1">+'QTR Raw'!AL60</f>
        <v>#NAME?</v>
      </c>
      <c r="BS136" s="23" t="e">
        <f t="shared" ca="1" si="1069"/>
        <v>#NAME?</v>
      </c>
      <c r="BT136" s="23" t="e">
        <f ca="1">+'QTR Raw'!AN60</f>
        <v>#NAME?</v>
      </c>
      <c r="BU136" s="23" t="e">
        <f t="shared" ca="1" si="1069"/>
        <v>#NAME?</v>
      </c>
      <c r="BV136" s="23" t="e">
        <f ca="1">+'QTR Raw'!AP60</f>
        <v>#NAME?</v>
      </c>
      <c r="BW136" s="23" t="e">
        <f t="shared" ca="1" si="1069"/>
        <v>#NAME?</v>
      </c>
      <c r="BX136" s="23" t="e">
        <f ca="1">+'QTR Raw'!AR60</f>
        <v>#NAME?</v>
      </c>
      <c r="BY136" s="23" t="e">
        <f t="shared" ca="1" si="1069"/>
        <v>#NAME?</v>
      </c>
      <c r="BZ136" s="23" t="e">
        <f ca="1">+'QTR Raw'!AT60</f>
        <v>#NAME?</v>
      </c>
      <c r="CA136" s="23" t="e">
        <f t="shared" ca="1" si="1069"/>
        <v>#NAME?</v>
      </c>
      <c r="CB136" s="23" t="e">
        <f ca="1">+'QTR Raw'!AV60</f>
        <v>#NAME?</v>
      </c>
      <c r="CC136" s="23" t="e">
        <f t="shared" ca="1" si="1069"/>
        <v>#NAME?</v>
      </c>
      <c r="CD136" s="23" t="e">
        <f ca="1">+'QTR Raw'!AX60</f>
        <v>#NAME?</v>
      </c>
      <c r="CE136" s="23" t="e">
        <f t="shared" ca="1" si="1069"/>
        <v>#NAME?</v>
      </c>
      <c r="CF136" s="23" t="e">
        <f ca="1">+'QTR Raw'!AZ60</f>
        <v>#NAME?</v>
      </c>
      <c r="CG136" s="23" t="e">
        <f t="shared" ref="CG136:CI136" ca="1" si="1070">+CF136</f>
        <v>#NAME?</v>
      </c>
      <c r="CH136" s="23" t="e">
        <f t="shared" ref="CH136:CH141" ca="1" si="1071">Z136</f>
        <v>#NAME?</v>
      </c>
      <c r="CI136" s="23" t="e">
        <f t="shared" ca="1" si="1070"/>
        <v>#NAME?</v>
      </c>
      <c r="CJ136" s="23" t="e">
        <f ca="1">+'QTR Raw'!BD60</f>
        <v>#NAME?</v>
      </c>
      <c r="CK136" s="23" t="e">
        <f t="shared" ref="CK136" ca="1" si="1072">+CJ136</f>
        <v>#NAME?</v>
      </c>
      <c r="CL136" s="23" t="e">
        <f ca="1">+'QTR Raw'!BF60</f>
        <v>#NAME?</v>
      </c>
      <c r="CM136" s="24" t="e">
        <f t="shared" ref="CM136" ca="1" si="1073">+CL136</f>
        <v>#NAME?</v>
      </c>
      <c r="CN136" s="24" t="e">
        <f t="shared" ref="CN136" ca="1" si="1074">+CM136</f>
        <v>#NAME?</v>
      </c>
      <c r="CO136" s="24" t="e">
        <f t="shared" ref="CO136" ca="1" si="1075">+CN136</f>
        <v>#NAME?</v>
      </c>
      <c r="CP136" s="24" t="e">
        <f t="shared" ref="CP136" ca="1" si="1076">+CO136</f>
        <v>#NAME?</v>
      </c>
      <c r="CQ136" s="24" t="e">
        <f t="shared" ref="CQ136" ca="1" si="1077">+CP136</f>
        <v>#NAME?</v>
      </c>
      <c r="CR136" s="24" t="e">
        <f t="shared" ref="CR136" ca="1" si="1078">+CQ136</f>
        <v>#NAME?</v>
      </c>
      <c r="CS136" s="24" t="e">
        <f t="shared" ref="CS136" ca="1" si="1079">+CR136</f>
        <v>#NAME?</v>
      </c>
      <c r="CT136" s="24" t="e">
        <f t="shared" ref="CT136" ca="1" si="1080">+CS136</f>
        <v>#NAME?</v>
      </c>
      <c r="CU136" s="24" t="e">
        <f t="shared" ref="CU136" ca="1" si="1081">+CT136</f>
        <v>#NAME?</v>
      </c>
      <c r="CV136" s="24" t="e">
        <f t="shared" ref="CV136" ca="1" si="1082">+CU136</f>
        <v>#NAME?</v>
      </c>
      <c r="CW136" s="24" t="e">
        <f t="shared" ref="CW136" ca="1" si="1083">+CV136</f>
        <v>#NAME?</v>
      </c>
      <c r="CX136" s="24" t="e">
        <f t="shared" ref="CX136" ca="1" si="1084">+CW136</f>
        <v>#NAME?</v>
      </c>
      <c r="CY136" s="24" t="e">
        <f t="shared" ref="CY136" ca="1" si="1085">+CX136</f>
        <v>#NAME?</v>
      </c>
      <c r="CZ136" s="24" t="e">
        <f t="shared" ref="CZ136" ca="1" si="1086">+CY136</f>
        <v>#NAME?</v>
      </c>
      <c r="DA136" s="24" t="e">
        <f t="shared" ref="DA136" ca="1" si="1087">+CZ136</f>
        <v>#NAME?</v>
      </c>
      <c r="DB136" s="24" t="e">
        <f t="shared" ref="DB136" ca="1" si="1088">+DA136</f>
        <v>#NAME?</v>
      </c>
      <c r="DE136" s="123"/>
      <c r="DF136" s="23">
        <v>0</v>
      </c>
    </row>
    <row r="137" spans="1:110" s="23" customFormat="1" x14ac:dyDescent="0.2">
      <c r="AB137" s="24"/>
      <c r="AC137" s="24"/>
      <c r="AD137" s="24"/>
      <c r="AE137" s="24"/>
      <c r="BH137" s="22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E137" s="123"/>
    </row>
    <row r="138" spans="1:110" s="23" customFormat="1" outlineLevel="1" x14ac:dyDescent="0.2">
      <c r="A138" s="23" t="s">
        <v>45</v>
      </c>
      <c r="B138" s="23" t="e">
        <f ca="1">'Annual Raw'!C47</f>
        <v>#NAME?</v>
      </c>
      <c r="C138" s="23" t="e">
        <f ca="1">'Annual Raw'!D47</f>
        <v>#NAME?</v>
      </c>
      <c r="D138" s="23" t="e">
        <f ca="1">'Annual Raw'!E47</f>
        <v>#NAME?</v>
      </c>
      <c r="E138" s="23" t="e">
        <f ca="1">'Annual Raw'!F47</f>
        <v>#NAME?</v>
      </c>
      <c r="F138" s="23" t="e">
        <f ca="1">'Annual Raw'!G47</f>
        <v>#NAME?</v>
      </c>
      <c r="G138" s="23" t="e">
        <f ca="1">'Annual Raw'!H47</f>
        <v>#NAME?</v>
      </c>
      <c r="H138" s="23" t="e">
        <f ca="1">'Annual Raw'!I47</f>
        <v>#NAME?</v>
      </c>
      <c r="I138" s="23" t="e">
        <f ca="1">'Annual Raw'!J47</f>
        <v>#NAME?</v>
      </c>
      <c r="J138" s="23" t="e">
        <f ca="1">'Annual Raw'!K47</f>
        <v>#NAME?</v>
      </c>
      <c r="K138" s="23" t="e">
        <f ca="1">'Annual Raw'!L47</f>
        <v>#NAME?</v>
      </c>
      <c r="L138" s="23" t="e">
        <f ca="1">'Annual Raw'!M47</f>
        <v>#NAME?</v>
      </c>
      <c r="M138" s="23" t="e">
        <f ca="1">'Annual Raw'!N47</f>
        <v>#NAME?</v>
      </c>
      <c r="N138" s="23" t="e">
        <f ca="1">'Annual Raw'!O47</f>
        <v>#NAME?</v>
      </c>
      <c r="O138" s="23" t="e">
        <f ca="1">'Annual Raw'!P47</f>
        <v>#NAME?</v>
      </c>
      <c r="P138" s="23" t="e">
        <f ca="1">'Annual Raw'!Q47</f>
        <v>#NAME?</v>
      </c>
      <c r="Q138" s="23" t="e">
        <f ca="1">'Annual Raw'!R47</f>
        <v>#NAME?</v>
      </c>
      <c r="R138" s="23" t="e">
        <f ca="1">'Annual Raw'!S47</f>
        <v>#NAME?</v>
      </c>
      <c r="S138" s="23" t="e">
        <f ca="1">'Annual Raw'!T47</f>
        <v>#NAME?</v>
      </c>
      <c r="T138" s="23" t="e">
        <f ca="1">'Annual Raw'!U47</f>
        <v>#NAME?</v>
      </c>
      <c r="U138" s="23" t="e">
        <f ca="1">'Annual Raw'!V47</f>
        <v>#NAME?</v>
      </c>
      <c r="V138" s="23" t="e">
        <f ca="1">'Annual Raw'!W47</f>
        <v>#NAME?</v>
      </c>
      <c r="W138" s="23" t="e">
        <f ca="1">'Annual Raw'!X47</f>
        <v>#NAME?</v>
      </c>
      <c r="X138" s="23" t="e">
        <f ca="1">'Annual Raw'!Y47</f>
        <v>#NAME?</v>
      </c>
      <c r="Y138" s="23" t="e">
        <f ca="1">'Annual Raw'!Z47</f>
        <v>#NAME?</v>
      </c>
      <c r="Z138" s="23" t="e">
        <f ca="1">'Annual Raw'!AA47</f>
        <v>#NAME?</v>
      </c>
      <c r="AA138" s="23" t="e">
        <f ca="1">'Annual Raw'!AB47</f>
        <v>#NAME?</v>
      </c>
      <c r="AB138" s="24" t="e">
        <f t="shared" ref="AB138:AB141" ca="1" si="1089">+CP138</f>
        <v>#NAME?</v>
      </c>
      <c r="AC138" s="24" t="e">
        <f t="shared" ref="AC138:AC141" ca="1" si="1090">+CT138</f>
        <v>#NAME?</v>
      </c>
      <c r="AD138" s="24" t="e">
        <f t="shared" ref="AD138:AD141" ca="1" si="1091">+CX138</f>
        <v>#NAME?</v>
      </c>
      <c r="AE138" s="24" t="e">
        <f t="shared" ref="AE138:AE141" ca="1" si="1092">+DB138</f>
        <v>#NAME?</v>
      </c>
      <c r="AJ138" s="23" t="e">
        <f ca="1">+'QTR Raw'!D62</f>
        <v>#NAME?</v>
      </c>
      <c r="AK138" s="23" t="e">
        <f t="shared" ref="AK138:CC141" ca="1" si="1093">+AJ138</f>
        <v>#NAME?</v>
      </c>
      <c r="AL138" s="23" t="e">
        <f ca="1">+'QTR Raw'!F62</f>
        <v>#NAME?</v>
      </c>
      <c r="AM138" s="23" t="e">
        <f t="shared" ca="1" si="1093"/>
        <v>#NAME?</v>
      </c>
      <c r="AN138" s="23" t="e">
        <f ca="1">+'QTR Raw'!H62</f>
        <v>#NAME?</v>
      </c>
      <c r="AO138" s="23" t="e">
        <f t="shared" ca="1" si="1093"/>
        <v>#NAME?</v>
      </c>
      <c r="AP138" s="23" t="e">
        <f ca="1">+'QTR Raw'!J62</f>
        <v>#NAME?</v>
      </c>
      <c r="AQ138" s="23" t="e">
        <f t="shared" ca="1" si="1093"/>
        <v>#NAME?</v>
      </c>
      <c r="AR138" s="23" t="e">
        <f ca="1">+'QTR Raw'!L62</f>
        <v>#NAME?</v>
      </c>
      <c r="AS138" s="23" t="e">
        <f t="shared" ca="1" si="1093"/>
        <v>#NAME?</v>
      </c>
      <c r="AT138" s="23" t="e">
        <f ca="1">+'QTR Raw'!N62</f>
        <v>#NAME?</v>
      </c>
      <c r="AU138" s="23" t="e">
        <f t="shared" ca="1" si="1093"/>
        <v>#NAME?</v>
      </c>
      <c r="AV138" s="23" t="e">
        <f ca="1">+'QTR Raw'!P62</f>
        <v>#NAME?</v>
      </c>
      <c r="AW138" s="23" t="e">
        <f t="shared" ca="1" si="1093"/>
        <v>#NAME?</v>
      </c>
      <c r="AX138" s="23" t="e">
        <f ca="1">+'QTR Raw'!R62</f>
        <v>#NAME?</v>
      </c>
      <c r="AY138" s="23" t="e">
        <f t="shared" ca="1" si="1093"/>
        <v>#NAME?</v>
      </c>
      <c r="AZ138" s="23" t="e">
        <f ca="1">+'QTR Raw'!T62</f>
        <v>#NAME?</v>
      </c>
      <c r="BA138" s="23" t="e">
        <f t="shared" ca="1" si="1093"/>
        <v>#NAME?</v>
      </c>
      <c r="BB138" s="23" t="e">
        <f ca="1">+'QTR Raw'!V62</f>
        <v>#NAME?</v>
      </c>
      <c r="BC138" s="23" t="e">
        <f t="shared" ca="1" si="1093"/>
        <v>#NAME?</v>
      </c>
      <c r="BD138" s="23" t="e">
        <f ca="1">+'QTR Raw'!X62</f>
        <v>#NAME?</v>
      </c>
      <c r="BE138" s="23" t="e">
        <f t="shared" ca="1" si="1093"/>
        <v>#NAME?</v>
      </c>
      <c r="BF138" s="23" t="e">
        <f ca="1">+'QTR Raw'!Z62</f>
        <v>#NAME?</v>
      </c>
      <c r="BG138" s="23" t="e">
        <f t="shared" ca="1" si="1093"/>
        <v>#NAME?</v>
      </c>
      <c r="BH138" s="22" t="e">
        <f ca="1">+'QTR Raw'!AB62</f>
        <v>#NAME?</v>
      </c>
      <c r="BI138" s="23" t="e">
        <f t="shared" ca="1" si="1093"/>
        <v>#NAME?</v>
      </c>
      <c r="BJ138" s="23" t="e">
        <f ca="1">+'QTR Raw'!AD62</f>
        <v>#NAME?</v>
      </c>
      <c r="BK138" s="23" t="e">
        <f t="shared" ca="1" si="1093"/>
        <v>#NAME?</v>
      </c>
      <c r="BL138" s="23" t="e">
        <f ca="1">+'QTR Raw'!AF62</f>
        <v>#NAME?</v>
      </c>
      <c r="BM138" s="23" t="e">
        <f t="shared" ca="1" si="1093"/>
        <v>#NAME?</v>
      </c>
      <c r="BN138" s="23" t="e">
        <f ca="1">+'QTR Raw'!AH62</f>
        <v>#NAME?</v>
      </c>
      <c r="BO138" s="23" t="e">
        <f t="shared" ca="1" si="1093"/>
        <v>#NAME?</v>
      </c>
      <c r="BP138" s="23" t="e">
        <f ca="1">+'QTR Raw'!AJ62</f>
        <v>#NAME?</v>
      </c>
      <c r="BQ138" s="23" t="e">
        <f t="shared" ca="1" si="1093"/>
        <v>#NAME?</v>
      </c>
      <c r="BR138" s="23" t="e">
        <f ca="1">+'QTR Raw'!AL62</f>
        <v>#NAME?</v>
      </c>
      <c r="BS138" s="23" t="e">
        <f t="shared" ca="1" si="1093"/>
        <v>#NAME?</v>
      </c>
      <c r="BT138" s="23" t="e">
        <f ca="1">+'QTR Raw'!AN62</f>
        <v>#NAME?</v>
      </c>
      <c r="BU138" s="23" t="e">
        <f t="shared" ca="1" si="1093"/>
        <v>#NAME?</v>
      </c>
      <c r="BV138" s="23" t="e">
        <f ca="1">+'QTR Raw'!AP62</f>
        <v>#NAME?</v>
      </c>
      <c r="BW138" s="23" t="e">
        <f t="shared" ca="1" si="1093"/>
        <v>#NAME?</v>
      </c>
      <c r="BX138" s="23" t="e">
        <f ca="1">+'QTR Raw'!AR62</f>
        <v>#NAME?</v>
      </c>
      <c r="BY138" s="23" t="e">
        <f t="shared" ca="1" si="1093"/>
        <v>#NAME?</v>
      </c>
      <c r="BZ138" s="23" t="e">
        <f ca="1">+'QTR Raw'!AT62</f>
        <v>#NAME?</v>
      </c>
      <c r="CA138" s="23" t="e">
        <f t="shared" ca="1" si="1093"/>
        <v>#NAME?</v>
      </c>
      <c r="CB138" s="23" t="e">
        <f ca="1">+'QTR Raw'!AV62</f>
        <v>#NAME?</v>
      </c>
      <c r="CC138" s="23" t="e">
        <f t="shared" ca="1" si="1093"/>
        <v>#NAME?</v>
      </c>
      <c r="CD138" s="23" t="e">
        <f ca="1">+'QTR Raw'!AX62</f>
        <v>#NAME?</v>
      </c>
      <c r="CE138" s="23" t="e">
        <f t="shared" ref="CE138:CE141" ca="1" si="1094">+CD138</f>
        <v>#NAME?</v>
      </c>
      <c r="CF138" s="23" t="e">
        <f ca="1">+'QTR Raw'!AZ62</f>
        <v>#NAME?</v>
      </c>
      <c r="CG138" s="23" t="e">
        <f t="shared" ref="CG138:CI141" ca="1" si="1095">+CF138</f>
        <v>#NAME?</v>
      </c>
      <c r="CH138" s="23" t="e">
        <f t="shared" ca="1" si="1071"/>
        <v>#NAME?</v>
      </c>
      <c r="CI138" s="23" t="e">
        <f t="shared" ca="1" si="1095"/>
        <v>#NAME?</v>
      </c>
      <c r="CJ138" s="23" t="e">
        <f ca="1">+'QTR Raw'!BD62</f>
        <v>#NAME?</v>
      </c>
      <c r="CK138" s="23" t="e">
        <f t="shared" ref="CK138:CK141" ca="1" si="1096">+CJ138</f>
        <v>#NAME?</v>
      </c>
      <c r="CL138" s="23" t="e">
        <f ca="1">+'QTR Raw'!BF62</f>
        <v>#NAME?</v>
      </c>
      <c r="CM138" s="24" t="e">
        <f t="shared" ref="CM138:CM141" ca="1" si="1097">+CL138</f>
        <v>#NAME?</v>
      </c>
      <c r="CN138" s="24" t="e">
        <f t="shared" ref="CN138:CN141" ca="1" si="1098">+CM138</f>
        <v>#NAME?</v>
      </c>
      <c r="CO138" s="24" t="e">
        <f t="shared" ref="CO138:CO141" ca="1" si="1099">+CN138</f>
        <v>#NAME?</v>
      </c>
      <c r="CP138" s="24" t="e">
        <f t="shared" ref="CP138:CP141" ca="1" si="1100">+CO138</f>
        <v>#NAME?</v>
      </c>
      <c r="CQ138" s="24" t="e">
        <f t="shared" ref="CQ138:CQ141" ca="1" si="1101">+CP138</f>
        <v>#NAME?</v>
      </c>
      <c r="CR138" s="24" t="e">
        <f t="shared" ref="CR138:CR141" ca="1" si="1102">+CQ138</f>
        <v>#NAME?</v>
      </c>
      <c r="CS138" s="24" t="e">
        <f t="shared" ref="CS138:CS141" ca="1" si="1103">+CR138</f>
        <v>#NAME?</v>
      </c>
      <c r="CT138" s="24" t="e">
        <f t="shared" ref="CT138:CT141" ca="1" si="1104">+CS138</f>
        <v>#NAME?</v>
      </c>
      <c r="CU138" s="24" t="e">
        <f t="shared" ref="CU138:CU141" ca="1" si="1105">+CT138</f>
        <v>#NAME?</v>
      </c>
      <c r="CV138" s="24" t="e">
        <f t="shared" ref="CV138:CV141" ca="1" si="1106">+CU138</f>
        <v>#NAME?</v>
      </c>
      <c r="CW138" s="24" t="e">
        <f t="shared" ref="CW138:CW141" ca="1" si="1107">+CV138</f>
        <v>#NAME?</v>
      </c>
      <c r="CX138" s="24" t="e">
        <f t="shared" ref="CX138:CX141" ca="1" si="1108">+CW138</f>
        <v>#NAME?</v>
      </c>
      <c r="CY138" s="24" t="e">
        <f t="shared" ref="CY138:CY141" ca="1" si="1109">+CX138</f>
        <v>#NAME?</v>
      </c>
      <c r="CZ138" s="24" t="e">
        <f t="shared" ref="CZ138:CZ141" ca="1" si="1110">+CY138</f>
        <v>#NAME?</v>
      </c>
      <c r="DA138" s="24" t="e">
        <f t="shared" ref="DA138:DA141" ca="1" si="1111">+CZ138</f>
        <v>#NAME?</v>
      </c>
      <c r="DB138" s="24" t="e">
        <f t="shared" ref="DB138:DB141" ca="1" si="1112">+DA138</f>
        <v>#NAME?</v>
      </c>
      <c r="DE138" s="123"/>
      <c r="DF138" s="23">
        <v>0</v>
      </c>
    </row>
    <row r="139" spans="1:110" s="23" customFormat="1" outlineLevel="1" x14ac:dyDescent="0.2">
      <c r="A139" s="23" t="s">
        <v>46</v>
      </c>
      <c r="B139" s="23" t="e">
        <f ca="1">'Annual Raw'!C48</f>
        <v>#NAME?</v>
      </c>
      <c r="C139" s="23" t="e">
        <f ca="1">'Annual Raw'!D48</f>
        <v>#NAME?</v>
      </c>
      <c r="D139" s="23" t="e">
        <f ca="1">'Annual Raw'!E48</f>
        <v>#NAME?</v>
      </c>
      <c r="E139" s="23" t="e">
        <f ca="1">'Annual Raw'!F48</f>
        <v>#NAME?</v>
      </c>
      <c r="F139" s="23" t="e">
        <f ca="1">'Annual Raw'!G48</f>
        <v>#NAME?</v>
      </c>
      <c r="G139" s="23" t="e">
        <f ca="1">'Annual Raw'!H48</f>
        <v>#NAME?</v>
      </c>
      <c r="H139" s="23" t="e">
        <f ca="1">'Annual Raw'!I48</f>
        <v>#NAME?</v>
      </c>
      <c r="I139" s="23" t="e">
        <f ca="1">'Annual Raw'!J48</f>
        <v>#NAME?</v>
      </c>
      <c r="J139" s="23" t="e">
        <f ca="1">'Annual Raw'!K48</f>
        <v>#NAME?</v>
      </c>
      <c r="K139" s="23" t="e">
        <f ca="1">'Annual Raw'!L48</f>
        <v>#NAME?</v>
      </c>
      <c r="L139" s="23" t="e">
        <f ca="1">'Annual Raw'!M48</f>
        <v>#NAME?</v>
      </c>
      <c r="M139" s="23" t="e">
        <f ca="1">'Annual Raw'!N48</f>
        <v>#NAME?</v>
      </c>
      <c r="N139" s="23" t="e">
        <f ca="1">'Annual Raw'!O48</f>
        <v>#NAME?</v>
      </c>
      <c r="O139" s="23" t="e">
        <f ca="1">'Annual Raw'!P48</f>
        <v>#NAME?</v>
      </c>
      <c r="P139" s="23" t="e">
        <f ca="1">'Annual Raw'!Q48</f>
        <v>#NAME?</v>
      </c>
      <c r="Q139" s="23" t="e">
        <f ca="1">'Annual Raw'!R48</f>
        <v>#NAME?</v>
      </c>
      <c r="R139" s="23" t="e">
        <f ca="1">'Annual Raw'!S48</f>
        <v>#NAME?</v>
      </c>
      <c r="S139" s="23" t="e">
        <f ca="1">'Annual Raw'!T48</f>
        <v>#NAME?</v>
      </c>
      <c r="T139" s="23" t="e">
        <f ca="1">'Annual Raw'!U48</f>
        <v>#NAME?</v>
      </c>
      <c r="U139" s="23" t="e">
        <f ca="1">'Annual Raw'!V48</f>
        <v>#NAME?</v>
      </c>
      <c r="V139" s="23" t="e">
        <f ca="1">'Annual Raw'!W48</f>
        <v>#NAME?</v>
      </c>
      <c r="W139" s="23" t="e">
        <f ca="1">'Annual Raw'!X48</f>
        <v>#NAME?</v>
      </c>
      <c r="X139" s="23" t="e">
        <f ca="1">'Annual Raw'!Y48</f>
        <v>#NAME?</v>
      </c>
      <c r="Y139" s="23" t="e">
        <f ca="1">'Annual Raw'!Z48</f>
        <v>#NAME?</v>
      </c>
      <c r="Z139" s="23" t="e">
        <f ca="1">'Annual Raw'!AA48</f>
        <v>#NAME?</v>
      </c>
      <c r="AA139" s="23" t="e">
        <f ca="1">'Annual Raw'!AB48</f>
        <v>#NAME?</v>
      </c>
      <c r="AB139" s="24" t="e">
        <f t="shared" ca="1" si="1089"/>
        <v>#NAME?</v>
      </c>
      <c r="AC139" s="24" t="e">
        <f t="shared" ca="1" si="1090"/>
        <v>#NAME?</v>
      </c>
      <c r="AD139" s="24" t="e">
        <f t="shared" ca="1" si="1091"/>
        <v>#NAME?</v>
      </c>
      <c r="AE139" s="24" t="e">
        <f t="shared" ca="1" si="1092"/>
        <v>#NAME?</v>
      </c>
      <c r="AJ139" s="23" t="e">
        <f ca="1">+'QTR Raw'!D63</f>
        <v>#NAME?</v>
      </c>
      <c r="AK139" s="23" t="e">
        <f t="shared" ca="1" si="1093"/>
        <v>#NAME?</v>
      </c>
      <c r="AL139" s="23" t="e">
        <f ca="1">+'QTR Raw'!F63</f>
        <v>#NAME?</v>
      </c>
      <c r="AM139" s="23" t="e">
        <f t="shared" ca="1" si="1093"/>
        <v>#NAME?</v>
      </c>
      <c r="AN139" s="23" t="e">
        <f ca="1">+'QTR Raw'!H63</f>
        <v>#NAME?</v>
      </c>
      <c r="AO139" s="23" t="e">
        <f t="shared" ca="1" si="1093"/>
        <v>#NAME?</v>
      </c>
      <c r="AP139" s="23" t="e">
        <f ca="1">+'QTR Raw'!J63</f>
        <v>#NAME?</v>
      </c>
      <c r="AQ139" s="23" t="e">
        <f t="shared" ca="1" si="1093"/>
        <v>#NAME?</v>
      </c>
      <c r="AR139" s="23" t="e">
        <f ca="1">+'QTR Raw'!L63</f>
        <v>#NAME?</v>
      </c>
      <c r="AS139" s="23" t="e">
        <f t="shared" ca="1" si="1093"/>
        <v>#NAME?</v>
      </c>
      <c r="AT139" s="23" t="e">
        <f ca="1">+'QTR Raw'!N63</f>
        <v>#NAME?</v>
      </c>
      <c r="AU139" s="23" t="e">
        <f t="shared" ca="1" si="1093"/>
        <v>#NAME?</v>
      </c>
      <c r="AV139" s="23" t="e">
        <f ca="1">+'QTR Raw'!P63</f>
        <v>#NAME?</v>
      </c>
      <c r="AW139" s="23" t="e">
        <f t="shared" ca="1" si="1093"/>
        <v>#NAME?</v>
      </c>
      <c r="AX139" s="23" t="e">
        <f ca="1">+'QTR Raw'!R63</f>
        <v>#NAME?</v>
      </c>
      <c r="AY139" s="23" t="e">
        <f t="shared" ca="1" si="1093"/>
        <v>#NAME?</v>
      </c>
      <c r="AZ139" s="23" t="e">
        <f ca="1">+'QTR Raw'!T63</f>
        <v>#NAME?</v>
      </c>
      <c r="BA139" s="23" t="e">
        <f t="shared" ca="1" si="1093"/>
        <v>#NAME?</v>
      </c>
      <c r="BB139" s="23" t="e">
        <f ca="1">+'QTR Raw'!V63</f>
        <v>#NAME?</v>
      </c>
      <c r="BC139" s="23" t="e">
        <f t="shared" ca="1" si="1093"/>
        <v>#NAME?</v>
      </c>
      <c r="BD139" s="23" t="e">
        <f ca="1">+'QTR Raw'!X63</f>
        <v>#NAME?</v>
      </c>
      <c r="BE139" s="23" t="e">
        <f t="shared" ca="1" si="1093"/>
        <v>#NAME?</v>
      </c>
      <c r="BF139" s="23" t="e">
        <f ca="1">+'QTR Raw'!Z63</f>
        <v>#NAME?</v>
      </c>
      <c r="BG139" s="23" t="e">
        <f t="shared" ca="1" si="1093"/>
        <v>#NAME?</v>
      </c>
      <c r="BH139" s="23" t="e">
        <f ca="1">+'QTR Raw'!AB63</f>
        <v>#NAME?</v>
      </c>
      <c r="BI139" s="23" t="e">
        <f t="shared" ca="1" si="1093"/>
        <v>#NAME?</v>
      </c>
      <c r="BJ139" s="23" t="e">
        <f ca="1">+'QTR Raw'!AD63</f>
        <v>#NAME?</v>
      </c>
      <c r="BK139" s="23" t="e">
        <f t="shared" ca="1" si="1093"/>
        <v>#NAME?</v>
      </c>
      <c r="BL139" s="23" t="e">
        <f ca="1">+'QTR Raw'!AF63</f>
        <v>#NAME?</v>
      </c>
      <c r="BM139" s="23" t="e">
        <f t="shared" ca="1" si="1093"/>
        <v>#NAME?</v>
      </c>
      <c r="BN139" s="23" t="e">
        <f ca="1">+'QTR Raw'!AH63</f>
        <v>#NAME?</v>
      </c>
      <c r="BO139" s="23" t="e">
        <f t="shared" ca="1" si="1093"/>
        <v>#NAME?</v>
      </c>
      <c r="BP139" s="23" t="e">
        <f ca="1">+'QTR Raw'!AJ63</f>
        <v>#NAME?</v>
      </c>
      <c r="BQ139" s="23" t="e">
        <f t="shared" ca="1" si="1093"/>
        <v>#NAME?</v>
      </c>
      <c r="BR139" s="23" t="e">
        <f ca="1">+'QTR Raw'!AL63</f>
        <v>#NAME?</v>
      </c>
      <c r="BS139" s="23" t="e">
        <f t="shared" ca="1" si="1093"/>
        <v>#NAME?</v>
      </c>
      <c r="BT139" s="23" t="e">
        <f ca="1">+'QTR Raw'!AN63</f>
        <v>#NAME?</v>
      </c>
      <c r="BU139" s="23" t="e">
        <f t="shared" ca="1" si="1093"/>
        <v>#NAME?</v>
      </c>
      <c r="BV139" s="23" t="e">
        <f ca="1">+'QTR Raw'!AP63</f>
        <v>#NAME?</v>
      </c>
      <c r="BW139" s="23" t="e">
        <f t="shared" ca="1" si="1093"/>
        <v>#NAME?</v>
      </c>
      <c r="BX139" s="23" t="e">
        <f ca="1">+'QTR Raw'!AR63</f>
        <v>#NAME?</v>
      </c>
      <c r="BY139" s="23" t="e">
        <f t="shared" ca="1" si="1093"/>
        <v>#NAME?</v>
      </c>
      <c r="BZ139" s="23" t="e">
        <f ca="1">+'QTR Raw'!AT63</f>
        <v>#NAME?</v>
      </c>
      <c r="CA139" s="23" t="e">
        <f t="shared" ca="1" si="1093"/>
        <v>#NAME?</v>
      </c>
      <c r="CB139" s="23" t="e">
        <f ca="1">+'QTR Raw'!AV63</f>
        <v>#NAME?</v>
      </c>
      <c r="CC139" s="23" t="e">
        <f t="shared" ca="1" si="1093"/>
        <v>#NAME?</v>
      </c>
      <c r="CD139" s="23" t="e">
        <f ca="1">+'QTR Raw'!AX63</f>
        <v>#NAME?</v>
      </c>
      <c r="CE139" s="23" t="e">
        <f t="shared" ca="1" si="1094"/>
        <v>#NAME?</v>
      </c>
      <c r="CF139" s="23" t="e">
        <f ca="1">+'QTR Raw'!AZ63</f>
        <v>#NAME?</v>
      </c>
      <c r="CG139" s="23" t="e">
        <f t="shared" ca="1" si="1095"/>
        <v>#NAME?</v>
      </c>
      <c r="CH139" s="23" t="e">
        <f t="shared" ca="1" si="1071"/>
        <v>#NAME?</v>
      </c>
      <c r="CI139" s="23" t="e">
        <f t="shared" ca="1" si="1095"/>
        <v>#NAME?</v>
      </c>
      <c r="CJ139" s="23" t="e">
        <f ca="1">+'QTR Raw'!BD63</f>
        <v>#NAME?</v>
      </c>
      <c r="CK139" s="23" t="e">
        <f t="shared" ca="1" si="1096"/>
        <v>#NAME?</v>
      </c>
      <c r="CL139" s="23" t="e">
        <f ca="1">+'QTR Raw'!BF63</f>
        <v>#NAME?</v>
      </c>
      <c r="CM139" s="24" t="e">
        <f t="shared" ca="1" si="1097"/>
        <v>#NAME?</v>
      </c>
      <c r="CN139" s="24" t="e">
        <f t="shared" ca="1" si="1098"/>
        <v>#NAME?</v>
      </c>
      <c r="CO139" s="24" t="e">
        <f t="shared" ca="1" si="1099"/>
        <v>#NAME?</v>
      </c>
      <c r="CP139" s="24" t="e">
        <f t="shared" ca="1" si="1100"/>
        <v>#NAME?</v>
      </c>
      <c r="CQ139" s="24" t="e">
        <f t="shared" ca="1" si="1101"/>
        <v>#NAME?</v>
      </c>
      <c r="CR139" s="24" t="e">
        <f t="shared" ca="1" si="1102"/>
        <v>#NAME?</v>
      </c>
      <c r="CS139" s="24" t="e">
        <f t="shared" ca="1" si="1103"/>
        <v>#NAME?</v>
      </c>
      <c r="CT139" s="24" t="e">
        <f t="shared" ca="1" si="1104"/>
        <v>#NAME?</v>
      </c>
      <c r="CU139" s="24" t="e">
        <f t="shared" ca="1" si="1105"/>
        <v>#NAME?</v>
      </c>
      <c r="CV139" s="24" t="e">
        <f t="shared" ca="1" si="1106"/>
        <v>#NAME?</v>
      </c>
      <c r="CW139" s="24" t="e">
        <f t="shared" ca="1" si="1107"/>
        <v>#NAME?</v>
      </c>
      <c r="CX139" s="24" t="e">
        <f t="shared" ca="1" si="1108"/>
        <v>#NAME?</v>
      </c>
      <c r="CY139" s="24" t="e">
        <f t="shared" ca="1" si="1109"/>
        <v>#NAME?</v>
      </c>
      <c r="CZ139" s="24" t="e">
        <f t="shared" ca="1" si="1110"/>
        <v>#NAME?</v>
      </c>
      <c r="DA139" s="24" t="e">
        <f t="shared" ca="1" si="1111"/>
        <v>#NAME?</v>
      </c>
      <c r="DB139" s="24" t="e">
        <f t="shared" ca="1" si="1112"/>
        <v>#NAME?</v>
      </c>
      <c r="DE139" s="123"/>
      <c r="DF139" s="23">
        <v>0</v>
      </c>
    </row>
    <row r="140" spans="1:110" s="23" customFormat="1" outlineLevel="1" x14ac:dyDescent="0.2">
      <c r="A140" s="23" t="s">
        <v>47</v>
      </c>
      <c r="B140" s="23" t="e">
        <f ca="1">'Annual Raw'!C87+'Annual Raw'!C88+'Annual Raw'!C89+'Annual Raw'!C90</f>
        <v>#NAME?</v>
      </c>
      <c r="C140" s="23" t="e">
        <f ca="1">'Annual Raw'!D87+'Annual Raw'!D88+'Annual Raw'!D89+'Annual Raw'!D90</f>
        <v>#NAME?</v>
      </c>
      <c r="D140" s="23" t="e">
        <f ca="1">'Annual Raw'!E87+'Annual Raw'!E88+'Annual Raw'!E89+'Annual Raw'!E90</f>
        <v>#NAME?</v>
      </c>
      <c r="E140" s="23" t="e">
        <f ca="1">'Annual Raw'!F87+'Annual Raw'!F88+'Annual Raw'!F89+'Annual Raw'!F90</f>
        <v>#NAME?</v>
      </c>
      <c r="F140" s="23" t="e">
        <f ca="1">'Annual Raw'!G87+'Annual Raw'!G88+'Annual Raw'!G89+'Annual Raw'!G90</f>
        <v>#NAME?</v>
      </c>
      <c r="G140" s="23" t="e">
        <f ca="1">'Annual Raw'!H87+'Annual Raw'!H88+'Annual Raw'!H89+'Annual Raw'!H90</f>
        <v>#NAME?</v>
      </c>
      <c r="H140" s="23" t="e">
        <f ca="1">'Annual Raw'!I87+'Annual Raw'!I88+'Annual Raw'!I89+'Annual Raw'!I90</f>
        <v>#NAME?</v>
      </c>
      <c r="I140" s="23" t="e">
        <f ca="1">'Annual Raw'!J87+'Annual Raw'!J88+'Annual Raw'!J89+'Annual Raw'!J90</f>
        <v>#NAME?</v>
      </c>
      <c r="J140" s="23" t="e">
        <f ca="1">'Annual Raw'!K87+'Annual Raw'!K88+'Annual Raw'!K89+'Annual Raw'!K90</f>
        <v>#NAME?</v>
      </c>
      <c r="K140" s="23" t="e">
        <f ca="1">'Annual Raw'!L87+'Annual Raw'!L88+'Annual Raw'!L89+'Annual Raw'!L90</f>
        <v>#NAME?</v>
      </c>
      <c r="L140" s="23" t="e">
        <f ca="1">'Annual Raw'!M87+'Annual Raw'!M88+'Annual Raw'!M89+'Annual Raw'!M90</f>
        <v>#NAME?</v>
      </c>
      <c r="M140" s="23" t="e">
        <f ca="1">'Annual Raw'!N87+'Annual Raw'!N88+'Annual Raw'!N89+'Annual Raw'!N90</f>
        <v>#NAME?</v>
      </c>
      <c r="N140" s="23" t="e">
        <f ca="1">'Annual Raw'!O87+'Annual Raw'!O88+'Annual Raw'!O89+'Annual Raw'!O90</f>
        <v>#NAME?</v>
      </c>
      <c r="O140" s="23" t="e">
        <f ca="1">'Annual Raw'!P87+'Annual Raw'!P88+'Annual Raw'!P89+'Annual Raw'!P90</f>
        <v>#NAME?</v>
      </c>
      <c r="P140" s="23" t="e">
        <f ca="1">'Annual Raw'!Q87+'Annual Raw'!Q88+'Annual Raw'!Q89+'Annual Raw'!Q90</f>
        <v>#NAME?</v>
      </c>
      <c r="Q140" s="23" t="e">
        <f ca="1">'Annual Raw'!R87+'Annual Raw'!R88+'Annual Raw'!R89+'Annual Raw'!R90</f>
        <v>#NAME?</v>
      </c>
      <c r="R140" s="23" t="e">
        <f ca="1">'Annual Raw'!S87+'Annual Raw'!S88+'Annual Raw'!S89+'Annual Raw'!S90</f>
        <v>#NAME?</v>
      </c>
      <c r="S140" s="23" t="e">
        <f ca="1">'Annual Raw'!T87+'Annual Raw'!T88+'Annual Raw'!T89+'Annual Raw'!T90</f>
        <v>#NAME?</v>
      </c>
      <c r="T140" s="23" t="e">
        <f ca="1">'Annual Raw'!U87+'Annual Raw'!U88+'Annual Raw'!U89+'Annual Raw'!U90</f>
        <v>#NAME?</v>
      </c>
      <c r="U140" s="23" t="e">
        <f ca="1">'Annual Raw'!V87+'Annual Raw'!V88+'Annual Raw'!V89+'Annual Raw'!V90</f>
        <v>#NAME?</v>
      </c>
      <c r="V140" s="23" t="e">
        <f ca="1">'Annual Raw'!W87+'Annual Raw'!W88+'Annual Raw'!W89+'Annual Raw'!W90</f>
        <v>#NAME?</v>
      </c>
      <c r="W140" s="23" t="e">
        <f ca="1">'Annual Raw'!X87+'Annual Raw'!X88+'Annual Raw'!X89+'Annual Raw'!X90</f>
        <v>#NAME?</v>
      </c>
      <c r="X140" s="23" t="e">
        <f ca="1">'Annual Raw'!Y87+'Annual Raw'!Y88+'Annual Raw'!Y89+'Annual Raw'!Y90</f>
        <v>#NAME?</v>
      </c>
      <c r="Y140" s="23" t="e">
        <f ca="1">'Annual Raw'!Z87+'Annual Raw'!Z88+'Annual Raw'!Z89+'Annual Raw'!Z90</f>
        <v>#NAME?</v>
      </c>
      <c r="Z140" s="23" t="e">
        <f ca="1">'Annual Raw'!AA87+'Annual Raw'!AA88+'Annual Raw'!AA89+'Annual Raw'!AA90</f>
        <v>#NAME?</v>
      </c>
      <c r="AA140" s="23" t="e">
        <f ca="1">'Annual Raw'!AB87+'Annual Raw'!AB88+'Annual Raw'!AB89+'Annual Raw'!AB90</f>
        <v>#NAME?</v>
      </c>
      <c r="AB140" s="24" t="e">
        <f t="shared" ca="1" si="1089"/>
        <v>#NAME?</v>
      </c>
      <c r="AC140" s="24" t="e">
        <f t="shared" ca="1" si="1090"/>
        <v>#NAME?</v>
      </c>
      <c r="AD140" s="24" t="e">
        <f t="shared" ca="1" si="1091"/>
        <v>#NAME?</v>
      </c>
      <c r="AE140" s="24" t="e">
        <f t="shared" ca="1" si="1092"/>
        <v>#NAME?</v>
      </c>
      <c r="AJ140" s="23" t="e">
        <f ca="1">+'QTR Raw'!D90</f>
        <v>#NAME?</v>
      </c>
      <c r="AK140" s="23" t="e">
        <f t="shared" ca="1" si="1093"/>
        <v>#NAME?</v>
      </c>
      <c r="AL140" s="23" t="e">
        <f ca="1">+'QTR Raw'!F90</f>
        <v>#NAME?</v>
      </c>
      <c r="AM140" s="23" t="e">
        <f t="shared" ca="1" si="1093"/>
        <v>#NAME?</v>
      </c>
      <c r="AN140" s="23" t="e">
        <f ca="1">+'QTR Raw'!H90</f>
        <v>#NAME?</v>
      </c>
      <c r="AO140" s="23" t="e">
        <f t="shared" ca="1" si="1093"/>
        <v>#NAME?</v>
      </c>
      <c r="AP140" s="23" t="e">
        <f ca="1">+'QTR Raw'!J90</f>
        <v>#NAME?</v>
      </c>
      <c r="AQ140" s="23" t="e">
        <f t="shared" ca="1" si="1093"/>
        <v>#NAME?</v>
      </c>
      <c r="AR140" s="23" t="e">
        <f ca="1">+'QTR Raw'!L90</f>
        <v>#NAME?</v>
      </c>
      <c r="AS140" s="23" t="e">
        <f t="shared" ca="1" si="1093"/>
        <v>#NAME?</v>
      </c>
      <c r="AT140" s="23" t="e">
        <f ca="1">+'QTR Raw'!N90</f>
        <v>#NAME?</v>
      </c>
      <c r="AU140" s="23" t="e">
        <f t="shared" ca="1" si="1093"/>
        <v>#NAME?</v>
      </c>
      <c r="AV140" s="23" t="e">
        <f ca="1">+'QTR Raw'!P90</f>
        <v>#NAME?</v>
      </c>
      <c r="AW140" s="23" t="e">
        <f t="shared" ca="1" si="1093"/>
        <v>#NAME?</v>
      </c>
      <c r="AX140" s="23" t="e">
        <f ca="1">+'QTR Raw'!R90</f>
        <v>#NAME?</v>
      </c>
      <c r="AY140" s="23" t="e">
        <f t="shared" ca="1" si="1093"/>
        <v>#NAME?</v>
      </c>
      <c r="AZ140" s="23" t="e">
        <f ca="1">+'QTR Raw'!T90</f>
        <v>#NAME?</v>
      </c>
      <c r="BA140" s="23" t="e">
        <f t="shared" ca="1" si="1093"/>
        <v>#NAME?</v>
      </c>
      <c r="BB140" s="23" t="e">
        <f ca="1">+'QTR Raw'!V90</f>
        <v>#NAME?</v>
      </c>
      <c r="BC140" s="23" t="e">
        <f t="shared" ca="1" si="1093"/>
        <v>#NAME?</v>
      </c>
      <c r="BD140" s="23" t="e">
        <f ca="1">+'QTR Raw'!X90</f>
        <v>#NAME?</v>
      </c>
      <c r="BE140" s="23" t="e">
        <f t="shared" ca="1" si="1093"/>
        <v>#NAME?</v>
      </c>
      <c r="BF140" s="23" t="e">
        <f ca="1">+'QTR Raw'!Z90</f>
        <v>#NAME?</v>
      </c>
      <c r="BG140" s="23" t="e">
        <f t="shared" ca="1" si="1093"/>
        <v>#NAME?</v>
      </c>
      <c r="BH140" s="22" t="e">
        <f ca="1">+'QTR Raw'!AB90</f>
        <v>#NAME?</v>
      </c>
      <c r="BI140" s="23" t="e">
        <f t="shared" ca="1" si="1093"/>
        <v>#NAME?</v>
      </c>
      <c r="BJ140" s="23" t="e">
        <f ca="1">+'QTR Raw'!AD90</f>
        <v>#NAME?</v>
      </c>
      <c r="BK140" s="23" t="e">
        <f t="shared" ca="1" si="1093"/>
        <v>#NAME?</v>
      </c>
      <c r="BL140" s="23" t="e">
        <f ca="1">+'QTR Raw'!AF90</f>
        <v>#NAME?</v>
      </c>
      <c r="BM140" s="23" t="e">
        <f t="shared" ca="1" si="1093"/>
        <v>#NAME?</v>
      </c>
      <c r="BN140" s="23" t="e">
        <f ca="1">+'QTR Raw'!AH90</f>
        <v>#NAME?</v>
      </c>
      <c r="BO140" s="23" t="e">
        <f t="shared" ca="1" si="1093"/>
        <v>#NAME?</v>
      </c>
      <c r="BP140" s="23" t="e">
        <f ca="1">+'QTR Raw'!AJ90</f>
        <v>#NAME?</v>
      </c>
      <c r="BQ140" s="23" t="e">
        <f t="shared" ca="1" si="1093"/>
        <v>#NAME?</v>
      </c>
      <c r="BR140" s="23" t="e">
        <f ca="1">+'QTR Raw'!AL90</f>
        <v>#NAME?</v>
      </c>
      <c r="BS140" s="23" t="e">
        <f t="shared" ca="1" si="1093"/>
        <v>#NAME?</v>
      </c>
      <c r="BT140" s="23" t="e">
        <f ca="1">+'QTR Raw'!AN90</f>
        <v>#NAME?</v>
      </c>
      <c r="BU140" s="23" t="e">
        <f t="shared" ca="1" si="1093"/>
        <v>#NAME?</v>
      </c>
      <c r="BV140" s="23" t="e">
        <f ca="1">+'QTR Raw'!AP90</f>
        <v>#NAME?</v>
      </c>
      <c r="BW140" s="23" t="e">
        <f t="shared" ca="1" si="1093"/>
        <v>#NAME?</v>
      </c>
      <c r="BX140" s="23" t="e">
        <f ca="1">+'QTR Raw'!AR90</f>
        <v>#NAME?</v>
      </c>
      <c r="BY140" s="23" t="e">
        <f t="shared" ca="1" si="1093"/>
        <v>#NAME?</v>
      </c>
      <c r="BZ140" s="23" t="e">
        <f ca="1">+'QTR Raw'!AT90</f>
        <v>#NAME?</v>
      </c>
      <c r="CA140" s="23" t="e">
        <f t="shared" ca="1" si="1093"/>
        <v>#NAME?</v>
      </c>
      <c r="CB140" s="23" t="e">
        <f ca="1">+'QTR Raw'!AV90</f>
        <v>#NAME?</v>
      </c>
      <c r="CC140" s="23" t="e">
        <f t="shared" ca="1" si="1093"/>
        <v>#NAME?</v>
      </c>
      <c r="CD140" s="23" t="e">
        <f ca="1">+'QTR Raw'!AX90</f>
        <v>#NAME?</v>
      </c>
      <c r="CE140" s="23" t="e">
        <f t="shared" ca="1" si="1094"/>
        <v>#NAME?</v>
      </c>
      <c r="CF140" s="23" t="e">
        <f ca="1">+'QTR Raw'!AZ90</f>
        <v>#NAME?</v>
      </c>
      <c r="CG140" s="23" t="e">
        <f t="shared" ca="1" si="1095"/>
        <v>#NAME?</v>
      </c>
      <c r="CH140" s="23" t="e">
        <f ca="1">+Z140</f>
        <v>#NAME?</v>
      </c>
      <c r="CI140" s="23" t="e">
        <f t="shared" ca="1" si="1095"/>
        <v>#NAME?</v>
      </c>
      <c r="CJ140" s="23" t="e">
        <f ca="1">+'QTR Raw'!BD90</f>
        <v>#NAME?</v>
      </c>
      <c r="CK140" s="23" t="e">
        <f t="shared" ca="1" si="1096"/>
        <v>#NAME?</v>
      </c>
      <c r="CL140" s="23" t="e">
        <f ca="1">+'QTR Raw'!BF90</f>
        <v>#NAME?</v>
      </c>
      <c r="CM140" s="24" t="e">
        <f t="shared" ca="1" si="1097"/>
        <v>#NAME?</v>
      </c>
      <c r="CN140" s="24" t="e">
        <f t="shared" ca="1" si="1098"/>
        <v>#NAME?</v>
      </c>
      <c r="CO140" s="24" t="e">
        <f t="shared" ca="1" si="1099"/>
        <v>#NAME?</v>
      </c>
      <c r="CP140" s="24" t="e">
        <f t="shared" ca="1" si="1100"/>
        <v>#NAME?</v>
      </c>
      <c r="CQ140" s="24" t="e">
        <f t="shared" ca="1" si="1101"/>
        <v>#NAME?</v>
      </c>
      <c r="CR140" s="24" t="e">
        <f t="shared" ca="1" si="1102"/>
        <v>#NAME?</v>
      </c>
      <c r="CS140" s="24" t="e">
        <f t="shared" ca="1" si="1103"/>
        <v>#NAME?</v>
      </c>
      <c r="CT140" s="24" t="e">
        <f t="shared" ca="1" si="1104"/>
        <v>#NAME?</v>
      </c>
      <c r="CU140" s="24" t="e">
        <f t="shared" ca="1" si="1105"/>
        <v>#NAME?</v>
      </c>
      <c r="CV140" s="24" t="e">
        <f t="shared" ca="1" si="1106"/>
        <v>#NAME?</v>
      </c>
      <c r="CW140" s="24" t="e">
        <f t="shared" ca="1" si="1107"/>
        <v>#NAME?</v>
      </c>
      <c r="CX140" s="24" t="e">
        <f t="shared" ca="1" si="1108"/>
        <v>#NAME?</v>
      </c>
      <c r="CY140" s="24" t="e">
        <f t="shared" ca="1" si="1109"/>
        <v>#NAME?</v>
      </c>
      <c r="CZ140" s="24" t="e">
        <f t="shared" ca="1" si="1110"/>
        <v>#NAME?</v>
      </c>
      <c r="DA140" s="24" t="e">
        <f t="shared" ca="1" si="1111"/>
        <v>#NAME?</v>
      </c>
      <c r="DB140" s="24" t="e">
        <f t="shared" ca="1" si="1112"/>
        <v>#NAME?</v>
      </c>
      <c r="DE140" s="123"/>
      <c r="DF140" s="23">
        <v>105.053</v>
      </c>
    </row>
    <row r="141" spans="1:110" s="23" customFormat="1" outlineLevel="1" x14ac:dyDescent="0.2">
      <c r="A141" s="23" t="s">
        <v>48</v>
      </c>
      <c r="B141" s="23" t="e">
        <f ca="1">'Annual Raw'!C56</f>
        <v>#NAME?</v>
      </c>
      <c r="C141" s="23" t="e">
        <f ca="1">'Annual Raw'!D56</f>
        <v>#NAME?</v>
      </c>
      <c r="D141" s="23" t="e">
        <f ca="1">'Annual Raw'!E56</f>
        <v>#NAME?</v>
      </c>
      <c r="E141" s="23" t="e">
        <f ca="1">'Annual Raw'!F56</f>
        <v>#NAME?</v>
      </c>
      <c r="F141" s="23" t="e">
        <f ca="1">'Annual Raw'!G56</f>
        <v>#NAME?</v>
      </c>
      <c r="G141" s="23" t="e">
        <f ca="1">'Annual Raw'!H56</f>
        <v>#NAME?</v>
      </c>
      <c r="H141" s="23" t="e">
        <f ca="1">'Annual Raw'!I56</f>
        <v>#NAME?</v>
      </c>
      <c r="I141" s="23" t="e">
        <f ca="1">'Annual Raw'!J56</f>
        <v>#NAME?</v>
      </c>
      <c r="J141" s="23" t="e">
        <f ca="1">'Annual Raw'!K56</f>
        <v>#NAME?</v>
      </c>
      <c r="K141" s="23" t="e">
        <f ca="1">'Annual Raw'!L56</f>
        <v>#NAME?</v>
      </c>
      <c r="L141" s="23" t="e">
        <f ca="1">'Annual Raw'!M56</f>
        <v>#NAME?</v>
      </c>
      <c r="M141" s="23" t="e">
        <f ca="1">'Annual Raw'!N56</f>
        <v>#NAME?</v>
      </c>
      <c r="N141" s="23" t="e">
        <f ca="1">'Annual Raw'!O56</f>
        <v>#NAME?</v>
      </c>
      <c r="O141" s="23" t="e">
        <f ca="1">'Annual Raw'!P56</f>
        <v>#NAME?</v>
      </c>
      <c r="P141" s="23" t="e">
        <f ca="1">'Annual Raw'!Q56</f>
        <v>#NAME?</v>
      </c>
      <c r="Q141" s="23" t="e">
        <f ca="1">'Annual Raw'!R56</f>
        <v>#NAME?</v>
      </c>
      <c r="R141" s="23" t="e">
        <f ca="1">'Annual Raw'!S56</f>
        <v>#NAME?</v>
      </c>
      <c r="S141" s="23" t="e">
        <f ca="1">'Annual Raw'!T56</f>
        <v>#NAME?</v>
      </c>
      <c r="T141" s="23" t="e">
        <f ca="1">'Annual Raw'!U56</f>
        <v>#NAME?</v>
      </c>
      <c r="U141" s="23" t="e">
        <f ca="1">'Annual Raw'!V56</f>
        <v>#NAME?</v>
      </c>
      <c r="V141" s="23" t="e">
        <f ca="1">'Annual Raw'!W56</f>
        <v>#NAME?</v>
      </c>
      <c r="W141" s="23" t="e">
        <f ca="1">'Annual Raw'!X56</f>
        <v>#NAME?</v>
      </c>
      <c r="X141" s="23" t="e">
        <f ca="1">'Annual Raw'!Y56</f>
        <v>#NAME?</v>
      </c>
      <c r="Y141" s="23" t="e">
        <f ca="1">'Annual Raw'!Z56</f>
        <v>#NAME?</v>
      </c>
      <c r="Z141" s="23" t="e">
        <f ca="1">'Annual Raw'!AA56</f>
        <v>#NAME?</v>
      </c>
      <c r="AA141" s="23" t="e">
        <f ca="1">'Annual Raw'!AB56</f>
        <v>#NAME?</v>
      </c>
      <c r="AB141" s="24" t="e">
        <f t="shared" ca="1" si="1089"/>
        <v>#NAME?</v>
      </c>
      <c r="AC141" s="24" t="e">
        <f t="shared" ca="1" si="1090"/>
        <v>#NAME?</v>
      </c>
      <c r="AD141" s="24" t="e">
        <f t="shared" ca="1" si="1091"/>
        <v>#NAME?</v>
      </c>
      <c r="AE141" s="24" t="e">
        <f t="shared" ca="1" si="1092"/>
        <v>#NAME?</v>
      </c>
      <c r="AJ141" s="23" t="e">
        <f ca="1">+'QTR Raw'!D88</f>
        <v>#NAME?</v>
      </c>
      <c r="AK141" s="23" t="e">
        <f t="shared" ca="1" si="1093"/>
        <v>#NAME?</v>
      </c>
      <c r="AL141" s="23" t="e">
        <f ca="1">+'QTR Raw'!F88</f>
        <v>#NAME?</v>
      </c>
      <c r="AM141" s="23" t="e">
        <f t="shared" ca="1" si="1093"/>
        <v>#NAME?</v>
      </c>
      <c r="AN141" s="23" t="e">
        <f ca="1">+'QTR Raw'!H88</f>
        <v>#NAME?</v>
      </c>
      <c r="AO141" s="23" t="e">
        <f t="shared" ca="1" si="1093"/>
        <v>#NAME?</v>
      </c>
      <c r="AP141" s="23" t="e">
        <f ca="1">+'QTR Raw'!J88</f>
        <v>#NAME?</v>
      </c>
      <c r="AQ141" s="23" t="e">
        <f t="shared" ca="1" si="1093"/>
        <v>#NAME?</v>
      </c>
      <c r="AR141" s="23" t="e">
        <f ca="1">+'QTR Raw'!L88</f>
        <v>#NAME?</v>
      </c>
      <c r="AS141" s="23" t="e">
        <f t="shared" ca="1" si="1093"/>
        <v>#NAME?</v>
      </c>
      <c r="AT141" s="23" t="e">
        <f ca="1">+'QTR Raw'!N88</f>
        <v>#NAME?</v>
      </c>
      <c r="AU141" s="23" t="e">
        <f t="shared" ca="1" si="1093"/>
        <v>#NAME?</v>
      </c>
      <c r="AV141" s="23" t="e">
        <f ca="1">+'QTR Raw'!P88</f>
        <v>#NAME?</v>
      </c>
      <c r="AW141" s="23" t="e">
        <f t="shared" ca="1" si="1093"/>
        <v>#NAME?</v>
      </c>
      <c r="AX141" s="23" t="e">
        <f ca="1">+'QTR Raw'!R88</f>
        <v>#NAME?</v>
      </c>
      <c r="AY141" s="23" t="e">
        <f t="shared" ca="1" si="1093"/>
        <v>#NAME?</v>
      </c>
      <c r="AZ141" s="23" t="e">
        <f ca="1">+'QTR Raw'!T88</f>
        <v>#NAME?</v>
      </c>
      <c r="BA141" s="23" t="e">
        <f t="shared" ca="1" si="1093"/>
        <v>#NAME?</v>
      </c>
      <c r="BB141" s="23" t="e">
        <f ca="1">+'QTR Raw'!V88</f>
        <v>#NAME?</v>
      </c>
      <c r="BC141" s="23" t="e">
        <f t="shared" ca="1" si="1093"/>
        <v>#NAME?</v>
      </c>
      <c r="BD141" s="23" t="e">
        <f ca="1">+'QTR Raw'!X88</f>
        <v>#NAME?</v>
      </c>
      <c r="BE141" s="23" t="e">
        <f t="shared" ca="1" si="1093"/>
        <v>#NAME?</v>
      </c>
      <c r="BF141" s="23" t="e">
        <f ca="1">+'QTR Raw'!Z88</f>
        <v>#NAME?</v>
      </c>
      <c r="BG141" s="23" t="e">
        <f t="shared" ca="1" si="1093"/>
        <v>#NAME?</v>
      </c>
      <c r="BH141" s="23" t="e">
        <f ca="1">+'QTR Raw'!AB88</f>
        <v>#NAME?</v>
      </c>
      <c r="BI141" s="23" t="e">
        <f t="shared" ca="1" si="1093"/>
        <v>#NAME?</v>
      </c>
      <c r="BJ141" s="23" t="e">
        <f ca="1">+'QTR Raw'!AD88</f>
        <v>#NAME?</v>
      </c>
      <c r="BK141" s="23" t="e">
        <f t="shared" ca="1" si="1093"/>
        <v>#NAME?</v>
      </c>
      <c r="BL141" s="23" t="e">
        <f ca="1">+'QTR Raw'!AF88</f>
        <v>#NAME?</v>
      </c>
      <c r="BM141" s="23" t="e">
        <f t="shared" ca="1" si="1093"/>
        <v>#NAME?</v>
      </c>
      <c r="BN141" s="23" t="e">
        <f ca="1">+'QTR Raw'!AH88</f>
        <v>#NAME?</v>
      </c>
      <c r="BO141" s="23" t="e">
        <f t="shared" ca="1" si="1093"/>
        <v>#NAME?</v>
      </c>
      <c r="BP141" s="23" t="e">
        <f ca="1">+'QTR Raw'!AJ88</f>
        <v>#NAME?</v>
      </c>
      <c r="BQ141" s="23" t="e">
        <f t="shared" ca="1" si="1093"/>
        <v>#NAME?</v>
      </c>
      <c r="BR141" s="23" t="e">
        <f ca="1">+'QTR Raw'!AL88</f>
        <v>#NAME?</v>
      </c>
      <c r="BS141" s="23" t="e">
        <f t="shared" ca="1" si="1093"/>
        <v>#NAME?</v>
      </c>
      <c r="BT141" s="23" t="e">
        <f ca="1">+'QTR Raw'!AN88</f>
        <v>#NAME?</v>
      </c>
      <c r="BU141" s="23" t="e">
        <f t="shared" ca="1" si="1093"/>
        <v>#NAME?</v>
      </c>
      <c r="BV141" s="23" t="e">
        <f ca="1">+'QTR Raw'!AP88</f>
        <v>#NAME?</v>
      </c>
      <c r="BW141" s="23" t="e">
        <f t="shared" ca="1" si="1093"/>
        <v>#NAME?</v>
      </c>
      <c r="BX141" s="23" t="e">
        <f ca="1">+'QTR Raw'!AR88</f>
        <v>#NAME?</v>
      </c>
      <c r="BY141" s="23" t="e">
        <f t="shared" ca="1" si="1093"/>
        <v>#NAME?</v>
      </c>
      <c r="BZ141" s="23" t="e">
        <f ca="1">+'QTR Raw'!AT88</f>
        <v>#NAME?</v>
      </c>
      <c r="CA141" s="23" t="e">
        <f t="shared" ca="1" si="1093"/>
        <v>#NAME?</v>
      </c>
      <c r="CB141" s="23" t="e">
        <f ca="1">+'QTR Raw'!AV88</f>
        <v>#NAME?</v>
      </c>
      <c r="CC141" s="23" t="e">
        <f t="shared" ca="1" si="1093"/>
        <v>#NAME?</v>
      </c>
      <c r="CD141" s="23" t="e">
        <f ca="1">+'QTR Raw'!AX88</f>
        <v>#NAME?</v>
      </c>
      <c r="CE141" s="23" t="e">
        <f t="shared" ca="1" si="1094"/>
        <v>#NAME?</v>
      </c>
      <c r="CF141" s="23" t="e">
        <f ca="1">+'QTR Raw'!AZ88</f>
        <v>#NAME?</v>
      </c>
      <c r="CG141" s="23" t="e">
        <f t="shared" ca="1" si="1095"/>
        <v>#NAME?</v>
      </c>
      <c r="CH141" s="23" t="e">
        <f t="shared" ca="1" si="1071"/>
        <v>#NAME?</v>
      </c>
      <c r="CI141" s="23" t="e">
        <f t="shared" ca="1" si="1095"/>
        <v>#NAME?</v>
      </c>
      <c r="CJ141" s="23" t="e">
        <f ca="1">+'QTR Raw'!BD88</f>
        <v>#NAME?</v>
      </c>
      <c r="CK141" s="23" t="e">
        <f t="shared" ca="1" si="1096"/>
        <v>#NAME?</v>
      </c>
      <c r="CL141" s="23" t="e">
        <f ca="1">+'QTR Raw'!BF88</f>
        <v>#NAME?</v>
      </c>
      <c r="CM141" s="24" t="e">
        <f t="shared" ca="1" si="1097"/>
        <v>#NAME?</v>
      </c>
      <c r="CN141" s="24" t="e">
        <f t="shared" ca="1" si="1098"/>
        <v>#NAME?</v>
      </c>
      <c r="CO141" s="24" t="e">
        <f t="shared" ca="1" si="1099"/>
        <v>#NAME?</v>
      </c>
      <c r="CP141" s="24" t="e">
        <f t="shared" ca="1" si="1100"/>
        <v>#NAME?</v>
      </c>
      <c r="CQ141" s="24" t="e">
        <f t="shared" ca="1" si="1101"/>
        <v>#NAME?</v>
      </c>
      <c r="CR141" s="24" t="e">
        <f t="shared" ca="1" si="1102"/>
        <v>#NAME?</v>
      </c>
      <c r="CS141" s="24" t="e">
        <f t="shared" ca="1" si="1103"/>
        <v>#NAME?</v>
      </c>
      <c r="CT141" s="24" t="e">
        <f t="shared" ca="1" si="1104"/>
        <v>#NAME?</v>
      </c>
      <c r="CU141" s="24" t="e">
        <f t="shared" ca="1" si="1105"/>
        <v>#NAME?</v>
      </c>
      <c r="CV141" s="24" t="e">
        <f t="shared" ca="1" si="1106"/>
        <v>#NAME?</v>
      </c>
      <c r="CW141" s="24" t="e">
        <f t="shared" ca="1" si="1107"/>
        <v>#NAME?</v>
      </c>
      <c r="CX141" s="24" t="e">
        <f t="shared" ca="1" si="1108"/>
        <v>#NAME?</v>
      </c>
      <c r="CY141" s="24" t="e">
        <f t="shared" ca="1" si="1109"/>
        <v>#NAME?</v>
      </c>
      <c r="CZ141" s="24" t="e">
        <f t="shared" ca="1" si="1110"/>
        <v>#NAME?</v>
      </c>
      <c r="DA141" s="24" t="e">
        <f t="shared" ca="1" si="1111"/>
        <v>#NAME?</v>
      </c>
      <c r="DB141" s="24" t="e">
        <f t="shared" ca="1" si="1112"/>
        <v>#NAME?</v>
      </c>
      <c r="DE141" s="123"/>
      <c r="DF141" s="23">
        <v>725.952</v>
      </c>
    </row>
    <row r="142" spans="1:110" s="22" customFormat="1" x14ac:dyDescent="0.2">
      <c r="A142" s="22" t="s">
        <v>49</v>
      </c>
      <c r="B142" s="22" t="e">
        <f ca="1">SUM(B138:B141)</f>
        <v>#NAME?</v>
      </c>
      <c r="C142" s="22" t="e">
        <f t="shared" ref="C142:V142" ca="1" si="1113">SUM(C138:C141)</f>
        <v>#NAME?</v>
      </c>
      <c r="D142" s="22" t="e">
        <f t="shared" ca="1" si="1113"/>
        <v>#NAME?</v>
      </c>
      <c r="E142" s="22" t="e">
        <f t="shared" ca="1" si="1113"/>
        <v>#NAME?</v>
      </c>
      <c r="F142" s="22" t="e">
        <f t="shared" ca="1" si="1113"/>
        <v>#NAME?</v>
      </c>
      <c r="G142" s="22" t="e">
        <f t="shared" ca="1" si="1113"/>
        <v>#NAME?</v>
      </c>
      <c r="H142" s="22" t="e">
        <f t="shared" ca="1" si="1113"/>
        <v>#NAME?</v>
      </c>
      <c r="I142" s="22" t="e">
        <f t="shared" ca="1" si="1113"/>
        <v>#NAME?</v>
      </c>
      <c r="J142" s="22" t="e">
        <f t="shared" ca="1" si="1113"/>
        <v>#NAME?</v>
      </c>
      <c r="K142" s="22" t="e">
        <f t="shared" ca="1" si="1113"/>
        <v>#NAME?</v>
      </c>
      <c r="L142" s="22" t="e">
        <f t="shared" ca="1" si="1113"/>
        <v>#NAME?</v>
      </c>
      <c r="M142" s="22" t="e">
        <f t="shared" ca="1" si="1113"/>
        <v>#NAME?</v>
      </c>
      <c r="N142" s="22" t="e">
        <f t="shared" ca="1" si="1113"/>
        <v>#NAME?</v>
      </c>
      <c r="O142" s="22" t="e">
        <f t="shared" ca="1" si="1113"/>
        <v>#NAME?</v>
      </c>
      <c r="P142" s="22" t="e">
        <f t="shared" ca="1" si="1113"/>
        <v>#NAME?</v>
      </c>
      <c r="Q142" s="22" t="e">
        <f t="shared" ca="1" si="1113"/>
        <v>#NAME?</v>
      </c>
      <c r="R142" s="22" t="e">
        <f t="shared" ca="1" si="1113"/>
        <v>#NAME?</v>
      </c>
      <c r="S142" s="22" t="e">
        <f t="shared" ca="1" si="1113"/>
        <v>#NAME?</v>
      </c>
      <c r="T142" s="22" t="e">
        <f t="shared" ca="1" si="1113"/>
        <v>#NAME?</v>
      </c>
      <c r="U142" s="22" t="e">
        <f t="shared" ca="1" si="1113"/>
        <v>#NAME?</v>
      </c>
      <c r="V142" s="22" t="e">
        <f t="shared" ca="1" si="1113"/>
        <v>#NAME?</v>
      </c>
      <c r="W142" s="22" t="e">
        <f t="shared" ref="W142" ca="1" si="1114">SUM(W138:W141)</f>
        <v>#NAME?</v>
      </c>
      <c r="X142" s="22" t="e">
        <f t="shared" ref="X142:Y142" ca="1" si="1115">SUM(X138:X141)</f>
        <v>#NAME?</v>
      </c>
      <c r="Y142" s="22" t="e">
        <f t="shared" ca="1" si="1115"/>
        <v>#NAME?</v>
      </c>
      <c r="Z142" s="22" t="e">
        <f t="shared" ref="Z142:AA142" ca="1" si="1116">SUM(Z138:Z141)</f>
        <v>#NAME?</v>
      </c>
      <c r="AA142" s="22" t="e">
        <f t="shared" ca="1" si="1116"/>
        <v>#NAME?</v>
      </c>
      <c r="AB142" s="21" t="e">
        <f t="shared" ref="AA142:AD142" ca="1" si="1117">SUM(AB138:AB141)</f>
        <v>#NAME?</v>
      </c>
      <c r="AC142" s="21" t="e">
        <f t="shared" ca="1" si="1117"/>
        <v>#NAME?</v>
      </c>
      <c r="AD142" s="21" t="e">
        <f t="shared" ca="1" si="1117"/>
        <v>#NAME?</v>
      </c>
      <c r="AE142" s="21" t="e">
        <f t="shared" ref="AE142" ca="1" si="1118">SUM(AE138:AE141)</f>
        <v>#NAME?</v>
      </c>
      <c r="AJ142" s="22" t="e">
        <f t="shared" ref="AJ142" ca="1" si="1119">SUM(AJ138:AJ141)</f>
        <v>#NAME?</v>
      </c>
      <c r="AK142" s="22" t="e">
        <f t="shared" ref="AK142" ca="1" si="1120">SUM(AK138:AK141)</f>
        <v>#NAME?</v>
      </c>
      <c r="AL142" s="22" t="e">
        <f t="shared" ref="AL142:AM142" ca="1" si="1121">SUM(AL138:AL141)</f>
        <v>#NAME?</v>
      </c>
      <c r="AM142" s="22" t="e">
        <f t="shared" ca="1" si="1121"/>
        <v>#NAME?</v>
      </c>
      <c r="AN142" s="22" t="e">
        <f t="shared" ref="AN142:AO142" ca="1" si="1122">SUM(AN138:AN141)</f>
        <v>#NAME?</v>
      </c>
      <c r="AO142" s="22" t="e">
        <f t="shared" ca="1" si="1122"/>
        <v>#NAME?</v>
      </c>
      <c r="AP142" s="22" t="e">
        <f t="shared" ref="AP142:CE142" ca="1" si="1123">SUM(AP138:AP141)</f>
        <v>#NAME?</v>
      </c>
      <c r="AQ142" s="22" t="e">
        <f t="shared" ca="1" si="1123"/>
        <v>#NAME?</v>
      </c>
      <c r="AR142" s="22" t="e">
        <f t="shared" ca="1" si="1123"/>
        <v>#NAME?</v>
      </c>
      <c r="AS142" s="22" t="e">
        <f t="shared" ca="1" si="1123"/>
        <v>#NAME?</v>
      </c>
      <c r="AT142" s="22" t="e">
        <f t="shared" ca="1" si="1123"/>
        <v>#NAME?</v>
      </c>
      <c r="AU142" s="22" t="e">
        <f t="shared" ca="1" si="1123"/>
        <v>#NAME?</v>
      </c>
      <c r="AV142" s="22" t="e">
        <f t="shared" ca="1" si="1123"/>
        <v>#NAME?</v>
      </c>
      <c r="AW142" s="22" t="e">
        <f t="shared" ca="1" si="1123"/>
        <v>#NAME?</v>
      </c>
      <c r="AX142" s="22" t="e">
        <f t="shared" ca="1" si="1123"/>
        <v>#NAME?</v>
      </c>
      <c r="AY142" s="22" t="e">
        <f t="shared" ca="1" si="1123"/>
        <v>#NAME?</v>
      </c>
      <c r="AZ142" s="22" t="e">
        <f t="shared" ca="1" si="1123"/>
        <v>#NAME?</v>
      </c>
      <c r="BA142" s="22" t="e">
        <f t="shared" ca="1" si="1123"/>
        <v>#NAME?</v>
      </c>
      <c r="BB142" s="22" t="e">
        <f t="shared" ca="1" si="1123"/>
        <v>#NAME?</v>
      </c>
      <c r="BC142" s="22" t="e">
        <f t="shared" ca="1" si="1123"/>
        <v>#NAME?</v>
      </c>
      <c r="BD142" s="22" t="e">
        <f t="shared" ca="1" si="1123"/>
        <v>#NAME?</v>
      </c>
      <c r="BE142" s="22" t="e">
        <f t="shared" ca="1" si="1123"/>
        <v>#NAME?</v>
      </c>
      <c r="BF142" s="22" t="e">
        <f t="shared" ca="1" si="1123"/>
        <v>#NAME?</v>
      </c>
      <c r="BG142" s="22" t="e">
        <f t="shared" ca="1" si="1123"/>
        <v>#NAME?</v>
      </c>
      <c r="BH142" s="22" t="e">
        <f t="shared" ref="BH142" ca="1" si="1124">SUM(BH138:BH141)</f>
        <v>#NAME?</v>
      </c>
      <c r="BI142" s="22" t="e">
        <f t="shared" ca="1" si="1123"/>
        <v>#NAME?</v>
      </c>
      <c r="BJ142" s="22" t="e">
        <f t="shared" ca="1" si="1123"/>
        <v>#NAME?</v>
      </c>
      <c r="BK142" s="22" t="e">
        <f t="shared" ca="1" si="1123"/>
        <v>#NAME?</v>
      </c>
      <c r="BL142" s="22" t="e">
        <f t="shared" ca="1" si="1123"/>
        <v>#NAME?</v>
      </c>
      <c r="BM142" s="22" t="e">
        <f t="shared" ca="1" si="1123"/>
        <v>#NAME?</v>
      </c>
      <c r="BN142" s="22" t="e">
        <f t="shared" ca="1" si="1123"/>
        <v>#NAME?</v>
      </c>
      <c r="BO142" s="22" t="e">
        <f t="shared" ca="1" si="1123"/>
        <v>#NAME?</v>
      </c>
      <c r="BP142" s="22" t="e">
        <f t="shared" ca="1" si="1123"/>
        <v>#NAME?</v>
      </c>
      <c r="BQ142" s="22" t="e">
        <f t="shared" ca="1" si="1123"/>
        <v>#NAME?</v>
      </c>
      <c r="BR142" s="22" t="e">
        <f t="shared" ca="1" si="1123"/>
        <v>#NAME?</v>
      </c>
      <c r="BS142" s="22" t="e">
        <f t="shared" ca="1" si="1123"/>
        <v>#NAME?</v>
      </c>
      <c r="BT142" s="22" t="e">
        <f t="shared" ca="1" si="1123"/>
        <v>#NAME?</v>
      </c>
      <c r="BU142" s="22" t="e">
        <f t="shared" ca="1" si="1123"/>
        <v>#NAME?</v>
      </c>
      <c r="BV142" s="22" t="e">
        <f t="shared" ca="1" si="1123"/>
        <v>#NAME?</v>
      </c>
      <c r="BW142" s="22" t="e">
        <f t="shared" ca="1" si="1123"/>
        <v>#NAME?</v>
      </c>
      <c r="BX142" s="22" t="e">
        <f t="shared" ca="1" si="1123"/>
        <v>#NAME?</v>
      </c>
      <c r="BY142" s="22" t="e">
        <f t="shared" ca="1" si="1123"/>
        <v>#NAME?</v>
      </c>
      <c r="BZ142" s="22" t="e">
        <f t="shared" ca="1" si="1123"/>
        <v>#NAME?</v>
      </c>
      <c r="CA142" s="22" t="e">
        <f t="shared" ca="1" si="1123"/>
        <v>#NAME?</v>
      </c>
      <c r="CB142" s="22" t="e">
        <f t="shared" ca="1" si="1123"/>
        <v>#NAME?</v>
      </c>
      <c r="CC142" s="22" t="e">
        <f t="shared" ca="1" si="1123"/>
        <v>#NAME?</v>
      </c>
      <c r="CD142" s="22" t="e">
        <f t="shared" ca="1" si="1123"/>
        <v>#NAME?</v>
      </c>
      <c r="CE142" s="22" t="e">
        <f t="shared" ca="1" si="1123"/>
        <v>#NAME?</v>
      </c>
      <c r="CF142" s="22" t="e">
        <f t="shared" ref="CF142:CG142" ca="1" si="1125">SUM(CF138:CF141)</f>
        <v>#NAME?</v>
      </c>
      <c r="CG142" s="22" t="e">
        <f t="shared" ca="1" si="1125"/>
        <v>#NAME?</v>
      </c>
      <c r="CH142" s="22" t="e">
        <f t="shared" ref="CH142:CI142" ca="1" si="1126">SUM(CH138:CH141)</f>
        <v>#NAME?</v>
      </c>
      <c r="CI142" s="22" t="e">
        <f t="shared" ca="1" si="1126"/>
        <v>#NAME?</v>
      </c>
      <c r="CJ142" s="22" t="e">
        <f t="shared" ref="CJ142:DB142" ca="1" si="1127">SUM(CJ138:CJ141)</f>
        <v>#NAME?</v>
      </c>
      <c r="CK142" s="22" t="e">
        <f t="shared" ca="1" si="1127"/>
        <v>#NAME?</v>
      </c>
      <c r="CL142" s="22" t="e">
        <f t="shared" ref="CL142" ca="1" si="1128">SUM(CL138:CL141)</f>
        <v>#NAME?</v>
      </c>
      <c r="CM142" s="21" t="e">
        <f t="shared" ca="1" si="1127"/>
        <v>#NAME?</v>
      </c>
      <c r="CN142" s="21" t="e">
        <f t="shared" ca="1" si="1127"/>
        <v>#NAME?</v>
      </c>
      <c r="CO142" s="21" t="e">
        <f t="shared" ca="1" si="1127"/>
        <v>#NAME?</v>
      </c>
      <c r="CP142" s="21" t="e">
        <f t="shared" ca="1" si="1127"/>
        <v>#NAME?</v>
      </c>
      <c r="CQ142" s="21" t="e">
        <f t="shared" ca="1" si="1127"/>
        <v>#NAME?</v>
      </c>
      <c r="CR142" s="21" t="e">
        <f t="shared" ca="1" si="1127"/>
        <v>#NAME?</v>
      </c>
      <c r="CS142" s="21" t="e">
        <f t="shared" ca="1" si="1127"/>
        <v>#NAME?</v>
      </c>
      <c r="CT142" s="21" t="e">
        <f t="shared" ca="1" si="1127"/>
        <v>#NAME?</v>
      </c>
      <c r="CU142" s="21" t="e">
        <f t="shared" ca="1" si="1127"/>
        <v>#NAME?</v>
      </c>
      <c r="CV142" s="21" t="e">
        <f t="shared" ca="1" si="1127"/>
        <v>#NAME?</v>
      </c>
      <c r="CW142" s="21" t="e">
        <f t="shared" ca="1" si="1127"/>
        <v>#NAME?</v>
      </c>
      <c r="CX142" s="21" t="e">
        <f t="shared" ca="1" si="1127"/>
        <v>#NAME?</v>
      </c>
      <c r="CY142" s="21" t="e">
        <f t="shared" ca="1" si="1127"/>
        <v>#NAME?</v>
      </c>
      <c r="CZ142" s="21" t="e">
        <f t="shared" ca="1" si="1127"/>
        <v>#NAME?</v>
      </c>
      <c r="DA142" s="21" t="e">
        <f t="shared" ca="1" si="1127"/>
        <v>#NAME?</v>
      </c>
      <c r="DB142" s="21" t="e">
        <f t="shared" ca="1" si="1127"/>
        <v>#NAME?</v>
      </c>
      <c r="DE142" s="126"/>
      <c r="DF142" s="22">
        <v>831.005</v>
      </c>
    </row>
    <row r="143" spans="1:110" s="26" customFormat="1" x14ac:dyDescent="0.2">
      <c r="A143" s="26" t="s">
        <v>437</v>
      </c>
      <c r="B143" s="26" t="e">
        <f ca="1">B142+B134+B136</f>
        <v>#NAME?</v>
      </c>
      <c r="C143" s="26" t="e">
        <f t="shared" ref="C143:V143" ca="1" si="1129">C142+C134+C136</f>
        <v>#NAME?</v>
      </c>
      <c r="D143" s="26" t="e">
        <f ca="1">D142+D134+D136</f>
        <v>#NAME?</v>
      </c>
      <c r="E143" s="26" t="e">
        <f t="shared" ca="1" si="1129"/>
        <v>#NAME?</v>
      </c>
      <c r="F143" s="26" t="e">
        <f t="shared" ca="1" si="1129"/>
        <v>#NAME?</v>
      </c>
      <c r="G143" s="26" t="e">
        <f t="shared" ca="1" si="1129"/>
        <v>#NAME?</v>
      </c>
      <c r="H143" s="26" t="e">
        <f t="shared" ca="1" si="1129"/>
        <v>#NAME?</v>
      </c>
      <c r="I143" s="26" t="e">
        <f t="shared" ca="1" si="1129"/>
        <v>#NAME?</v>
      </c>
      <c r="J143" s="26" t="e">
        <f t="shared" ca="1" si="1129"/>
        <v>#NAME?</v>
      </c>
      <c r="K143" s="26" t="e">
        <f t="shared" ca="1" si="1129"/>
        <v>#NAME?</v>
      </c>
      <c r="L143" s="26" t="e">
        <f t="shared" ca="1" si="1129"/>
        <v>#NAME?</v>
      </c>
      <c r="M143" s="26" t="e">
        <f t="shared" ca="1" si="1129"/>
        <v>#NAME?</v>
      </c>
      <c r="N143" s="26" t="e">
        <f t="shared" ca="1" si="1129"/>
        <v>#NAME?</v>
      </c>
      <c r="O143" s="26" t="e">
        <f t="shared" ca="1" si="1129"/>
        <v>#NAME?</v>
      </c>
      <c r="P143" s="26" t="e">
        <f t="shared" ca="1" si="1129"/>
        <v>#NAME?</v>
      </c>
      <c r="Q143" s="26" t="e">
        <f t="shared" ca="1" si="1129"/>
        <v>#NAME?</v>
      </c>
      <c r="R143" s="26" t="e">
        <f t="shared" ca="1" si="1129"/>
        <v>#NAME?</v>
      </c>
      <c r="S143" s="26" t="e">
        <f t="shared" ca="1" si="1129"/>
        <v>#NAME?</v>
      </c>
      <c r="T143" s="26" t="e">
        <f t="shared" ca="1" si="1129"/>
        <v>#NAME?</v>
      </c>
      <c r="U143" s="26" t="e">
        <f t="shared" ca="1" si="1129"/>
        <v>#NAME?</v>
      </c>
      <c r="V143" s="26" t="e">
        <f t="shared" ca="1" si="1129"/>
        <v>#NAME?</v>
      </c>
      <c r="W143" s="26" t="e">
        <f t="shared" ref="W143" ca="1" si="1130">W142+W134+W136</f>
        <v>#NAME?</v>
      </c>
      <c r="X143" s="26" t="e">
        <f t="shared" ref="X143:Y143" ca="1" si="1131">X142+X134+X136</f>
        <v>#NAME?</v>
      </c>
      <c r="Y143" s="26" t="e">
        <f t="shared" ca="1" si="1131"/>
        <v>#NAME?</v>
      </c>
      <c r="Z143" s="26" t="e">
        <f t="shared" ref="Z143:AA143" ca="1" si="1132">Z142+Z134+Z136</f>
        <v>#NAME?</v>
      </c>
      <c r="AA143" s="26" t="e">
        <f t="shared" ca="1" si="1132"/>
        <v>#NAME?</v>
      </c>
      <c r="AB143" s="27" t="e">
        <f t="shared" ref="AA143:AD143" ca="1" si="1133">AB142+AB134+AB136</f>
        <v>#NAME?</v>
      </c>
      <c r="AC143" s="27" t="e">
        <f t="shared" ca="1" si="1133"/>
        <v>#NAME?</v>
      </c>
      <c r="AD143" s="27" t="e">
        <f t="shared" ca="1" si="1133"/>
        <v>#NAME?</v>
      </c>
      <c r="AE143" s="27" t="e">
        <f t="shared" ref="AE143" ca="1" si="1134">AE142+AE134+AE136</f>
        <v>#NAME?</v>
      </c>
      <c r="AJ143" s="26" t="e">
        <f t="shared" ref="AJ143" ca="1" si="1135">AJ142+AJ134+AJ136</f>
        <v>#NAME?</v>
      </c>
      <c r="AK143" s="26" t="e">
        <f t="shared" ref="AK143" ca="1" si="1136">AK142+AK134+AK136</f>
        <v>#NAME?</v>
      </c>
      <c r="AL143" s="26" t="e">
        <f t="shared" ref="AL143" ca="1" si="1137">AL142+AL134+AL136</f>
        <v>#NAME?</v>
      </c>
      <c r="AM143" s="26" t="e">
        <f t="shared" ref="AM143:AO143" ca="1" si="1138">AM142+AM134+AM136</f>
        <v>#NAME?</v>
      </c>
      <c r="AN143" s="26" t="e">
        <f t="shared" ca="1" si="1138"/>
        <v>#NAME?</v>
      </c>
      <c r="AO143" s="26" t="e">
        <f t="shared" ca="1" si="1138"/>
        <v>#NAME?</v>
      </c>
      <c r="AP143" s="26" t="e">
        <f t="shared" ref="AP143:CE143" ca="1" si="1139">AP142+AP134+AP136</f>
        <v>#NAME?</v>
      </c>
      <c r="AQ143" s="26" t="e">
        <f t="shared" ca="1" si="1139"/>
        <v>#NAME?</v>
      </c>
      <c r="AR143" s="26" t="e">
        <f t="shared" ca="1" si="1139"/>
        <v>#NAME?</v>
      </c>
      <c r="AS143" s="26" t="e">
        <f t="shared" ca="1" si="1139"/>
        <v>#NAME?</v>
      </c>
      <c r="AT143" s="26" t="e">
        <f t="shared" ca="1" si="1139"/>
        <v>#NAME?</v>
      </c>
      <c r="AU143" s="26" t="e">
        <f t="shared" ca="1" si="1139"/>
        <v>#NAME?</v>
      </c>
      <c r="AV143" s="26" t="e">
        <f t="shared" ca="1" si="1139"/>
        <v>#NAME?</v>
      </c>
      <c r="AW143" s="26" t="e">
        <f t="shared" ca="1" si="1139"/>
        <v>#NAME?</v>
      </c>
      <c r="AX143" s="26" t="e">
        <f t="shared" ca="1" si="1139"/>
        <v>#NAME?</v>
      </c>
      <c r="AY143" s="26" t="e">
        <f t="shared" ca="1" si="1139"/>
        <v>#NAME?</v>
      </c>
      <c r="AZ143" s="26" t="e">
        <f t="shared" ca="1" si="1139"/>
        <v>#NAME?</v>
      </c>
      <c r="BA143" s="26" t="e">
        <f t="shared" ca="1" si="1139"/>
        <v>#NAME?</v>
      </c>
      <c r="BB143" s="26" t="e">
        <f t="shared" ca="1" si="1139"/>
        <v>#NAME?</v>
      </c>
      <c r="BC143" s="26" t="e">
        <f t="shared" ca="1" si="1139"/>
        <v>#NAME?</v>
      </c>
      <c r="BD143" s="26" t="e">
        <f t="shared" ca="1" si="1139"/>
        <v>#NAME?</v>
      </c>
      <c r="BE143" s="26" t="e">
        <f t="shared" ca="1" si="1139"/>
        <v>#NAME?</v>
      </c>
      <c r="BF143" s="26" t="e">
        <f t="shared" ca="1" si="1139"/>
        <v>#NAME?</v>
      </c>
      <c r="BG143" s="26" t="e">
        <f t="shared" ca="1" si="1139"/>
        <v>#NAME?</v>
      </c>
      <c r="BH143" s="26" t="e">
        <f t="shared" ref="BH143" ca="1" si="1140">BH142+BH134+BH136</f>
        <v>#NAME?</v>
      </c>
      <c r="BI143" s="26" t="e">
        <f t="shared" ca="1" si="1139"/>
        <v>#NAME?</v>
      </c>
      <c r="BJ143" s="26" t="e">
        <f t="shared" ca="1" si="1139"/>
        <v>#NAME?</v>
      </c>
      <c r="BK143" s="26" t="e">
        <f t="shared" ca="1" si="1139"/>
        <v>#NAME?</v>
      </c>
      <c r="BL143" s="26" t="e">
        <f t="shared" ca="1" si="1139"/>
        <v>#NAME?</v>
      </c>
      <c r="BM143" s="26" t="e">
        <f t="shared" ca="1" si="1139"/>
        <v>#NAME?</v>
      </c>
      <c r="BN143" s="26" t="e">
        <f t="shared" ca="1" si="1139"/>
        <v>#NAME?</v>
      </c>
      <c r="BO143" s="26" t="e">
        <f t="shared" ca="1" si="1139"/>
        <v>#NAME?</v>
      </c>
      <c r="BP143" s="26" t="e">
        <f t="shared" ca="1" si="1139"/>
        <v>#NAME?</v>
      </c>
      <c r="BQ143" s="26" t="e">
        <f t="shared" ca="1" si="1139"/>
        <v>#NAME?</v>
      </c>
      <c r="BR143" s="26" t="e">
        <f t="shared" ca="1" si="1139"/>
        <v>#NAME?</v>
      </c>
      <c r="BS143" s="26" t="e">
        <f t="shared" ca="1" si="1139"/>
        <v>#NAME?</v>
      </c>
      <c r="BT143" s="26" t="e">
        <f t="shared" ca="1" si="1139"/>
        <v>#NAME?</v>
      </c>
      <c r="BU143" s="26" t="e">
        <f t="shared" ca="1" si="1139"/>
        <v>#NAME?</v>
      </c>
      <c r="BV143" s="26" t="e">
        <f t="shared" ca="1" si="1139"/>
        <v>#NAME?</v>
      </c>
      <c r="BW143" s="26" t="e">
        <f t="shared" ca="1" si="1139"/>
        <v>#NAME?</v>
      </c>
      <c r="BX143" s="26" t="e">
        <f t="shared" ca="1" si="1139"/>
        <v>#NAME?</v>
      </c>
      <c r="BY143" s="26" t="e">
        <f t="shared" ca="1" si="1139"/>
        <v>#NAME?</v>
      </c>
      <c r="BZ143" s="26" t="e">
        <f t="shared" ca="1" si="1139"/>
        <v>#NAME?</v>
      </c>
      <c r="CA143" s="26" t="e">
        <f t="shared" ca="1" si="1139"/>
        <v>#NAME?</v>
      </c>
      <c r="CB143" s="26" t="e">
        <f t="shared" ca="1" si="1139"/>
        <v>#NAME?</v>
      </c>
      <c r="CC143" s="26" t="e">
        <f t="shared" ca="1" si="1139"/>
        <v>#NAME?</v>
      </c>
      <c r="CD143" s="26" t="e">
        <f t="shared" ca="1" si="1139"/>
        <v>#NAME?</v>
      </c>
      <c r="CE143" s="26" t="e">
        <f t="shared" ca="1" si="1139"/>
        <v>#NAME?</v>
      </c>
      <c r="CF143" s="26" t="e">
        <f t="shared" ref="CF143:CG143" ca="1" si="1141">CF142+CF134+CF136</f>
        <v>#NAME?</v>
      </c>
      <c r="CG143" s="26" t="e">
        <f t="shared" ca="1" si="1141"/>
        <v>#NAME?</v>
      </c>
      <c r="CH143" s="26" t="e">
        <f t="shared" ref="CH143:CI143" ca="1" si="1142">CH142+CH134+CH136</f>
        <v>#NAME?</v>
      </c>
      <c r="CI143" s="26" t="e">
        <f t="shared" ca="1" si="1142"/>
        <v>#NAME?</v>
      </c>
      <c r="CJ143" s="26" t="e">
        <f t="shared" ref="CJ143:DB143" ca="1" si="1143">CJ142+CJ134+CJ136</f>
        <v>#NAME?</v>
      </c>
      <c r="CK143" s="26" t="e">
        <f t="shared" ca="1" si="1143"/>
        <v>#NAME?</v>
      </c>
      <c r="CL143" s="26" t="e">
        <f t="shared" ref="CL143" ca="1" si="1144">CL142+CL134+CL136</f>
        <v>#NAME?</v>
      </c>
      <c r="CM143" s="27" t="e">
        <f t="shared" ca="1" si="1143"/>
        <v>#NAME?</v>
      </c>
      <c r="CN143" s="27" t="e">
        <f t="shared" ca="1" si="1143"/>
        <v>#NAME?</v>
      </c>
      <c r="CO143" s="27" t="e">
        <f t="shared" ca="1" si="1143"/>
        <v>#NAME?</v>
      </c>
      <c r="CP143" s="27" t="e">
        <f t="shared" ca="1" si="1143"/>
        <v>#NAME?</v>
      </c>
      <c r="CQ143" s="27" t="e">
        <f t="shared" ca="1" si="1143"/>
        <v>#NAME?</v>
      </c>
      <c r="CR143" s="27" t="e">
        <f t="shared" ca="1" si="1143"/>
        <v>#NAME?</v>
      </c>
      <c r="CS143" s="27" t="e">
        <f t="shared" ca="1" si="1143"/>
        <v>#NAME?</v>
      </c>
      <c r="CT143" s="27" t="e">
        <f t="shared" ca="1" si="1143"/>
        <v>#NAME?</v>
      </c>
      <c r="CU143" s="27" t="e">
        <f t="shared" ca="1" si="1143"/>
        <v>#NAME?</v>
      </c>
      <c r="CV143" s="27" t="e">
        <f t="shared" ca="1" si="1143"/>
        <v>#NAME?</v>
      </c>
      <c r="CW143" s="27" t="e">
        <f t="shared" ca="1" si="1143"/>
        <v>#NAME?</v>
      </c>
      <c r="CX143" s="27" t="e">
        <f t="shared" ca="1" si="1143"/>
        <v>#NAME?</v>
      </c>
      <c r="CY143" s="27" t="e">
        <f t="shared" ca="1" si="1143"/>
        <v>#NAME?</v>
      </c>
      <c r="CZ143" s="27" t="e">
        <f t="shared" ca="1" si="1143"/>
        <v>#NAME?</v>
      </c>
      <c r="DA143" s="27" t="e">
        <f t="shared" ca="1" si="1143"/>
        <v>#NAME?</v>
      </c>
      <c r="DB143" s="27" t="e">
        <f t="shared" ca="1" si="1143"/>
        <v>#NAME?</v>
      </c>
      <c r="DE143" s="121"/>
      <c r="DF143" s="26">
        <v>2179.134</v>
      </c>
    </row>
    <row r="144" spans="1:110" s="23" customFormat="1" x14ac:dyDescent="0.2">
      <c r="AB144" s="24"/>
      <c r="AC144" s="24"/>
      <c r="AD144" s="24"/>
      <c r="AE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E144" s="123"/>
    </row>
    <row r="145" spans="1:110" s="23" customFormat="1" outlineLevel="1" x14ac:dyDescent="0.2">
      <c r="A145" s="23" t="s">
        <v>50</v>
      </c>
      <c r="B145" s="23" t="e">
        <f ca="1">'Annual Raw'!C62</f>
        <v>#NAME?</v>
      </c>
      <c r="C145" s="23" t="e">
        <f ca="1">'Annual Raw'!D62</f>
        <v>#NAME?</v>
      </c>
      <c r="D145" s="23" t="e">
        <f ca="1">'Annual Raw'!E62</f>
        <v>#NAME?</v>
      </c>
      <c r="E145" s="23" t="e">
        <f ca="1">'Annual Raw'!F62-E149</f>
        <v>#NAME?</v>
      </c>
      <c r="F145" s="23" t="e">
        <f ca="1">'Annual Raw'!G62-F149</f>
        <v>#NAME?</v>
      </c>
      <c r="G145" s="23" t="e">
        <f ca="1">'Annual Raw'!H62-G149</f>
        <v>#NAME?</v>
      </c>
      <c r="H145" s="23" t="e">
        <f ca="1">'Annual Raw'!I62-H149</f>
        <v>#NAME?</v>
      </c>
      <c r="I145" s="23" t="e">
        <f ca="1">'Annual Raw'!J62-I149</f>
        <v>#NAME?</v>
      </c>
      <c r="J145" s="23" t="e">
        <f ca="1">'Annual Raw'!K62-J149</f>
        <v>#NAME?</v>
      </c>
      <c r="K145" s="23" t="e">
        <f ca="1">'Annual Raw'!L62-K149</f>
        <v>#NAME?</v>
      </c>
      <c r="L145" s="23" t="e">
        <f ca="1">'Annual Raw'!M62-L149</f>
        <v>#NAME?</v>
      </c>
      <c r="M145" s="23" t="e">
        <f ca="1">'Annual Raw'!N62-M149</f>
        <v>#NAME?</v>
      </c>
      <c r="N145" s="23" t="e">
        <f ca="1">'Annual Raw'!O62-N149</f>
        <v>#NAME?</v>
      </c>
      <c r="O145" s="23" t="e">
        <f ca="1">'Annual Raw'!P62-O149</f>
        <v>#NAME?</v>
      </c>
      <c r="P145" s="23" t="e">
        <f ca="1">'Annual Raw'!Q62-P149</f>
        <v>#NAME?</v>
      </c>
      <c r="Q145" s="23" t="e">
        <f ca="1">'Annual Raw'!R62-Q149</f>
        <v>#NAME?</v>
      </c>
      <c r="R145" s="23" t="e">
        <f ca="1">'Annual Raw'!S62-R149</f>
        <v>#NAME?</v>
      </c>
      <c r="S145" s="23" t="e">
        <f ca="1">'Annual Raw'!T62-S149</f>
        <v>#NAME?</v>
      </c>
      <c r="T145" s="23" t="e">
        <f ca="1">'Annual Raw'!U62-T149</f>
        <v>#NAME?</v>
      </c>
      <c r="U145" s="23" t="e">
        <f ca="1">'Annual Raw'!V62-U149</f>
        <v>#NAME?</v>
      </c>
      <c r="V145" s="23" t="e">
        <f ca="1">'Annual Raw'!W62-V149</f>
        <v>#NAME?</v>
      </c>
      <c r="W145" s="23" t="e">
        <f ca="1">'Annual Raw'!X62-W149</f>
        <v>#NAME?</v>
      </c>
      <c r="X145" s="23" t="e">
        <f ca="1">'Annual Raw'!Y62-X149</f>
        <v>#NAME?</v>
      </c>
      <c r="Y145" s="23" t="e">
        <f ca="1">'Annual Raw'!Z62-Y149</f>
        <v>#NAME?</v>
      </c>
      <c r="Z145" s="23" t="e">
        <f ca="1">'Annual Raw'!AA62-Z149</f>
        <v>#NAME?</v>
      </c>
      <c r="AA145" s="23" t="e">
        <f ca="1">'Annual Raw'!AB62-AA149</f>
        <v>#NAME?</v>
      </c>
      <c r="AB145" s="24" t="e">
        <f t="shared" ref="AB145:AB151" ca="1" si="1145">+CP145</f>
        <v>#NAME?</v>
      </c>
      <c r="AC145" s="24" t="e">
        <f t="shared" ref="AC145:AC151" ca="1" si="1146">+CT145</f>
        <v>#NAME?</v>
      </c>
      <c r="AD145" s="24" t="e">
        <f t="shared" ref="AD145:AD151" ca="1" si="1147">+CX145</f>
        <v>#NAME?</v>
      </c>
      <c r="AE145" s="24" t="e">
        <f t="shared" ref="AE145:AE151" ca="1" si="1148">+DB145</f>
        <v>#NAME?</v>
      </c>
      <c r="AJ145" s="23" t="e">
        <f ca="1">+'QTR Raw'!D68</f>
        <v>#NAME?</v>
      </c>
      <c r="AL145" s="23" t="e">
        <f ca="1">+'QTR Raw'!F68</f>
        <v>#NAME?</v>
      </c>
      <c r="AN145" s="23" t="e">
        <f ca="1">+'QTR Raw'!H68</f>
        <v>#NAME?</v>
      </c>
      <c r="AP145" s="23" t="e">
        <f ca="1">+'QTR Raw'!J68</f>
        <v>#NAME?</v>
      </c>
      <c r="AR145" s="23" t="e">
        <f ca="1">+'QTR Raw'!L68</f>
        <v>#NAME?</v>
      </c>
      <c r="AT145" s="23" t="e">
        <f ca="1">+'QTR Raw'!N68</f>
        <v>#NAME?</v>
      </c>
      <c r="AV145" s="23" t="e">
        <f ca="1">+'QTR Raw'!P68</f>
        <v>#NAME?</v>
      </c>
      <c r="AX145" s="23" t="e">
        <f ca="1">+'QTR Raw'!R68</f>
        <v>#NAME?</v>
      </c>
      <c r="AZ145" s="23" t="e">
        <f ca="1">+'QTR Raw'!T68</f>
        <v>#NAME?</v>
      </c>
      <c r="BB145" s="23" t="e">
        <f ca="1">+'QTR Raw'!V68</f>
        <v>#NAME?</v>
      </c>
      <c r="BD145" s="23" t="e">
        <f ca="1">+'QTR Raw'!X68</f>
        <v>#NAME?</v>
      </c>
      <c r="BF145" s="23" t="e">
        <f ca="1">+'QTR Raw'!Z68</f>
        <v>#NAME?</v>
      </c>
      <c r="BH145" s="23" t="e">
        <f ca="1">+'QTR Raw'!AB68</f>
        <v>#NAME?</v>
      </c>
      <c r="BJ145" s="23" t="e">
        <f ca="1">+'QTR Raw'!AD68</f>
        <v>#NAME?</v>
      </c>
      <c r="BL145" s="23" t="e">
        <f ca="1">+'QTR Raw'!AF68</f>
        <v>#NAME?</v>
      </c>
      <c r="BN145" s="23" t="e">
        <f ca="1">+'QTR Raw'!AH68</f>
        <v>#NAME?</v>
      </c>
      <c r="BP145" s="23" t="e">
        <f ca="1">+'QTR Raw'!AJ68</f>
        <v>#NAME?</v>
      </c>
      <c r="BR145" s="23" t="e">
        <f ca="1">+'QTR Raw'!AL68</f>
        <v>#NAME?</v>
      </c>
      <c r="BT145" s="23" t="e">
        <f ca="1">+'QTR Raw'!AN68</f>
        <v>#NAME?</v>
      </c>
      <c r="BV145" s="23" t="e">
        <f ca="1">+'QTR Raw'!AP68</f>
        <v>#NAME?</v>
      </c>
      <c r="BX145" s="23" t="e">
        <f ca="1">+'QTR Raw'!AR68</f>
        <v>#NAME?</v>
      </c>
      <c r="BZ145" s="23" t="e">
        <f ca="1">+'QTR Raw'!AT68</f>
        <v>#NAME?</v>
      </c>
      <c r="CB145" s="23" t="e">
        <f ca="1">+'QTR Raw'!AV68</f>
        <v>#NAME?</v>
      </c>
      <c r="CD145" s="23" t="e">
        <f ca="1">+'QTR Raw'!AX68</f>
        <v>#NAME?</v>
      </c>
      <c r="CF145" s="23" t="e">
        <f ca="1">+'QTR Raw'!AZ68</f>
        <v>#NAME?</v>
      </c>
      <c r="CH145" s="23" t="e">
        <f t="shared" ref="CH145:CH151" ca="1" si="1149">Z145</f>
        <v>#NAME?</v>
      </c>
      <c r="CI145" s="23" t="e">
        <f ca="1">CH145</f>
        <v>#NAME?</v>
      </c>
      <c r="CJ145" s="23" t="e">
        <f ca="1">+CJ146+CJ148</f>
        <v>#NAME?</v>
      </c>
      <c r="CK145" s="23" t="e">
        <f ca="1">+CJ145</f>
        <v>#NAME?</v>
      </c>
      <c r="CL145" s="23" t="e">
        <f ca="1">+CL146+CL148</f>
        <v>#NAME?</v>
      </c>
      <c r="CM145" s="24" t="e">
        <f t="shared" ref="CM145:DB145" ca="1" si="1150">+CL145</f>
        <v>#NAME?</v>
      </c>
      <c r="CN145" s="24" t="e">
        <f t="shared" ca="1" si="1150"/>
        <v>#NAME?</v>
      </c>
      <c r="CO145" s="24" t="e">
        <f t="shared" ca="1" si="1150"/>
        <v>#NAME?</v>
      </c>
      <c r="CP145" s="24" t="e">
        <f t="shared" ca="1" si="1150"/>
        <v>#NAME?</v>
      </c>
      <c r="CQ145" s="24" t="e">
        <f t="shared" ca="1" si="1150"/>
        <v>#NAME?</v>
      </c>
      <c r="CR145" s="24" t="e">
        <f t="shared" ca="1" si="1150"/>
        <v>#NAME?</v>
      </c>
      <c r="CS145" s="24" t="e">
        <f t="shared" ca="1" si="1150"/>
        <v>#NAME?</v>
      </c>
      <c r="CT145" s="24" t="e">
        <f t="shared" ca="1" si="1150"/>
        <v>#NAME?</v>
      </c>
      <c r="CU145" s="24" t="e">
        <f t="shared" ca="1" si="1150"/>
        <v>#NAME?</v>
      </c>
      <c r="CV145" s="24" t="e">
        <f t="shared" ca="1" si="1150"/>
        <v>#NAME?</v>
      </c>
      <c r="CW145" s="24" t="e">
        <f t="shared" ca="1" si="1150"/>
        <v>#NAME?</v>
      </c>
      <c r="CX145" s="24" t="e">
        <f t="shared" ca="1" si="1150"/>
        <v>#NAME?</v>
      </c>
      <c r="CY145" s="24" t="e">
        <f t="shared" ca="1" si="1150"/>
        <v>#NAME?</v>
      </c>
      <c r="CZ145" s="24" t="e">
        <f t="shared" ca="1" si="1150"/>
        <v>#NAME?</v>
      </c>
      <c r="DA145" s="24" t="e">
        <f t="shared" ca="1" si="1150"/>
        <v>#NAME?</v>
      </c>
      <c r="DB145" s="24" t="e">
        <f t="shared" ca="1" si="1150"/>
        <v>#NAME?</v>
      </c>
      <c r="DE145" s="123"/>
      <c r="DF145" s="23">
        <v>156.82900000000001</v>
      </c>
    </row>
    <row r="146" spans="1:110" s="23" customFormat="1" outlineLevel="1" x14ac:dyDescent="0.2">
      <c r="A146" s="23" t="s">
        <v>51</v>
      </c>
      <c r="B146" s="23" t="e">
        <f ca="1">'Annual Raw'!C63</f>
        <v>#NAME?</v>
      </c>
      <c r="C146" s="23" t="e">
        <f ca="1">'Annual Raw'!D63</f>
        <v>#NAME?</v>
      </c>
      <c r="D146" s="23" t="e">
        <f ca="1">'Annual Raw'!E63</f>
        <v>#NAME?</v>
      </c>
      <c r="E146" s="23" t="e">
        <f ca="1">'Annual Raw'!F63</f>
        <v>#NAME?</v>
      </c>
      <c r="F146" s="23" t="e">
        <f ca="1">'Annual Raw'!G63</f>
        <v>#NAME?</v>
      </c>
      <c r="G146" s="23" t="e">
        <f ca="1">'Annual Raw'!H63</f>
        <v>#NAME?</v>
      </c>
      <c r="H146" s="23" t="e">
        <f ca="1">'Annual Raw'!I63</f>
        <v>#NAME?</v>
      </c>
      <c r="I146" s="23" t="e">
        <f ca="1">'Annual Raw'!J63</f>
        <v>#NAME?</v>
      </c>
      <c r="J146" s="23" t="e">
        <f ca="1">'Annual Raw'!K63</f>
        <v>#NAME?</v>
      </c>
      <c r="K146" s="23" t="e">
        <f ca="1">'Annual Raw'!L63</f>
        <v>#NAME?</v>
      </c>
      <c r="L146" s="23" t="e">
        <f ca="1">'Annual Raw'!M63</f>
        <v>#NAME?</v>
      </c>
      <c r="M146" s="23" t="e">
        <f ca="1">'Annual Raw'!N63</f>
        <v>#NAME?</v>
      </c>
      <c r="N146" s="23" t="e">
        <f ca="1">'Annual Raw'!O63</f>
        <v>#NAME?</v>
      </c>
      <c r="O146" s="23" t="e">
        <f ca="1">'Annual Raw'!P63</f>
        <v>#NAME?</v>
      </c>
      <c r="P146" s="23" t="e">
        <f ca="1">'Annual Raw'!Q63</f>
        <v>#NAME?</v>
      </c>
      <c r="Q146" s="23" t="e">
        <f ca="1">'Annual Raw'!R63</f>
        <v>#NAME?</v>
      </c>
      <c r="R146" s="23" t="e">
        <f ca="1">'Annual Raw'!S63</f>
        <v>#NAME?</v>
      </c>
      <c r="S146" s="23" t="e">
        <f ca="1">'Annual Raw'!T63</f>
        <v>#NAME?</v>
      </c>
      <c r="T146" s="23" t="e">
        <f ca="1">'Annual Raw'!U63</f>
        <v>#NAME?</v>
      </c>
      <c r="U146" s="23" t="e">
        <f ca="1">'Annual Raw'!V63</f>
        <v>#NAME?</v>
      </c>
      <c r="V146" s="23" t="e">
        <f ca="1">'Annual Raw'!W63</f>
        <v>#NAME?</v>
      </c>
      <c r="W146" s="23" t="e">
        <f ca="1">'Annual Raw'!X63</f>
        <v>#NAME?</v>
      </c>
      <c r="X146" s="23" t="e">
        <f ca="1">'Annual Raw'!Y63</f>
        <v>#NAME?</v>
      </c>
      <c r="Y146" s="23" t="e">
        <f ca="1">'Annual Raw'!Z63</f>
        <v>#NAME?</v>
      </c>
      <c r="Z146" s="23" t="e">
        <f ca="1">'Annual Raw'!AA63</f>
        <v>#NAME?</v>
      </c>
      <c r="AA146" s="23" t="e">
        <f ca="1">'Annual Raw'!AB63</f>
        <v>#NAME?</v>
      </c>
      <c r="AB146" s="24" t="e">
        <f t="shared" ca="1" si="1145"/>
        <v>#NAME?</v>
      </c>
      <c r="AC146" s="24" t="e">
        <f t="shared" ca="1" si="1146"/>
        <v>#NAME?</v>
      </c>
      <c r="AD146" s="24" t="e">
        <f t="shared" ca="1" si="1147"/>
        <v>#NAME?</v>
      </c>
      <c r="AE146" s="24" t="e">
        <f t="shared" ca="1" si="1148"/>
        <v>#NAME?</v>
      </c>
      <c r="AJ146" s="23" t="e">
        <f ca="1">+'QTR Raw'!D69</f>
        <v>#NAME?</v>
      </c>
      <c r="AL146" s="23" t="e">
        <f ca="1">+'QTR Raw'!F69</f>
        <v>#NAME?</v>
      </c>
      <c r="AN146" s="23" t="e">
        <f ca="1">+'QTR Raw'!H69</f>
        <v>#NAME?</v>
      </c>
      <c r="AP146" s="23" t="e">
        <f ca="1">+'QTR Raw'!J69</f>
        <v>#NAME?</v>
      </c>
      <c r="AR146" s="23" t="e">
        <f ca="1">+'QTR Raw'!L69</f>
        <v>#NAME?</v>
      </c>
      <c r="AT146" s="23" t="e">
        <f ca="1">+'QTR Raw'!N69</f>
        <v>#NAME?</v>
      </c>
      <c r="AV146" s="23" t="e">
        <f ca="1">+'QTR Raw'!P69</f>
        <v>#NAME?</v>
      </c>
      <c r="AX146" s="23" t="e">
        <f ca="1">+'QTR Raw'!R69</f>
        <v>#NAME?</v>
      </c>
      <c r="AZ146" s="23" t="e">
        <f ca="1">+'QTR Raw'!T69</f>
        <v>#NAME?</v>
      </c>
      <c r="BB146" s="23" t="e">
        <f ca="1">+'QTR Raw'!V69</f>
        <v>#NAME?</v>
      </c>
      <c r="BD146" s="23" t="e">
        <f ca="1">+'QTR Raw'!X69</f>
        <v>#NAME?</v>
      </c>
      <c r="BF146" s="23" t="e">
        <f ca="1">+'QTR Raw'!Z69</f>
        <v>#NAME?</v>
      </c>
      <c r="BH146" s="23" t="e">
        <f ca="1">+'QTR Raw'!AB69</f>
        <v>#NAME?</v>
      </c>
      <c r="BJ146" s="23" t="e">
        <f ca="1">+'QTR Raw'!AD69</f>
        <v>#NAME?</v>
      </c>
      <c r="BL146" s="23" t="e">
        <f ca="1">+'QTR Raw'!AF69</f>
        <v>#NAME?</v>
      </c>
      <c r="BN146" s="23" t="e">
        <f ca="1">+'QTR Raw'!AH69</f>
        <v>#NAME?</v>
      </c>
      <c r="BP146" s="23" t="e">
        <f ca="1">+'QTR Raw'!AJ69</f>
        <v>#NAME?</v>
      </c>
      <c r="BR146" s="23" t="e">
        <f ca="1">+'QTR Raw'!AL69</f>
        <v>#NAME?</v>
      </c>
      <c r="BT146" s="23" t="e">
        <f ca="1">+'QTR Raw'!AN69</f>
        <v>#NAME?</v>
      </c>
      <c r="BV146" s="23" t="e">
        <f ca="1">+'QTR Raw'!AP69</f>
        <v>#NAME?</v>
      </c>
      <c r="BX146" s="23" t="e">
        <f ca="1">+'QTR Raw'!AR69</f>
        <v>#NAME?</v>
      </c>
      <c r="BZ146" s="23" t="e">
        <f ca="1">+'QTR Raw'!AT69</f>
        <v>#NAME?</v>
      </c>
      <c r="CB146" s="23" t="e">
        <f ca="1">+'QTR Raw'!AV69</f>
        <v>#NAME?</v>
      </c>
      <c r="CD146" s="23" t="e">
        <f ca="1">+'QTR Raw'!AX69</f>
        <v>#NAME?</v>
      </c>
      <c r="CF146" s="23" t="e">
        <f ca="1">+'QTR Raw'!AZ69</f>
        <v>#NAME?</v>
      </c>
      <c r="CH146" s="23" t="e">
        <f t="shared" ca="1" si="1149"/>
        <v>#NAME?</v>
      </c>
      <c r="CI146" s="23" t="e">
        <f t="shared" ref="CI146:DB146" ca="1" si="1151">CH146+CI46</f>
        <v>#NAME?</v>
      </c>
      <c r="CJ146" s="23" t="e">
        <f t="shared" ca="1" si="1151"/>
        <v>#NAME?</v>
      </c>
      <c r="CK146" s="23" t="e">
        <f t="shared" ca="1" si="1151"/>
        <v>#NAME?</v>
      </c>
      <c r="CL146" s="23" t="e">
        <f t="shared" ca="1" si="1151"/>
        <v>#NAME?</v>
      </c>
      <c r="CM146" s="24" t="e">
        <f t="shared" ca="1" si="1151"/>
        <v>#NAME?</v>
      </c>
      <c r="CN146" s="24" t="e">
        <f t="shared" ca="1" si="1151"/>
        <v>#NAME?</v>
      </c>
      <c r="CO146" s="24" t="e">
        <f t="shared" ca="1" si="1151"/>
        <v>#NAME?</v>
      </c>
      <c r="CP146" s="24" t="e">
        <f t="shared" ca="1" si="1151"/>
        <v>#NAME?</v>
      </c>
      <c r="CQ146" s="24" t="e">
        <f t="shared" ca="1" si="1151"/>
        <v>#NAME?</v>
      </c>
      <c r="CR146" s="24" t="e">
        <f t="shared" ca="1" si="1151"/>
        <v>#NAME?</v>
      </c>
      <c r="CS146" s="24" t="e">
        <f t="shared" ca="1" si="1151"/>
        <v>#NAME?</v>
      </c>
      <c r="CT146" s="24" t="e">
        <f t="shared" ca="1" si="1151"/>
        <v>#NAME?</v>
      </c>
      <c r="CU146" s="24" t="e">
        <f t="shared" ca="1" si="1151"/>
        <v>#NAME?</v>
      </c>
      <c r="CV146" s="24" t="e">
        <f t="shared" ca="1" si="1151"/>
        <v>#NAME?</v>
      </c>
      <c r="CW146" s="24" t="e">
        <f t="shared" ca="1" si="1151"/>
        <v>#NAME?</v>
      </c>
      <c r="CX146" s="24" t="e">
        <f t="shared" ca="1" si="1151"/>
        <v>#NAME?</v>
      </c>
      <c r="CY146" s="24" t="e">
        <f t="shared" ca="1" si="1151"/>
        <v>#NAME?</v>
      </c>
      <c r="CZ146" s="24" t="e">
        <f t="shared" ca="1" si="1151"/>
        <v>#NAME?</v>
      </c>
      <c r="DA146" s="24" t="e">
        <f t="shared" ca="1" si="1151"/>
        <v>#NAME?</v>
      </c>
      <c r="DB146" s="24" t="e">
        <f t="shared" ca="1" si="1151"/>
        <v>#NAME?</v>
      </c>
      <c r="DE146" s="123"/>
      <c r="DF146" s="23">
        <v>101.02500000000001</v>
      </c>
    </row>
    <row r="147" spans="1:110" s="23" customFormat="1" outlineLevel="1" x14ac:dyDescent="0.2">
      <c r="A147" s="23" t="s">
        <v>52</v>
      </c>
      <c r="B147" s="23" t="e">
        <f ca="1">'Annual Raw'!C64</f>
        <v>#NAME?</v>
      </c>
      <c r="C147" s="23" t="e">
        <f ca="1">'Annual Raw'!D64</f>
        <v>#NAME?</v>
      </c>
      <c r="D147" s="23" t="e">
        <f ca="1">'Annual Raw'!E64</f>
        <v>#NAME?</v>
      </c>
      <c r="E147" s="23" t="e">
        <f ca="1">'Annual Raw'!F64</f>
        <v>#NAME?</v>
      </c>
      <c r="F147" s="23" t="e">
        <f ca="1">'Annual Raw'!G64</f>
        <v>#NAME?</v>
      </c>
      <c r="G147" s="23" t="e">
        <f ca="1">'Annual Raw'!H64</f>
        <v>#NAME?</v>
      </c>
      <c r="H147" s="23" t="e">
        <f ca="1">'Annual Raw'!I64</f>
        <v>#NAME?</v>
      </c>
      <c r="I147" s="23" t="e">
        <f ca="1">'Annual Raw'!J64</f>
        <v>#NAME?</v>
      </c>
      <c r="J147" s="23" t="e">
        <f ca="1">'Annual Raw'!K64</f>
        <v>#NAME?</v>
      </c>
      <c r="K147" s="23" t="e">
        <f ca="1">'Annual Raw'!L64</f>
        <v>#NAME?</v>
      </c>
      <c r="L147" s="23" t="e">
        <f ca="1">'Annual Raw'!M64</f>
        <v>#NAME?</v>
      </c>
      <c r="M147" s="23" t="e">
        <f ca="1">'Annual Raw'!N64</f>
        <v>#NAME?</v>
      </c>
      <c r="N147" s="23" t="e">
        <f ca="1">'Annual Raw'!O64</f>
        <v>#NAME?</v>
      </c>
      <c r="O147" s="23" t="e">
        <f ca="1">'Annual Raw'!P64</f>
        <v>#NAME?</v>
      </c>
      <c r="P147" s="23" t="e">
        <f ca="1">'Annual Raw'!Q64</f>
        <v>#NAME?</v>
      </c>
      <c r="Q147" s="23" t="e">
        <f ca="1">'Annual Raw'!R64</f>
        <v>#NAME?</v>
      </c>
      <c r="R147" s="23" t="e">
        <f ca="1">'Annual Raw'!S64</f>
        <v>#NAME?</v>
      </c>
      <c r="S147" s="23" t="e">
        <f ca="1">'Annual Raw'!T64</f>
        <v>#NAME?</v>
      </c>
      <c r="T147" s="23" t="e">
        <f ca="1">'Annual Raw'!U64</f>
        <v>#NAME?</v>
      </c>
      <c r="U147" s="23" t="e">
        <f ca="1">'Annual Raw'!V64</f>
        <v>#NAME?</v>
      </c>
      <c r="V147" s="23" t="e">
        <f ca="1">'Annual Raw'!W64</f>
        <v>#NAME?</v>
      </c>
      <c r="W147" s="23" t="e">
        <f ca="1">'Annual Raw'!X64</f>
        <v>#NAME?</v>
      </c>
      <c r="X147" s="23" t="e">
        <f ca="1">'Annual Raw'!Y64</f>
        <v>#NAME?</v>
      </c>
      <c r="Y147" s="23" t="e">
        <f ca="1">'Annual Raw'!Z64</f>
        <v>#NAME?</v>
      </c>
      <c r="Z147" s="23" t="e">
        <f ca="1">'Annual Raw'!AA64</f>
        <v>#NAME?</v>
      </c>
      <c r="AA147" s="23" t="e">
        <f ca="1">'Annual Raw'!AB64</f>
        <v>#NAME?</v>
      </c>
      <c r="AB147" s="24" t="e">
        <f t="shared" ca="1" si="1145"/>
        <v>#NAME?</v>
      </c>
      <c r="AC147" s="24" t="e">
        <f t="shared" ca="1" si="1146"/>
        <v>#NAME?</v>
      </c>
      <c r="AD147" s="24" t="e">
        <f t="shared" ca="1" si="1147"/>
        <v>#NAME?</v>
      </c>
      <c r="AE147" s="24" t="e">
        <f t="shared" ca="1" si="1148"/>
        <v>#NAME?</v>
      </c>
      <c r="AJ147" s="23" t="e">
        <f ca="1">+'QTR Raw'!D70</f>
        <v>#NAME?</v>
      </c>
      <c r="AL147" s="23" t="e">
        <f ca="1">+'QTR Raw'!F70</f>
        <v>#NAME?</v>
      </c>
      <c r="AN147" s="23" t="e">
        <f ca="1">+'QTR Raw'!H70</f>
        <v>#NAME?</v>
      </c>
      <c r="AP147" s="23" t="e">
        <f ca="1">+'QTR Raw'!J70</f>
        <v>#NAME?</v>
      </c>
      <c r="AR147" s="23" t="e">
        <f ca="1">+'QTR Raw'!L70</f>
        <v>#NAME?</v>
      </c>
      <c r="AT147" s="23" t="e">
        <f ca="1">+'QTR Raw'!N70</f>
        <v>#NAME?</v>
      </c>
      <c r="AV147" s="23" t="e">
        <f ca="1">+'QTR Raw'!P70</f>
        <v>#NAME?</v>
      </c>
      <c r="AX147" s="23" t="e">
        <f ca="1">+'QTR Raw'!R70</f>
        <v>#NAME?</v>
      </c>
      <c r="AZ147" s="23" t="e">
        <f ca="1">+'QTR Raw'!T70</f>
        <v>#NAME?</v>
      </c>
      <c r="BB147" s="23" t="e">
        <f ca="1">+'QTR Raw'!V70</f>
        <v>#NAME?</v>
      </c>
      <c r="BD147" s="23" t="e">
        <f ca="1">+'QTR Raw'!X70</f>
        <v>#NAME?</v>
      </c>
      <c r="BF147" s="23" t="e">
        <f ca="1">+'QTR Raw'!Z70</f>
        <v>#NAME?</v>
      </c>
      <c r="BH147" s="23" t="e">
        <f ca="1">+'QTR Raw'!AB70</f>
        <v>#NAME?</v>
      </c>
      <c r="BJ147" s="23" t="e">
        <f ca="1">+'QTR Raw'!AD70</f>
        <v>#NAME?</v>
      </c>
      <c r="BL147" s="23" t="e">
        <f ca="1">+'QTR Raw'!AF70</f>
        <v>#NAME?</v>
      </c>
      <c r="BN147" s="23" t="e">
        <f ca="1">+'QTR Raw'!AH70</f>
        <v>#NAME?</v>
      </c>
      <c r="BP147" s="23" t="e">
        <f ca="1">+'QTR Raw'!AJ70</f>
        <v>#NAME?</v>
      </c>
      <c r="BR147" s="23" t="e">
        <f ca="1">+'QTR Raw'!AL70</f>
        <v>#NAME?</v>
      </c>
      <c r="BT147" s="23" t="e">
        <f ca="1">+'QTR Raw'!AN70</f>
        <v>#NAME?</v>
      </c>
      <c r="BV147" s="23" t="e">
        <f ca="1">+'QTR Raw'!AP70</f>
        <v>#NAME?</v>
      </c>
      <c r="BX147" s="23" t="e">
        <f ca="1">+'QTR Raw'!AR70</f>
        <v>#NAME?</v>
      </c>
      <c r="BZ147" s="23" t="e">
        <f ca="1">+'QTR Raw'!AT70</f>
        <v>#NAME?</v>
      </c>
      <c r="CB147" s="23" t="e">
        <f ca="1">+'QTR Raw'!AV70</f>
        <v>#NAME?</v>
      </c>
      <c r="CD147" s="23" t="e">
        <f ca="1">+'QTR Raw'!AX70</f>
        <v>#NAME?</v>
      </c>
      <c r="CF147" s="23" t="e">
        <f ca="1">+'QTR Raw'!AZ70</f>
        <v>#NAME?</v>
      </c>
      <c r="CH147" s="23" t="e">
        <f t="shared" ca="1" si="1149"/>
        <v>#NAME?</v>
      </c>
      <c r="CI147" s="23" t="e">
        <f ca="1">CH147</f>
        <v>#NAME?</v>
      </c>
      <c r="CJ147" s="23" t="e">
        <f ca="1">+'QTR Raw'!BD70</f>
        <v>#NAME?</v>
      </c>
      <c r="CK147" s="23" t="e">
        <f t="shared" ref="CK147:DB147" ca="1" si="1152">CJ147</f>
        <v>#NAME?</v>
      </c>
      <c r="CL147" s="23" t="e">
        <f ca="1">+'QTR Raw'!BF70</f>
        <v>#NAME?</v>
      </c>
      <c r="CM147" s="24" t="e">
        <f t="shared" ca="1" si="1152"/>
        <v>#NAME?</v>
      </c>
      <c r="CN147" s="24" t="e">
        <f t="shared" ca="1" si="1152"/>
        <v>#NAME?</v>
      </c>
      <c r="CO147" s="24" t="e">
        <f t="shared" ca="1" si="1152"/>
        <v>#NAME?</v>
      </c>
      <c r="CP147" s="24" t="e">
        <f t="shared" ca="1" si="1152"/>
        <v>#NAME?</v>
      </c>
      <c r="CQ147" s="24" t="e">
        <f t="shared" ca="1" si="1152"/>
        <v>#NAME?</v>
      </c>
      <c r="CR147" s="24" t="e">
        <f t="shared" ca="1" si="1152"/>
        <v>#NAME?</v>
      </c>
      <c r="CS147" s="24" t="e">
        <f t="shared" ca="1" si="1152"/>
        <v>#NAME?</v>
      </c>
      <c r="CT147" s="24" t="e">
        <f t="shared" ca="1" si="1152"/>
        <v>#NAME?</v>
      </c>
      <c r="CU147" s="24" t="e">
        <f t="shared" ca="1" si="1152"/>
        <v>#NAME?</v>
      </c>
      <c r="CV147" s="24" t="e">
        <f t="shared" ca="1" si="1152"/>
        <v>#NAME?</v>
      </c>
      <c r="CW147" s="24" t="e">
        <f t="shared" ca="1" si="1152"/>
        <v>#NAME?</v>
      </c>
      <c r="CX147" s="24" t="e">
        <f t="shared" ca="1" si="1152"/>
        <v>#NAME?</v>
      </c>
      <c r="CY147" s="24" t="e">
        <f t="shared" ca="1" si="1152"/>
        <v>#NAME?</v>
      </c>
      <c r="CZ147" s="24" t="e">
        <f t="shared" ca="1" si="1152"/>
        <v>#NAME?</v>
      </c>
      <c r="DA147" s="24" t="e">
        <f t="shared" ca="1" si="1152"/>
        <v>#NAME?</v>
      </c>
      <c r="DB147" s="24" t="e">
        <f t="shared" ca="1" si="1152"/>
        <v>#NAME?</v>
      </c>
      <c r="DE147" s="123"/>
      <c r="DF147" s="23">
        <v>0</v>
      </c>
    </row>
    <row r="148" spans="1:110" s="22" customFormat="1" outlineLevel="1" x14ac:dyDescent="0.2">
      <c r="A148" s="22" t="s">
        <v>53</v>
      </c>
      <c r="B148" s="22" t="e">
        <f ca="1">+B145-B146-B147</f>
        <v>#NAME?</v>
      </c>
      <c r="C148" s="22" t="e">
        <f t="shared" ref="C148:W148" ca="1" si="1153">+C145-C146-C147</f>
        <v>#NAME?</v>
      </c>
      <c r="D148" s="22" t="e">
        <f t="shared" ca="1" si="1153"/>
        <v>#NAME?</v>
      </c>
      <c r="E148" s="22" t="e">
        <f t="shared" ca="1" si="1153"/>
        <v>#NAME?</v>
      </c>
      <c r="F148" s="22" t="e">
        <f t="shared" ca="1" si="1153"/>
        <v>#NAME?</v>
      </c>
      <c r="G148" s="22" t="e">
        <f t="shared" ca="1" si="1153"/>
        <v>#NAME?</v>
      </c>
      <c r="H148" s="22" t="e">
        <f t="shared" ca="1" si="1153"/>
        <v>#NAME?</v>
      </c>
      <c r="I148" s="22" t="e">
        <f t="shared" ca="1" si="1153"/>
        <v>#NAME?</v>
      </c>
      <c r="J148" s="22" t="e">
        <f t="shared" ca="1" si="1153"/>
        <v>#NAME?</v>
      </c>
      <c r="K148" s="22" t="e">
        <f t="shared" ca="1" si="1153"/>
        <v>#NAME?</v>
      </c>
      <c r="L148" s="22" t="e">
        <f t="shared" ca="1" si="1153"/>
        <v>#NAME?</v>
      </c>
      <c r="M148" s="22" t="e">
        <f t="shared" ca="1" si="1153"/>
        <v>#NAME?</v>
      </c>
      <c r="N148" s="22" t="e">
        <f t="shared" ca="1" si="1153"/>
        <v>#NAME?</v>
      </c>
      <c r="O148" s="22" t="e">
        <f t="shared" ca="1" si="1153"/>
        <v>#NAME?</v>
      </c>
      <c r="P148" s="22" t="e">
        <f t="shared" ca="1" si="1153"/>
        <v>#NAME?</v>
      </c>
      <c r="Q148" s="22" t="e">
        <f t="shared" ca="1" si="1153"/>
        <v>#NAME?</v>
      </c>
      <c r="R148" s="22" t="e">
        <f t="shared" ca="1" si="1153"/>
        <v>#NAME?</v>
      </c>
      <c r="S148" s="22" t="e">
        <f t="shared" ca="1" si="1153"/>
        <v>#NAME?</v>
      </c>
      <c r="T148" s="22" t="e">
        <f t="shared" ca="1" si="1153"/>
        <v>#NAME?</v>
      </c>
      <c r="U148" s="22" t="e">
        <f t="shared" ca="1" si="1153"/>
        <v>#NAME?</v>
      </c>
      <c r="V148" s="22" t="e">
        <f t="shared" ca="1" si="1153"/>
        <v>#NAME?</v>
      </c>
      <c r="W148" s="22" t="e">
        <f t="shared" ca="1" si="1153"/>
        <v>#NAME?</v>
      </c>
      <c r="X148" s="22" t="e">
        <f t="shared" ref="X148:Y148" ca="1" si="1154">+X145-X146-X147</f>
        <v>#NAME?</v>
      </c>
      <c r="Y148" s="22" t="e">
        <f t="shared" ca="1" si="1154"/>
        <v>#NAME?</v>
      </c>
      <c r="Z148" s="22" t="e">
        <f t="shared" ref="Z148:AE148" ca="1" si="1155">+Z145-Z146-Z147</f>
        <v>#NAME?</v>
      </c>
      <c r="AA148" s="22" t="e">
        <f t="shared" ref="AA148" ca="1" si="1156">+AA145-AA146-AA147</f>
        <v>#NAME?</v>
      </c>
      <c r="AB148" s="21" t="e">
        <f t="shared" ca="1" si="1155"/>
        <v>#NAME?</v>
      </c>
      <c r="AC148" s="21" t="e">
        <f t="shared" ca="1" si="1155"/>
        <v>#NAME?</v>
      </c>
      <c r="AD148" s="21" t="e">
        <f t="shared" ca="1" si="1155"/>
        <v>#NAME?</v>
      </c>
      <c r="AE148" s="21" t="e">
        <f t="shared" ca="1" si="1155"/>
        <v>#NAME?</v>
      </c>
      <c r="AJ148" s="22" t="e">
        <f t="shared" ref="AJ148:AL148" ca="1" si="1157">+AJ145-AJ146-AJ147</f>
        <v>#NAME?</v>
      </c>
      <c r="AK148" s="22" t="e">
        <f t="shared" ref="AK148:CE148" ca="1" si="1158">+AJ148</f>
        <v>#NAME?</v>
      </c>
      <c r="AL148" s="22" t="e">
        <f t="shared" ca="1" si="1157"/>
        <v>#NAME?</v>
      </c>
      <c r="AM148" s="22" t="e">
        <f t="shared" ca="1" si="1158"/>
        <v>#NAME?</v>
      </c>
      <c r="AN148" s="22" t="e">
        <f t="shared" ref="AN148" ca="1" si="1159">+AN145-AN146-AN147</f>
        <v>#NAME?</v>
      </c>
      <c r="AO148" s="22" t="e">
        <f t="shared" ca="1" si="1158"/>
        <v>#NAME?</v>
      </c>
      <c r="AP148" s="22" t="e">
        <f t="shared" ref="AP148:CD148" ca="1" si="1160">+AP145-AP146-AP147</f>
        <v>#NAME?</v>
      </c>
      <c r="AQ148" s="22" t="e">
        <f t="shared" ca="1" si="1158"/>
        <v>#NAME?</v>
      </c>
      <c r="AR148" s="22" t="e">
        <f t="shared" ca="1" si="1160"/>
        <v>#NAME?</v>
      </c>
      <c r="AS148" s="22" t="e">
        <f t="shared" ca="1" si="1158"/>
        <v>#NAME?</v>
      </c>
      <c r="AT148" s="22" t="e">
        <f t="shared" ca="1" si="1160"/>
        <v>#NAME?</v>
      </c>
      <c r="AU148" s="22" t="e">
        <f t="shared" ca="1" si="1158"/>
        <v>#NAME?</v>
      </c>
      <c r="AV148" s="22" t="e">
        <f t="shared" ca="1" si="1160"/>
        <v>#NAME?</v>
      </c>
      <c r="AW148" s="22" t="e">
        <f t="shared" ca="1" si="1158"/>
        <v>#NAME?</v>
      </c>
      <c r="AX148" s="22" t="e">
        <f t="shared" ca="1" si="1160"/>
        <v>#NAME?</v>
      </c>
      <c r="AY148" s="22" t="e">
        <f t="shared" ca="1" si="1158"/>
        <v>#NAME?</v>
      </c>
      <c r="AZ148" s="22" t="e">
        <f t="shared" ca="1" si="1160"/>
        <v>#NAME?</v>
      </c>
      <c r="BA148" s="22" t="e">
        <f t="shared" ca="1" si="1158"/>
        <v>#NAME?</v>
      </c>
      <c r="BB148" s="22" t="e">
        <f t="shared" ca="1" si="1160"/>
        <v>#NAME?</v>
      </c>
      <c r="BC148" s="22" t="e">
        <f t="shared" ca="1" si="1158"/>
        <v>#NAME?</v>
      </c>
      <c r="BD148" s="22" t="e">
        <f t="shared" ca="1" si="1160"/>
        <v>#NAME?</v>
      </c>
      <c r="BE148" s="22" t="e">
        <f t="shared" ca="1" si="1158"/>
        <v>#NAME?</v>
      </c>
      <c r="BF148" s="22" t="e">
        <f t="shared" ca="1" si="1160"/>
        <v>#NAME?</v>
      </c>
      <c r="BG148" s="22" t="e">
        <f t="shared" ca="1" si="1158"/>
        <v>#NAME?</v>
      </c>
      <c r="BH148" s="22" t="e">
        <f t="shared" ca="1" si="1160"/>
        <v>#NAME?</v>
      </c>
      <c r="BI148" s="22" t="e">
        <f t="shared" ca="1" si="1158"/>
        <v>#NAME?</v>
      </c>
      <c r="BJ148" s="22" t="e">
        <f t="shared" ca="1" si="1160"/>
        <v>#NAME?</v>
      </c>
      <c r="BK148" s="22" t="e">
        <f t="shared" ca="1" si="1158"/>
        <v>#NAME?</v>
      </c>
      <c r="BL148" s="22" t="e">
        <f t="shared" ca="1" si="1160"/>
        <v>#NAME?</v>
      </c>
      <c r="BM148" s="22" t="e">
        <f t="shared" ca="1" si="1158"/>
        <v>#NAME?</v>
      </c>
      <c r="BN148" s="22" t="e">
        <f t="shared" ca="1" si="1160"/>
        <v>#NAME?</v>
      </c>
      <c r="BO148" s="22" t="e">
        <f t="shared" ca="1" si="1158"/>
        <v>#NAME?</v>
      </c>
      <c r="BP148" s="22" t="e">
        <f t="shared" ca="1" si="1160"/>
        <v>#NAME?</v>
      </c>
      <c r="BQ148" s="22" t="e">
        <f t="shared" ca="1" si="1158"/>
        <v>#NAME?</v>
      </c>
      <c r="BR148" s="22" t="e">
        <f t="shared" ca="1" si="1160"/>
        <v>#NAME?</v>
      </c>
      <c r="BS148" s="22" t="e">
        <f t="shared" ca="1" si="1158"/>
        <v>#NAME?</v>
      </c>
      <c r="BT148" s="22" t="e">
        <f t="shared" ca="1" si="1160"/>
        <v>#NAME?</v>
      </c>
      <c r="BU148" s="22" t="e">
        <f t="shared" ca="1" si="1158"/>
        <v>#NAME?</v>
      </c>
      <c r="BV148" s="22" t="e">
        <f t="shared" ca="1" si="1160"/>
        <v>#NAME?</v>
      </c>
      <c r="BW148" s="22" t="e">
        <f t="shared" ca="1" si="1158"/>
        <v>#NAME?</v>
      </c>
      <c r="BX148" s="22" t="e">
        <f t="shared" ca="1" si="1160"/>
        <v>#NAME?</v>
      </c>
      <c r="BY148" s="22" t="e">
        <f t="shared" ca="1" si="1158"/>
        <v>#NAME?</v>
      </c>
      <c r="BZ148" s="22" t="e">
        <f t="shared" ca="1" si="1160"/>
        <v>#NAME?</v>
      </c>
      <c r="CA148" s="22" t="e">
        <f t="shared" ca="1" si="1158"/>
        <v>#NAME?</v>
      </c>
      <c r="CB148" s="22" t="e">
        <f t="shared" ca="1" si="1160"/>
        <v>#NAME?</v>
      </c>
      <c r="CC148" s="22" t="e">
        <f t="shared" ca="1" si="1158"/>
        <v>#NAME?</v>
      </c>
      <c r="CD148" s="22" t="e">
        <f t="shared" ca="1" si="1160"/>
        <v>#NAME?</v>
      </c>
      <c r="CE148" s="22" t="e">
        <f t="shared" ca="1" si="1158"/>
        <v>#NAME?</v>
      </c>
      <c r="CF148" s="22" t="e">
        <f t="shared" ref="CF148:CI148" ca="1" si="1161">+CF145-CF146-CF147</f>
        <v>#NAME?</v>
      </c>
      <c r="CG148" s="22" t="e">
        <f t="shared" ref="CG148:CI151" ca="1" si="1162">+CF148</f>
        <v>#NAME?</v>
      </c>
      <c r="CH148" s="22" t="e">
        <f t="shared" ca="1" si="1161"/>
        <v>#NAME?</v>
      </c>
      <c r="CI148" s="22" t="e">
        <f t="shared" ca="1" si="1161"/>
        <v>#NAME?</v>
      </c>
      <c r="CJ148" s="23" t="e">
        <f ca="1">+'QTR Raw'!BD68</f>
        <v>#NAME?</v>
      </c>
      <c r="CK148" s="23" t="e">
        <f t="shared" ref="CK148:DB148" ca="1" si="1163">+CK145-CK146-CK147</f>
        <v>#NAME?</v>
      </c>
      <c r="CL148" s="23" t="e">
        <f ca="1">+'QTR Raw'!BF68</f>
        <v>#NAME?</v>
      </c>
      <c r="CM148" s="21" t="e">
        <f t="shared" ca="1" si="1163"/>
        <v>#NAME?</v>
      </c>
      <c r="CN148" s="21" t="e">
        <f t="shared" ca="1" si="1163"/>
        <v>#NAME?</v>
      </c>
      <c r="CO148" s="21" t="e">
        <f t="shared" ca="1" si="1163"/>
        <v>#NAME?</v>
      </c>
      <c r="CP148" s="21" t="e">
        <f t="shared" ca="1" si="1163"/>
        <v>#NAME?</v>
      </c>
      <c r="CQ148" s="21" t="e">
        <f t="shared" ca="1" si="1163"/>
        <v>#NAME?</v>
      </c>
      <c r="CR148" s="21" t="e">
        <f t="shared" ca="1" si="1163"/>
        <v>#NAME?</v>
      </c>
      <c r="CS148" s="21" t="e">
        <f t="shared" ca="1" si="1163"/>
        <v>#NAME?</v>
      </c>
      <c r="CT148" s="21" t="e">
        <f t="shared" ca="1" si="1163"/>
        <v>#NAME?</v>
      </c>
      <c r="CU148" s="21" t="e">
        <f t="shared" ca="1" si="1163"/>
        <v>#NAME?</v>
      </c>
      <c r="CV148" s="21" t="e">
        <f t="shared" ca="1" si="1163"/>
        <v>#NAME?</v>
      </c>
      <c r="CW148" s="21" t="e">
        <f t="shared" ca="1" si="1163"/>
        <v>#NAME?</v>
      </c>
      <c r="CX148" s="21" t="e">
        <f t="shared" ca="1" si="1163"/>
        <v>#NAME?</v>
      </c>
      <c r="CY148" s="21" t="e">
        <f t="shared" ca="1" si="1163"/>
        <v>#NAME?</v>
      </c>
      <c r="CZ148" s="21" t="e">
        <f t="shared" ca="1" si="1163"/>
        <v>#NAME?</v>
      </c>
      <c r="DA148" s="21" t="e">
        <f t="shared" ca="1" si="1163"/>
        <v>#NAME?</v>
      </c>
      <c r="DB148" s="21" t="e">
        <f t="shared" ca="1" si="1163"/>
        <v>#NAME?</v>
      </c>
      <c r="DE148" s="126"/>
      <c r="DF148" s="22">
        <v>55.804000000000002</v>
      </c>
    </row>
    <row r="149" spans="1:110" s="23" customFormat="1" outlineLevel="1" x14ac:dyDescent="0.2">
      <c r="A149" s="23" t="s">
        <v>54</v>
      </c>
      <c r="B149" s="23" t="e">
        <f ca="1">'Annual Raw'!C86</f>
        <v>#NAME?</v>
      </c>
      <c r="C149" s="23" t="e">
        <f ca="1">'Annual Raw'!D86</f>
        <v>#NAME?</v>
      </c>
      <c r="D149" s="23" t="e">
        <f ca="1">'Annual Raw'!E86</f>
        <v>#NAME?</v>
      </c>
      <c r="E149" s="23" t="e">
        <f ca="1">'Annual Raw'!F86</f>
        <v>#NAME?</v>
      </c>
      <c r="F149" s="23" t="e">
        <f ca="1">'Annual Raw'!G86</f>
        <v>#NAME?</v>
      </c>
      <c r="G149" s="23" t="e">
        <f ca="1">'Annual Raw'!H86</f>
        <v>#NAME?</v>
      </c>
      <c r="H149" s="23" t="e">
        <f ca="1">'Annual Raw'!I86</f>
        <v>#NAME?</v>
      </c>
      <c r="I149" s="23" t="e">
        <f ca="1">'Annual Raw'!J86</f>
        <v>#NAME?</v>
      </c>
      <c r="J149" s="23" t="e">
        <f ca="1">'Annual Raw'!K86</f>
        <v>#NAME?</v>
      </c>
      <c r="K149" s="23" t="e">
        <f ca="1">'Annual Raw'!L86</f>
        <v>#NAME?</v>
      </c>
      <c r="L149" s="23" t="e">
        <f ca="1">'Annual Raw'!M86</f>
        <v>#NAME?</v>
      </c>
      <c r="M149" s="23" t="e">
        <f ca="1">'Annual Raw'!N86</f>
        <v>#NAME?</v>
      </c>
      <c r="N149" s="23" t="e">
        <f ca="1">'Annual Raw'!O86</f>
        <v>#NAME?</v>
      </c>
      <c r="O149" s="23" t="e">
        <f ca="1">'Annual Raw'!P86</f>
        <v>#NAME?</v>
      </c>
      <c r="P149" s="23" t="e">
        <f ca="1">'Annual Raw'!Q86</f>
        <v>#NAME?</v>
      </c>
      <c r="Q149" s="23" t="e">
        <f ca="1">'Annual Raw'!R86</f>
        <v>#NAME?</v>
      </c>
      <c r="R149" s="23" t="e">
        <f ca="1">'Annual Raw'!S86</f>
        <v>#NAME?</v>
      </c>
      <c r="S149" s="23" t="e">
        <f ca="1">'Annual Raw'!T86</f>
        <v>#NAME?</v>
      </c>
      <c r="T149" s="23" t="e">
        <f ca="1">'Annual Raw'!U86</f>
        <v>#NAME?</v>
      </c>
      <c r="U149" s="23" t="e">
        <f ca="1">'Annual Raw'!V86</f>
        <v>#NAME?</v>
      </c>
      <c r="V149" s="23" t="e">
        <f ca="1">'Annual Raw'!W86</f>
        <v>#NAME?</v>
      </c>
      <c r="W149" s="23" t="e">
        <f ca="1">'Annual Raw'!X86</f>
        <v>#NAME?</v>
      </c>
      <c r="X149" s="23" t="e">
        <f ca="1">'Annual Raw'!Y86</f>
        <v>#NAME?</v>
      </c>
      <c r="Y149" s="23" t="e">
        <f ca="1">'Annual Raw'!Z86</f>
        <v>#NAME?</v>
      </c>
      <c r="Z149" s="23" t="e">
        <f ca="1">'Annual Raw'!AA86</f>
        <v>#NAME?</v>
      </c>
      <c r="AA149" s="23" t="e">
        <f ca="1">'Annual Raw'!AB86</f>
        <v>#NAME?</v>
      </c>
      <c r="AB149" s="24" t="e">
        <f t="shared" ca="1" si="1145"/>
        <v>#NAME?</v>
      </c>
      <c r="AC149" s="24" t="e">
        <f t="shared" ca="1" si="1146"/>
        <v>#NAME?</v>
      </c>
      <c r="AD149" s="24" t="e">
        <f t="shared" ca="1" si="1147"/>
        <v>#NAME?</v>
      </c>
      <c r="AE149" s="24" t="e">
        <f t="shared" ca="1" si="1148"/>
        <v>#NAME?</v>
      </c>
      <c r="AJ149" s="23" t="e">
        <f ca="1">+'QTR Raw'!D72</f>
        <v>#NAME?</v>
      </c>
      <c r="AK149" s="23" t="e">
        <f ca="1">+AJ149</f>
        <v>#NAME?</v>
      </c>
      <c r="AL149" s="23" t="e">
        <f ca="1">+'QTR Raw'!F72</f>
        <v>#NAME?</v>
      </c>
      <c r="AM149" s="23" t="e">
        <f t="shared" ref="AK149:CE151" ca="1" si="1164">+AL149</f>
        <v>#NAME?</v>
      </c>
      <c r="AN149" s="23" t="e">
        <f ca="1">+'QTR Raw'!H72</f>
        <v>#NAME?</v>
      </c>
      <c r="AO149" s="23" t="e">
        <f t="shared" ca="1" si="1164"/>
        <v>#NAME?</v>
      </c>
      <c r="AP149" s="23" t="e">
        <f ca="1">+'QTR Raw'!J72</f>
        <v>#NAME?</v>
      </c>
      <c r="AQ149" s="23" t="e">
        <f t="shared" ca="1" si="1164"/>
        <v>#NAME?</v>
      </c>
      <c r="AR149" s="23" t="e">
        <f ca="1">+'QTR Raw'!L72</f>
        <v>#NAME?</v>
      </c>
      <c r="AS149" s="23" t="e">
        <f t="shared" ca="1" si="1164"/>
        <v>#NAME?</v>
      </c>
      <c r="AT149" s="23" t="e">
        <f ca="1">+'QTR Raw'!N72</f>
        <v>#NAME?</v>
      </c>
      <c r="AU149" s="23" t="e">
        <f t="shared" ca="1" si="1164"/>
        <v>#NAME?</v>
      </c>
      <c r="AV149" s="23" t="e">
        <f ca="1">+'QTR Raw'!P72</f>
        <v>#NAME?</v>
      </c>
      <c r="AW149" s="23" t="e">
        <f t="shared" ca="1" si="1164"/>
        <v>#NAME?</v>
      </c>
      <c r="AX149" s="23" t="e">
        <f ca="1">+'QTR Raw'!R72</f>
        <v>#NAME?</v>
      </c>
      <c r="AY149" s="23" t="e">
        <f t="shared" ca="1" si="1164"/>
        <v>#NAME?</v>
      </c>
      <c r="AZ149" s="23" t="e">
        <f ca="1">+'QTR Raw'!T72</f>
        <v>#NAME?</v>
      </c>
      <c r="BA149" s="23" t="e">
        <f t="shared" ca="1" si="1164"/>
        <v>#NAME?</v>
      </c>
      <c r="BB149" s="23" t="e">
        <f ca="1">+'QTR Raw'!V72</f>
        <v>#NAME?</v>
      </c>
      <c r="BC149" s="23" t="e">
        <f t="shared" ca="1" si="1164"/>
        <v>#NAME?</v>
      </c>
      <c r="BD149" s="23" t="e">
        <f ca="1">+'QTR Raw'!X72</f>
        <v>#NAME?</v>
      </c>
      <c r="BE149" s="23" t="e">
        <f t="shared" ca="1" si="1164"/>
        <v>#NAME?</v>
      </c>
      <c r="BF149" s="23" t="e">
        <f ca="1">+'QTR Raw'!Z72</f>
        <v>#NAME?</v>
      </c>
      <c r="BG149" s="23" t="e">
        <f t="shared" ca="1" si="1164"/>
        <v>#NAME?</v>
      </c>
      <c r="BH149" s="23" t="e">
        <f ca="1">+'QTR Raw'!AB72</f>
        <v>#NAME?</v>
      </c>
      <c r="BI149" s="23" t="e">
        <f t="shared" ca="1" si="1164"/>
        <v>#NAME?</v>
      </c>
      <c r="BJ149" s="23" t="e">
        <f ca="1">+'QTR Raw'!AD72</f>
        <v>#NAME?</v>
      </c>
      <c r="BK149" s="23" t="e">
        <f t="shared" ca="1" si="1164"/>
        <v>#NAME?</v>
      </c>
      <c r="BL149" s="23" t="e">
        <f ca="1">+'QTR Raw'!AF72</f>
        <v>#NAME?</v>
      </c>
      <c r="BM149" s="23" t="e">
        <f t="shared" ca="1" si="1164"/>
        <v>#NAME?</v>
      </c>
      <c r="BN149" s="23" t="e">
        <f ca="1">+'QTR Raw'!AH72</f>
        <v>#NAME?</v>
      </c>
      <c r="BO149" s="23" t="e">
        <f t="shared" ca="1" si="1164"/>
        <v>#NAME?</v>
      </c>
      <c r="BP149" s="23" t="e">
        <f ca="1">+'QTR Raw'!AJ72</f>
        <v>#NAME?</v>
      </c>
      <c r="BQ149" s="23" t="e">
        <f t="shared" ca="1" si="1164"/>
        <v>#NAME?</v>
      </c>
      <c r="BR149" s="23" t="e">
        <f ca="1">+'QTR Raw'!AL72</f>
        <v>#NAME?</v>
      </c>
      <c r="BS149" s="23" t="e">
        <f t="shared" ca="1" si="1164"/>
        <v>#NAME?</v>
      </c>
      <c r="BT149" s="23" t="e">
        <f ca="1">+'QTR Raw'!AN72</f>
        <v>#NAME?</v>
      </c>
      <c r="BU149" s="23" t="e">
        <f t="shared" ca="1" si="1164"/>
        <v>#NAME?</v>
      </c>
      <c r="BV149" s="23" t="e">
        <f ca="1">+'QTR Raw'!AP72</f>
        <v>#NAME?</v>
      </c>
      <c r="BW149" s="23" t="e">
        <f t="shared" ca="1" si="1164"/>
        <v>#NAME?</v>
      </c>
      <c r="BX149" s="23" t="e">
        <f ca="1">+'QTR Raw'!AR72</f>
        <v>#NAME?</v>
      </c>
      <c r="BY149" s="23" t="e">
        <f t="shared" ca="1" si="1164"/>
        <v>#NAME?</v>
      </c>
      <c r="BZ149" s="23" t="e">
        <f ca="1">+'QTR Raw'!AT72</f>
        <v>#NAME?</v>
      </c>
      <c r="CA149" s="23" t="e">
        <f t="shared" ca="1" si="1164"/>
        <v>#NAME?</v>
      </c>
      <c r="CB149" s="23" t="e">
        <f ca="1">+'QTR Raw'!AV72</f>
        <v>#NAME?</v>
      </c>
      <c r="CC149" s="23" t="e">
        <f t="shared" ca="1" si="1164"/>
        <v>#NAME?</v>
      </c>
      <c r="CD149" s="23" t="e">
        <f ca="1">+'QTR Raw'!AX72</f>
        <v>#NAME?</v>
      </c>
      <c r="CE149" s="23" t="e">
        <f t="shared" ca="1" si="1164"/>
        <v>#NAME?</v>
      </c>
      <c r="CF149" s="23" t="e">
        <f ca="1">+'QTR Raw'!AZ72</f>
        <v>#NAME?</v>
      </c>
      <c r="CG149" s="23" t="e">
        <f t="shared" ca="1" si="1162"/>
        <v>#NAME?</v>
      </c>
      <c r="CH149" s="23" t="e">
        <f t="shared" ca="1" si="1149"/>
        <v>#NAME?</v>
      </c>
      <c r="CI149" s="23" t="e">
        <f t="shared" ca="1" si="1162"/>
        <v>#NAME?</v>
      </c>
      <c r="CJ149" s="23" t="e">
        <f ca="1">+'QTR Raw'!BD72</f>
        <v>#NAME?</v>
      </c>
      <c r="CK149" s="23" t="e">
        <f t="shared" ref="CK149:CK151" ca="1" si="1165">+CJ149</f>
        <v>#NAME?</v>
      </c>
      <c r="CL149" s="23" t="e">
        <f ca="1">+'QTR Raw'!BF72</f>
        <v>#NAME?</v>
      </c>
      <c r="CM149" s="24" t="e">
        <f t="shared" ref="CM149:CM151" ca="1" si="1166">+CL149</f>
        <v>#NAME?</v>
      </c>
      <c r="CN149" s="24" t="e">
        <f t="shared" ref="CN149:CN151" ca="1" si="1167">+CM149</f>
        <v>#NAME?</v>
      </c>
      <c r="CO149" s="24" t="e">
        <f t="shared" ref="CO149:CO151" ca="1" si="1168">+CN149</f>
        <v>#NAME?</v>
      </c>
      <c r="CP149" s="24" t="e">
        <f t="shared" ref="CP149:CP151" ca="1" si="1169">+CO149</f>
        <v>#NAME?</v>
      </c>
      <c r="CQ149" s="24" t="e">
        <f t="shared" ref="CQ149:CQ151" ca="1" si="1170">+CP149</f>
        <v>#NAME?</v>
      </c>
      <c r="CR149" s="24" t="e">
        <f t="shared" ref="CR149:CR151" ca="1" si="1171">+CQ149</f>
        <v>#NAME?</v>
      </c>
      <c r="CS149" s="24" t="e">
        <f t="shared" ref="CS149:CS151" ca="1" si="1172">+CR149</f>
        <v>#NAME?</v>
      </c>
      <c r="CT149" s="24" t="e">
        <f t="shared" ref="CT149:CT151" ca="1" si="1173">+CS149</f>
        <v>#NAME?</v>
      </c>
      <c r="CU149" s="24" t="e">
        <f t="shared" ref="CU149:CU151" ca="1" si="1174">+CT149</f>
        <v>#NAME?</v>
      </c>
      <c r="CV149" s="24" t="e">
        <f t="shared" ref="CV149:CV151" ca="1" si="1175">+CU149</f>
        <v>#NAME?</v>
      </c>
      <c r="CW149" s="24" t="e">
        <f t="shared" ref="CW149:CW151" ca="1" si="1176">+CV149</f>
        <v>#NAME?</v>
      </c>
      <c r="CX149" s="24" t="e">
        <f t="shared" ref="CX149:CX151" ca="1" si="1177">+CW149</f>
        <v>#NAME?</v>
      </c>
      <c r="CY149" s="24" t="e">
        <f t="shared" ref="CY149:CY151" ca="1" si="1178">+CX149</f>
        <v>#NAME?</v>
      </c>
      <c r="CZ149" s="24" t="e">
        <f t="shared" ref="CZ149:CZ151" ca="1" si="1179">+CY149</f>
        <v>#NAME?</v>
      </c>
      <c r="DA149" s="24" t="e">
        <f t="shared" ref="DA149:DA151" ca="1" si="1180">+CZ149</f>
        <v>#NAME?</v>
      </c>
      <c r="DB149" s="24" t="e">
        <f t="shared" ref="DB149:DB151" ca="1" si="1181">+DA149</f>
        <v>#NAME?</v>
      </c>
      <c r="DE149" s="123"/>
      <c r="DF149" s="23">
        <v>0</v>
      </c>
    </row>
    <row r="150" spans="1:110" s="23" customFormat="1" outlineLevel="1" x14ac:dyDescent="0.2">
      <c r="A150" s="23" t="s">
        <v>55</v>
      </c>
      <c r="B150" s="23" t="e">
        <f ca="1">'Annual Raw'!C68</f>
        <v>#NAME?</v>
      </c>
      <c r="C150" s="23" t="e">
        <f ca="1">'Annual Raw'!D68</f>
        <v>#NAME?</v>
      </c>
      <c r="D150" s="23" t="e">
        <f ca="1">'Annual Raw'!E68</f>
        <v>#NAME?</v>
      </c>
      <c r="E150" s="23" t="e">
        <f ca="1">'Annual Raw'!F68</f>
        <v>#NAME?</v>
      </c>
      <c r="F150" s="23" t="e">
        <f ca="1">'Annual Raw'!G68</f>
        <v>#NAME?</v>
      </c>
      <c r="G150" s="23" t="e">
        <f ca="1">'Annual Raw'!H68</f>
        <v>#NAME?</v>
      </c>
      <c r="H150" s="23" t="e">
        <f ca="1">'Annual Raw'!I68</f>
        <v>#NAME?</v>
      </c>
      <c r="I150" s="23" t="e">
        <f ca="1">'Annual Raw'!J68</f>
        <v>#NAME?</v>
      </c>
      <c r="J150" s="23" t="e">
        <f ca="1">'Annual Raw'!K68</f>
        <v>#NAME?</v>
      </c>
      <c r="K150" s="23" t="e">
        <f ca="1">'Annual Raw'!L68</f>
        <v>#NAME?</v>
      </c>
      <c r="L150" s="23" t="e">
        <f ca="1">'Annual Raw'!M68</f>
        <v>#NAME?</v>
      </c>
      <c r="M150" s="23" t="e">
        <f ca="1">'Annual Raw'!N68</f>
        <v>#NAME?</v>
      </c>
      <c r="N150" s="23" t="e">
        <f ca="1">'Annual Raw'!O68</f>
        <v>#NAME?</v>
      </c>
      <c r="O150" s="23" t="e">
        <f ca="1">'Annual Raw'!P68</f>
        <v>#NAME?</v>
      </c>
      <c r="P150" s="23" t="e">
        <f ca="1">'Annual Raw'!Q68</f>
        <v>#NAME?</v>
      </c>
      <c r="Q150" s="23" t="e">
        <f ca="1">'Annual Raw'!R68</f>
        <v>#NAME?</v>
      </c>
      <c r="R150" s="23" t="e">
        <f ca="1">'Annual Raw'!S68</f>
        <v>#NAME?</v>
      </c>
      <c r="S150" s="23" t="e">
        <f ca="1">'Annual Raw'!T68</f>
        <v>#NAME?</v>
      </c>
      <c r="T150" s="23" t="e">
        <f ca="1">'Annual Raw'!U68</f>
        <v>#NAME?</v>
      </c>
      <c r="U150" s="23" t="e">
        <f ca="1">'Annual Raw'!V68</f>
        <v>#NAME?</v>
      </c>
      <c r="V150" s="23" t="e">
        <f ca="1">'Annual Raw'!W68</f>
        <v>#NAME?</v>
      </c>
      <c r="W150" s="23" t="e">
        <f ca="1">'Annual Raw'!X68</f>
        <v>#NAME?</v>
      </c>
      <c r="X150" s="23" t="e">
        <f ca="1">'Annual Raw'!Y68</f>
        <v>#NAME?</v>
      </c>
      <c r="Y150" s="23" t="e">
        <f ca="1">'Annual Raw'!Z68</f>
        <v>#NAME?</v>
      </c>
      <c r="Z150" s="23" t="e">
        <f ca="1">'Annual Raw'!AA68</f>
        <v>#NAME?</v>
      </c>
      <c r="AA150" s="23" t="e">
        <f ca="1">'Annual Raw'!AB68</f>
        <v>#NAME?</v>
      </c>
      <c r="AB150" s="24">
        <f t="shared" si="1145"/>
        <v>0</v>
      </c>
      <c r="AC150" s="24">
        <f t="shared" si="1146"/>
        <v>0</v>
      </c>
      <c r="AD150" s="24">
        <f t="shared" si="1147"/>
        <v>0</v>
      </c>
      <c r="AE150" s="24">
        <f t="shared" si="1148"/>
        <v>0</v>
      </c>
      <c r="AK150" s="23">
        <f t="shared" si="1164"/>
        <v>0</v>
      </c>
      <c r="AM150" s="23">
        <f t="shared" si="1164"/>
        <v>0</v>
      </c>
      <c r="AO150" s="23">
        <f t="shared" si="1164"/>
        <v>0</v>
      </c>
      <c r="AQ150" s="23">
        <f t="shared" si="1164"/>
        <v>0</v>
      </c>
      <c r="AS150" s="23">
        <f t="shared" si="1164"/>
        <v>0</v>
      </c>
      <c r="AU150" s="23">
        <f t="shared" si="1164"/>
        <v>0</v>
      </c>
      <c r="AW150" s="23">
        <f t="shared" si="1164"/>
        <v>0</v>
      </c>
      <c r="AY150" s="23">
        <f t="shared" si="1164"/>
        <v>0</v>
      </c>
      <c r="BA150" s="23">
        <f t="shared" si="1164"/>
        <v>0</v>
      </c>
      <c r="BC150" s="23">
        <f t="shared" si="1164"/>
        <v>0</v>
      </c>
      <c r="BE150" s="23">
        <f t="shared" si="1164"/>
        <v>0</v>
      </c>
      <c r="BG150" s="23">
        <f t="shared" si="1164"/>
        <v>0</v>
      </c>
      <c r="BI150" s="23">
        <f t="shared" si="1164"/>
        <v>0</v>
      </c>
      <c r="BK150" s="23">
        <f t="shared" si="1164"/>
        <v>0</v>
      </c>
      <c r="BM150" s="23">
        <f t="shared" si="1164"/>
        <v>0</v>
      </c>
      <c r="BO150" s="23">
        <f t="shared" si="1164"/>
        <v>0</v>
      </c>
      <c r="BQ150" s="23">
        <f t="shared" si="1164"/>
        <v>0</v>
      </c>
      <c r="BS150" s="23">
        <f t="shared" si="1164"/>
        <v>0</v>
      </c>
      <c r="BU150" s="23">
        <f t="shared" si="1164"/>
        <v>0</v>
      </c>
      <c r="BW150" s="23">
        <f t="shared" si="1164"/>
        <v>0</v>
      </c>
      <c r="BY150" s="23">
        <f t="shared" si="1164"/>
        <v>0</v>
      </c>
      <c r="CA150" s="23">
        <f t="shared" si="1164"/>
        <v>0</v>
      </c>
      <c r="CC150" s="23">
        <f t="shared" si="1164"/>
        <v>0</v>
      </c>
      <c r="CE150" s="23">
        <f t="shared" si="1164"/>
        <v>0</v>
      </c>
      <c r="CG150" s="23">
        <f t="shared" si="1162"/>
        <v>0</v>
      </c>
      <c r="CH150" s="23" t="e">
        <f t="shared" ca="1" si="1149"/>
        <v>#NAME?</v>
      </c>
      <c r="CI150" s="23" t="e">
        <f t="shared" ca="1" si="1162"/>
        <v>#NAME?</v>
      </c>
      <c r="CK150" s="23">
        <f t="shared" si="1165"/>
        <v>0</v>
      </c>
      <c r="CM150" s="24">
        <f t="shared" si="1166"/>
        <v>0</v>
      </c>
      <c r="CN150" s="24">
        <f t="shared" si="1167"/>
        <v>0</v>
      </c>
      <c r="CO150" s="24">
        <f t="shared" si="1168"/>
        <v>0</v>
      </c>
      <c r="CP150" s="24">
        <f t="shared" si="1169"/>
        <v>0</v>
      </c>
      <c r="CQ150" s="24">
        <f t="shared" si="1170"/>
        <v>0</v>
      </c>
      <c r="CR150" s="24">
        <f t="shared" si="1171"/>
        <v>0</v>
      </c>
      <c r="CS150" s="24">
        <f t="shared" si="1172"/>
        <v>0</v>
      </c>
      <c r="CT150" s="24">
        <f t="shared" si="1173"/>
        <v>0</v>
      </c>
      <c r="CU150" s="24">
        <f t="shared" si="1174"/>
        <v>0</v>
      </c>
      <c r="CV150" s="24">
        <f t="shared" si="1175"/>
        <v>0</v>
      </c>
      <c r="CW150" s="24">
        <f t="shared" si="1176"/>
        <v>0</v>
      </c>
      <c r="CX150" s="24">
        <f t="shared" si="1177"/>
        <v>0</v>
      </c>
      <c r="CY150" s="24">
        <f t="shared" si="1178"/>
        <v>0</v>
      </c>
      <c r="CZ150" s="24">
        <f t="shared" si="1179"/>
        <v>0</v>
      </c>
      <c r="DA150" s="24">
        <f t="shared" si="1180"/>
        <v>0</v>
      </c>
      <c r="DB150" s="24">
        <f t="shared" si="1181"/>
        <v>0</v>
      </c>
      <c r="DE150" s="123"/>
      <c r="DF150" s="23">
        <v>0</v>
      </c>
    </row>
    <row r="151" spans="1:110" s="23" customFormat="1" outlineLevel="1" x14ac:dyDescent="0.2">
      <c r="A151" s="23" t="s">
        <v>56</v>
      </c>
      <c r="B151" s="23" t="e">
        <f ca="1">'Annual Raw'!C67+'Annual Raw'!C66+'Annual Raw'!C69+'Annual Raw'!C70</f>
        <v>#NAME?</v>
      </c>
      <c r="C151" s="23" t="e">
        <f ca="1">'Annual Raw'!D67+'Annual Raw'!D66+'Annual Raw'!D69+'Annual Raw'!D70</f>
        <v>#NAME?</v>
      </c>
      <c r="D151" s="23" t="e">
        <f ca="1">'Annual Raw'!E67+'Annual Raw'!E66+'Annual Raw'!E69+'Annual Raw'!E70</f>
        <v>#NAME?</v>
      </c>
      <c r="E151" s="23" t="e">
        <f ca="1">'Annual Raw'!F67+'Annual Raw'!F66+'Annual Raw'!F69+'Annual Raw'!F70</f>
        <v>#NAME?</v>
      </c>
      <c r="F151" s="23" t="e">
        <f ca="1">'Annual Raw'!G67+'Annual Raw'!G66+'Annual Raw'!G69+'Annual Raw'!G70</f>
        <v>#NAME?</v>
      </c>
      <c r="G151" s="23" t="e">
        <f ca="1">'Annual Raw'!H67+'Annual Raw'!H66+'Annual Raw'!H69+'Annual Raw'!H70</f>
        <v>#NAME?</v>
      </c>
      <c r="H151" s="23" t="e">
        <f ca="1">'Annual Raw'!I67+'Annual Raw'!I66+'Annual Raw'!I69+'Annual Raw'!I70</f>
        <v>#NAME?</v>
      </c>
      <c r="I151" s="23" t="e">
        <f ca="1">'Annual Raw'!J67+'Annual Raw'!J66+'Annual Raw'!J69+'Annual Raw'!J70</f>
        <v>#NAME?</v>
      </c>
      <c r="J151" s="23" t="e">
        <f ca="1">'Annual Raw'!K67+'Annual Raw'!K66+'Annual Raw'!K69+'Annual Raw'!K70</f>
        <v>#NAME?</v>
      </c>
      <c r="K151" s="23" t="e">
        <f ca="1">'Annual Raw'!L67+'Annual Raw'!L66+'Annual Raw'!L69+'Annual Raw'!L70</f>
        <v>#NAME?</v>
      </c>
      <c r="L151" s="23" t="e">
        <f ca="1">'Annual Raw'!M67+'Annual Raw'!M66+'Annual Raw'!M69+'Annual Raw'!M70</f>
        <v>#NAME?</v>
      </c>
      <c r="M151" s="23" t="e">
        <f ca="1">'Annual Raw'!N67+'Annual Raw'!N66+'Annual Raw'!N69+'Annual Raw'!N70</f>
        <v>#NAME?</v>
      </c>
      <c r="N151" s="23" t="e">
        <f ca="1">'Annual Raw'!O67+'Annual Raw'!O66+'Annual Raw'!O69+'Annual Raw'!O70</f>
        <v>#NAME?</v>
      </c>
      <c r="O151" s="23" t="e">
        <f ca="1">'Annual Raw'!P67+'Annual Raw'!P66+'Annual Raw'!P69+'Annual Raw'!P70</f>
        <v>#NAME?</v>
      </c>
      <c r="P151" s="23" t="e">
        <f ca="1">'Annual Raw'!Q67+'Annual Raw'!Q66+'Annual Raw'!Q69+'Annual Raw'!Q70</f>
        <v>#NAME?</v>
      </c>
      <c r="Q151" s="23" t="e">
        <f ca="1">'Annual Raw'!R67+'Annual Raw'!R66+'Annual Raw'!R69+'Annual Raw'!R70</f>
        <v>#NAME?</v>
      </c>
      <c r="R151" s="23" t="e">
        <f ca="1">'Annual Raw'!S67+'Annual Raw'!S66+'Annual Raw'!S69+'Annual Raw'!S70</f>
        <v>#NAME?</v>
      </c>
      <c r="S151" s="23" t="e">
        <f ca="1">'Annual Raw'!T67+'Annual Raw'!T66+'Annual Raw'!T69+'Annual Raw'!T70</f>
        <v>#NAME?</v>
      </c>
      <c r="T151" s="23" t="e">
        <f ca="1">'Annual Raw'!U67+'Annual Raw'!U66+'Annual Raw'!U69+'Annual Raw'!U70</f>
        <v>#NAME?</v>
      </c>
      <c r="U151" s="23" t="e">
        <f ca="1">'Annual Raw'!V67+'Annual Raw'!V66+'Annual Raw'!V69+'Annual Raw'!V70</f>
        <v>#NAME?</v>
      </c>
      <c r="V151" s="23" t="e">
        <f ca="1">'Annual Raw'!W67+'Annual Raw'!W66+'Annual Raw'!W69+'Annual Raw'!W70</f>
        <v>#NAME?</v>
      </c>
      <c r="W151" s="23" t="e">
        <f ca="1">'Annual Raw'!X67+'Annual Raw'!X66+'Annual Raw'!X69+'Annual Raw'!X70</f>
        <v>#NAME?</v>
      </c>
      <c r="X151" s="23" t="e">
        <f ca="1">'Annual Raw'!Y67+'Annual Raw'!Y66+'Annual Raw'!Y69+'Annual Raw'!Y70</f>
        <v>#NAME?</v>
      </c>
      <c r="Y151" s="23" t="e">
        <f ca="1">'Annual Raw'!Z67+'Annual Raw'!Z66+'Annual Raw'!Z69+'Annual Raw'!Z70</f>
        <v>#NAME?</v>
      </c>
      <c r="Z151" s="23" t="e">
        <f ca="1">'Annual Raw'!AA67+'Annual Raw'!AA66+'Annual Raw'!AA69+'Annual Raw'!AA70</f>
        <v>#NAME?</v>
      </c>
      <c r="AA151" s="23" t="e">
        <f ca="1">'Annual Raw'!AB67+'Annual Raw'!AB66+'Annual Raw'!AB69+'Annual Raw'!AB70</f>
        <v>#NAME?</v>
      </c>
      <c r="AB151" s="24" t="e">
        <f t="shared" ca="1" si="1145"/>
        <v>#NAME?</v>
      </c>
      <c r="AC151" s="24" t="e">
        <f t="shared" ca="1" si="1146"/>
        <v>#NAME?</v>
      </c>
      <c r="AD151" s="24" t="e">
        <f t="shared" ca="1" si="1147"/>
        <v>#NAME?</v>
      </c>
      <c r="AE151" s="24" t="e">
        <f t="shared" ca="1" si="1148"/>
        <v>#NAME?</v>
      </c>
      <c r="AJ151" s="23" t="e">
        <f ca="1">+'QTR Raw'!D74+'QTR Raw'!D75</f>
        <v>#NAME?</v>
      </c>
      <c r="AK151" s="23" t="e">
        <f t="shared" ca="1" si="1164"/>
        <v>#NAME?</v>
      </c>
      <c r="AL151" s="23" t="e">
        <f ca="1">+'QTR Raw'!F74+'QTR Raw'!F75</f>
        <v>#NAME?</v>
      </c>
      <c r="AM151" s="23" t="e">
        <f t="shared" ca="1" si="1164"/>
        <v>#NAME?</v>
      </c>
      <c r="AN151" s="23" t="e">
        <f ca="1">+'QTR Raw'!H74+'QTR Raw'!H75</f>
        <v>#NAME?</v>
      </c>
      <c r="AO151" s="23" t="e">
        <f t="shared" ca="1" si="1164"/>
        <v>#NAME?</v>
      </c>
      <c r="AP151" s="23" t="e">
        <f ca="1">+'QTR Raw'!J74+'QTR Raw'!J75</f>
        <v>#NAME?</v>
      </c>
      <c r="AQ151" s="23" t="e">
        <f t="shared" ca="1" si="1164"/>
        <v>#NAME?</v>
      </c>
      <c r="AR151" s="23" t="e">
        <f ca="1">+'QTR Raw'!L74+'QTR Raw'!L75</f>
        <v>#NAME?</v>
      </c>
      <c r="AS151" s="23" t="e">
        <f t="shared" ca="1" si="1164"/>
        <v>#NAME?</v>
      </c>
      <c r="AT151" s="23" t="e">
        <f ca="1">+'QTR Raw'!N74+'QTR Raw'!N75</f>
        <v>#NAME?</v>
      </c>
      <c r="AU151" s="23" t="e">
        <f t="shared" ca="1" si="1164"/>
        <v>#NAME?</v>
      </c>
      <c r="AV151" s="23" t="e">
        <f ca="1">+'QTR Raw'!P74+'QTR Raw'!P75</f>
        <v>#NAME?</v>
      </c>
      <c r="AW151" s="23" t="e">
        <f t="shared" ca="1" si="1164"/>
        <v>#NAME?</v>
      </c>
      <c r="AX151" s="23" t="e">
        <f ca="1">+'QTR Raw'!R74+'QTR Raw'!R75</f>
        <v>#NAME?</v>
      </c>
      <c r="AY151" s="23" t="e">
        <f t="shared" ca="1" si="1164"/>
        <v>#NAME?</v>
      </c>
      <c r="AZ151" s="23" t="e">
        <f ca="1">+'QTR Raw'!T74+'QTR Raw'!T75</f>
        <v>#NAME?</v>
      </c>
      <c r="BA151" s="23" t="e">
        <f t="shared" ca="1" si="1164"/>
        <v>#NAME?</v>
      </c>
      <c r="BB151" s="23" t="e">
        <f ca="1">+'QTR Raw'!V74+'QTR Raw'!V75</f>
        <v>#NAME?</v>
      </c>
      <c r="BC151" s="23" t="e">
        <f t="shared" ca="1" si="1164"/>
        <v>#NAME?</v>
      </c>
      <c r="BD151" s="23" t="e">
        <f ca="1">+'QTR Raw'!X74+'QTR Raw'!X75</f>
        <v>#NAME?</v>
      </c>
      <c r="BE151" s="23" t="e">
        <f t="shared" ca="1" si="1164"/>
        <v>#NAME?</v>
      </c>
      <c r="BF151" s="23" t="e">
        <f ca="1">+'QTR Raw'!Z74+'QTR Raw'!Z75</f>
        <v>#NAME?</v>
      </c>
      <c r="BG151" s="23" t="e">
        <f t="shared" ca="1" si="1164"/>
        <v>#NAME?</v>
      </c>
      <c r="BH151" s="23" t="e">
        <f ca="1">+'QTR Raw'!AB74+'QTR Raw'!AB75</f>
        <v>#NAME?</v>
      </c>
      <c r="BI151" s="23" t="e">
        <f t="shared" ca="1" si="1164"/>
        <v>#NAME?</v>
      </c>
      <c r="BJ151" s="23" t="e">
        <f ca="1">+'QTR Raw'!AD74+'QTR Raw'!AD75</f>
        <v>#NAME?</v>
      </c>
      <c r="BK151" s="23" t="e">
        <f t="shared" ca="1" si="1164"/>
        <v>#NAME?</v>
      </c>
      <c r="BL151" s="23" t="e">
        <f ca="1">+'QTR Raw'!AF74+'QTR Raw'!AF75</f>
        <v>#NAME?</v>
      </c>
      <c r="BM151" s="23" t="e">
        <f t="shared" ca="1" si="1164"/>
        <v>#NAME?</v>
      </c>
      <c r="BN151" s="23" t="e">
        <f ca="1">+'QTR Raw'!AH74+'QTR Raw'!AH75</f>
        <v>#NAME?</v>
      </c>
      <c r="BO151" s="23" t="e">
        <f t="shared" ca="1" si="1164"/>
        <v>#NAME?</v>
      </c>
      <c r="BP151" s="23" t="e">
        <f ca="1">+'QTR Raw'!AJ74+'QTR Raw'!AJ75</f>
        <v>#NAME?</v>
      </c>
      <c r="BQ151" s="23" t="e">
        <f t="shared" ca="1" si="1164"/>
        <v>#NAME?</v>
      </c>
      <c r="BR151" s="23" t="e">
        <f ca="1">+'QTR Raw'!AL74+'QTR Raw'!AL75</f>
        <v>#NAME?</v>
      </c>
      <c r="BS151" s="23" t="e">
        <f t="shared" ca="1" si="1164"/>
        <v>#NAME?</v>
      </c>
      <c r="BT151" s="23" t="e">
        <f ca="1">+'QTR Raw'!AN74+'QTR Raw'!AN75</f>
        <v>#NAME?</v>
      </c>
      <c r="BU151" s="23" t="e">
        <f t="shared" ca="1" si="1164"/>
        <v>#NAME?</v>
      </c>
      <c r="BV151" s="23" t="e">
        <f ca="1">+'QTR Raw'!AP74+'QTR Raw'!AP75</f>
        <v>#NAME?</v>
      </c>
      <c r="BW151" s="23" t="e">
        <f t="shared" ca="1" si="1164"/>
        <v>#NAME?</v>
      </c>
      <c r="BX151" s="23" t="e">
        <f ca="1">+'QTR Raw'!AR74+'QTR Raw'!AR75</f>
        <v>#NAME?</v>
      </c>
      <c r="BY151" s="23" t="e">
        <f t="shared" ca="1" si="1164"/>
        <v>#NAME?</v>
      </c>
      <c r="BZ151" s="23" t="e">
        <f ca="1">+'QTR Raw'!AT74+'QTR Raw'!AT75</f>
        <v>#NAME?</v>
      </c>
      <c r="CA151" s="23" t="e">
        <f t="shared" ca="1" si="1164"/>
        <v>#NAME?</v>
      </c>
      <c r="CB151" s="23" t="e">
        <f ca="1">+'QTR Raw'!AV74+'QTR Raw'!AV75</f>
        <v>#NAME?</v>
      </c>
      <c r="CC151" s="23" t="e">
        <f t="shared" ca="1" si="1164"/>
        <v>#NAME?</v>
      </c>
      <c r="CD151" s="23" t="e">
        <f ca="1">+'QTR Raw'!AX74+'QTR Raw'!AX75</f>
        <v>#NAME?</v>
      </c>
      <c r="CE151" s="23" t="e">
        <f t="shared" ca="1" si="1164"/>
        <v>#NAME?</v>
      </c>
      <c r="CF151" s="23" t="e">
        <f ca="1">+'QTR Raw'!AZ74+'QTR Raw'!AZ75</f>
        <v>#NAME?</v>
      </c>
      <c r="CG151" s="23" t="e">
        <f t="shared" ca="1" si="1162"/>
        <v>#NAME?</v>
      </c>
      <c r="CH151" s="23" t="e">
        <f t="shared" ca="1" si="1149"/>
        <v>#NAME?</v>
      </c>
      <c r="CI151" s="23" t="e">
        <f t="shared" ca="1" si="1162"/>
        <v>#NAME?</v>
      </c>
      <c r="CJ151" s="23" t="e">
        <f ca="1">+'QTR Raw'!BD74+'QTR Raw'!BD75</f>
        <v>#NAME?</v>
      </c>
      <c r="CK151" s="23" t="e">
        <f t="shared" ca="1" si="1165"/>
        <v>#NAME?</v>
      </c>
      <c r="CL151" s="23" t="e">
        <f ca="1">+'QTR Raw'!BF74+'QTR Raw'!BF75</f>
        <v>#NAME?</v>
      </c>
      <c r="CM151" s="24" t="e">
        <f t="shared" ca="1" si="1166"/>
        <v>#NAME?</v>
      </c>
      <c r="CN151" s="24" t="e">
        <f t="shared" ca="1" si="1167"/>
        <v>#NAME?</v>
      </c>
      <c r="CO151" s="24" t="e">
        <f t="shared" ca="1" si="1168"/>
        <v>#NAME?</v>
      </c>
      <c r="CP151" s="24" t="e">
        <f t="shared" ca="1" si="1169"/>
        <v>#NAME?</v>
      </c>
      <c r="CQ151" s="24" t="e">
        <f t="shared" ca="1" si="1170"/>
        <v>#NAME?</v>
      </c>
      <c r="CR151" s="24" t="e">
        <f t="shared" ca="1" si="1171"/>
        <v>#NAME?</v>
      </c>
      <c r="CS151" s="24" t="e">
        <f t="shared" ca="1" si="1172"/>
        <v>#NAME?</v>
      </c>
      <c r="CT151" s="24" t="e">
        <f t="shared" ca="1" si="1173"/>
        <v>#NAME?</v>
      </c>
      <c r="CU151" s="24" t="e">
        <f t="shared" ca="1" si="1174"/>
        <v>#NAME?</v>
      </c>
      <c r="CV151" s="24" t="e">
        <f t="shared" ca="1" si="1175"/>
        <v>#NAME?</v>
      </c>
      <c r="CW151" s="24" t="e">
        <f t="shared" ca="1" si="1176"/>
        <v>#NAME?</v>
      </c>
      <c r="CX151" s="24" t="e">
        <f t="shared" ca="1" si="1177"/>
        <v>#NAME?</v>
      </c>
      <c r="CY151" s="24" t="e">
        <f t="shared" ca="1" si="1178"/>
        <v>#NAME?</v>
      </c>
      <c r="CZ151" s="24" t="e">
        <f t="shared" ca="1" si="1179"/>
        <v>#NAME?</v>
      </c>
      <c r="DA151" s="24" t="e">
        <f t="shared" ca="1" si="1180"/>
        <v>#NAME?</v>
      </c>
      <c r="DB151" s="24" t="e">
        <f t="shared" ca="1" si="1181"/>
        <v>#NAME?</v>
      </c>
      <c r="DE151" s="123"/>
      <c r="DF151" s="23">
        <v>0</v>
      </c>
    </row>
    <row r="152" spans="1:110" s="22" customFormat="1" x14ac:dyDescent="0.2">
      <c r="A152" s="22" t="s">
        <v>57</v>
      </c>
      <c r="B152" s="22" t="e">
        <f ca="1">B148+B151+B150</f>
        <v>#NAME?</v>
      </c>
      <c r="C152" s="22" t="e">
        <f t="shared" ref="C152:D152" ca="1" si="1182">C148+C151+C150</f>
        <v>#NAME?</v>
      </c>
      <c r="D152" s="22" t="e">
        <f t="shared" ca="1" si="1182"/>
        <v>#NAME?</v>
      </c>
      <c r="E152" s="22" t="e">
        <f t="shared" ref="E152:Y152" ca="1" si="1183">E148+E151+E150+E149</f>
        <v>#NAME?</v>
      </c>
      <c r="F152" s="22" t="e">
        <f t="shared" ca="1" si="1183"/>
        <v>#NAME?</v>
      </c>
      <c r="G152" s="22" t="e">
        <f t="shared" ca="1" si="1183"/>
        <v>#NAME?</v>
      </c>
      <c r="H152" s="22" t="e">
        <f t="shared" ca="1" si="1183"/>
        <v>#NAME?</v>
      </c>
      <c r="I152" s="22" t="e">
        <f t="shared" ca="1" si="1183"/>
        <v>#NAME?</v>
      </c>
      <c r="J152" s="22" t="e">
        <f t="shared" ca="1" si="1183"/>
        <v>#NAME?</v>
      </c>
      <c r="K152" s="22" t="e">
        <f t="shared" ca="1" si="1183"/>
        <v>#NAME?</v>
      </c>
      <c r="L152" s="22" t="e">
        <f t="shared" ca="1" si="1183"/>
        <v>#NAME?</v>
      </c>
      <c r="M152" s="22" t="e">
        <f t="shared" ca="1" si="1183"/>
        <v>#NAME?</v>
      </c>
      <c r="N152" s="22" t="e">
        <f t="shared" ca="1" si="1183"/>
        <v>#NAME?</v>
      </c>
      <c r="O152" s="22" t="e">
        <f t="shared" ca="1" si="1183"/>
        <v>#NAME?</v>
      </c>
      <c r="P152" s="22" t="e">
        <f t="shared" ca="1" si="1183"/>
        <v>#NAME?</v>
      </c>
      <c r="Q152" s="22" t="e">
        <f t="shared" ca="1" si="1183"/>
        <v>#NAME?</v>
      </c>
      <c r="R152" s="22" t="e">
        <f t="shared" ca="1" si="1183"/>
        <v>#NAME?</v>
      </c>
      <c r="S152" s="22" t="e">
        <f t="shared" ca="1" si="1183"/>
        <v>#NAME?</v>
      </c>
      <c r="T152" s="22" t="e">
        <f t="shared" ca="1" si="1183"/>
        <v>#NAME?</v>
      </c>
      <c r="U152" s="22" t="e">
        <f t="shared" ca="1" si="1183"/>
        <v>#NAME?</v>
      </c>
      <c r="V152" s="22" t="e">
        <f t="shared" ca="1" si="1183"/>
        <v>#NAME?</v>
      </c>
      <c r="W152" s="22" t="e">
        <f t="shared" ca="1" si="1183"/>
        <v>#NAME?</v>
      </c>
      <c r="X152" s="22" t="e">
        <f t="shared" ca="1" si="1183"/>
        <v>#NAME?</v>
      </c>
      <c r="Y152" s="22" t="e">
        <f t="shared" ca="1" si="1183"/>
        <v>#NAME?</v>
      </c>
      <c r="Z152" s="22" t="e">
        <f ca="1">Z148+Z151+Z150+Z149</f>
        <v>#NAME?</v>
      </c>
      <c r="AA152" s="22" t="e">
        <f ca="1">AA148+AA151+AA150+AA149</f>
        <v>#NAME?</v>
      </c>
      <c r="AB152" s="161" t="e">
        <f t="shared" ref="AB152:AE152" ca="1" si="1184">AB148+AB151+AB150+AB149</f>
        <v>#NAME?</v>
      </c>
      <c r="AC152" s="161" t="e">
        <f t="shared" ca="1" si="1184"/>
        <v>#NAME?</v>
      </c>
      <c r="AD152" s="161" t="e">
        <f t="shared" ca="1" si="1184"/>
        <v>#NAME?</v>
      </c>
      <c r="AE152" s="161" t="e">
        <f t="shared" ca="1" si="1184"/>
        <v>#NAME?</v>
      </c>
      <c r="AJ152" s="22" t="e">
        <f t="shared" ref="AJ152" ca="1" si="1185">AJ148+AJ151+AJ149+AJ150</f>
        <v>#NAME?</v>
      </c>
      <c r="AK152" s="22" t="e">
        <f t="shared" ref="AK152" ca="1" si="1186">AK148+AK151+AK149+AK150</f>
        <v>#NAME?</v>
      </c>
      <c r="AL152" s="22" t="e">
        <f t="shared" ref="AL152:AM152" ca="1" si="1187">AL148+AL151+AL149+AL150</f>
        <v>#NAME?</v>
      </c>
      <c r="AM152" s="22" t="e">
        <f t="shared" ca="1" si="1187"/>
        <v>#NAME?</v>
      </c>
      <c r="AN152" s="22" t="e">
        <f t="shared" ref="AN152:AO152" ca="1" si="1188">AN148+AN151+AN149+AN150</f>
        <v>#NAME?</v>
      </c>
      <c r="AO152" s="22" t="e">
        <f t="shared" ca="1" si="1188"/>
        <v>#NAME?</v>
      </c>
      <c r="AP152" s="22" t="e">
        <f t="shared" ref="AP152:CE152" ca="1" si="1189">AP148+AP151+AP149+AP150</f>
        <v>#NAME?</v>
      </c>
      <c r="AQ152" s="22" t="e">
        <f t="shared" ca="1" si="1189"/>
        <v>#NAME?</v>
      </c>
      <c r="AR152" s="22" t="e">
        <f t="shared" ca="1" si="1189"/>
        <v>#NAME?</v>
      </c>
      <c r="AS152" s="22" t="e">
        <f t="shared" ca="1" si="1189"/>
        <v>#NAME?</v>
      </c>
      <c r="AT152" s="22" t="e">
        <f t="shared" ca="1" si="1189"/>
        <v>#NAME?</v>
      </c>
      <c r="AU152" s="22" t="e">
        <f t="shared" ca="1" si="1189"/>
        <v>#NAME?</v>
      </c>
      <c r="AV152" s="22" t="e">
        <f t="shared" ca="1" si="1189"/>
        <v>#NAME?</v>
      </c>
      <c r="AW152" s="22" t="e">
        <f t="shared" ca="1" si="1189"/>
        <v>#NAME?</v>
      </c>
      <c r="AX152" s="22" t="e">
        <f t="shared" ca="1" si="1189"/>
        <v>#NAME?</v>
      </c>
      <c r="AY152" s="22" t="e">
        <f t="shared" ca="1" si="1189"/>
        <v>#NAME?</v>
      </c>
      <c r="AZ152" s="22" t="e">
        <f t="shared" ca="1" si="1189"/>
        <v>#NAME?</v>
      </c>
      <c r="BA152" s="22" t="e">
        <f t="shared" ca="1" si="1189"/>
        <v>#NAME?</v>
      </c>
      <c r="BB152" s="22" t="e">
        <f t="shared" ca="1" si="1189"/>
        <v>#NAME?</v>
      </c>
      <c r="BC152" s="22" t="e">
        <f t="shared" ca="1" si="1189"/>
        <v>#NAME?</v>
      </c>
      <c r="BD152" s="22" t="e">
        <f t="shared" ca="1" si="1189"/>
        <v>#NAME?</v>
      </c>
      <c r="BE152" s="22" t="e">
        <f t="shared" ca="1" si="1189"/>
        <v>#NAME?</v>
      </c>
      <c r="BF152" s="22" t="e">
        <f t="shared" ca="1" si="1189"/>
        <v>#NAME?</v>
      </c>
      <c r="BG152" s="22" t="e">
        <f t="shared" ca="1" si="1189"/>
        <v>#NAME?</v>
      </c>
      <c r="BH152" s="22" t="e">
        <f t="shared" ca="1" si="1189"/>
        <v>#NAME?</v>
      </c>
      <c r="BI152" s="22" t="e">
        <f t="shared" ca="1" si="1189"/>
        <v>#NAME?</v>
      </c>
      <c r="BJ152" s="22" t="e">
        <f t="shared" ca="1" si="1189"/>
        <v>#NAME?</v>
      </c>
      <c r="BK152" s="22" t="e">
        <f t="shared" ca="1" si="1189"/>
        <v>#NAME?</v>
      </c>
      <c r="BL152" s="22" t="e">
        <f t="shared" ca="1" si="1189"/>
        <v>#NAME?</v>
      </c>
      <c r="BM152" s="22" t="e">
        <f t="shared" ca="1" si="1189"/>
        <v>#NAME?</v>
      </c>
      <c r="BN152" s="22" t="e">
        <f t="shared" ca="1" si="1189"/>
        <v>#NAME?</v>
      </c>
      <c r="BO152" s="22" t="e">
        <f t="shared" ca="1" si="1189"/>
        <v>#NAME?</v>
      </c>
      <c r="BP152" s="22" t="e">
        <f t="shared" ca="1" si="1189"/>
        <v>#NAME?</v>
      </c>
      <c r="BQ152" s="22" t="e">
        <f t="shared" ca="1" si="1189"/>
        <v>#NAME?</v>
      </c>
      <c r="BR152" s="22" t="e">
        <f t="shared" ca="1" si="1189"/>
        <v>#NAME?</v>
      </c>
      <c r="BS152" s="22" t="e">
        <f t="shared" ca="1" si="1189"/>
        <v>#NAME?</v>
      </c>
      <c r="BT152" s="22" t="e">
        <f t="shared" ca="1" si="1189"/>
        <v>#NAME?</v>
      </c>
      <c r="BU152" s="22" t="e">
        <f t="shared" ca="1" si="1189"/>
        <v>#NAME?</v>
      </c>
      <c r="BV152" s="22" t="e">
        <f t="shared" ca="1" si="1189"/>
        <v>#NAME?</v>
      </c>
      <c r="BW152" s="22" t="e">
        <f t="shared" ca="1" si="1189"/>
        <v>#NAME?</v>
      </c>
      <c r="BX152" s="22" t="e">
        <f t="shared" ca="1" si="1189"/>
        <v>#NAME?</v>
      </c>
      <c r="BY152" s="22" t="e">
        <f t="shared" ca="1" si="1189"/>
        <v>#NAME?</v>
      </c>
      <c r="BZ152" s="22" t="e">
        <f t="shared" ca="1" si="1189"/>
        <v>#NAME?</v>
      </c>
      <c r="CA152" s="22" t="e">
        <f t="shared" ca="1" si="1189"/>
        <v>#NAME?</v>
      </c>
      <c r="CB152" s="22" t="e">
        <f t="shared" ca="1" si="1189"/>
        <v>#NAME?</v>
      </c>
      <c r="CC152" s="22" t="e">
        <f t="shared" ca="1" si="1189"/>
        <v>#NAME?</v>
      </c>
      <c r="CD152" s="22" t="e">
        <f t="shared" ca="1" si="1189"/>
        <v>#NAME?</v>
      </c>
      <c r="CE152" s="22" t="e">
        <f t="shared" ca="1" si="1189"/>
        <v>#NAME?</v>
      </c>
      <c r="CF152" s="22" t="e">
        <f t="shared" ref="CF152:CG152" ca="1" si="1190">CF148+CF151+CF149+CF150</f>
        <v>#NAME?</v>
      </c>
      <c r="CG152" s="22" t="e">
        <f t="shared" ca="1" si="1190"/>
        <v>#NAME?</v>
      </c>
      <c r="CH152" s="22" t="e">
        <f t="shared" ref="CH152:CJ152" ca="1" si="1191">CH148+CH151+CH149+CH150</f>
        <v>#NAME?</v>
      </c>
      <c r="CI152" s="22" t="e">
        <f t="shared" ca="1" si="1191"/>
        <v>#NAME?</v>
      </c>
      <c r="CJ152" s="22" t="e">
        <f t="shared" ca="1" si="1191"/>
        <v>#NAME?</v>
      </c>
      <c r="CK152" s="22" t="e">
        <f t="shared" ref="CK152:DB152" ca="1" si="1192">CK148+CK151+CK149+CK150</f>
        <v>#NAME?</v>
      </c>
      <c r="CL152" s="22" t="e">
        <f t="shared" ca="1" si="1192"/>
        <v>#NAME?</v>
      </c>
      <c r="CM152" s="21" t="e">
        <f t="shared" ca="1" si="1192"/>
        <v>#NAME?</v>
      </c>
      <c r="CN152" s="21" t="e">
        <f t="shared" ca="1" si="1192"/>
        <v>#NAME?</v>
      </c>
      <c r="CO152" s="21" t="e">
        <f t="shared" ca="1" si="1192"/>
        <v>#NAME?</v>
      </c>
      <c r="CP152" s="21" t="e">
        <f t="shared" ca="1" si="1192"/>
        <v>#NAME?</v>
      </c>
      <c r="CQ152" s="21" t="e">
        <f t="shared" ca="1" si="1192"/>
        <v>#NAME?</v>
      </c>
      <c r="CR152" s="21" t="e">
        <f t="shared" ca="1" si="1192"/>
        <v>#NAME?</v>
      </c>
      <c r="CS152" s="21" t="e">
        <f t="shared" ca="1" si="1192"/>
        <v>#NAME?</v>
      </c>
      <c r="CT152" s="21" t="e">
        <f t="shared" ca="1" si="1192"/>
        <v>#NAME?</v>
      </c>
      <c r="CU152" s="21" t="e">
        <f t="shared" ca="1" si="1192"/>
        <v>#NAME?</v>
      </c>
      <c r="CV152" s="21" t="e">
        <f t="shared" ca="1" si="1192"/>
        <v>#NAME?</v>
      </c>
      <c r="CW152" s="21" t="e">
        <f t="shared" ca="1" si="1192"/>
        <v>#NAME?</v>
      </c>
      <c r="CX152" s="21" t="e">
        <f t="shared" ca="1" si="1192"/>
        <v>#NAME?</v>
      </c>
      <c r="CY152" s="21" t="e">
        <f t="shared" ca="1" si="1192"/>
        <v>#NAME?</v>
      </c>
      <c r="CZ152" s="21" t="e">
        <f t="shared" ca="1" si="1192"/>
        <v>#NAME?</v>
      </c>
      <c r="DA152" s="21" t="e">
        <f t="shared" ca="1" si="1192"/>
        <v>#NAME?</v>
      </c>
      <c r="DB152" s="21" t="e">
        <f t="shared" ca="1" si="1192"/>
        <v>#NAME?</v>
      </c>
      <c r="DE152" s="126"/>
      <c r="DF152" s="22">
        <v>55.804000000000002</v>
      </c>
    </row>
    <row r="153" spans="1:110" s="23" customFormat="1" x14ac:dyDescent="0.2">
      <c r="AB153" s="24"/>
      <c r="AC153" s="24"/>
      <c r="AD153" s="24"/>
      <c r="AE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E153" s="123"/>
    </row>
    <row r="154" spans="1:110" s="23" customFormat="1" x14ac:dyDescent="0.2">
      <c r="A154" s="23" t="s">
        <v>58</v>
      </c>
      <c r="B154" s="23" t="e">
        <f ca="1">'Annual Raw'!C71</f>
        <v>#NAME?</v>
      </c>
      <c r="C154" s="23" t="e">
        <f ca="1">'Annual Raw'!D71</f>
        <v>#NAME?</v>
      </c>
      <c r="D154" s="23" t="e">
        <f ca="1">'Annual Raw'!E71</f>
        <v>#NAME?</v>
      </c>
      <c r="E154" s="23" t="e">
        <f ca="1">'Annual Raw'!F71</f>
        <v>#NAME?</v>
      </c>
      <c r="F154" s="23" t="e">
        <f ca="1">'Annual Raw'!G71</f>
        <v>#NAME?</v>
      </c>
      <c r="G154" s="23" t="e">
        <f ca="1">'Annual Raw'!H71</f>
        <v>#NAME?</v>
      </c>
      <c r="H154" s="23" t="e">
        <f ca="1">'Annual Raw'!I71</f>
        <v>#NAME?</v>
      </c>
      <c r="I154" s="23" t="e">
        <f ca="1">'Annual Raw'!J71</f>
        <v>#NAME?</v>
      </c>
      <c r="J154" s="23" t="e">
        <f ca="1">'Annual Raw'!K71</f>
        <v>#NAME?</v>
      </c>
      <c r="K154" s="23" t="e">
        <f ca="1">'Annual Raw'!L71</f>
        <v>#NAME?</v>
      </c>
      <c r="L154" s="23" t="e">
        <f ca="1">'Annual Raw'!M71</f>
        <v>#NAME?</v>
      </c>
      <c r="M154" s="23" t="e">
        <f ca="1">'Annual Raw'!N71</f>
        <v>#NAME?</v>
      </c>
      <c r="N154" s="23" t="e">
        <f ca="1">'Annual Raw'!O71</f>
        <v>#NAME?</v>
      </c>
      <c r="O154" s="23" t="e">
        <f ca="1">'Annual Raw'!P71</f>
        <v>#NAME?</v>
      </c>
      <c r="P154" s="23" t="e">
        <f ca="1">'Annual Raw'!Q71</f>
        <v>#NAME?</v>
      </c>
      <c r="Q154" s="23" t="e">
        <f ca="1">'Annual Raw'!R71</f>
        <v>#NAME?</v>
      </c>
      <c r="R154" s="23" t="e">
        <f ca="1">'Annual Raw'!S71</f>
        <v>#NAME?</v>
      </c>
      <c r="S154" s="23" t="e">
        <f ca="1">'Annual Raw'!T71</f>
        <v>#NAME?</v>
      </c>
      <c r="T154" s="23" t="e">
        <f ca="1">'Annual Raw'!U71</f>
        <v>#NAME?</v>
      </c>
      <c r="U154" s="23" t="e">
        <f ca="1">'Annual Raw'!V71</f>
        <v>#NAME?</v>
      </c>
      <c r="V154" s="23" t="e">
        <f ca="1">'Annual Raw'!W71</f>
        <v>#NAME?</v>
      </c>
      <c r="W154" s="23" t="e">
        <f ca="1">'Annual Raw'!X71</f>
        <v>#NAME?</v>
      </c>
      <c r="X154" s="23" t="e">
        <f ca="1">'Annual Raw'!Y71</f>
        <v>#NAME?</v>
      </c>
      <c r="Y154" s="23" t="e">
        <f ca="1">'Annual Raw'!Z71</f>
        <v>#NAME?</v>
      </c>
      <c r="Z154" s="23" t="e">
        <f ca="1">'Annual Raw'!AA71</f>
        <v>#NAME?</v>
      </c>
      <c r="AA154" s="23" t="e">
        <f ca="1">'Annual Raw'!AB71</f>
        <v>#NAME?</v>
      </c>
      <c r="AB154" s="24" t="e">
        <f ca="1">+CP154</f>
        <v>#NAME?</v>
      </c>
      <c r="AC154" s="24" t="e">
        <f ca="1">+CT154</f>
        <v>#NAME?</v>
      </c>
      <c r="AD154" s="24" t="e">
        <f ca="1">+CX154</f>
        <v>#NAME?</v>
      </c>
      <c r="AE154" s="24" t="e">
        <f ca="1">+DB154</f>
        <v>#NAME?</v>
      </c>
      <c r="AJ154" s="23" t="e">
        <f ca="1">+'QTR Raw'!D77</f>
        <v>#NAME?</v>
      </c>
      <c r="AK154" s="23" t="e">
        <f t="shared" ref="AK154:CE154" ca="1" si="1193">+AJ154</f>
        <v>#NAME?</v>
      </c>
      <c r="AL154" s="23" t="e">
        <f ca="1">+'QTR Raw'!F77</f>
        <v>#NAME?</v>
      </c>
      <c r="AM154" s="23" t="e">
        <f t="shared" ca="1" si="1193"/>
        <v>#NAME?</v>
      </c>
      <c r="AN154" s="23" t="e">
        <f ca="1">+'QTR Raw'!H77</f>
        <v>#NAME?</v>
      </c>
      <c r="AO154" s="23" t="e">
        <f t="shared" ca="1" si="1193"/>
        <v>#NAME?</v>
      </c>
      <c r="AP154" s="23" t="e">
        <f ca="1">+'QTR Raw'!J77</f>
        <v>#NAME?</v>
      </c>
      <c r="AQ154" s="23" t="e">
        <f t="shared" ca="1" si="1193"/>
        <v>#NAME?</v>
      </c>
      <c r="AR154" s="23" t="e">
        <f ca="1">+'QTR Raw'!L77</f>
        <v>#NAME?</v>
      </c>
      <c r="AS154" s="23" t="e">
        <f t="shared" ca="1" si="1193"/>
        <v>#NAME?</v>
      </c>
      <c r="AT154" s="23" t="e">
        <f ca="1">+'QTR Raw'!N77</f>
        <v>#NAME?</v>
      </c>
      <c r="AU154" s="23" t="e">
        <f t="shared" ca="1" si="1193"/>
        <v>#NAME?</v>
      </c>
      <c r="AV154" s="23" t="e">
        <f ca="1">+'QTR Raw'!P77</f>
        <v>#NAME?</v>
      </c>
      <c r="AW154" s="23" t="e">
        <f t="shared" ca="1" si="1193"/>
        <v>#NAME?</v>
      </c>
      <c r="AX154" s="23" t="e">
        <f ca="1">+'QTR Raw'!R77</f>
        <v>#NAME?</v>
      </c>
      <c r="AY154" s="23" t="e">
        <f t="shared" ca="1" si="1193"/>
        <v>#NAME?</v>
      </c>
      <c r="AZ154" s="23" t="e">
        <f ca="1">+'QTR Raw'!T77</f>
        <v>#NAME?</v>
      </c>
      <c r="BA154" s="23" t="e">
        <f t="shared" ca="1" si="1193"/>
        <v>#NAME?</v>
      </c>
      <c r="BB154" s="23" t="e">
        <f ca="1">+'QTR Raw'!V77</f>
        <v>#NAME?</v>
      </c>
      <c r="BC154" s="23" t="e">
        <f t="shared" ca="1" si="1193"/>
        <v>#NAME?</v>
      </c>
      <c r="BD154" s="23" t="e">
        <f ca="1">+'QTR Raw'!X77</f>
        <v>#NAME?</v>
      </c>
      <c r="BE154" s="23" t="e">
        <f t="shared" ca="1" si="1193"/>
        <v>#NAME?</v>
      </c>
      <c r="BF154" s="23" t="e">
        <f ca="1">+'QTR Raw'!Z77</f>
        <v>#NAME?</v>
      </c>
      <c r="BG154" s="23" t="e">
        <f t="shared" ca="1" si="1193"/>
        <v>#NAME?</v>
      </c>
      <c r="BH154" s="23" t="e">
        <f ca="1">+'QTR Raw'!AB77</f>
        <v>#NAME?</v>
      </c>
      <c r="BI154" s="23" t="e">
        <f t="shared" ca="1" si="1193"/>
        <v>#NAME?</v>
      </c>
      <c r="BJ154" s="23" t="e">
        <f ca="1">+'QTR Raw'!AD77</f>
        <v>#NAME?</v>
      </c>
      <c r="BK154" s="23" t="e">
        <f t="shared" ca="1" si="1193"/>
        <v>#NAME?</v>
      </c>
      <c r="BL154" s="23" t="e">
        <f ca="1">+'QTR Raw'!AF77</f>
        <v>#NAME?</v>
      </c>
      <c r="BM154" s="23" t="e">
        <f t="shared" ca="1" si="1193"/>
        <v>#NAME?</v>
      </c>
      <c r="BN154" s="23" t="e">
        <f ca="1">+'QTR Raw'!AH77</f>
        <v>#NAME?</v>
      </c>
      <c r="BO154" s="23" t="e">
        <f t="shared" ca="1" si="1193"/>
        <v>#NAME?</v>
      </c>
      <c r="BP154" s="23" t="e">
        <f ca="1">+'QTR Raw'!AJ77</f>
        <v>#NAME?</v>
      </c>
      <c r="BQ154" s="23" t="e">
        <f t="shared" ca="1" si="1193"/>
        <v>#NAME?</v>
      </c>
      <c r="BR154" s="23" t="e">
        <f ca="1">+'QTR Raw'!AL77</f>
        <v>#NAME?</v>
      </c>
      <c r="BS154" s="23" t="e">
        <f t="shared" ca="1" si="1193"/>
        <v>#NAME?</v>
      </c>
      <c r="BT154" s="23" t="e">
        <f ca="1">+'QTR Raw'!AN77</f>
        <v>#NAME?</v>
      </c>
      <c r="BU154" s="23" t="e">
        <f t="shared" ca="1" si="1193"/>
        <v>#NAME?</v>
      </c>
      <c r="BV154" s="23" t="e">
        <f ca="1">+'QTR Raw'!AP77</f>
        <v>#NAME?</v>
      </c>
      <c r="BW154" s="23" t="e">
        <f t="shared" ca="1" si="1193"/>
        <v>#NAME?</v>
      </c>
      <c r="BX154" s="23" t="e">
        <f ca="1">+'QTR Raw'!AR77</f>
        <v>#NAME?</v>
      </c>
      <c r="BY154" s="23" t="e">
        <f t="shared" ca="1" si="1193"/>
        <v>#NAME?</v>
      </c>
      <c r="BZ154" s="23" t="e">
        <f ca="1">+'QTR Raw'!AT77</f>
        <v>#NAME?</v>
      </c>
      <c r="CA154" s="23" t="e">
        <f t="shared" ca="1" si="1193"/>
        <v>#NAME?</v>
      </c>
      <c r="CB154" s="23" t="e">
        <f ca="1">+'QTR Raw'!AV77</f>
        <v>#NAME?</v>
      </c>
      <c r="CC154" s="23" t="e">
        <f t="shared" ca="1" si="1193"/>
        <v>#NAME?</v>
      </c>
      <c r="CD154" s="23" t="e">
        <f ca="1">+'QTR Raw'!AX77</f>
        <v>#NAME?</v>
      </c>
      <c r="CE154" s="23" t="e">
        <f t="shared" ca="1" si="1193"/>
        <v>#NAME?</v>
      </c>
      <c r="CF154" s="23" t="e">
        <f ca="1">+'QTR Raw'!AZ77</f>
        <v>#NAME?</v>
      </c>
      <c r="CG154" s="23" t="e">
        <f t="shared" ref="CG154:CI157" ca="1" si="1194">+CF154</f>
        <v>#NAME?</v>
      </c>
      <c r="CH154" s="23" t="e">
        <f t="shared" ref="CH154:CH169" ca="1" si="1195">Z154</f>
        <v>#NAME?</v>
      </c>
      <c r="CI154" s="23" t="e">
        <f t="shared" ca="1" si="1194"/>
        <v>#NAME?</v>
      </c>
      <c r="CJ154" s="23" t="e">
        <f ca="1">+'QTR Raw'!BD77</f>
        <v>#NAME?</v>
      </c>
      <c r="CK154" s="23" t="e">
        <f t="shared" ref="CK154" ca="1" si="1196">+CJ154</f>
        <v>#NAME?</v>
      </c>
      <c r="CL154" s="23" t="e">
        <f ca="1">+'QTR Raw'!BF77</f>
        <v>#NAME?</v>
      </c>
      <c r="CM154" s="24" t="e">
        <f t="shared" ref="CM154" ca="1" si="1197">+CL154</f>
        <v>#NAME?</v>
      </c>
      <c r="CN154" s="24" t="e">
        <f t="shared" ref="CN154" ca="1" si="1198">+CM154</f>
        <v>#NAME?</v>
      </c>
      <c r="CO154" s="24" t="e">
        <f t="shared" ref="CO154" ca="1" si="1199">+CN154</f>
        <v>#NAME?</v>
      </c>
      <c r="CP154" s="24" t="e">
        <f t="shared" ref="CP154" ca="1" si="1200">+CO154</f>
        <v>#NAME?</v>
      </c>
      <c r="CQ154" s="24" t="e">
        <f t="shared" ref="CQ154" ca="1" si="1201">+CP154</f>
        <v>#NAME?</v>
      </c>
      <c r="CR154" s="24" t="e">
        <f t="shared" ref="CR154" ca="1" si="1202">+CQ154</f>
        <v>#NAME?</v>
      </c>
      <c r="CS154" s="24" t="e">
        <f t="shared" ref="CS154" ca="1" si="1203">+CR154</f>
        <v>#NAME?</v>
      </c>
      <c r="CT154" s="24" t="e">
        <f t="shared" ref="CT154" ca="1" si="1204">+CS154</f>
        <v>#NAME?</v>
      </c>
      <c r="CU154" s="24" t="e">
        <f t="shared" ref="CU154" ca="1" si="1205">+CT154</f>
        <v>#NAME?</v>
      </c>
      <c r="CV154" s="24" t="e">
        <f t="shared" ref="CV154" ca="1" si="1206">+CU154</f>
        <v>#NAME?</v>
      </c>
      <c r="CW154" s="24" t="e">
        <f t="shared" ref="CW154" ca="1" si="1207">+CV154</f>
        <v>#NAME?</v>
      </c>
      <c r="CX154" s="24" t="e">
        <f t="shared" ref="CX154" ca="1" si="1208">+CW154</f>
        <v>#NAME?</v>
      </c>
      <c r="CY154" s="24" t="e">
        <f t="shared" ref="CY154" ca="1" si="1209">+CX154</f>
        <v>#NAME?</v>
      </c>
      <c r="CZ154" s="24" t="e">
        <f t="shared" ref="CZ154" ca="1" si="1210">+CY154</f>
        <v>#NAME?</v>
      </c>
      <c r="DA154" s="24" t="e">
        <f t="shared" ref="DA154" ca="1" si="1211">+CZ154</f>
        <v>#NAME?</v>
      </c>
      <c r="DB154" s="24" t="e">
        <f t="shared" ref="DB154" ca="1" si="1212">+DA154</f>
        <v>#NAME?</v>
      </c>
      <c r="DE154" s="123"/>
      <c r="DF154" s="23">
        <v>0</v>
      </c>
    </row>
    <row r="155" spans="1:110" s="23" customFormat="1" x14ac:dyDescent="0.2">
      <c r="AB155" s="24"/>
      <c r="AC155" s="24"/>
      <c r="AD155" s="24"/>
      <c r="AE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</row>
    <row r="156" spans="1:110" s="23" customFormat="1" outlineLevel="1" x14ac:dyDescent="0.2">
      <c r="A156" s="23" t="s">
        <v>59</v>
      </c>
      <c r="B156" s="23" t="e">
        <f ca="1">'Annual Raw'!C72</f>
        <v>#NAME?</v>
      </c>
      <c r="C156" s="23" t="e">
        <f ca="1">'Annual Raw'!D72</f>
        <v>#NAME?</v>
      </c>
      <c r="D156" s="23" t="e">
        <f ca="1">'Annual Raw'!E72</f>
        <v>#NAME?</v>
      </c>
      <c r="E156" s="23" t="e">
        <f ca="1">'Annual Raw'!F72+'Annual Raw'!F61</f>
        <v>#NAME?</v>
      </c>
      <c r="F156" s="23" t="e">
        <f ca="1">'Annual Raw'!G72+'Annual Raw'!G61</f>
        <v>#NAME?</v>
      </c>
      <c r="G156" s="23" t="e">
        <f ca="1">'Annual Raw'!H72+'Annual Raw'!H61</f>
        <v>#NAME?</v>
      </c>
      <c r="H156" s="23" t="e">
        <f ca="1">'Annual Raw'!I72+'Annual Raw'!I61</f>
        <v>#NAME?</v>
      </c>
      <c r="I156" s="23" t="e">
        <f ca="1">'Annual Raw'!J72+'Annual Raw'!J61</f>
        <v>#NAME?</v>
      </c>
      <c r="J156" s="23" t="e">
        <f ca="1">'Annual Raw'!K72+'Annual Raw'!K61</f>
        <v>#NAME?</v>
      </c>
      <c r="K156" s="23" t="e">
        <f ca="1">'Annual Raw'!L72+'Annual Raw'!L61</f>
        <v>#NAME?</v>
      </c>
      <c r="L156" s="23" t="e">
        <f ca="1">'Annual Raw'!M72+'Annual Raw'!M61</f>
        <v>#NAME?</v>
      </c>
      <c r="M156" s="23" t="e">
        <f ca="1">'Annual Raw'!N72+'Annual Raw'!N61</f>
        <v>#NAME?</v>
      </c>
      <c r="N156" s="23" t="e">
        <f ca="1">'Annual Raw'!O72+'Annual Raw'!O61</f>
        <v>#NAME?</v>
      </c>
      <c r="O156" s="23" t="e">
        <f ca="1">'Annual Raw'!P72+'Annual Raw'!P61</f>
        <v>#NAME?</v>
      </c>
      <c r="P156" s="23" t="e">
        <f ca="1">'Annual Raw'!Q72+'Annual Raw'!Q61</f>
        <v>#NAME?</v>
      </c>
      <c r="Q156" s="23" t="e">
        <f ca="1">'Annual Raw'!R72+'Annual Raw'!R61</f>
        <v>#NAME?</v>
      </c>
      <c r="R156" s="23" t="e">
        <f ca="1">'Annual Raw'!S72+'Annual Raw'!S61</f>
        <v>#NAME?</v>
      </c>
      <c r="S156" s="23" t="e">
        <f ca="1">'Annual Raw'!T72+'Annual Raw'!T61</f>
        <v>#NAME?</v>
      </c>
      <c r="T156" s="23" t="e">
        <f ca="1">'Annual Raw'!U72+'Annual Raw'!U61</f>
        <v>#NAME?</v>
      </c>
      <c r="U156" s="23" t="e">
        <f ca="1">'Annual Raw'!V72+'Annual Raw'!V61</f>
        <v>#NAME?</v>
      </c>
      <c r="V156" s="23" t="e">
        <f ca="1">'Annual Raw'!W72+'Annual Raw'!W61</f>
        <v>#NAME?</v>
      </c>
      <c r="W156" s="23" t="e">
        <f ca="1">'Annual Raw'!X72+'Annual Raw'!X61</f>
        <v>#NAME?</v>
      </c>
      <c r="X156" s="23" t="e">
        <f ca="1">'Annual Raw'!Y72+'Annual Raw'!Y61</f>
        <v>#NAME?</v>
      </c>
      <c r="Y156" s="23" t="e">
        <f ca="1">'Annual Raw'!Z72+'Annual Raw'!Z61</f>
        <v>#NAME?</v>
      </c>
      <c r="Z156" s="23" t="e">
        <f ca="1">'Annual Raw'!AA72+'Annual Raw'!AA61</f>
        <v>#NAME?</v>
      </c>
      <c r="AA156" s="23" t="e">
        <f ca="1">'Annual Raw'!AB72+'Annual Raw'!AB61</f>
        <v>#NAME?</v>
      </c>
      <c r="AB156" s="24">
        <f t="shared" ref="AB156:AB161" si="1213">+CP156</f>
        <v>0</v>
      </c>
      <c r="AC156" s="24">
        <f t="shared" ref="AC156:AC161" si="1214">+CT156</f>
        <v>0</v>
      </c>
      <c r="AD156" s="24">
        <f t="shared" ref="AD156:AD161" si="1215">+CX156</f>
        <v>0</v>
      </c>
      <c r="AE156" s="24">
        <f t="shared" ref="AE156:AE161" si="1216">+DB156</f>
        <v>0</v>
      </c>
      <c r="AJ156" s="23" t="e">
        <f ca="1">+'QTR Raw'!D78</f>
        <v>#NAME?</v>
      </c>
      <c r="AK156" s="23" t="e">
        <f t="shared" ref="AK156:CE161" ca="1" si="1217">+AJ156</f>
        <v>#NAME?</v>
      </c>
      <c r="AL156" s="23" t="e">
        <f ca="1">+'QTR Raw'!F78</f>
        <v>#NAME?</v>
      </c>
      <c r="AM156" s="23" t="e">
        <f t="shared" ca="1" si="1217"/>
        <v>#NAME?</v>
      </c>
      <c r="AN156" s="23" t="e">
        <f ca="1">+'QTR Raw'!H78</f>
        <v>#NAME?</v>
      </c>
      <c r="AO156" s="23" t="e">
        <f t="shared" ca="1" si="1217"/>
        <v>#NAME?</v>
      </c>
      <c r="AP156" s="23" t="e">
        <f ca="1">+'QTR Raw'!J78</f>
        <v>#NAME?</v>
      </c>
      <c r="AQ156" s="23" t="e">
        <f t="shared" ca="1" si="1217"/>
        <v>#NAME?</v>
      </c>
      <c r="AR156" s="23" t="e">
        <f ca="1">+'QTR Raw'!L78</f>
        <v>#NAME?</v>
      </c>
      <c r="AS156" s="23" t="e">
        <f t="shared" ca="1" si="1217"/>
        <v>#NAME?</v>
      </c>
      <c r="AT156" s="23" t="e">
        <f ca="1">+'QTR Raw'!N78</f>
        <v>#NAME?</v>
      </c>
      <c r="AU156" s="23" t="e">
        <f t="shared" ca="1" si="1217"/>
        <v>#NAME?</v>
      </c>
      <c r="AV156" s="23" t="e">
        <f ca="1">+'QTR Raw'!P78</f>
        <v>#NAME?</v>
      </c>
      <c r="AW156" s="23" t="e">
        <f t="shared" ca="1" si="1217"/>
        <v>#NAME?</v>
      </c>
      <c r="AX156" s="23" t="e">
        <f ca="1">+'QTR Raw'!R78</f>
        <v>#NAME?</v>
      </c>
      <c r="AY156" s="23" t="e">
        <f t="shared" ca="1" si="1217"/>
        <v>#NAME?</v>
      </c>
      <c r="AZ156" s="23" t="e">
        <f ca="1">+'QTR Raw'!T78</f>
        <v>#NAME?</v>
      </c>
      <c r="BA156" s="23" t="e">
        <f t="shared" ca="1" si="1217"/>
        <v>#NAME?</v>
      </c>
      <c r="BB156" s="23" t="e">
        <f ca="1">+'QTR Raw'!V78</f>
        <v>#NAME?</v>
      </c>
      <c r="BC156" s="23" t="e">
        <f t="shared" ca="1" si="1217"/>
        <v>#NAME?</v>
      </c>
      <c r="BD156" s="23" t="e">
        <f ca="1">+'QTR Raw'!X78</f>
        <v>#NAME?</v>
      </c>
      <c r="BE156" s="23" t="e">
        <f t="shared" ca="1" si="1217"/>
        <v>#NAME?</v>
      </c>
      <c r="BF156" s="23" t="e">
        <f ca="1">+'QTR Raw'!Z78</f>
        <v>#NAME?</v>
      </c>
      <c r="BG156" s="23" t="e">
        <f t="shared" ca="1" si="1217"/>
        <v>#NAME?</v>
      </c>
      <c r="BH156" s="23" t="e">
        <f ca="1">+'QTR Raw'!AB78</f>
        <v>#NAME?</v>
      </c>
      <c r="BI156" s="23" t="e">
        <f t="shared" ca="1" si="1217"/>
        <v>#NAME?</v>
      </c>
      <c r="BJ156" s="23" t="e">
        <f ca="1">+'QTR Raw'!AD78</f>
        <v>#NAME?</v>
      </c>
      <c r="BK156" s="23" t="e">
        <f t="shared" ca="1" si="1217"/>
        <v>#NAME?</v>
      </c>
      <c r="BL156" s="23" t="e">
        <f ca="1">+'QTR Raw'!AF78</f>
        <v>#NAME?</v>
      </c>
      <c r="BM156" s="23" t="e">
        <f t="shared" ca="1" si="1217"/>
        <v>#NAME?</v>
      </c>
      <c r="BN156" s="23" t="e">
        <f ca="1">+'QTR Raw'!AH78</f>
        <v>#NAME?</v>
      </c>
      <c r="BO156" s="23" t="e">
        <f t="shared" ca="1" si="1217"/>
        <v>#NAME?</v>
      </c>
      <c r="BP156" s="23" t="e">
        <f ca="1">+'QTR Raw'!AJ78</f>
        <v>#NAME?</v>
      </c>
      <c r="BQ156" s="23" t="e">
        <f t="shared" ca="1" si="1217"/>
        <v>#NAME?</v>
      </c>
      <c r="BR156" s="23" t="e">
        <f ca="1">+'QTR Raw'!AL78</f>
        <v>#NAME?</v>
      </c>
      <c r="BS156" s="23" t="e">
        <f t="shared" ca="1" si="1217"/>
        <v>#NAME?</v>
      </c>
      <c r="BT156" s="23" t="e">
        <f ca="1">+'QTR Raw'!AN78</f>
        <v>#NAME?</v>
      </c>
      <c r="BU156" s="23" t="e">
        <f t="shared" ca="1" si="1217"/>
        <v>#NAME?</v>
      </c>
      <c r="BV156" s="23" t="e">
        <f ca="1">+'QTR Raw'!AP78</f>
        <v>#NAME?</v>
      </c>
      <c r="BW156" s="23" t="e">
        <f t="shared" ca="1" si="1217"/>
        <v>#NAME?</v>
      </c>
      <c r="BX156" s="23" t="e">
        <f ca="1">+'QTR Raw'!AR78</f>
        <v>#NAME?</v>
      </c>
      <c r="BY156" s="23" t="e">
        <f t="shared" ca="1" si="1217"/>
        <v>#NAME?</v>
      </c>
      <c r="BZ156" s="23" t="e">
        <f ca="1">+'QTR Raw'!AT78</f>
        <v>#NAME?</v>
      </c>
      <c r="CA156" s="23" t="e">
        <f t="shared" ca="1" si="1217"/>
        <v>#NAME?</v>
      </c>
      <c r="CB156" s="23" t="e">
        <f ca="1">+'QTR Raw'!AV78</f>
        <v>#NAME?</v>
      </c>
      <c r="CC156" s="23" t="e">
        <f t="shared" ca="1" si="1217"/>
        <v>#NAME?</v>
      </c>
      <c r="CD156" s="23" t="e">
        <f ca="1">+'QTR Raw'!AX78</f>
        <v>#NAME?</v>
      </c>
      <c r="CE156" s="23" t="e">
        <f t="shared" ca="1" si="1217"/>
        <v>#NAME?</v>
      </c>
      <c r="CF156" s="23" t="e">
        <f ca="1">+'QTR Raw'!AZ78</f>
        <v>#NAME?</v>
      </c>
      <c r="CG156" s="23" t="e">
        <f t="shared" ca="1" si="1194"/>
        <v>#NAME?</v>
      </c>
      <c r="CH156" s="23" t="e">
        <f t="shared" ca="1" si="1195"/>
        <v>#NAME?</v>
      </c>
      <c r="CJ156" s="23" t="e">
        <f ca="1">+'QTR Raw'!BD78</f>
        <v>#NAME?</v>
      </c>
      <c r="CL156" s="23" t="e">
        <f ca="1">+'QTR Raw'!BF78</f>
        <v>#NAME?</v>
      </c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E156" s="123"/>
      <c r="DF156" s="23">
        <v>0</v>
      </c>
    </row>
    <row r="157" spans="1:110" s="23" customFormat="1" outlineLevel="1" x14ac:dyDescent="0.2">
      <c r="A157" s="23" t="s">
        <v>60</v>
      </c>
      <c r="B157" s="23" t="e">
        <f ca="1">'Annual Raw'!C73+'Annual Raw'!C81</f>
        <v>#NAME?</v>
      </c>
      <c r="C157" s="23" t="e">
        <f ca="1">'Annual Raw'!D73+'Annual Raw'!D81</f>
        <v>#NAME?</v>
      </c>
      <c r="D157" s="23" t="e">
        <f ca="1">'Annual Raw'!E73+'Annual Raw'!E81</f>
        <v>#NAME?</v>
      </c>
      <c r="E157" s="23" t="e">
        <f ca="1">'Annual Raw'!F73+'Annual Raw'!F81</f>
        <v>#NAME?</v>
      </c>
      <c r="F157" s="23" t="e">
        <f ca="1">'Annual Raw'!G73+'Annual Raw'!G81</f>
        <v>#NAME?</v>
      </c>
      <c r="G157" s="23" t="e">
        <f ca="1">'Annual Raw'!H73+'Annual Raw'!H81</f>
        <v>#NAME?</v>
      </c>
      <c r="H157" s="23" t="e">
        <f ca="1">'Annual Raw'!I73+'Annual Raw'!I81</f>
        <v>#NAME?</v>
      </c>
      <c r="I157" s="23" t="e">
        <f ca="1">'Annual Raw'!J73+'Annual Raw'!J81</f>
        <v>#NAME?</v>
      </c>
      <c r="J157" s="23" t="e">
        <f ca="1">'Annual Raw'!K73+'Annual Raw'!K81</f>
        <v>#NAME?</v>
      </c>
      <c r="K157" s="23" t="e">
        <f ca="1">'Annual Raw'!L73+'Annual Raw'!L81</f>
        <v>#NAME?</v>
      </c>
      <c r="L157" s="23" t="e">
        <f ca="1">'Annual Raw'!M73+'Annual Raw'!M81</f>
        <v>#NAME?</v>
      </c>
      <c r="M157" s="23" t="e">
        <f ca="1">'Annual Raw'!N73+'Annual Raw'!N81</f>
        <v>#NAME?</v>
      </c>
      <c r="N157" s="23" t="e">
        <f ca="1">'Annual Raw'!O73+'Annual Raw'!O81</f>
        <v>#NAME?</v>
      </c>
      <c r="O157" s="23" t="e">
        <f ca="1">'Annual Raw'!P73+'Annual Raw'!P81</f>
        <v>#NAME?</v>
      </c>
      <c r="P157" s="23" t="e">
        <f ca="1">'Annual Raw'!Q73+'Annual Raw'!Q81</f>
        <v>#NAME?</v>
      </c>
      <c r="Q157" s="23" t="e">
        <f ca="1">'Annual Raw'!R73+'Annual Raw'!R81</f>
        <v>#NAME?</v>
      </c>
      <c r="R157" s="23" t="e">
        <f ca="1">'Annual Raw'!S73+'Annual Raw'!S81</f>
        <v>#NAME?</v>
      </c>
      <c r="S157" s="23" t="e">
        <f ca="1">'Annual Raw'!T73+'Annual Raw'!T81</f>
        <v>#NAME?</v>
      </c>
      <c r="T157" s="23" t="e">
        <f ca="1">'Annual Raw'!U73+'Annual Raw'!U81</f>
        <v>#NAME?</v>
      </c>
      <c r="U157" s="23" t="e">
        <f ca="1">'Annual Raw'!V73+'Annual Raw'!V81</f>
        <v>#NAME?</v>
      </c>
      <c r="V157" s="23" t="e">
        <f ca="1">'Annual Raw'!W73+'Annual Raw'!W81</f>
        <v>#NAME?</v>
      </c>
      <c r="W157" s="23" t="e">
        <f ca="1">'Annual Raw'!X73+'Annual Raw'!X81</f>
        <v>#NAME?</v>
      </c>
      <c r="X157" s="23" t="e">
        <f ca="1">'Annual Raw'!Y73+'Annual Raw'!Y81</f>
        <v>#NAME?</v>
      </c>
      <c r="Y157" s="23" t="e">
        <f ca="1">'Annual Raw'!Z73+'Annual Raw'!Z81</f>
        <v>#NAME?</v>
      </c>
      <c r="Z157" s="23" t="e">
        <f ca="1">'Annual Raw'!AA73+'Annual Raw'!AA81</f>
        <v>#NAME?</v>
      </c>
      <c r="AA157" s="23" t="e">
        <f ca="1">'Annual Raw'!AB73+'Annual Raw'!AB81</f>
        <v>#NAME?</v>
      </c>
      <c r="AB157" s="24">
        <f t="shared" si="1213"/>
        <v>0</v>
      </c>
      <c r="AC157" s="24">
        <f t="shared" si="1214"/>
        <v>0</v>
      </c>
      <c r="AD157" s="24">
        <f t="shared" si="1215"/>
        <v>0</v>
      </c>
      <c r="AE157" s="24">
        <f t="shared" si="1216"/>
        <v>0</v>
      </c>
      <c r="AJ157" s="23" t="e">
        <f ca="1">+'QTR Raw'!D79+'QTR Raw'!D76</f>
        <v>#NAME?</v>
      </c>
      <c r="AK157" s="23" t="e">
        <f t="shared" ca="1" si="1217"/>
        <v>#NAME?</v>
      </c>
      <c r="AL157" s="23" t="e">
        <f ca="1">+'QTR Raw'!F79+'QTR Raw'!F76</f>
        <v>#NAME?</v>
      </c>
      <c r="AM157" s="23" t="e">
        <f t="shared" ca="1" si="1217"/>
        <v>#NAME?</v>
      </c>
      <c r="AN157" s="23" t="e">
        <f ca="1">+'QTR Raw'!H79+'QTR Raw'!H76</f>
        <v>#NAME?</v>
      </c>
      <c r="AO157" s="23" t="e">
        <f t="shared" ca="1" si="1217"/>
        <v>#NAME?</v>
      </c>
      <c r="AP157" s="23" t="e">
        <f ca="1">+'QTR Raw'!J79+'QTR Raw'!J76</f>
        <v>#NAME?</v>
      </c>
      <c r="AQ157" s="23" t="e">
        <f t="shared" ca="1" si="1217"/>
        <v>#NAME?</v>
      </c>
      <c r="AR157" s="23" t="e">
        <f ca="1">+'QTR Raw'!L79+'QTR Raw'!L76</f>
        <v>#NAME?</v>
      </c>
      <c r="AS157" s="23" t="e">
        <f t="shared" ca="1" si="1217"/>
        <v>#NAME?</v>
      </c>
      <c r="AT157" s="23" t="e">
        <f ca="1">+'QTR Raw'!N79+'QTR Raw'!N76</f>
        <v>#NAME?</v>
      </c>
      <c r="AU157" s="23" t="e">
        <f t="shared" ca="1" si="1217"/>
        <v>#NAME?</v>
      </c>
      <c r="AV157" s="23" t="e">
        <f ca="1">+'QTR Raw'!P79+'QTR Raw'!P76</f>
        <v>#NAME?</v>
      </c>
      <c r="AW157" s="23" t="e">
        <f t="shared" ca="1" si="1217"/>
        <v>#NAME?</v>
      </c>
      <c r="AX157" s="23" t="e">
        <f ca="1">+'QTR Raw'!R79+'QTR Raw'!R76</f>
        <v>#NAME?</v>
      </c>
      <c r="AY157" s="23" t="e">
        <f t="shared" ca="1" si="1217"/>
        <v>#NAME?</v>
      </c>
      <c r="AZ157" s="23" t="e">
        <f ca="1">+'QTR Raw'!T79+'QTR Raw'!T76</f>
        <v>#NAME?</v>
      </c>
      <c r="BA157" s="23" t="e">
        <f t="shared" ca="1" si="1217"/>
        <v>#NAME?</v>
      </c>
      <c r="BB157" s="23" t="e">
        <f ca="1">+'QTR Raw'!V79+'QTR Raw'!V76</f>
        <v>#NAME?</v>
      </c>
      <c r="BC157" s="23" t="e">
        <f t="shared" ca="1" si="1217"/>
        <v>#NAME?</v>
      </c>
      <c r="BD157" s="23" t="e">
        <f ca="1">+'QTR Raw'!X79+'QTR Raw'!X76</f>
        <v>#NAME?</v>
      </c>
      <c r="BE157" s="23" t="e">
        <f t="shared" ca="1" si="1217"/>
        <v>#NAME?</v>
      </c>
      <c r="BF157" s="23" t="e">
        <f ca="1">+'QTR Raw'!Z79+'QTR Raw'!Z76</f>
        <v>#NAME?</v>
      </c>
      <c r="BG157" s="23" t="e">
        <f t="shared" ca="1" si="1217"/>
        <v>#NAME?</v>
      </c>
      <c r="BH157" s="23" t="e">
        <f ca="1">+'QTR Raw'!AB79+'QTR Raw'!AB76</f>
        <v>#NAME?</v>
      </c>
      <c r="BI157" s="23" t="e">
        <f t="shared" ca="1" si="1217"/>
        <v>#NAME?</v>
      </c>
      <c r="BJ157" s="23" t="e">
        <f ca="1">+'QTR Raw'!AD79+'QTR Raw'!AD76</f>
        <v>#NAME?</v>
      </c>
      <c r="BK157" s="23" t="e">
        <f t="shared" ca="1" si="1217"/>
        <v>#NAME?</v>
      </c>
      <c r="BL157" s="23" t="e">
        <f ca="1">+'QTR Raw'!AF79+'QTR Raw'!AF76</f>
        <v>#NAME?</v>
      </c>
      <c r="BM157" s="23" t="e">
        <f t="shared" ca="1" si="1217"/>
        <v>#NAME?</v>
      </c>
      <c r="BN157" s="23" t="e">
        <f ca="1">+'QTR Raw'!AH79+'QTR Raw'!AH76</f>
        <v>#NAME?</v>
      </c>
      <c r="BO157" s="23" t="e">
        <f t="shared" ca="1" si="1217"/>
        <v>#NAME?</v>
      </c>
      <c r="BP157" s="23" t="e">
        <f ca="1">+'QTR Raw'!AJ79+'QTR Raw'!AJ76</f>
        <v>#NAME?</v>
      </c>
      <c r="BQ157" s="23" t="e">
        <f t="shared" ca="1" si="1217"/>
        <v>#NAME?</v>
      </c>
      <c r="BR157" s="23" t="e">
        <f ca="1">+'QTR Raw'!AL79+'QTR Raw'!AL76</f>
        <v>#NAME?</v>
      </c>
      <c r="BS157" s="23" t="e">
        <f t="shared" ca="1" si="1217"/>
        <v>#NAME?</v>
      </c>
      <c r="BT157" s="23" t="e">
        <f ca="1">+'QTR Raw'!AN79+'QTR Raw'!AN76</f>
        <v>#NAME?</v>
      </c>
      <c r="BU157" s="23" t="e">
        <f t="shared" ca="1" si="1217"/>
        <v>#NAME?</v>
      </c>
      <c r="BV157" s="23" t="e">
        <f ca="1">+'QTR Raw'!AP79+'QTR Raw'!AP76</f>
        <v>#NAME?</v>
      </c>
      <c r="BW157" s="23" t="e">
        <f t="shared" ca="1" si="1217"/>
        <v>#NAME?</v>
      </c>
      <c r="BX157" s="23" t="e">
        <f ca="1">+'QTR Raw'!AR79+'QTR Raw'!AR76</f>
        <v>#NAME?</v>
      </c>
      <c r="BY157" s="23" t="e">
        <f t="shared" ca="1" si="1217"/>
        <v>#NAME?</v>
      </c>
      <c r="BZ157" s="23" t="e">
        <f ca="1">+'QTR Raw'!AT79+'QTR Raw'!AT76</f>
        <v>#NAME?</v>
      </c>
      <c r="CA157" s="23" t="e">
        <f t="shared" ca="1" si="1217"/>
        <v>#NAME?</v>
      </c>
      <c r="CB157" s="23" t="e">
        <f ca="1">+'QTR Raw'!AV79+'QTR Raw'!AV76</f>
        <v>#NAME?</v>
      </c>
      <c r="CC157" s="23" t="e">
        <f t="shared" ca="1" si="1217"/>
        <v>#NAME?</v>
      </c>
      <c r="CD157" s="23" t="e">
        <f ca="1">+'QTR Raw'!AX79+'QTR Raw'!AX76</f>
        <v>#NAME?</v>
      </c>
      <c r="CE157" s="23" t="e">
        <f t="shared" ca="1" si="1217"/>
        <v>#NAME?</v>
      </c>
      <c r="CF157" s="23" t="e">
        <f ca="1">+'QTR Raw'!AZ79+'QTR Raw'!AZ76</f>
        <v>#NAME?</v>
      </c>
      <c r="CG157" s="23" t="e">
        <f t="shared" ca="1" si="1194"/>
        <v>#NAME?</v>
      </c>
      <c r="CH157" s="23" t="e">
        <f t="shared" ca="1" si="1195"/>
        <v>#NAME?</v>
      </c>
      <c r="CJ157" s="23" t="e">
        <f ca="1">+'QTR Raw'!BD79+'QTR Raw'!BD76</f>
        <v>#NAME?</v>
      </c>
      <c r="CL157" s="23" t="e">
        <f ca="1">+'QTR Raw'!BF79+'QTR Raw'!BF76</f>
        <v>#NAME?</v>
      </c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  <c r="DF157" s="23">
        <v>43.558</v>
      </c>
    </row>
    <row r="158" spans="1:110" s="23" customFormat="1" outlineLevel="1" x14ac:dyDescent="0.2">
      <c r="A158" s="23" t="s">
        <v>61</v>
      </c>
      <c r="B158" s="23" t="e">
        <f ca="1">'Annual Raw'!C76</f>
        <v>#NAME?</v>
      </c>
      <c r="C158" s="23" t="e">
        <f ca="1">'Annual Raw'!D76</f>
        <v>#NAME?</v>
      </c>
      <c r="D158" s="23" t="e">
        <f ca="1">'Annual Raw'!E76</f>
        <v>#NAME?</v>
      </c>
      <c r="E158" s="23" t="e">
        <f ca="1">'Annual Raw'!F76</f>
        <v>#NAME?</v>
      </c>
      <c r="F158" s="23" t="e">
        <f ca="1">'Annual Raw'!G76</f>
        <v>#NAME?</v>
      </c>
      <c r="G158" s="23" t="e">
        <f ca="1">'Annual Raw'!H76</f>
        <v>#NAME?</v>
      </c>
      <c r="H158" s="23" t="e">
        <f ca="1">'Annual Raw'!I76</f>
        <v>#NAME?</v>
      </c>
      <c r="I158" s="23" t="e">
        <f ca="1">'Annual Raw'!J76</f>
        <v>#NAME?</v>
      </c>
      <c r="J158" s="23" t="e">
        <f ca="1">'Annual Raw'!K76</f>
        <v>#NAME?</v>
      </c>
      <c r="K158" s="23" t="e">
        <f ca="1">'Annual Raw'!L76</f>
        <v>#NAME?</v>
      </c>
      <c r="L158" s="23" t="e">
        <f ca="1">'Annual Raw'!M76</f>
        <v>#NAME?</v>
      </c>
      <c r="M158" s="23" t="e">
        <f ca="1">'Annual Raw'!N76</f>
        <v>#NAME?</v>
      </c>
      <c r="N158" s="23" t="e">
        <f ca="1">'Annual Raw'!O76</f>
        <v>#NAME?</v>
      </c>
      <c r="O158" s="23" t="e">
        <f ca="1">'Annual Raw'!P76</f>
        <v>#NAME?</v>
      </c>
      <c r="P158" s="23" t="e">
        <f ca="1">'Annual Raw'!Q76</f>
        <v>#NAME?</v>
      </c>
      <c r="Q158" s="23" t="e">
        <f ca="1">'Annual Raw'!R76</f>
        <v>#NAME?</v>
      </c>
      <c r="R158" s="23" t="e">
        <f ca="1">'Annual Raw'!S76</f>
        <v>#NAME?</v>
      </c>
      <c r="S158" s="23" t="e">
        <f ca="1">'Annual Raw'!T76</f>
        <v>#NAME?</v>
      </c>
      <c r="T158" s="23" t="e">
        <f ca="1">'Annual Raw'!U76</f>
        <v>#NAME?</v>
      </c>
      <c r="U158" s="23" t="e">
        <f ca="1">'Annual Raw'!V76</f>
        <v>#NAME?</v>
      </c>
      <c r="V158" s="23" t="e">
        <f ca="1">'Annual Raw'!W76</f>
        <v>#NAME?</v>
      </c>
      <c r="W158" s="23" t="e">
        <f ca="1">'Annual Raw'!X76</f>
        <v>#NAME?</v>
      </c>
      <c r="X158" s="23" t="e">
        <f ca="1">'Annual Raw'!Y76</f>
        <v>#NAME?</v>
      </c>
      <c r="Y158" s="23" t="e">
        <f ca="1">'Annual Raw'!Z76</f>
        <v>#NAME?</v>
      </c>
      <c r="Z158" s="23" t="e">
        <f ca="1">'Annual Raw'!AA76</f>
        <v>#NAME?</v>
      </c>
      <c r="AA158" s="23" t="e">
        <f ca="1">'Annual Raw'!AB76</f>
        <v>#NAME?</v>
      </c>
      <c r="AB158" s="24" t="e">
        <f t="shared" ca="1" si="1213"/>
        <v>#NAME?</v>
      </c>
      <c r="AC158" s="24" t="e">
        <f t="shared" ca="1" si="1214"/>
        <v>#NAME?</v>
      </c>
      <c r="AD158" s="24" t="e">
        <f t="shared" ca="1" si="1215"/>
        <v>#NAME?</v>
      </c>
      <c r="AE158" s="24" t="e">
        <f t="shared" ca="1" si="1216"/>
        <v>#NAME?</v>
      </c>
      <c r="AJ158" s="23" t="e">
        <f ca="1">+'QTR Raw'!D81</f>
        <v>#NAME?</v>
      </c>
      <c r="AK158" s="23" t="e">
        <f ca="1">+AK193*AK24/90</f>
        <v>#NAME?</v>
      </c>
      <c r="AL158" s="23" t="e">
        <f ca="1">+'QTR Raw'!F81</f>
        <v>#NAME?</v>
      </c>
      <c r="AM158" s="23" t="e">
        <f ca="1">+AM193*AM24/90</f>
        <v>#NAME?</v>
      </c>
      <c r="AN158" s="23" t="e">
        <f ca="1">+'QTR Raw'!H81</f>
        <v>#NAME?</v>
      </c>
      <c r="AO158" s="23" t="e">
        <f ca="1">+AO193*AO24/90</f>
        <v>#NAME?</v>
      </c>
      <c r="AP158" s="23" t="e">
        <f ca="1">+'QTR Raw'!J81</f>
        <v>#NAME?</v>
      </c>
      <c r="AQ158" s="23" t="e">
        <f ca="1">+AQ193*AQ24/90</f>
        <v>#NAME?</v>
      </c>
      <c r="AR158" s="23" t="e">
        <f ca="1">+'QTR Raw'!L81</f>
        <v>#NAME?</v>
      </c>
      <c r="AS158" s="23" t="e">
        <f ca="1">+AS193*AS24/90</f>
        <v>#NAME?</v>
      </c>
      <c r="AT158" s="23" t="e">
        <f ca="1">+'QTR Raw'!N81</f>
        <v>#NAME?</v>
      </c>
      <c r="AU158" s="23" t="e">
        <f ca="1">+AU193*AU24/90</f>
        <v>#NAME?</v>
      </c>
      <c r="AV158" s="23" t="e">
        <f ca="1">+'QTR Raw'!P81</f>
        <v>#NAME?</v>
      </c>
      <c r="AW158" s="23" t="e">
        <f ca="1">+AW193*AW24/90</f>
        <v>#NAME?</v>
      </c>
      <c r="AX158" s="23" t="e">
        <f ca="1">+'QTR Raw'!R81</f>
        <v>#NAME?</v>
      </c>
      <c r="AY158" s="23" t="e">
        <f ca="1">+AY193*AY24/90</f>
        <v>#NAME?</v>
      </c>
      <c r="AZ158" s="23" t="e">
        <f ca="1">+'QTR Raw'!T81</f>
        <v>#NAME?</v>
      </c>
      <c r="BA158" s="23" t="e">
        <f ca="1">+BA193*BA24/90</f>
        <v>#NAME?</v>
      </c>
      <c r="BB158" s="23" t="e">
        <f ca="1">+'QTR Raw'!V81</f>
        <v>#NAME?</v>
      </c>
      <c r="BC158" s="23" t="e">
        <f ca="1">+BC193*BC24/90</f>
        <v>#NAME?</v>
      </c>
      <c r="BD158" s="23" t="e">
        <f ca="1">+'QTR Raw'!X81</f>
        <v>#NAME?</v>
      </c>
      <c r="BE158" s="23" t="e">
        <f ca="1">+BE193*BE24/90</f>
        <v>#NAME?</v>
      </c>
      <c r="BF158" s="23" t="e">
        <f ca="1">+'QTR Raw'!Z81</f>
        <v>#NAME?</v>
      </c>
      <c r="BG158" s="23" t="e">
        <f ca="1">+BG193*BG24/90</f>
        <v>#NAME?</v>
      </c>
      <c r="BH158" s="23" t="e">
        <f ca="1">+'QTR Raw'!AB81</f>
        <v>#NAME?</v>
      </c>
      <c r="BI158" s="23" t="e">
        <f ca="1">+BI193*BI24/90</f>
        <v>#NAME?</v>
      </c>
      <c r="BJ158" s="23" t="e">
        <f ca="1">+'QTR Raw'!AD81</f>
        <v>#NAME?</v>
      </c>
      <c r="BK158" s="23" t="e">
        <f ca="1">+BK193*BK24/90</f>
        <v>#NAME?</v>
      </c>
      <c r="BL158" s="23" t="e">
        <f ca="1">+'QTR Raw'!AF81</f>
        <v>#NAME?</v>
      </c>
      <c r="BM158" s="23" t="e">
        <f ca="1">+BM193*BM24/90</f>
        <v>#NAME?</v>
      </c>
      <c r="BN158" s="23" t="e">
        <f ca="1">+'QTR Raw'!AH81</f>
        <v>#NAME?</v>
      </c>
      <c r="BO158" s="23" t="e">
        <f ca="1">+BO193*BO24/90</f>
        <v>#NAME?</v>
      </c>
      <c r="BP158" s="23" t="e">
        <f ca="1">+'QTR Raw'!AJ81</f>
        <v>#NAME?</v>
      </c>
      <c r="BQ158" s="23" t="e">
        <f ca="1">+BQ193*BQ24/90</f>
        <v>#NAME?</v>
      </c>
      <c r="BR158" s="23" t="e">
        <f ca="1">+'QTR Raw'!AL81</f>
        <v>#NAME?</v>
      </c>
      <c r="BS158" s="23" t="e">
        <f ca="1">+BS193*BS24/90</f>
        <v>#NAME?</v>
      </c>
      <c r="BT158" s="23" t="e">
        <f ca="1">+'QTR Raw'!AN81</f>
        <v>#NAME?</v>
      </c>
      <c r="BU158" s="23" t="e">
        <f ca="1">+BU193*BU24/90</f>
        <v>#NAME?</v>
      </c>
      <c r="BV158" s="23" t="e">
        <f ca="1">+'QTR Raw'!AP81</f>
        <v>#NAME?</v>
      </c>
      <c r="BW158" s="23" t="e">
        <f ca="1">+BW193*BW24/90</f>
        <v>#NAME?</v>
      </c>
      <c r="BX158" s="23" t="e">
        <f ca="1">+'QTR Raw'!AR81</f>
        <v>#NAME?</v>
      </c>
      <c r="BY158" s="23" t="e">
        <f ca="1">+BY193*BY24/90</f>
        <v>#NAME?</v>
      </c>
      <c r="BZ158" s="23" t="e">
        <f ca="1">+'QTR Raw'!AT81</f>
        <v>#NAME?</v>
      </c>
      <c r="CA158" s="23" t="e">
        <f ca="1">+CA193*CA24/90</f>
        <v>#NAME?</v>
      </c>
      <c r="CB158" s="23" t="e">
        <f ca="1">+'QTR Raw'!AV81</f>
        <v>#NAME?</v>
      </c>
      <c r="CC158" s="23" t="e">
        <f ca="1">+CC193*CC24/90</f>
        <v>#NAME?</v>
      </c>
      <c r="CD158" s="23" t="e">
        <f ca="1">+'QTR Raw'!AX81</f>
        <v>#NAME?</v>
      </c>
      <c r="CE158" s="23" t="e">
        <f ca="1">+CE193*CE24/90</f>
        <v>#NAME?</v>
      </c>
      <c r="CF158" s="23" t="e">
        <f ca="1">+'QTR Raw'!AZ81</f>
        <v>#NAME?</v>
      </c>
      <c r="CG158" s="23" t="e">
        <f ca="1">+CG193*CG24/90</f>
        <v>#NAME?</v>
      </c>
      <c r="CH158" s="23" t="e">
        <f t="shared" ca="1" si="1195"/>
        <v>#NAME?</v>
      </c>
      <c r="CI158" s="23" t="e">
        <f ca="1">+CI193*CI24/90</f>
        <v>#NAME?</v>
      </c>
      <c r="CJ158" s="23" t="e">
        <f ca="1">+'QTR Raw'!BD81</f>
        <v>#NAME?</v>
      </c>
      <c r="CK158" s="23" t="e">
        <f t="shared" ref="CK158:DB158" ca="1" si="1218">+CK193*CK24/90</f>
        <v>#NAME?</v>
      </c>
      <c r="CL158" s="23" t="e">
        <f ca="1">+'QTR Raw'!BF81</f>
        <v>#NAME?</v>
      </c>
      <c r="CM158" s="24" t="e">
        <f t="shared" ca="1" si="1218"/>
        <v>#NAME?</v>
      </c>
      <c r="CN158" s="24" t="e">
        <f t="shared" ca="1" si="1218"/>
        <v>#NAME?</v>
      </c>
      <c r="CO158" s="24" t="e">
        <f t="shared" ca="1" si="1218"/>
        <v>#NAME?</v>
      </c>
      <c r="CP158" s="24" t="e">
        <f t="shared" ca="1" si="1218"/>
        <v>#NAME?</v>
      </c>
      <c r="CQ158" s="24" t="e">
        <f t="shared" ca="1" si="1218"/>
        <v>#NAME?</v>
      </c>
      <c r="CR158" s="24" t="e">
        <f t="shared" ca="1" si="1218"/>
        <v>#NAME?</v>
      </c>
      <c r="CS158" s="24" t="e">
        <f t="shared" ca="1" si="1218"/>
        <v>#NAME?</v>
      </c>
      <c r="CT158" s="24" t="e">
        <f t="shared" ca="1" si="1218"/>
        <v>#NAME?</v>
      </c>
      <c r="CU158" s="24" t="e">
        <f t="shared" ca="1" si="1218"/>
        <v>#NAME?</v>
      </c>
      <c r="CV158" s="24" t="e">
        <f t="shared" ca="1" si="1218"/>
        <v>#NAME?</v>
      </c>
      <c r="CW158" s="24" t="e">
        <f t="shared" ca="1" si="1218"/>
        <v>#NAME?</v>
      </c>
      <c r="CX158" s="24" t="e">
        <f t="shared" ca="1" si="1218"/>
        <v>#NAME?</v>
      </c>
      <c r="CY158" s="24" t="e">
        <f t="shared" ca="1" si="1218"/>
        <v>#NAME?</v>
      </c>
      <c r="CZ158" s="24" t="e">
        <f t="shared" ca="1" si="1218"/>
        <v>#NAME?</v>
      </c>
      <c r="DA158" s="24" t="e">
        <f t="shared" ca="1" si="1218"/>
        <v>#NAME?</v>
      </c>
      <c r="DB158" s="24" t="e">
        <f t="shared" ca="1" si="1218"/>
        <v>#NAME?</v>
      </c>
      <c r="DE158" s="123"/>
      <c r="DF158" s="23">
        <v>0</v>
      </c>
    </row>
    <row r="159" spans="1:110" s="23" customFormat="1" outlineLevel="1" x14ac:dyDescent="0.2">
      <c r="A159" s="23" t="s">
        <v>62</v>
      </c>
      <c r="B159" s="23" t="e">
        <f ca="1">'Annual Raw'!C77</f>
        <v>#NAME?</v>
      </c>
      <c r="C159" s="23" t="e">
        <f ca="1">'Annual Raw'!D77</f>
        <v>#NAME?</v>
      </c>
      <c r="D159" s="23" t="e">
        <f ca="1">'Annual Raw'!E77</f>
        <v>#NAME?</v>
      </c>
      <c r="E159" s="23" t="e">
        <f ca="1">'Annual Raw'!F77</f>
        <v>#NAME?</v>
      </c>
      <c r="F159" s="23" t="e">
        <f ca="1">'Annual Raw'!G77</f>
        <v>#NAME?</v>
      </c>
      <c r="G159" s="23" t="e">
        <f ca="1">'Annual Raw'!H77</f>
        <v>#NAME?</v>
      </c>
      <c r="H159" s="23" t="e">
        <f ca="1">'Annual Raw'!I77</f>
        <v>#NAME?</v>
      </c>
      <c r="I159" s="23" t="e">
        <f ca="1">'Annual Raw'!J77</f>
        <v>#NAME?</v>
      </c>
      <c r="J159" s="23" t="e">
        <f ca="1">'Annual Raw'!K77</f>
        <v>#NAME?</v>
      </c>
      <c r="K159" s="23" t="e">
        <f ca="1">'Annual Raw'!L77</f>
        <v>#NAME?</v>
      </c>
      <c r="L159" s="23" t="e">
        <f ca="1">'Annual Raw'!M77</f>
        <v>#NAME?</v>
      </c>
      <c r="M159" s="23" t="e">
        <f ca="1">'Annual Raw'!N77</f>
        <v>#NAME?</v>
      </c>
      <c r="N159" s="23" t="e">
        <f ca="1">'Annual Raw'!O77</f>
        <v>#NAME?</v>
      </c>
      <c r="O159" s="23" t="e">
        <f ca="1">'Annual Raw'!P77</f>
        <v>#NAME?</v>
      </c>
      <c r="P159" s="23" t="e">
        <f ca="1">'Annual Raw'!Q77</f>
        <v>#NAME?</v>
      </c>
      <c r="Q159" s="23" t="e">
        <f ca="1">'Annual Raw'!R77</f>
        <v>#NAME?</v>
      </c>
      <c r="R159" s="23" t="e">
        <f ca="1">'Annual Raw'!S77</f>
        <v>#NAME?</v>
      </c>
      <c r="S159" s="23" t="e">
        <f ca="1">'Annual Raw'!T77</f>
        <v>#NAME?</v>
      </c>
      <c r="T159" s="23" t="e">
        <f ca="1">'Annual Raw'!U77</f>
        <v>#NAME?</v>
      </c>
      <c r="U159" s="23" t="e">
        <f ca="1">'Annual Raw'!V77</f>
        <v>#NAME?</v>
      </c>
      <c r="V159" s="23" t="e">
        <f ca="1">'Annual Raw'!W77</f>
        <v>#NAME?</v>
      </c>
      <c r="W159" s="23" t="e">
        <f ca="1">'Annual Raw'!X77</f>
        <v>#NAME?</v>
      </c>
      <c r="X159" s="23" t="e">
        <f ca="1">'Annual Raw'!Y77</f>
        <v>#NAME?</v>
      </c>
      <c r="Y159" s="23" t="e">
        <f ca="1">'Annual Raw'!Z77</f>
        <v>#NAME?</v>
      </c>
      <c r="Z159" s="23" t="e">
        <f ca="1">'Annual Raw'!AA77</f>
        <v>#NAME?</v>
      </c>
      <c r="AA159" s="23" t="e">
        <f ca="1">'Annual Raw'!AB77</f>
        <v>#NAME?</v>
      </c>
      <c r="AB159" s="24" t="e">
        <f t="shared" ca="1" si="1213"/>
        <v>#NAME?</v>
      </c>
      <c r="AC159" s="24" t="e">
        <f t="shared" ca="1" si="1214"/>
        <v>#NAME?</v>
      </c>
      <c r="AD159" s="24" t="e">
        <f t="shared" ca="1" si="1215"/>
        <v>#NAME?</v>
      </c>
      <c r="AE159" s="24" t="e">
        <f t="shared" ca="1" si="1216"/>
        <v>#NAME?</v>
      </c>
      <c r="AJ159" s="23" t="e">
        <f ca="1">+'QTR Raw'!D82</f>
        <v>#NAME?</v>
      </c>
      <c r="AK159" s="23" t="e">
        <f ca="1">+AK194*AK24/90</f>
        <v>#NAME?</v>
      </c>
      <c r="AL159" s="23" t="e">
        <f ca="1">+'QTR Raw'!F82</f>
        <v>#NAME?</v>
      </c>
      <c r="AM159" s="23" t="e">
        <f ca="1">+AM194*AM24/90</f>
        <v>#NAME?</v>
      </c>
      <c r="AN159" s="23" t="e">
        <f ca="1">+'QTR Raw'!H82</f>
        <v>#NAME?</v>
      </c>
      <c r="AO159" s="23" t="e">
        <f ca="1">+AO194*AO24/90</f>
        <v>#NAME?</v>
      </c>
      <c r="AP159" s="23" t="e">
        <f ca="1">+'QTR Raw'!J82</f>
        <v>#NAME?</v>
      </c>
      <c r="AQ159" s="23" t="e">
        <f ca="1">+AQ194*AQ24/90</f>
        <v>#NAME?</v>
      </c>
      <c r="AR159" s="23" t="e">
        <f ca="1">+'QTR Raw'!L82</f>
        <v>#NAME?</v>
      </c>
      <c r="AS159" s="23" t="e">
        <f ca="1">+AS194*AS24/90</f>
        <v>#NAME?</v>
      </c>
      <c r="AT159" s="23" t="e">
        <f ca="1">+'QTR Raw'!N82</f>
        <v>#NAME?</v>
      </c>
      <c r="AU159" s="23" t="e">
        <f ca="1">+AU194*AU24/90</f>
        <v>#NAME?</v>
      </c>
      <c r="AV159" s="23" t="e">
        <f ca="1">+'QTR Raw'!P82</f>
        <v>#NAME?</v>
      </c>
      <c r="AW159" s="23" t="e">
        <f ca="1">+AW194*AW24/90</f>
        <v>#NAME?</v>
      </c>
      <c r="AX159" s="23" t="e">
        <f ca="1">+'QTR Raw'!R82</f>
        <v>#NAME?</v>
      </c>
      <c r="AY159" s="23" t="e">
        <f ca="1">+AY194*AY24/90</f>
        <v>#NAME?</v>
      </c>
      <c r="AZ159" s="23" t="e">
        <f ca="1">+'QTR Raw'!T82</f>
        <v>#NAME?</v>
      </c>
      <c r="BA159" s="23" t="e">
        <f ca="1">+BA194*BA24/90</f>
        <v>#NAME?</v>
      </c>
      <c r="BB159" s="23" t="e">
        <f ca="1">+'QTR Raw'!V82</f>
        <v>#NAME?</v>
      </c>
      <c r="BC159" s="23" t="e">
        <f ca="1">+BC194*BC24/90</f>
        <v>#NAME?</v>
      </c>
      <c r="BD159" s="23" t="e">
        <f ca="1">+'QTR Raw'!X82</f>
        <v>#NAME?</v>
      </c>
      <c r="BE159" s="23" t="e">
        <f ca="1">+BE194*BE24/90</f>
        <v>#NAME?</v>
      </c>
      <c r="BF159" s="23" t="e">
        <f ca="1">+'QTR Raw'!Z82</f>
        <v>#NAME?</v>
      </c>
      <c r="BG159" s="23" t="e">
        <f ca="1">+BG194*BG24/90</f>
        <v>#NAME?</v>
      </c>
      <c r="BH159" s="23" t="e">
        <f ca="1">+'QTR Raw'!AB82</f>
        <v>#NAME?</v>
      </c>
      <c r="BI159" s="23" t="e">
        <f ca="1">+BI194*BI24/90</f>
        <v>#NAME?</v>
      </c>
      <c r="BJ159" s="23" t="e">
        <f ca="1">+'QTR Raw'!AD82</f>
        <v>#NAME?</v>
      </c>
      <c r="BK159" s="23" t="e">
        <f ca="1">+BK194*BK24/90</f>
        <v>#NAME?</v>
      </c>
      <c r="BL159" s="23" t="e">
        <f ca="1">+'QTR Raw'!AF82</f>
        <v>#NAME?</v>
      </c>
      <c r="BM159" s="23" t="e">
        <f ca="1">+BM194*BM24/90</f>
        <v>#NAME?</v>
      </c>
      <c r="BN159" s="23" t="e">
        <f ca="1">+'QTR Raw'!AH82</f>
        <v>#NAME?</v>
      </c>
      <c r="BO159" s="23" t="e">
        <f ca="1">+BO194*BO24/90</f>
        <v>#NAME?</v>
      </c>
      <c r="BP159" s="23" t="e">
        <f ca="1">+'QTR Raw'!AJ82</f>
        <v>#NAME?</v>
      </c>
      <c r="BQ159" s="23" t="e">
        <f ca="1">+BQ194*BQ24/90</f>
        <v>#NAME?</v>
      </c>
      <c r="BR159" s="23" t="e">
        <f ca="1">+'QTR Raw'!AL82</f>
        <v>#NAME?</v>
      </c>
      <c r="BS159" s="23" t="e">
        <f ca="1">+BS194*BS24/90</f>
        <v>#NAME?</v>
      </c>
      <c r="BT159" s="23" t="e">
        <f ca="1">+'QTR Raw'!AN82</f>
        <v>#NAME?</v>
      </c>
      <c r="BU159" s="23" t="e">
        <f ca="1">+BU194*BU24/90</f>
        <v>#NAME?</v>
      </c>
      <c r="BV159" s="23" t="e">
        <f ca="1">+'QTR Raw'!AP82</f>
        <v>#NAME?</v>
      </c>
      <c r="BW159" s="23" t="e">
        <f ca="1">+BW194*BW24/90</f>
        <v>#NAME?</v>
      </c>
      <c r="BX159" s="23" t="e">
        <f ca="1">+'QTR Raw'!AR82</f>
        <v>#NAME?</v>
      </c>
      <c r="BY159" s="23" t="e">
        <f ca="1">+BY194*BY24/90</f>
        <v>#NAME?</v>
      </c>
      <c r="BZ159" s="23" t="e">
        <f ca="1">+'QTR Raw'!AT82</f>
        <v>#NAME?</v>
      </c>
      <c r="CA159" s="23" t="e">
        <f ca="1">+CA194*CA24/90</f>
        <v>#NAME?</v>
      </c>
      <c r="CB159" s="23" t="e">
        <f ca="1">+'QTR Raw'!AV82</f>
        <v>#NAME?</v>
      </c>
      <c r="CC159" s="23" t="e">
        <f ca="1">+CC194*CC24/90</f>
        <v>#NAME?</v>
      </c>
      <c r="CD159" s="23" t="e">
        <f ca="1">+'QTR Raw'!AX82</f>
        <v>#NAME?</v>
      </c>
      <c r="CE159" s="23" t="e">
        <f ca="1">+CE194*CE24/90</f>
        <v>#NAME?</v>
      </c>
      <c r="CF159" s="23" t="e">
        <f ca="1">+'QTR Raw'!AZ82</f>
        <v>#NAME?</v>
      </c>
      <c r="CG159" s="23" t="e">
        <f ca="1">+CG194*CG24/90</f>
        <v>#NAME?</v>
      </c>
      <c r="CH159" s="23" t="e">
        <f t="shared" ca="1" si="1195"/>
        <v>#NAME?</v>
      </c>
      <c r="CI159" s="23" t="e">
        <f ca="1">+CI194*CI24/90</f>
        <v>#NAME?</v>
      </c>
      <c r="CJ159" s="23" t="e">
        <f ca="1">+'QTR Raw'!BD82</f>
        <v>#NAME?</v>
      </c>
      <c r="CK159" s="23" t="e">
        <f t="shared" ref="CK159:DB159" ca="1" si="1219">+CK194*CK24/90</f>
        <v>#NAME?</v>
      </c>
      <c r="CL159" s="23" t="e">
        <f ca="1">+'QTR Raw'!BF82</f>
        <v>#NAME?</v>
      </c>
      <c r="CM159" s="24" t="e">
        <f t="shared" ca="1" si="1219"/>
        <v>#NAME?</v>
      </c>
      <c r="CN159" s="24" t="e">
        <f t="shared" ca="1" si="1219"/>
        <v>#NAME?</v>
      </c>
      <c r="CO159" s="24" t="e">
        <f t="shared" ca="1" si="1219"/>
        <v>#NAME?</v>
      </c>
      <c r="CP159" s="24" t="e">
        <f t="shared" ca="1" si="1219"/>
        <v>#NAME?</v>
      </c>
      <c r="CQ159" s="24" t="e">
        <f t="shared" ca="1" si="1219"/>
        <v>#NAME?</v>
      </c>
      <c r="CR159" s="24" t="e">
        <f t="shared" ca="1" si="1219"/>
        <v>#NAME?</v>
      </c>
      <c r="CS159" s="24" t="e">
        <f t="shared" ca="1" si="1219"/>
        <v>#NAME?</v>
      </c>
      <c r="CT159" s="24" t="e">
        <f t="shared" ca="1" si="1219"/>
        <v>#NAME?</v>
      </c>
      <c r="CU159" s="24" t="e">
        <f t="shared" ca="1" si="1219"/>
        <v>#NAME?</v>
      </c>
      <c r="CV159" s="24" t="e">
        <f t="shared" ca="1" si="1219"/>
        <v>#NAME?</v>
      </c>
      <c r="CW159" s="24" t="e">
        <f t="shared" ca="1" si="1219"/>
        <v>#NAME?</v>
      </c>
      <c r="CX159" s="24" t="e">
        <f t="shared" ca="1" si="1219"/>
        <v>#NAME?</v>
      </c>
      <c r="CY159" s="24" t="e">
        <f t="shared" ca="1" si="1219"/>
        <v>#NAME?</v>
      </c>
      <c r="CZ159" s="24" t="e">
        <f t="shared" ca="1" si="1219"/>
        <v>#NAME?</v>
      </c>
      <c r="DA159" s="24" t="e">
        <f t="shared" ca="1" si="1219"/>
        <v>#NAME?</v>
      </c>
      <c r="DB159" s="24" t="e">
        <f t="shared" ca="1" si="1219"/>
        <v>#NAME?</v>
      </c>
      <c r="DE159" s="123"/>
      <c r="DF159" s="23">
        <v>313.584</v>
      </c>
    </row>
    <row r="160" spans="1:110" s="23" customFormat="1" outlineLevel="1" x14ac:dyDescent="0.2">
      <c r="A160" s="23" t="s">
        <v>63</v>
      </c>
      <c r="B160" s="23" t="e">
        <f ca="1">'Annual Raw'!C79</f>
        <v>#NAME?</v>
      </c>
      <c r="C160" s="23" t="e">
        <f ca="1">'Annual Raw'!D79</f>
        <v>#NAME?</v>
      </c>
      <c r="D160" s="23" t="e">
        <f ca="1">'Annual Raw'!E79</f>
        <v>#NAME?</v>
      </c>
      <c r="E160" s="23" t="e">
        <f ca="1">'Annual Raw'!F79</f>
        <v>#NAME?</v>
      </c>
      <c r="F160" s="23" t="e">
        <f ca="1">'Annual Raw'!G79</f>
        <v>#NAME?</v>
      </c>
      <c r="G160" s="23" t="e">
        <f ca="1">'Annual Raw'!H79</f>
        <v>#NAME?</v>
      </c>
      <c r="H160" s="23" t="e">
        <f ca="1">'Annual Raw'!I79</f>
        <v>#NAME?</v>
      </c>
      <c r="I160" s="23" t="e">
        <f ca="1">'Annual Raw'!J79</f>
        <v>#NAME?</v>
      </c>
      <c r="J160" s="23" t="e">
        <f ca="1">'Annual Raw'!K79</f>
        <v>#NAME?</v>
      </c>
      <c r="K160" s="23" t="e">
        <f ca="1">'Annual Raw'!L79</f>
        <v>#NAME?</v>
      </c>
      <c r="L160" s="23" t="e">
        <f ca="1">'Annual Raw'!M79</f>
        <v>#NAME?</v>
      </c>
      <c r="M160" s="23" t="e">
        <f ca="1">'Annual Raw'!N79</f>
        <v>#NAME?</v>
      </c>
      <c r="N160" s="23" t="e">
        <f ca="1">'Annual Raw'!O79</f>
        <v>#NAME?</v>
      </c>
      <c r="O160" s="23" t="e">
        <f ca="1">'Annual Raw'!P79</f>
        <v>#NAME?</v>
      </c>
      <c r="P160" s="23" t="e">
        <f ca="1">'Annual Raw'!Q79</f>
        <v>#NAME?</v>
      </c>
      <c r="Q160" s="23" t="e">
        <f ca="1">'Annual Raw'!R79</f>
        <v>#NAME?</v>
      </c>
      <c r="R160" s="23" t="e">
        <f ca="1">'Annual Raw'!S79</f>
        <v>#NAME?</v>
      </c>
      <c r="S160" s="23" t="e">
        <f ca="1">'Annual Raw'!T79</f>
        <v>#NAME?</v>
      </c>
      <c r="T160" s="23" t="e">
        <f ca="1">'Annual Raw'!U79</f>
        <v>#NAME?</v>
      </c>
      <c r="U160" s="23" t="e">
        <f ca="1">'Annual Raw'!V79</f>
        <v>#NAME?</v>
      </c>
      <c r="V160" s="23" t="e">
        <f ca="1">'Annual Raw'!W79</f>
        <v>#NAME?</v>
      </c>
      <c r="W160" s="23" t="e">
        <f ca="1">'Annual Raw'!X79</f>
        <v>#NAME?</v>
      </c>
      <c r="X160" s="23" t="e">
        <f ca="1">'Annual Raw'!Y79</f>
        <v>#NAME?</v>
      </c>
      <c r="Y160" s="23" t="e">
        <f ca="1">'Annual Raw'!Z79</f>
        <v>#NAME?</v>
      </c>
      <c r="Z160" s="23" t="e">
        <f ca="1">'Annual Raw'!AA79</f>
        <v>#NAME?</v>
      </c>
      <c r="AA160" s="23" t="e">
        <f ca="1">'Annual Raw'!AB79</f>
        <v>#NAME?</v>
      </c>
      <c r="AB160" s="24" t="e">
        <f t="shared" ca="1" si="1213"/>
        <v>#NAME?</v>
      </c>
      <c r="AC160" s="24" t="e">
        <f t="shared" ca="1" si="1214"/>
        <v>#NAME?</v>
      </c>
      <c r="AD160" s="24" t="e">
        <f t="shared" ca="1" si="1215"/>
        <v>#NAME?</v>
      </c>
      <c r="AE160" s="24" t="e">
        <f t="shared" ca="1" si="1216"/>
        <v>#NAME?</v>
      </c>
      <c r="AJ160" s="23" t="e">
        <f ca="1">+'QTR Raw'!D84</f>
        <v>#NAME?</v>
      </c>
      <c r="AK160" s="23" t="e">
        <f t="shared" ca="1" si="1217"/>
        <v>#NAME?</v>
      </c>
      <c r="AL160" s="23" t="e">
        <f ca="1">+'QTR Raw'!F84</f>
        <v>#NAME?</v>
      </c>
      <c r="AM160" s="23" t="e">
        <f t="shared" ca="1" si="1217"/>
        <v>#NAME?</v>
      </c>
      <c r="AN160" s="23" t="e">
        <f ca="1">+'QTR Raw'!H84</f>
        <v>#NAME?</v>
      </c>
      <c r="AO160" s="23" t="e">
        <f t="shared" ca="1" si="1217"/>
        <v>#NAME?</v>
      </c>
      <c r="AP160" s="23" t="e">
        <f ca="1">+'QTR Raw'!J84</f>
        <v>#NAME?</v>
      </c>
      <c r="AQ160" s="23" t="e">
        <f t="shared" ca="1" si="1217"/>
        <v>#NAME?</v>
      </c>
      <c r="AR160" s="23" t="e">
        <f ca="1">+'QTR Raw'!L84</f>
        <v>#NAME?</v>
      </c>
      <c r="AS160" s="23" t="e">
        <f t="shared" ca="1" si="1217"/>
        <v>#NAME?</v>
      </c>
      <c r="AT160" s="23" t="e">
        <f ca="1">+'QTR Raw'!N84</f>
        <v>#NAME?</v>
      </c>
      <c r="AU160" s="23" t="e">
        <f t="shared" ca="1" si="1217"/>
        <v>#NAME?</v>
      </c>
      <c r="AV160" s="23" t="e">
        <f ca="1">+'QTR Raw'!P84</f>
        <v>#NAME?</v>
      </c>
      <c r="AW160" s="23" t="e">
        <f t="shared" ca="1" si="1217"/>
        <v>#NAME?</v>
      </c>
      <c r="AX160" s="23" t="e">
        <f ca="1">+'QTR Raw'!R84</f>
        <v>#NAME?</v>
      </c>
      <c r="AY160" s="23" t="e">
        <f t="shared" ca="1" si="1217"/>
        <v>#NAME?</v>
      </c>
      <c r="AZ160" s="23" t="e">
        <f ca="1">+'QTR Raw'!T84</f>
        <v>#NAME?</v>
      </c>
      <c r="BA160" s="23" t="e">
        <f t="shared" ca="1" si="1217"/>
        <v>#NAME?</v>
      </c>
      <c r="BB160" s="23" t="e">
        <f ca="1">+'QTR Raw'!V84</f>
        <v>#NAME?</v>
      </c>
      <c r="BC160" s="23" t="e">
        <f t="shared" ca="1" si="1217"/>
        <v>#NAME?</v>
      </c>
      <c r="BD160" s="23" t="e">
        <f ca="1">+'QTR Raw'!X84</f>
        <v>#NAME?</v>
      </c>
      <c r="BE160" s="23" t="e">
        <f t="shared" ca="1" si="1217"/>
        <v>#NAME?</v>
      </c>
      <c r="BF160" s="23" t="e">
        <f ca="1">+'QTR Raw'!Z84</f>
        <v>#NAME?</v>
      </c>
      <c r="BG160" s="23" t="e">
        <f t="shared" ca="1" si="1217"/>
        <v>#NAME?</v>
      </c>
      <c r="BH160" s="23" t="e">
        <f ca="1">+'QTR Raw'!AB84</f>
        <v>#NAME?</v>
      </c>
      <c r="BI160" s="23" t="e">
        <f t="shared" ca="1" si="1217"/>
        <v>#NAME?</v>
      </c>
      <c r="BJ160" s="23" t="e">
        <f ca="1">+'QTR Raw'!AD84</f>
        <v>#NAME?</v>
      </c>
      <c r="BK160" s="23" t="e">
        <f t="shared" ca="1" si="1217"/>
        <v>#NAME?</v>
      </c>
      <c r="BL160" s="23" t="e">
        <f ca="1">+'QTR Raw'!AF84</f>
        <v>#NAME?</v>
      </c>
      <c r="BM160" s="23" t="e">
        <f t="shared" ca="1" si="1217"/>
        <v>#NAME?</v>
      </c>
      <c r="BN160" s="23" t="e">
        <f ca="1">+'QTR Raw'!AH84</f>
        <v>#NAME?</v>
      </c>
      <c r="BO160" s="23" t="e">
        <f t="shared" ca="1" si="1217"/>
        <v>#NAME?</v>
      </c>
      <c r="BP160" s="23" t="e">
        <f ca="1">+'QTR Raw'!AJ84</f>
        <v>#NAME?</v>
      </c>
      <c r="BQ160" s="23" t="e">
        <f t="shared" ca="1" si="1217"/>
        <v>#NAME?</v>
      </c>
      <c r="BR160" s="23" t="e">
        <f ca="1">+'QTR Raw'!AL84</f>
        <v>#NAME?</v>
      </c>
      <c r="BS160" s="23" t="e">
        <f t="shared" ca="1" si="1217"/>
        <v>#NAME?</v>
      </c>
      <c r="BT160" s="23" t="e">
        <f ca="1">+'QTR Raw'!AN84</f>
        <v>#NAME?</v>
      </c>
      <c r="BU160" s="23" t="e">
        <f t="shared" ca="1" si="1217"/>
        <v>#NAME?</v>
      </c>
      <c r="BV160" s="23" t="e">
        <f ca="1">+'QTR Raw'!AP84</f>
        <v>#NAME?</v>
      </c>
      <c r="BW160" s="23" t="e">
        <f t="shared" ca="1" si="1217"/>
        <v>#NAME?</v>
      </c>
      <c r="BX160" s="23" t="e">
        <f ca="1">+'QTR Raw'!AR84</f>
        <v>#NAME?</v>
      </c>
      <c r="BY160" s="23" t="e">
        <f t="shared" ca="1" si="1217"/>
        <v>#NAME?</v>
      </c>
      <c r="BZ160" s="23" t="e">
        <f ca="1">+'QTR Raw'!AT84</f>
        <v>#NAME?</v>
      </c>
      <c r="CA160" s="23" t="e">
        <f t="shared" ca="1" si="1217"/>
        <v>#NAME?</v>
      </c>
      <c r="CB160" s="23" t="e">
        <f ca="1">+'QTR Raw'!AV84</f>
        <v>#NAME?</v>
      </c>
      <c r="CC160" s="23" t="e">
        <f t="shared" ca="1" si="1217"/>
        <v>#NAME?</v>
      </c>
      <c r="CD160" s="23" t="e">
        <f ca="1">+'QTR Raw'!AX84</f>
        <v>#NAME?</v>
      </c>
      <c r="CE160" s="23" t="e">
        <f t="shared" ca="1" si="1217"/>
        <v>#NAME?</v>
      </c>
      <c r="CF160" s="23" t="e">
        <f ca="1">+'QTR Raw'!AZ84</f>
        <v>#NAME?</v>
      </c>
      <c r="CG160" s="23" t="e">
        <f t="shared" ref="CG160:CG161" ca="1" si="1220">+CF160</f>
        <v>#NAME?</v>
      </c>
      <c r="CH160" s="23" t="e">
        <f t="shared" ca="1" si="1195"/>
        <v>#NAME?</v>
      </c>
      <c r="CI160" s="23" t="e">
        <f ca="1">CI24/90*CI195</f>
        <v>#NAME?</v>
      </c>
      <c r="CJ160" s="23" t="e">
        <f ca="1">+'QTR Raw'!BD84</f>
        <v>#NAME?</v>
      </c>
      <c r="CK160" s="23" t="e">
        <f t="shared" ref="CK160:DB160" ca="1" si="1221">CK24/90*CK195</f>
        <v>#NAME?</v>
      </c>
      <c r="CL160" s="23" t="e">
        <f ca="1">+'QTR Raw'!BF84</f>
        <v>#NAME?</v>
      </c>
      <c r="CM160" s="24" t="e">
        <f t="shared" ca="1" si="1221"/>
        <v>#NAME?</v>
      </c>
      <c r="CN160" s="24" t="e">
        <f t="shared" ca="1" si="1221"/>
        <v>#NAME?</v>
      </c>
      <c r="CO160" s="24" t="e">
        <f t="shared" ca="1" si="1221"/>
        <v>#NAME?</v>
      </c>
      <c r="CP160" s="24" t="e">
        <f t="shared" ca="1" si="1221"/>
        <v>#NAME?</v>
      </c>
      <c r="CQ160" s="24" t="e">
        <f t="shared" ca="1" si="1221"/>
        <v>#NAME?</v>
      </c>
      <c r="CR160" s="24" t="e">
        <f t="shared" ca="1" si="1221"/>
        <v>#NAME?</v>
      </c>
      <c r="CS160" s="24" t="e">
        <f t="shared" ca="1" si="1221"/>
        <v>#NAME?</v>
      </c>
      <c r="CT160" s="24" t="e">
        <f t="shared" ca="1" si="1221"/>
        <v>#NAME?</v>
      </c>
      <c r="CU160" s="24" t="e">
        <f t="shared" ca="1" si="1221"/>
        <v>#NAME?</v>
      </c>
      <c r="CV160" s="24" t="e">
        <f t="shared" ca="1" si="1221"/>
        <v>#NAME?</v>
      </c>
      <c r="CW160" s="24" t="e">
        <f t="shared" ca="1" si="1221"/>
        <v>#NAME?</v>
      </c>
      <c r="CX160" s="24" t="e">
        <f t="shared" ca="1" si="1221"/>
        <v>#NAME?</v>
      </c>
      <c r="CY160" s="24" t="e">
        <f t="shared" ca="1" si="1221"/>
        <v>#NAME?</v>
      </c>
      <c r="CZ160" s="24" t="e">
        <f t="shared" ca="1" si="1221"/>
        <v>#NAME?</v>
      </c>
      <c r="DA160" s="24" t="e">
        <f t="shared" ca="1" si="1221"/>
        <v>#NAME?</v>
      </c>
      <c r="DB160" s="24" t="e">
        <f t="shared" ca="1" si="1221"/>
        <v>#NAME?</v>
      </c>
      <c r="DE160" s="123"/>
      <c r="DF160" s="23">
        <v>2003.662</v>
      </c>
    </row>
    <row r="161" spans="1:110" s="23" customFormat="1" outlineLevel="1" x14ac:dyDescent="0.2">
      <c r="A161" s="23" t="s">
        <v>64</v>
      </c>
      <c r="B161" s="23" t="e">
        <f ca="1">'Annual Raw'!C80</f>
        <v>#NAME?</v>
      </c>
      <c r="C161" s="23" t="e">
        <f ca="1">'Annual Raw'!D80</f>
        <v>#NAME?</v>
      </c>
      <c r="D161" s="23" t="e">
        <f ca="1">'Annual Raw'!E80</f>
        <v>#NAME?</v>
      </c>
      <c r="E161" s="23" t="e">
        <f ca="1">'Annual Raw'!F80</f>
        <v>#NAME?</v>
      </c>
      <c r="F161" s="23" t="e">
        <f ca="1">'Annual Raw'!G80</f>
        <v>#NAME?</v>
      </c>
      <c r="G161" s="23" t="e">
        <f ca="1">'Annual Raw'!H80</f>
        <v>#NAME?</v>
      </c>
      <c r="H161" s="23" t="e">
        <f ca="1">'Annual Raw'!I80</f>
        <v>#NAME?</v>
      </c>
      <c r="I161" s="23" t="e">
        <f ca="1">'Annual Raw'!J80</f>
        <v>#NAME?</v>
      </c>
      <c r="J161" s="23" t="e">
        <f ca="1">'Annual Raw'!K80</f>
        <v>#NAME?</v>
      </c>
      <c r="K161" s="23" t="e">
        <f ca="1">'Annual Raw'!L80</f>
        <v>#NAME?</v>
      </c>
      <c r="L161" s="23" t="e">
        <f ca="1">'Annual Raw'!M80</f>
        <v>#NAME?</v>
      </c>
      <c r="M161" s="23" t="e">
        <f ca="1">'Annual Raw'!N80</f>
        <v>#NAME?</v>
      </c>
      <c r="N161" s="23" t="e">
        <f ca="1">'Annual Raw'!O80</f>
        <v>#NAME?</v>
      </c>
      <c r="O161" s="23" t="e">
        <f ca="1">'Annual Raw'!P80</f>
        <v>#NAME?</v>
      </c>
      <c r="P161" s="23" t="e">
        <f ca="1">'Annual Raw'!Q80</f>
        <v>#NAME?</v>
      </c>
      <c r="Q161" s="23" t="e">
        <f ca="1">'Annual Raw'!R80</f>
        <v>#NAME?</v>
      </c>
      <c r="R161" s="23" t="e">
        <f ca="1">'Annual Raw'!S80</f>
        <v>#NAME?</v>
      </c>
      <c r="S161" s="23" t="e">
        <f ca="1">'Annual Raw'!T80</f>
        <v>#NAME?</v>
      </c>
      <c r="T161" s="23" t="e">
        <f ca="1">'Annual Raw'!U80</f>
        <v>#NAME?</v>
      </c>
      <c r="U161" s="23" t="e">
        <f ca="1">'Annual Raw'!V80</f>
        <v>#NAME?</v>
      </c>
      <c r="V161" s="23" t="e">
        <f ca="1">'Annual Raw'!W80</f>
        <v>#NAME?</v>
      </c>
      <c r="W161" s="23" t="e">
        <f ca="1">'Annual Raw'!X80</f>
        <v>#NAME?</v>
      </c>
      <c r="X161" s="23" t="e">
        <f ca="1">'Annual Raw'!Y80</f>
        <v>#NAME?</v>
      </c>
      <c r="Y161" s="23" t="e">
        <f ca="1">'Annual Raw'!Z80</f>
        <v>#NAME?</v>
      </c>
      <c r="Z161" s="23" t="e">
        <f ca="1">'Annual Raw'!AA80</f>
        <v>#NAME?</v>
      </c>
      <c r="AA161" s="23" t="e">
        <f ca="1">'Annual Raw'!AB80</f>
        <v>#NAME?</v>
      </c>
      <c r="AB161" s="24">
        <f t="shared" si="1213"/>
        <v>0</v>
      </c>
      <c r="AC161" s="24">
        <f t="shared" si="1214"/>
        <v>0</v>
      </c>
      <c r="AD161" s="24">
        <f t="shared" si="1215"/>
        <v>0</v>
      </c>
      <c r="AE161" s="24">
        <f t="shared" si="1216"/>
        <v>0</v>
      </c>
      <c r="AJ161" s="23" t="e">
        <f ca="1">+'QTR Raw'!D85</f>
        <v>#NAME?</v>
      </c>
      <c r="AK161" s="23" t="e">
        <f t="shared" ca="1" si="1217"/>
        <v>#NAME?</v>
      </c>
      <c r="AL161" s="23" t="e">
        <f ca="1">+'QTR Raw'!F85</f>
        <v>#NAME?</v>
      </c>
      <c r="AM161" s="23" t="e">
        <f t="shared" ca="1" si="1217"/>
        <v>#NAME?</v>
      </c>
      <c r="AN161" s="23" t="e">
        <f ca="1">+'QTR Raw'!H85</f>
        <v>#NAME?</v>
      </c>
      <c r="AO161" s="23" t="e">
        <f t="shared" ca="1" si="1217"/>
        <v>#NAME?</v>
      </c>
      <c r="AP161" s="23" t="e">
        <f ca="1">+'QTR Raw'!J85</f>
        <v>#NAME?</v>
      </c>
      <c r="AQ161" s="23" t="e">
        <f t="shared" ca="1" si="1217"/>
        <v>#NAME?</v>
      </c>
      <c r="AR161" s="23" t="e">
        <f ca="1">+'QTR Raw'!L85</f>
        <v>#NAME?</v>
      </c>
      <c r="AS161" s="23" t="e">
        <f t="shared" ca="1" si="1217"/>
        <v>#NAME?</v>
      </c>
      <c r="AT161" s="23" t="e">
        <f ca="1">+'QTR Raw'!N85</f>
        <v>#NAME?</v>
      </c>
      <c r="AU161" s="23" t="e">
        <f t="shared" ca="1" si="1217"/>
        <v>#NAME?</v>
      </c>
      <c r="AV161" s="23" t="e">
        <f ca="1">+'QTR Raw'!P85</f>
        <v>#NAME?</v>
      </c>
      <c r="AW161" s="23" t="e">
        <f t="shared" ca="1" si="1217"/>
        <v>#NAME?</v>
      </c>
      <c r="AX161" s="23" t="e">
        <f ca="1">+'QTR Raw'!R85</f>
        <v>#NAME?</v>
      </c>
      <c r="AY161" s="23" t="e">
        <f t="shared" ca="1" si="1217"/>
        <v>#NAME?</v>
      </c>
      <c r="AZ161" s="23" t="e">
        <f ca="1">+'QTR Raw'!T85</f>
        <v>#NAME?</v>
      </c>
      <c r="BA161" s="23" t="e">
        <f t="shared" ca="1" si="1217"/>
        <v>#NAME?</v>
      </c>
      <c r="BB161" s="23" t="e">
        <f ca="1">+'QTR Raw'!V85</f>
        <v>#NAME?</v>
      </c>
      <c r="BC161" s="23" t="e">
        <f t="shared" ca="1" si="1217"/>
        <v>#NAME?</v>
      </c>
      <c r="BD161" s="23" t="e">
        <f ca="1">+'QTR Raw'!X85</f>
        <v>#NAME?</v>
      </c>
      <c r="BE161" s="23" t="e">
        <f t="shared" ca="1" si="1217"/>
        <v>#NAME?</v>
      </c>
      <c r="BF161" s="23" t="e">
        <f ca="1">+'QTR Raw'!Z85</f>
        <v>#NAME?</v>
      </c>
      <c r="BG161" s="23" t="e">
        <f t="shared" ca="1" si="1217"/>
        <v>#NAME?</v>
      </c>
      <c r="BH161" s="23" t="e">
        <f ca="1">+'QTR Raw'!AB85</f>
        <v>#NAME?</v>
      </c>
      <c r="BI161" s="23" t="e">
        <f t="shared" ca="1" si="1217"/>
        <v>#NAME?</v>
      </c>
      <c r="BJ161" s="23" t="e">
        <f ca="1">+'QTR Raw'!AD85</f>
        <v>#NAME?</v>
      </c>
      <c r="BK161" s="23" t="e">
        <f t="shared" ca="1" si="1217"/>
        <v>#NAME?</v>
      </c>
      <c r="BL161" s="23" t="e">
        <f ca="1">+'QTR Raw'!AF85</f>
        <v>#NAME?</v>
      </c>
      <c r="BM161" s="23" t="e">
        <f t="shared" ca="1" si="1217"/>
        <v>#NAME?</v>
      </c>
      <c r="BN161" s="23" t="e">
        <f ca="1">+'QTR Raw'!AH85</f>
        <v>#NAME?</v>
      </c>
      <c r="BO161" s="23" t="e">
        <f t="shared" ca="1" si="1217"/>
        <v>#NAME?</v>
      </c>
      <c r="BP161" s="23" t="e">
        <f ca="1">+'QTR Raw'!AJ85</f>
        <v>#NAME?</v>
      </c>
      <c r="BQ161" s="23" t="e">
        <f t="shared" ca="1" si="1217"/>
        <v>#NAME?</v>
      </c>
      <c r="BR161" s="23" t="e">
        <f ca="1">+'QTR Raw'!AL85</f>
        <v>#NAME?</v>
      </c>
      <c r="BS161" s="23" t="e">
        <f t="shared" ca="1" si="1217"/>
        <v>#NAME?</v>
      </c>
      <c r="BT161" s="23" t="e">
        <f ca="1">+'QTR Raw'!AN85</f>
        <v>#NAME?</v>
      </c>
      <c r="BU161" s="23" t="e">
        <f t="shared" ca="1" si="1217"/>
        <v>#NAME?</v>
      </c>
      <c r="BV161" s="23" t="e">
        <f ca="1">+'QTR Raw'!AP85</f>
        <v>#NAME?</v>
      </c>
      <c r="BW161" s="23" t="e">
        <f t="shared" ca="1" si="1217"/>
        <v>#NAME?</v>
      </c>
      <c r="BX161" s="23" t="e">
        <f ca="1">+'QTR Raw'!AR85</f>
        <v>#NAME?</v>
      </c>
      <c r="BY161" s="23" t="e">
        <f t="shared" ca="1" si="1217"/>
        <v>#NAME?</v>
      </c>
      <c r="BZ161" s="23" t="e">
        <f ca="1">+'QTR Raw'!AT85</f>
        <v>#NAME?</v>
      </c>
      <c r="CA161" s="23" t="e">
        <f t="shared" ca="1" si="1217"/>
        <v>#NAME?</v>
      </c>
      <c r="CB161" s="23" t="e">
        <f ca="1">+'QTR Raw'!AV85</f>
        <v>#NAME?</v>
      </c>
      <c r="CC161" s="23" t="e">
        <f t="shared" ca="1" si="1217"/>
        <v>#NAME?</v>
      </c>
      <c r="CD161" s="23" t="e">
        <f ca="1">+'QTR Raw'!AX85</f>
        <v>#NAME?</v>
      </c>
      <c r="CE161" s="23" t="e">
        <f t="shared" ca="1" si="1217"/>
        <v>#NAME?</v>
      </c>
      <c r="CF161" s="23" t="e">
        <f ca="1">+'QTR Raw'!AZ85</f>
        <v>#NAME?</v>
      </c>
      <c r="CG161" s="23" t="e">
        <f t="shared" ca="1" si="1220"/>
        <v>#NAME?</v>
      </c>
      <c r="CH161" s="23" t="e">
        <f t="shared" ca="1" si="1195"/>
        <v>#NAME?</v>
      </c>
      <c r="CJ161" s="23" t="e">
        <f ca="1">+'QTR Raw'!BD85</f>
        <v>#NAME?</v>
      </c>
      <c r="CL161" s="23" t="e">
        <f ca="1">+'QTR Raw'!BF85</f>
        <v>#NAME?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1101.931</v>
      </c>
    </row>
    <row r="162" spans="1:110" s="22" customFormat="1" x14ac:dyDescent="0.2">
      <c r="A162" s="22" t="s">
        <v>65</v>
      </c>
      <c r="B162" s="22" t="e">
        <f ca="1">SUM(B156:B161)</f>
        <v>#NAME?</v>
      </c>
      <c r="C162" s="22" t="e">
        <f t="shared" ref="C162:V162" ca="1" si="1222">SUM(C156:C161)</f>
        <v>#NAME?</v>
      </c>
      <c r="D162" s="22" t="e">
        <f t="shared" ca="1" si="1222"/>
        <v>#NAME?</v>
      </c>
      <c r="E162" s="22" t="e">
        <f t="shared" ca="1" si="1222"/>
        <v>#NAME?</v>
      </c>
      <c r="F162" s="22" t="e">
        <f t="shared" ca="1" si="1222"/>
        <v>#NAME?</v>
      </c>
      <c r="G162" s="22" t="e">
        <f t="shared" ca="1" si="1222"/>
        <v>#NAME?</v>
      </c>
      <c r="H162" s="22" t="e">
        <f t="shared" ca="1" si="1222"/>
        <v>#NAME?</v>
      </c>
      <c r="I162" s="22" t="e">
        <f t="shared" ca="1" si="1222"/>
        <v>#NAME?</v>
      </c>
      <c r="J162" s="22" t="e">
        <f t="shared" ca="1" si="1222"/>
        <v>#NAME?</v>
      </c>
      <c r="K162" s="22" t="e">
        <f t="shared" ca="1" si="1222"/>
        <v>#NAME?</v>
      </c>
      <c r="L162" s="22" t="e">
        <f ca="1">SUM(L156:L161)</f>
        <v>#NAME?</v>
      </c>
      <c r="M162" s="22" t="e">
        <f ca="1">SUM(M156:M161)</f>
        <v>#NAME?</v>
      </c>
      <c r="N162" s="22" t="e">
        <f t="shared" ca="1" si="1222"/>
        <v>#NAME?</v>
      </c>
      <c r="O162" s="22" t="e">
        <f t="shared" ca="1" si="1222"/>
        <v>#NAME?</v>
      </c>
      <c r="P162" s="22" t="e">
        <f t="shared" ca="1" si="1222"/>
        <v>#NAME?</v>
      </c>
      <c r="Q162" s="22" t="e">
        <f t="shared" ca="1" si="1222"/>
        <v>#NAME?</v>
      </c>
      <c r="R162" s="22" t="e">
        <f t="shared" ca="1" si="1222"/>
        <v>#NAME?</v>
      </c>
      <c r="S162" s="22" t="e">
        <f t="shared" ca="1" si="1222"/>
        <v>#NAME?</v>
      </c>
      <c r="T162" s="22" t="e">
        <f t="shared" ca="1" si="1222"/>
        <v>#NAME?</v>
      </c>
      <c r="U162" s="22" t="e">
        <f t="shared" ca="1" si="1222"/>
        <v>#NAME?</v>
      </c>
      <c r="V162" s="22" t="e">
        <f t="shared" ca="1" si="1222"/>
        <v>#NAME?</v>
      </c>
      <c r="W162" s="22" t="e">
        <f t="shared" ref="W162" ca="1" si="1223">SUM(W156:W161)</f>
        <v>#NAME?</v>
      </c>
      <c r="X162" s="22" t="e">
        <f t="shared" ref="X162:Y162" ca="1" si="1224">SUM(X156:X161)</f>
        <v>#NAME?</v>
      </c>
      <c r="Y162" s="22" t="e">
        <f t="shared" ca="1" si="1224"/>
        <v>#NAME?</v>
      </c>
      <c r="Z162" s="22" t="e">
        <f t="shared" ref="Z162:AA162" ca="1" si="1225">SUM(Z156:Z161)</f>
        <v>#NAME?</v>
      </c>
      <c r="AA162" s="22" t="e">
        <f t="shared" ca="1" si="1225"/>
        <v>#NAME?</v>
      </c>
      <c r="AB162" s="21" t="e">
        <f t="shared" ref="AA162:AD162" ca="1" si="1226">SUM(AB156:AB161)</f>
        <v>#NAME?</v>
      </c>
      <c r="AC162" s="21" t="e">
        <f t="shared" ca="1" si="1226"/>
        <v>#NAME?</v>
      </c>
      <c r="AD162" s="21" t="e">
        <f t="shared" ca="1" si="1226"/>
        <v>#NAME?</v>
      </c>
      <c r="AE162" s="21" t="e">
        <f t="shared" ref="AE162" ca="1" si="1227">SUM(AE156:AE161)</f>
        <v>#NAME?</v>
      </c>
      <c r="AJ162" s="22" t="e">
        <f t="shared" ref="AJ162" ca="1" si="1228">SUM(AJ156:AJ161)</f>
        <v>#NAME?</v>
      </c>
      <c r="AK162" s="22" t="e">
        <f t="shared" ref="AK162" ca="1" si="1229">SUM(AK156:AK161)</f>
        <v>#NAME?</v>
      </c>
      <c r="AL162" s="22" t="e">
        <f t="shared" ref="AL162:AM162" ca="1" si="1230">SUM(AL156:AL161)</f>
        <v>#NAME?</v>
      </c>
      <c r="AM162" s="22" t="e">
        <f t="shared" ca="1" si="1230"/>
        <v>#NAME?</v>
      </c>
      <c r="AN162" s="22" t="e">
        <f t="shared" ref="AN162:AO162" ca="1" si="1231">SUM(AN156:AN161)</f>
        <v>#NAME?</v>
      </c>
      <c r="AO162" s="22" t="e">
        <f t="shared" ca="1" si="1231"/>
        <v>#NAME?</v>
      </c>
      <c r="AP162" s="22" t="e">
        <f t="shared" ref="AP162:CE162" ca="1" si="1232">SUM(AP156:AP161)</f>
        <v>#NAME?</v>
      </c>
      <c r="AQ162" s="22" t="e">
        <f t="shared" ca="1" si="1232"/>
        <v>#NAME?</v>
      </c>
      <c r="AR162" s="22" t="e">
        <f t="shared" ca="1" si="1232"/>
        <v>#NAME?</v>
      </c>
      <c r="AS162" s="22" t="e">
        <f t="shared" ca="1" si="1232"/>
        <v>#NAME?</v>
      </c>
      <c r="AT162" s="22" t="e">
        <f t="shared" ca="1" si="1232"/>
        <v>#NAME?</v>
      </c>
      <c r="AU162" s="22" t="e">
        <f t="shared" ca="1" si="1232"/>
        <v>#NAME?</v>
      </c>
      <c r="AV162" s="22" t="e">
        <f t="shared" ca="1" si="1232"/>
        <v>#NAME?</v>
      </c>
      <c r="AW162" s="22" t="e">
        <f t="shared" ca="1" si="1232"/>
        <v>#NAME?</v>
      </c>
      <c r="AX162" s="22" t="e">
        <f t="shared" ca="1" si="1232"/>
        <v>#NAME?</v>
      </c>
      <c r="AY162" s="22" t="e">
        <f t="shared" ca="1" si="1232"/>
        <v>#NAME?</v>
      </c>
      <c r="AZ162" s="22" t="e">
        <f t="shared" ca="1" si="1232"/>
        <v>#NAME?</v>
      </c>
      <c r="BA162" s="22" t="e">
        <f t="shared" ca="1" si="1232"/>
        <v>#NAME?</v>
      </c>
      <c r="BB162" s="22" t="e">
        <f t="shared" ca="1" si="1232"/>
        <v>#NAME?</v>
      </c>
      <c r="BC162" s="22" t="e">
        <f t="shared" ca="1" si="1232"/>
        <v>#NAME?</v>
      </c>
      <c r="BD162" s="22" t="e">
        <f t="shared" ca="1" si="1232"/>
        <v>#NAME?</v>
      </c>
      <c r="BE162" s="22" t="e">
        <f t="shared" ca="1" si="1232"/>
        <v>#NAME?</v>
      </c>
      <c r="BF162" s="22" t="e">
        <f t="shared" ca="1" si="1232"/>
        <v>#NAME?</v>
      </c>
      <c r="BG162" s="22" t="e">
        <f t="shared" ca="1" si="1232"/>
        <v>#NAME?</v>
      </c>
      <c r="BH162" s="22" t="e">
        <f t="shared" ca="1" si="1232"/>
        <v>#NAME?</v>
      </c>
      <c r="BI162" s="22" t="e">
        <f t="shared" ca="1" si="1232"/>
        <v>#NAME?</v>
      </c>
      <c r="BJ162" s="22" t="e">
        <f t="shared" ca="1" si="1232"/>
        <v>#NAME?</v>
      </c>
      <c r="BK162" s="22" t="e">
        <f t="shared" ca="1" si="1232"/>
        <v>#NAME?</v>
      </c>
      <c r="BL162" s="22" t="e">
        <f t="shared" ca="1" si="1232"/>
        <v>#NAME?</v>
      </c>
      <c r="BM162" s="22" t="e">
        <f t="shared" ca="1" si="1232"/>
        <v>#NAME?</v>
      </c>
      <c r="BN162" s="22" t="e">
        <f t="shared" ca="1" si="1232"/>
        <v>#NAME?</v>
      </c>
      <c r="BO162" s="22" t="e">
        <f t="shared" ca="1" si="1232"/>
        <v>#NAME?</v>
      </c>
      <c r="BP162" s="22" t="e">
        <f t="shared" ca="1" si="1232"/>
        <v>#NAME?</v>
      </c>
      <c r="BQ162" s="22" t="e">
        <f t="shared" ca="1" si="1232"/>
        <v>#NAME?</v>
      </c>
      <c r="BR162" s="22" t="e">
        <f t="shared" ca="1" si="1232"/>
        <v>#NAME?</v>
      </c>
      <c r="BS162" s="22" t="e">
        <f t="shared" ca="1" si="1232"/>
        <v>#NAME?</v>
      </c>
      <c r="BT162" s="22" t="e">
        <f t="shared" ca="1" si="1232"/>
        <v>#NAME?</v>
      </c>
      <c r="BU162" s="22" t="e">
        <f t="shared" ca="1" si="1232"/>
        <v>#NAME?</v>
      </c>
      <c r="BV162" s="22" t="e">
        <f t="shared" ca="1" si="1232"/>
        <v>#NAME?</v>
      </c>
      <c r="BW162" s="22" t="e">
        <f t="shared" ca="1" si="1232"/>
        <v>#NAME?</v>
      </c>
      <c r="BX162" s="22" t="e">
        <f t="shared" ca="1" si="1232"/>
        <v>#NAME?</v>
      </c>
      <c r="BY162" s="22" t="e">
        <f t="shared" ca="1" si="1232"/>
        <v>#NAME?</v>
      </c>
      <c r="BZ162" s="22" t="e">
        <f t="shared" ca="1" si="1232"/>
        <v>#NAME?</v>
      </c>
      <c r="CA162" s="22" t="e">
        <f t="shared" ca="1" si="1232"/>
        <v>#NAME?</v>
      </c>
      <c r="CB162" s="22" t="e">
        <f t="shared" ca="1" si="1232"/>
        <v>#NAME?</v>
      </c>
      <c r="CC162" s="22" t="e">
        <f t="shared" ca="1" si="1232"/>
        <v>#NAME?</v>
      </c>
      <c r="CD162" s="22" t="e">
        <f t="shared" ca="1" si="1232"/>
        <v>#NAME?</v>
      </c>
      <c r="CE162" s="22" t="e">
        <f t="shared" ca="1" si="1232"/>
        <v>#NAME?</v>
      </c>
      <c r="CF162" s="22" t="e">
        <f t="shared" ref="CF162:CG162" ca="1" si="1233">SUM(CF156:CF161)</f>
        <v>#NAME?</v>
      </c>
      <c r="CG162" s="22" t="e">
        <f t="shared" ca="1" si="1233"/>
        <v>#NAME?</v>
      </c>
      <c r="CH162" s="22" t="e">
        <f t="shared" ref="CH162:CI162" ca="1" si="1234">SUM(CH156:CH161)</f>
        <v>#NAME?</v>
      </c>
      <c r="CI162" s="22" t="e">
        <f t="shared" ca="1" si="1234"/>
        <v>#NAME?</v>
      </c>
      <c r="CJ162" s="22" t="e">
        <f t="shared" ref="CJ162:DB162" ca="1" si="1235">SUM(CJ156:CJ161)</f>
        <v>#NAME?</v>
      </c>
      <c r="CK162" s="22" t="e">
        <f t="shared" ca="1" si="1235"/>
        <v>#NAME?</v>
      </c>
      <c r="CL162" s="22" t="e">
        <f t="shared" ref="CL162" ca="1" si="1236">SUM(CL156:CL161)</f>
        <v>#NAME?</v>
      </c>
      <c r="CM162" s="21" t="e">
        <f t="shared" ca="1" si="1235"/>
        <v>#NAME?</v>
      </c>
      <c r="CN162" s="21" t="e">
        <f t="shared" ca="1" si="1235"/>
        <v>#NAME?</v>
      </c>
      <c r="CO162" s="21" t="e">
        <f t="shared" ca="1" si="1235"/>
        <v>#NAME?</v>
      </c>
      <c r="CP162" s="21" t="e">
        <f t="shared" ca="1" si="1235"/>
        <v>#NAME?</v>
      </c>
      <c r="CQ162" s="21" t="e">
        <f t="shared" ca="1" si="1235"/>
        <v>#NAME?</v>
      </c>
      <c r="CR162" s="21" t="e">
        <f t="shared" ca="1" si="1235"/>
        <v>#NAME?</v>
      </c>
      <c r="CS162" s="21" t="e">
        <f t="shared" ca="1" si="1235"/>
        <v>#NAME?</v>
      </c>
      <c r="CT162" s="21" t="e">
        <f t="shared" ca="1" si="1235"/>
        <v>#NAME?</v>
      </c>
      <c r="CU162" s="21" t="e">
        <f t="shared" ca="1" si="1235"/>
        <v>#NAME?</v>
      </c>
      <c r="CV162" s="21" t="e">
        <f t="shared" ca="1" si="1235"/>
        <v>#NAME?</v>
      </c>
      <c r="CW162" s="21" t="e">
        <f t="shared" ca="1" si="1235"/>
        <v>#NAME?</v>
      </c>
      <c r="CX162" s="21" t="e">
        <f t="shared" ca="1" si="1235"/>
        <v>#NAME?</v>
      </c>
      <c r="CY162" s="21" t="e">
        <f t="shared" ca="1" si="1235"/>
        <v>#NAME?</v>
      </c>
      <c r="CZ162" s="21" t="e">
        <f t="shared" ca="1" si="1235"/>
        <v>#NAME?</v>
      </c>
      <c r="DA162" s="21" t="e">
        <f t="shared" ca="1" si="1235"/>
        <v>#NAME?</v>
      </c>
      <c r="DB162" s="21" t="e">
        <f t="shared" ca="1" si="1235"/>
        <v>#NAME?</v>
      </c>
      <c r="DE162" s="126"/>
      <c r="DF162" s="22">
        <v>3462.7350000000001</v>
      </c>
    </row>
    <row r="163" spans="1:110" s="23" customFormat="1" outlineLevel="1" x14ac:dyDescent="0.2">
      <c r="A163" s="23" t="s">
        <v>66</v>
      </c>
      <c r="B163" s="23" t="e">
        <f ca="1">'Annual Raw'!C50+'Annual Raw'!C58</f>
        <v>#NAME?</v>
      </c>
      <c r="C163" s="23" t="e">
        <f ca="1">'Annual Raw'!D50+'Annual Raw'!D58</f>
        <v>#NAME?</v>
      </c>
      <c r="D163" s="23" t="e">
        <f ca="1">'Annual Raw'!E50+'Annual Raw'!E58</f>
        <v>#NAME?</v>
      </c>
      <c r="E163" s="23" t="e">
        <f ca="1">'Annual Raw'!F50+'Annual Raw'!F58</f>
        <v>#NAME?</v>
      </c>
      <c r="F163" s="23" t="e">
        <f ca="1">'Annual Raw'!G50+'Annual Raw'!G58</f>
        <v>#NAME?</v>
      </c>
      <c r="G163" s="23" t="e">
        <f ca="1">'Annual Raw'!H50+'Annual Raw'!H58</f>
        <v>#NAME?</v>
      </c>
      <c r="H163" s="23" t="e">
        <f ca="1">'Annual Raw'!I50+'Annual Raw'!I58</f>
        <v>#NAME?</v>
      </c>
      <c r="I163" s="23" t="e">
        <f ca="1">'Annual Raw'!J50+'Annual Raw'!J58</f>
        <v>#NAME?</v>
      </c>
      <c r="J163" s="23" t="e">
        <f ca="1">'Annual Raw'!K50+'Annual Raw'!K58</f>
        <v>#NAME?</v>
      </c>
      <c r="K163" s="23" t="e">
        <f ca="1">'Annual Raw'!L50+'Annual Raw'!L58</f>
        <v>#NAME?</v>
      </c>
      <c r="L163" s="23" t="e">
        <f ca="1">'Annual Raw'!M50+'Annual Raw'!M58</f>
        <v>#NAME?</v>
      </c>
      <c r="M163" s="23" t="e">
        <f ca="1">'Annual Raw'!N50+'Annual Raw'!N58</f>
        <v>#NAME?</v>
      </c>
      <c r="N163" s="23" t="e">
        <f ca="1">'Annual Raw'!O50+'Annual Raw'!O58</f>
        <v>#NAME?</v>
      </c>
      <c r="O163" s="23" t="e">
        <f ca="1">'Annual Raw'!P50+'Annual Raw'!P58</f>
        <v>#NAME?</v>
      </c>
      <c r="P163" s="23" t="e">
        <f ca="1">'Annual Raw'!Q50+'Annual Raw'!Q58</f>
        <v>#NAME?</v>
      </c>
      <c r="Q163" s="23" t="e">
        <f ca="1">'Annual Raw'!R50+'Annual Raw'!R58</f>
        <v>#NAME?</v>
      </c>
      <c r="R163" s="23" t="e">
        <f ca="1">'Annual Raw'!S50+'Annual Raw'!S58</f>
        <v>#NAME?</v>
      </c>
      <c r="S163" s="23" t="e">
        <f ca="1">'Annual Raw'!T50+'Annual Raw'!T58</f>
        <v>#NAME?</v>
      </c>
      <c r="T163" s="23" t="e">
        <f ca="1">'Annual Raw'!U50+'Annual Raw'!U58</f>
        <v>#NAME?</v>
      </c>
      <c r="U163" s="23" t="e">
        <f ca="1">'Annual Raw'!V50+'Annual Raw'!V58</f>
        <v>#NAME?</v>
      </c>
      <c r="V163" s="23" t="e">
        <f ca="1">'Annual Raw'!W50+'Annual Raw'!W58</f>
        <v>#NAME?</v>
      </c>
      <c r="W163" s="23" t="e">
        <f ca="1">'Annual Raw'!X50+'Annual Raw'!X58</f>
        <v>#NAME?</v>
      </c>
      <c r="X163" s="23" t="e">
        <f ca="1">'Annual Raw'!Y50+'Annual Raw'!Y58</f>
        <v>#NAME?</v>
      </c>
      <c r="Y163" s="23" t="e">
        <f ca="1">'Annual Raw'!Z50+'Annual Raw'!Z58</f>
        <v>#NAME?</v>
      </c>
      <c r="Z163" s="23" t="e">
        <f ca="1">'Annual Raw'!AA50+'Annual Raw'!AA58</f>
        <v>#NAME?</v>
      </c>
      <c r="AA163" s="23" t="e">
        <f ca="1">'Annual Raw'!AB50+'Annual Raw'!AB58</f>
        <v>#NAME?</v>
      </c>
      <c r="AB163" s="24">
        <f t="shared" ref="AB163:AB169" si="1237">+CP163</f>
        <v>0</v>
      </c>
      <c r="AC163" s="24">
        <f t="shared" ref="AC163:AC169" si="1238">+CT163</f>
        <v>0</v>
      </c>
      <c r="AD163" s="24">
        <f t="shared" ref="AD163:AD169" si="1239">+CX163</f>
        <v>0</v>
      </c>
      <c r="AE163" s="24">
        <f t="shared" ref="AE163:AE169" si="1240">+DB163</f>
        <v>0</v>
      </c>
      <c r="AJ163" s="23" t="e">
        <f ca="1">+'QTR Raw'!D64</f>
        <v>#NAME?</v>
      </c>
      <c r="AK163" s="23" t="e">
        <f t="shared" ref="AK163:CE169" ca="1" si="1241">+AJ163</f>
        <v>#NAME?</v>
      </c>
      <c r="AL163" s="23" t="e">
        <f ca="1">+'QTR Raw'!F64</f>
        <v>#NAME?</v>
      </c>
      <c r="AM163" s="23" t="e">
        <f t="shared" ca="1" si="1241"/>
        <v>#NAME?</v>
      </c>
      <c r="AN163" s="23" t="e">
        <f ca="1">+'QTR Raw'!H64</f>
        <v>#NAME?</v>
      </c>
      <c r="AO163" s="23" t="e">
        <f t="shared" ca="1" si="1241"/>
        <v>#NAME?</v>
      </c>
      <c r="AP163" s="23" t="e">
        <f ca="1">+'QTR Raw'!J64</f>
        <v>#NAME?</v>
      </c>
      <c r="AQ163" s="23" t="e">
        <f t="shared" ca="1" si="1241"/>
        <v>#NAME?</v>
      </c>
      <c r="AR163" s="23" t="e">
        <f ca="1">+'QTR Raw'!L64</f>
        <v>#NAME?</v>
      </c>
      <c r="AS163" s="23" t="e">
        <f t="shared" ca="1" si="1241"/>
        <v>#NAME?</v>
      </c>
      <c r="AT163" s="23" t="e">
        <f ca="1">+'QTR Raw'!N64</f>
        <v>#NAME?</v>
      </c>
      <c r="AU163" s="23" t="e">
        <f t="shared" ca="1" si="1241"/>
        <v>#NAME?</v>
      </c>
      <c r="AV163" s="23" t="e">
        <f ca="1">+'QTR Raw'!P64</f>
        <v>#NAME?</v>
      </c>
      <c r="AW163" s="23" t="e">
        <f t="shared" ca="1" si="1241"/>
        <v>#NAME?</v>
      </c>
      <c r="AX163" s="23" t="e">
        <f ca="1">+'QTR Raw'!R64</f>
        <v>#NAME?</v>
      </c>
      <c r="AY163" s="23" t="e">
        <f t="shared" ca="1" si="1241"/>
        <v>#NAME?</v>
      </c>
      <c r="AZ163" s="23" t="e">
        <f ca="1">+'QTR Raw'!T64</f>
        <v>#NAME?</v>
      </c>
      <c r="BA163" s="23" t="e">
        <f t="shared" ca="1" si="1241"/>
        <v>#NAME?</v>
      </c>
      <c r="BB163" s="23" t="e">
        <f ca="1">+'QTR Raw'!V64</f>
        <v>#NAME?</v>
      </c>
      <c r="BC163" s="23" t="e">
        <f t="shared" ca="1" si="1241"/>
        <v>#NAME?</v>
      </c>
      <c r="BD163" s="23" t="e">
        <f ca="1">+'QTR Raw'!X64</f>
        <v>#NAME?</v>
      </c>
      <c r="BE163" s="23" t="e">
        <f t="shared" ca="1" si="1241"/>
        <v>#NAME?</v>
      </c>
      <c r="BF163" s="23" t="e">
        <f ca="1">+'QTR Raw'!Z64</f>
        <v>#NAME?</v>
      </c>
      <c r="BG163" s="23" t="e">
        <f t="shared" ca="1" si="1241"/>
        <v>#NAME?</v>
      </c>
      <c r="BH163" s="23" t="e">
        <f ca="1">+'QTR Raw'!AB64</f>
        <v>#NAME?</v>
      </c>
      <c r="BI163" s="23" t="e">
        <f t="shared" ca="1" si="1241"/>
        <v>#NAME?</v>
      </c>
      <c r="BJ163" s="23" t="e">
        <f ca="1">+'QTR Raw'!AD64</f>
        <v>#NAME?</v>
      </c>
      <c r="BK163" s="23" t="e">
        <f t="shared" ca="1" si="1241"/>
        <v>#NAME?</v>
      </c>
      <c r="BL163" s="23" t="e">
        <f ca="1">+'QTR Raw'!AF64</f>
        <v>#NAME?</v>
      </c>
      <c r="BM163" s="23" t="e">
        <f t="shared" ca="1" si="1241"/>
        <v>#NAME?</v>
      </c>
      <c r="BN163" s="23" t="e">
        <f ca="1">+'QTR Raw'!AH64</f>
        <v>#NAME?</v>
      </c>
      <c r="BO163" s="23" t="e">
        <f t="shared" ca="1" si="1241"/>
        <v>#NAME?</v>
      </c>
      <c r="BP163" s="23" t="e">
        <f ca="1">+'QTR Raw'!AJ64</f>
        <v>#NAME?</v>
      </c>
      <c r="BQ163" s="23" t="e">
        <f t="shared" ca="1" si="1241"/>
        <v>#NAME?</v>
      </c>
      <c r="BR163" s="23" t="e">
        <f ca="1">+'QTR Raw'!AL64</f>
        <v>#NAME?</v>
      </c>
      <c r="BS163" s="23" t="e">
        <f t="shared" ca="1" si="1241"/>
        <v>#NAME?</v>
      </c>
      <c r="BT163" s="23" t="e">
        <f ca="1">+'QTR Raw'!AN64</f>
        <v>#NAME?</v>
      </c>
      <c r="BU163" s="23" t="e">
        <f t="shared" ca="1" si="1241"/>
        <v>#NAME?</v>
      </c>
      <c r="BV163" s="23" t="e">
        <f ca="1">+'QTR Raw'!AP64</f>
        <v>#NAME?</v>
      </c>
      <c r="BW163" s="23" t="e">
        <f t="shared" ca="1" si="1241"/>
        <v>#NAME?</v>
      </c>
      <c r="BX163" s="23" t="e">
        <f ca="1">+'QTR Raw'!AR64</f>
        <v>#NAME?</v>
      </c>
      <c r="BY163" s="23" t="e">
        <f t="shared" ca="1" si="1241"/>
        <v>#NAME?</v>
      </c>
      <c r="BZ163" s="23" t="e">
        <f ca="1">+'QTR Raw'!AT64</f>
        <v>#NAME?</v>
      </c>
      <c r="CA163" s="23" t="e">
        <f t="shared" ca="1" si="1241"/>
        <v>#NAME?</v>
      </c>
      <c r="CB163" s="23" t="e">
        <f ca="1">+'QTR Raw'!AV64</f>
        <v>#NAME?</v>
      </c>
      <c r="CC163" s="23" t="e">
        <f t="shared" ca="1" si="1241"/>
        <v>#NAME?</v>
      </c>
      <c r="CD163" s="23" t="e">
        <f ca="1">+'QTR Raw'!AX64</f>
        <v>#NAME?</v>
      </c>
      <c r="CE163" s="23" t="e">
        <f t="shared" ca="1" si="1241"/>
        <v>#NAME?</v>
      </c>
      <c r="CF163" s="23" t="e">
        <f ca="1">+'QTR Raw'!AZ64</f>
        <v>#NAME?</v>
      </c>
      <c r="CG163" s="23" t="e">
        <f t="shared" ref="CG163:CG166" ca="1" si="1242">+CF163</f>
        <v>#NAME?</v>
      </c>
      <c r="CH163" s="23" t="e">
        <f t="shared" ca="1" si="1195"/>
        <v>#NAME?</v>
      </c>
      <c r="CJ163" s="23" t="e">
        <f ca="1">+'QTR Raw'!BD64</f>
        <v>#NAME?</v>
      </c>
      <c r="CL163" s="23" t="e">
        <f ca="1">+'QTR Raw'!BF64</f>
        <v>#NAME?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16.988</v>
      </c>
    </row>
    <row r="164" spans="1:110" s="23" customFormat="1" outlineLevel="1" x14ac:dyDescent="0.2">
      <c r="A164" s="23" t="s">
        <v>67</v>
      </c>
      <c r="B164" s="23" t="e">
        <f ca="1">'Annual Raw'!C51</f>
        <v>#NAME?</v>
      </c>
      <c r="C164" s="23" t="e">
        <f ca="1">'Annual Raw'!D51</f>
        <v>#NAME?</v>
      </c>
      <c r="D164" s="23" t="e">
        <f ca="1">'Annual Raw'!E51</f>
        <v>#NAME?</v>
      </c>
      <c r="E164" s="23" t="e">
        <f ca="1">'Annual Raw'!F51</f>
        <v>#NAME?</v>
      </c>
      <c r="F164" s="23" t="e">
        <f ca="1">'Annual Raw'!G51</f>
        <v>#NAME?</v>
      </c>
      <c r="G164" s="23" t="e">
        <f ca="1">'Annual Raw'!H51</f>
        <v>#NAME?</v>
      </c>
      <c r="H164" s="23" t="e">
        <f ca="1">'Annual Raw'!I51</f>
        <v>#NAME?</v>
      </c>
      <c r="I164" s="23" t="e">
        <f ca="1">'Annual Raw'!J51</f>
        <v>#NAME?</v>
      </c>
      <c r="J164" s="23" t="e">
        <f ca="1">'Annual Raw'!K51</f>
        <v>#NAME?</v>
      </c>
      <c r="K164" s="23" t="e">
        <f ca="1">'Annual Raw'!L51</f>
        <v>#NAME?</v>
      </c>
      <c r="L164" s="23" t="e">
        <f ca="1">'Annual Raw'!M51</f>
        <v>#NAME?</v>
      </c>
      <c r="M164" s="23" t="e">
        <f ca="1">'Annual Raw'!N51</f>
        <v>#NAME?</v>
      </c>
      <c r="N164" s="23" t="e">
        <f ca="1">'Annual Raw'!O51</f>
        <v>#NAME?</v>
      </c>
      <c r="O164" s="23" t="e">
        <f ca="1">'Annual Raw'!P51</f>
        <v>#NAME?</v>
      </c>
      <c r="P164" s="23" t="e">
        <f ca="1">'Annual Raw'!Q51</f>
        <v>#NAME?</v>
      </c>
      <c r="Q164" s="23" t="e">
        <f ca="1">'Annual Raw'!R51</f>
        <v>#NAME?</v>
      </c>
      <c r="R164" s="23" t="e">
        <f ca="1">'Annual Raw'!S51</f>
        <v>#NAME?</v>
      </c>
      <c r="S164" s="23" t="e">
        <f ca="1">'Annual Raw'!T51</f>
        <v>#NAME?</v>
      </c>
      <c r="T164" s="23" t="e">
        <f ca="1">'Annual Raw'!U51</f>
        <v>#NAME?</v>
      </c>
      <c r="U164" s="23" t="e">
        <f ca="1">'Annual Raw'!V51</f>
        <v>#NAME?</v>
      </c>
      <c r="V164" s="23" t="e">
        <f ca="1">'Annual Raw'!W51</f>
        <v>#NAME?</v>
      </c>
      <c r="W164" s="23" t="e">
        <f ca="1">'Annual Raw'!X51</f>
        <v>#NAME?</v>
      </c>
      <c r="X164" s="23" t="e">
        <f ca="1">'Annual Raw'!Y51</f>
        <v>#NAME?</v>
      </c>
      <c r="Y164" s="23" t="e">
        <f ca="1">'Annual Raw'!Z51</f>
        <v>#NAME?</v>
      </c>
      <c r="Z164" s="23" t="e">
        <f ca="1">'Annual Raw'!AA51</f>
        <v>#NAME?</v>
      </c>
      <c r="AA164" s="23" t="e">
        <f ca="1">'Annual Raw'!AB51</f>
        <v>#NAME?</v>
      </c>
      <c r="AB164" s="24">
        <f t="shared" si="1237"/>
        <v>0</v>
      </c>
      <c r="AC164" s="24">
        <f t="shared" si="1238"/>
        <v>0</v>
      </c>
      <c r="AD164" s="24">
        <f t="shared" si="1239"/>
        <v>0</v>
      </c>
      <c r="AE164" s="24">
        <f t="shared" si="1240"/>
        <v>0</v>
      </c>
      <c r="AJ164" s="23" t="e">
        <f ca="1">+'QTR Raw'!D65</f>
        <v>#NAME?</v>
      </c>
      <c r="AK164" s="23" t="e">
        <f t="shared" ca="1" si="1241"/>
        <v>#NAME?</v>
      </c>
      <c r="AL164" s="23" t="e">
        <f ca="1">+'QTR Raw'!F65</f>
        <v>#NAME?</v>
      </c>
      <c r="AM164" s="23" t="e">
        <f t="shared" ca="1" si="1241"/>
        <v>#NAME?</v>
      </c>
      <c r="AN164" s="23" t="e">
        <f ca="1">+'QTR Raw'!H65</f>
        <v>#NAME?</v>
      </c>
      <c r="AO164" s="23" t="e">
        <f t="shared" ca="1" si="1241"/>
        <v>#NAME?</v>
      </c>
      <c r="AP164" s="23" t="e">
        <f ca="1">+'QTR Raw'!J65</f>
        <v>#NAME?</v>
      </c>
      <c r="AQ164" s="23" t="e">
        <f t="shared" ca="1" si="1241"/>
        <v>#NAME?</v>
      </c>
      <c r="AR164" s="23" t="e">
        <f ca="1">+'QTR Raw'!L65</f>
        <v>#NAME?</v>
      </c>
      <c r="AS164" s="23" t="e">
        <f t="shared" ca="1" si="1241"/>
        <v>#NAME?</v>
      </c>
      <c r="AT164" s="23" t="e">
        <f ca="1">+'QTR Raw'!N65</f>
        <v>#NAME?</v>
      </c>
      <c r="AU164" s="23" t="e">
        <f t="shared" ca="1" si="1241"/>
        <v>#NAME?</v>
      </c>
      <c r="AV164" s="23" t="e">
        <f ca="1">+'QTR Raw'!P65</f>
        <v>#NAME?</v>
      </c>
      <c r="AW164" s="23" t="e">
        <f t="shared" ca="1" si="1241"/>
        <v>#NAME?</v>
      </c>
      <c r="AX164" s="23" t="e">
        <f ca="1">+'QTR Raw'!R65</f>
        <v>#NAME?</v>
      </c>
      <c r="AY164" s="23" t="e">
        <f t="shared" ca="1" si="1241"/>
        <v>#NAME?</v>
      </c>
      <c r="AZ164" s="23" t="e">
        <f ca="1">+'QTR Raw'!T65</f>
        <v>#NAME?</v>
      </c>
      <c r="BA164" s="23" t="e">
        <f t="shared" ca="1" si="1241"/>
        <v>#NAME?</v>
      </c>
      <c r="BB164" s="23" t="e">
        <f ca="1">+'QTR Raw'!V65</f>
        <v>#NAME?</v>
      </c>
      <c r="BC164" s="23" t="e">
        <f t="shared" ca="1" si="1241"/>
        <v>#NAME?</v>
      </c>
      <c r="BD164" s="23" t="e">
        <f ca="1">+'QTR Raw'!X65</f>
        <v>#NAME?</v>
      </c>
      <c r="BE164" s="23" t="e">
        <f t="shared" ca="1" si="1241"/>
        <v>#NAME?</v>
      </c>
      <c r="BF164" s="23" t="e">
        <f ca="1">+'QTR Raw'!Z65</f>
        <v>#NAME?</v>
      </c>
      <c r="BG164" s="23" t="e">
        <f t="shared" ca="1" si="1241"/>
        <v>#NAME?</v>
      </c>
      <c r="BH164" s="23" t="e">
        <f ca="1">+'QTR Raw'!AB65</f>
        <v>#NAME?</v>
      </c>
      <c r="BI164" s="23" t="e">
        <f t="shared" ca="1" si="1241"/>
        <v>#NAME?</v>
      </c>
      <c r="BJ164" s="23" t="e">
        <f ca="1">+'QTR Raw'!AD65</f>
        <v>#NAME?</v>
      </c>
      <c r="BK164" s="23" t="e">
        <f t="shared" ca="1" si="1241"/>
        <v>#NAME?</v>
      </c>
      <c r="BL164" s="23" t="e">
        <f ca="1">+'QTR Raw'!AF65</f>
        <v>#NAME?</v>
      </c>
      <c r="BM164" s="23" t="e">
        <f t="shared" ca="1" si="1241"/>
        <v>#NAME?</v>
      </c>
      <c r="BN164" s="23" t="e">
        <f ca="1">+'QTR Raw'!AH65</f>
        <v>#NAME?</v>
      </c>
      <c r="BO164" s="23" t="e">
        <f t="shared" ca="1" si="1241"/>
        <v>#NAME?</v>
      </c>
      <c r="BP164" s="23" t="e">
        <f ca="1">+'QTR Raw'!AJ65</f>
        <v>#NAME?</v>
      </c>
      <c r="BQ164" s="23" t="e">
        <f t="shared" ca="1" si="1241"/>
        <v>#NAME?</v>
      </c>
      <c r="BR164" s="23" t="e">
        <f ca="1">+'QTR Raw'!AL65</f>
        <v>#NAME?</v>
      </c>
      <c r="BS164" s="23" t="e">
        <f t="shared" ca="1" si="1241"/>
        <v>#NAME?</v>
      </c>
      <c r="BT164" s="23" t="e">
        <f ca="1">+'QTR Raw'!AN65</f>
        <v>#NAME?</v>
      </c>
      <c r="BU164" s="23" t="e">
        <f t="shared" ca="1" si="1241"/>
        <v>#NAME?</v>
      </c>
      <c r="BV164" s="23" t="e">
        <f ca="1">+'QTR Raw'!AP65</f>
        <v>#NAME?</v>
      </c>
      <c r="BW164" s="23" t="e">
        <f t="shared" ca="1" si="1241"/>
        <v>#NAME?</v>
      </c>
      <c r="BX164" s="23" t="e">
        <f ca="1">+'QTR Raw'!AR65</f>
        <v>#NAME?</v>
      </c>
      <c r="BY164" s="23" t="e">
        <f t="shared" ca="1" si="1241"/>
        <v>#NAME?</v>
      </c>
      <c r="BZ164" s="23" t="e">
        <f ca="1">+'QTR Raw'!AT65</f>
        <v>#NAME?</v>
      </c>
      <c r="CA164" s="23" t="e">
        <f t="shared" ca="1" si="1241"/>
        <v>#NAME?</v>
      </c>
      <c r="CB164" s="23" t="e">
        <f ca="1">+'QTR Raw'!AV65</f>
        <v>#NAME?</v>
      </c>
      <c r="CC164" s="23" t="e">
        <f t="shared" ca="1" si="1241"/>
        <v>#NAME?</v>
      </c>
      <c r="CD164" s="23" t="e">
        <f ca="1">+'QTR Raw'!AX65</f>
        <v>#NAME?</v>
      </c>
      <c r="CE164" s="23" t="e">
        <f t="shared" ca="1" si="1241"/>
        <v>#NAME?</v>
      </c>
      <c r="CF164" s="23" t="e">
        <f ca="1">+'QTR Raw'!AZ65</f>
        <v>#NAME?</v>
      </c>
      <c r="CG164" s="23" t="e">
        <f t="shared" ca="1" si="1242"/>
        <v>#NAME?</v>
      </c>
      <c r="CH164" s="23" t="e">
        <f t="shared" ca="1" si="1195"/>
        <v>#NAME?</v>
      </c>
      <c r="CJ164" s="23" t="e">
        <f ca="1">+'QTR Raw'!BD65</f>
        <v>#NAME?</v>
      </c>
      <c r="CL164" s="23" t="e">
        <f ca="1">+'QTR Raw'!BF65</f>
        <v>#NAME?</v>
      </c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23"/>
      <c r="DF164" s="23">
        <v>0</v>
      </c>
    </row>
    <row r="165" spans="1:110" s="23" customFormat="1" outlineLevel="1" x14ac:dyDescent="0.2">
      <c r="A165" s="23" t="s">
        <v>68</v>
      </c>
      <c r="B165" s="23" t="e">
        <f ca="1">'Annual Raw'!C52</f>
        <v>#NAME?</v>
      </c>
      <c r="C165" s="23" t="e">
        <f ca="1">'Annual Raw'!D52</f>
        <v>#NAME?</v>
      </c>
      <c r="D165" s="23" t="e">
        <f ca="1">'Annual Raw'!E52</f>
        <v>#NAME?</v>
      </c>
      <c r="E165" s="23" t="e">
        <f ca="1">'Annual Raw'!F52</f>
        <v>#NAME?</v>
      </c>
      <c r="F165" s="23" t="e">
        <f ca="1">'Annual Raw'!G52</f>
        <v>#NAME?</v>
      </c>
      <c r="G165" s="23" t="e">
        <f ca="1">'Annual Raw'!H52</f>
        <v>#NAME?</v>
      </c>
      <c r="H165" s="23" t="e">
        <f ca="1">'Annual Raw'!I52</f>
        <v>#NAME?</v>
      </c>
      <c r="I165" s="23" t="e">
        <f ca="1">'Annual Raw'!J52</f>
        <v>#NAME?</v>
      </c>
      <c r="J165" s="23" t="e">
        <f ca="1">'Annual Raw'!K52</f>
        <v>#NAME?</v>
      </c>
      <c r="K165" s="23" t="e">
        <f ca="1">'Annual Raw'!L52</f>
        <v>#NAME?</v>
      </c>
      <c r="L165" s="23" t="e">
        <f ca="1">'Annual Raw'!M52</f>
        <v>#NAME?</v>
      </c>
      <c r="M165" s="23" t="e">
        <f ca="1">'Annual Raw'!N52</f>
        <v>#NAME?</v>
      </c>
      <c r="N165" s="23" t="e">
        <f ca="1">'Annual Raw'!O52</f>
        <v>#NAME?</v>
      </c>
      <c r="O165" s="23" t="e">
        <f ca="1">'Annual Raw'!P52</f>
        <v>#NAME?</v>
      </c>
      <c r="P165" s="23" t="e">
        <f ca="1">'Annual Raw'!Q52</f>
        <v>#NAME?</v>
      </c>
      <c r="Q165" s="23" t="e">
        <f ca="1">'Annual Raw'!R52</f>
        <v>#NAME?</v>
      </c>
      <c r="R165" s="23" t="e">
        <f ca="1">'Annual Raw'!S52</f>
        <v>#NAME?</v>
      </c>
      <c r="S165" s="23" t="e">
        <f ca="1">'Annual Raw'!T52</f>
        <v>#NAME?</v>
      </c>
      <c r="T165" s="23" t="e">
        <f ca="1">'Annual Raw'!U52</f>
        <v>#NAME?</v>
      </c>
      <c r="U165" s="23" t="e">
        <f ca="1">'Annual Raw'!V52</f>
        <v>#NAME?</v>
      </c>
      <c r="V165" s="23" t="e">
        <f ca="1">'Annual Raw'!W52</f>
        <v>#NAME?</v>
      </c>
      <c r="W165" s="23" t="e">
        <f ca="1">'Annual Raw'!X52</f>
        <v>#NAME?</v>
      </c>
      <c r="X165" s="23" t="e">
        <f ca="1">'Annual Raw'!Y52</f>
        <v>#NAME?</v>
      </c>
      <c r="Y165" s="23" t="e">
        <f ca="1">'Annual Raw'!Z52</f>
        <v>#NAME?</v>
      </c>
      <c r="Z165" s="23" t="e">
        <f ca="1">'Annual Raw'!AA52</f>
        <v>#NAME?</v>
      </c>
      <c r="AA165" s="23" t="e">
        <f ca="1">'Annual Raw'!AB52</f>
        <v>#NAME?</v>
      </c>
      <c r="AB165" s="24">
        <f t="shared" si="1237"/>
        <v>0</v>
      </c>
      <c r="AC165" s="24">
        <f t="shared" si="1238"/>
        <v>0</v>
      </c>
      <c r="AD165" s="24">
        <f t="shared" si="1239"/>
        <v>0</v>
      </c>
      <c r="AE165" s="24">
        <f t="shared" si="1240"/>
        <v>0</v>
      </c>
      <c r="AJ165" s="23" t="e">
        <f ca="1">+'QTR Raw'!D66</f>
        <v>#NAME?</v>
      </c>
      <c r="AK165" s="23" t="e">
        <f t="shared" ca="1" si="1241"/>
        <v>#NAME?</v>
      </c>
      <c r="AL165" s="23" t="e">
        <f ca="1">+'QTR Raw'!F66</f>
        <v>#NAME?</v>
      </c>
      <c r="AM165" s="23" t="e">
        <f t="shared" ca="1" si="1241"/>
        <v>#NAME?</v>
      </c>
      <c r="AN165" s="23" t="e">
        <f ca="1">+'QTR Raw'!H66</f>
        <v>#NAME?</v>
      </c>
      <c r="AO165" s="23" t="e">
        <f t="shared" ca="1" si="1241"/>
        <v>#NAME?</v>
      </c>
      <c r="AP165" s="23" t="e">
        <f ca="1">+'QTR Raw'!J66</f>
        <v>#NAME?</v>
      </c>
      <c r="AQ165" s="23" t="e">
        <f t="shared" ca="1" si="1241"/>
        <v>#NAME?</v>
      </c>
      <c r="AR165" s="23" t="e">
        <f ca="1">+'QTR Raw'!L66</f>
        <v>#NAME?</v>
      </c>
      <c r="AS165" s="23" t="e">
        <f t="shared" ca="1" si="1241"/>
        <v>#NAME?</v>
      </c>
      <c r="AT165" s="23" t="e">
        <f ca="1">+'QTR Raw'!N66</f>
        <v>#NAME?</v>
      </c>
      <c r="AU165" s="23" t="e">
        <f t="shared" ca="1" si="1241"/>
        <v>#NAME?</v>
      </c>
      <c r="AV165" s="23" t="e">
        <f ca="1">+'QTR Raw'!P66</f>
        <v>#NAME?</v>
      </c>
      <c r="AW165" s="23" t="e">
        <f t="shared" ca="1" si="1241"/>
        <v>#NAME?</v>
      </c>
      <c r="AX165" s="23" t="e">
        <f ca="1">+'QTR Raw'!R66</f>
        <v>#NAME?</v>
      </c>
      <c r="AY165" s="23" t="e">
        <f t="shared" ca="1" si="1241"/>
        <v>#NAME?</v>
      </c>
      <c r="AZ165" s="23" t="e">
        <f ca="1">+'QTR Raw'!T66</f>
        <v>#NAME?</v>
      </c>
      <c r="BA165" s="23" t="e">
        <f t="shared" ca="1" si="1241"/>
        <v>#NAME?</v>
      </c>
      <c r="BB165" s="23" t="e">
        <f ca="1">+'QTR Raw'!V66</f>
        <v>#NAME?</v>
      </c>
      <c r="BC165" s="23" t="e">
        <f t="shared" ca="1" si="1241"/>
        <v>#NAME?</v>
      </c>
      <c r="BD165" s="23" t="e">
        <f ca="1">+'QTR Raw'!X66</f>
        <v>#NAME?</v>
      </c>
      <c r="BE165" s="23" t="e">
        <f t="shared" ca="1" si="1241"/>
        <v>#NAME?</v>
      </c>
      <c r="BF165" s="23" t="e">
        <f ca="1">+'QTR Raw'!Z66</f>
        <v>#NAME?</v>
      </c>
      <c r="BG165" s="23" t="e">
        <f t="shared" ca="1" si="1241"/>
        <v>#NAME?</v>
      </c>
      <c r="BH165" s="23" t="e">
        <f ca="1">+'QTR Raw'!AB66</f>
        <v>#NAME?</v>
      </c>
      <c r="BI165" s="23" t="e">
        <f t="shared" ca="1" si="1241"/>
        <v>#NAME?</v>
      </c>
      <c r="BJ165" s="23" t="e">
        <f ca="1">+'QTR Raw'!AD66</f>
        <v>#NAME?</v>
      </c>
      <c r="BK165" s="23" t="e">
        <f t="shared" ca="1" si="1241"/>
        <v>#NAME?</v>
      </c>
      <c r="BL165" s="23" t="e">
        <f ca="1">+'QTR Raw'!AF66</f>
        <v>#NAME?</v>
      </c>
      <c r="BM165" s="23" t="e">
        <f t="shared" ca="1" si="1241"/>
        <v>#NAME?</v>
      </c>
      <c r="BN165" s="23" t="e">
        <f ca="1">+'QTR Raw'!AH66</f>
        <v>#NAME?</v>
      </c>
      <c r="BO165" s="23" t="e">
        <f t="shared" ca="1" si="1241"/>
        <v>#NAME?</v>
      </c>
      <c r="BP165" s="23" t="e">
        <f ca="1">+'QTR Raw'!AJ66</f>
        <v>#NAME?</v>
      </c>
      <c r="BQ165" s="23" t="e">
        <f t="shared" ca="1" si="1241"/>
        <v>#NAME?</v>
      </c>
      <c r="BR165" s="23" t="e">
        <f ca="1">+'QTR Raw'!AL66</f>
        <v>#NAME?</v>
      </c>
      <c r="BS165" s="23" t="e">
        <f t="shared" ca="1" si="1241"/>
        <v>#NAME?</v>
      </c>
      <c r="BT165" s="23" t="e">
        <f ca="1">+'QTR Raw'!AN66</f>
        <v>#NAME?</v>
      </c>
      <c r="BU165" s="23" t="e">
        <f t="shared" ca="1" si="1241"/>
        <v>#NAME?</v>
      </c>
      <c r="BV165" s="23" t="e">
        <f ca="1">+'QTR Raw'!AP66</f>
        <v>#NAME?</v>
      </c>
      <c r="BW165" s="23" t="e">
        <f t="shared" ca="1" si="1241"/>
        <v>#NAME?</v>
      </c>
      <c r="BX165" s="23" t="e">
        <f ca="1">+'QTR Raw'!AR66</f>
        <v>#NAME?</v>
      </c>
      <c r="BY165" s="23" t="e">
        <f t="shared" ca="1" si="1241"/>
        <v>#NAME?</v>
      </c>
      <c r="BZ165" s="23" t="e">
        <f ca="1">+'QTR Raw'!AT66</f>
        <v>#NAME?</v>
      </c>
      <c r="CA165" s="23" t="e">
        <f t="shared" ca="1" si="1241"/>
        <v>#NAME?</v>
      </c>
      <c r="CB165" s="23" t="e">
        <f ca="1">+'QTR Raw'!AV66</f>
        <v>#NAME?</v>
      </c>
      <c r="CC165" s="23" t="e">
        <f t="shared" ca="1" si="1241"/>
        <v>#NAME?</v>
      </c>
      <c r="CD165" s="23" t="e">
        <f ca="1">+'QTR Raw'!AX66</f>
        <v>#NAME?</v>
      </c>
      <c r="CE165" s="23" t="e">
        <f t="shared" ca="1" si="1241"/>
        <v>#NAME?</v>
      </c>
      <c r="CF165" s="23" t="e">
        <f ca="1">+'QTR Raw'!AZ66</f>
        <v>#NAME?</v>
      </c>
      <c r="CG165" s="23" t="e">
        <f t="shared" ca="1" si="1242"/>
        <v>#NAME?</v>
      </c>
      <c r="CH165" s="23" t="e">
        <f t="shared" ca="1" si="1195"/>
        <v>#NAME?</v>
      </c>
      <c r="CJ165" s="23" t="e">
        <f ca="1">+'QTR Raw'!BD66</f>
        <v>#NAME?</v>
      </c>
      <c r="CL165" s="23" t="e">
        <f ca="1">+'QTR Raw'!BF66</f>
        <v>#NAME?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84.903000000000006</v>
      </c>
    </row>
    <row r="166" spans="1:110" s="23" customFormat="1" outlineLevel="1" x14ac:dyDescent="0.2">
      <c r="A166" s="23" t="s">
        <v>69</v>
      </c>
      <c r="B166" s="23">
        <v>0</v>
      </c>
      <c r="C166" s="23">
        <v>0</v>
      </c>
      <c r="D166" s="23">
        <v>0</v>
      </c>
      <c r="E166" s="23">
        <v>0</v>
      </c>
      <c r="F166" s="23">
        <v>0</v>
      </c>
      <c r="G166" s="23">
        <v>0</v>
      </c>
      <c r="H166" s="23">
        <v>0</v>
      </c>
      <c r="I166" s="23">
        <v>0</v>
      </c>
      <c r="J166" s="23">
        <v>0</v>
      </c>
      <c r="K166" s="23">
        <v>0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23">
        <v>0</v>
      </c>
      <c r="R166" s="23">
        <v>0</v>
      </c>
      <c r="S166" s="23">
        <v>0</v>
      </c>
      <c r="T166" s="23">
        <v>0</v>
      </c>
      <c r="U166" s="23">
        <v>0</v>
      </c>
      <c r="V166" s="23">
        <v>0</v>
      </c>
      <c r="W166" s="23">
        <v>0</v>
      </c>
      <c r="X166" s="23">
        <v>0</v>
      </c>
      <c r="Y166" s="23">
        <v>0</v>
      </c>
      <c r="Z166" s="23">
        <v>0</v>
      </c>
      <c r="AA166" s="23">
        <v>0</v>
      </c>
      <c r="AB166" s="24" t="e">
        <f t="shared" ca="1" si="1237"/>
        <v>#NAME?</v>
      </c>
      <c r="AC166" s="24" t="e">
        <f t="shared" ca="1" si="1238"/>
        <v>#NAME?</v>
      </c>
      <c r="AD166" s="24" t="e">
        <f t="shared" ca="1" si="1239"/>
        <v>#NAME?</v>
      </c>
      <c r="AE166" s="24" t="e">
        <f t="shared" ca="1" si="1240"/>
        <v>#NAME?</v>
      </c>
      <c r="AJ166" s="23" t="e">
        <f ca="1">+'QTR Raw'!D87</f>
        <v>#NAME?</v>
      </c>
      <c r="AK166" s="23" t="e">
        <f t="shared" ca="1" si="1241"/>
        <v>#NAME?</v>
      </c>
      <c r="AL166" s="23" t="e">
        <f ca="1">+'QTR Raw'!F87</f>
        <v>#NAME?</v>
      </c>
      <c r="AM166" s="23" t="e">
        <f t="shared" ca="1" si="1241"/>
        <v>#NAME?</v>
      </c>
      <c r="AN166" s="23" t="e">
        <f ca="1">+'QTR Raw'!H87</f>
        <v>#NAME?</v>
      </c>
      <c r="AO166" s="23" t="e">
        <f t="shared" ca="1" si="1241"/>
        <v>#NAME?</v>
      </c>
      <c r="AP166" s="23" t="e">
        <f ca="1">+'QTR Raw'!J87</f>
        <v>#NAME?</v>
      </c>
      <c r="AQ166" s="23" t="e">
        <f t="shared" ca="1" si="1241"/>
        <v>#NAME?</v>
      </c>
      <c r="AR166" s="23" t="e">
        <f ca="1">+'QTR Raw'!L87</f>
        <v>#NAME?</v>
      </c>
      <c r="AS166" s="23" t="e">
        <f t="shared" ca="1" si="1241"/>
        <v>#NAME?</v>
      </c>
      <c r="AT166" s="23" t="e">
        <f ca="1">+'QTR Raw'!N87</f>
        <v>#NAME?</v>
      </c>
      <c r="AU166" s="23" t="e">
        <f t="shared" ca="1" si="1241"/>
        <v>#NAME?</v>
      </c>
      <c r="AV166" s="23" t="e">
        <f ca="1">+'QTR Raw'!P87</f>
        <v>#NAME?</v>
      </c>
      <c r="AW166" s="23" t="e">
        <f t="shared" ca="1" si="1241"/>
        <v>#NAME?</v>
      </c>
      <c r="AX166" s="23" t="e">
        <f ca="1">+'QTR Raw'!R87</f>
        <v>#NAME?</v>
      </c>
      <c r="AY166" s="23" t="e">
        <f t="shared" ca="1" si="1241"/>
        <v>#NAME?</v>
      </c>
      <c r="AZ166" s="23" t="e">
        <f ca="1">+'QTR Raw'!T87</f>
        <v>#NAME?</v>
      </c>
      <c r="BA166" s="23" t="e">
        <f t="shared" ca="1" si="1241"/>
        <v>#NAME?</v>
      </c>
      <c r="BB166" s="23" t="e">
        <f ca="1">+'QTR Raw'!V87</f>
        <v>#NAME?</v>
      </c>
      <c r="BC166" s="23" t="e">
        <f t="shared" ca="1" si="1241"/>
        <v>#NAME?</v>
      </c>
      <c r="BD166" s="23" t="e">
        <f ca="1">+'QTR Raw'!X87</f>
        <v>#NAME?</v>
      </c>
      <c r="BE166" s="23" t="e">
        <f t="shared" ca="1" si="1241"/>
        <v>#NAME?</v>
      </c>
      <c r="BF166" s="23" t="e">
        <f ca="1">+'QTR Raw'!Z87</f>
        <v>#NAME?</v>
      </c>
      <c r="BG166" s="23" t="e">
        <f t="shared" ca="1" si="1241"/>
        <v>#NAME?</v>
      </c>
      <c r="BH166" s="23" t="e">
        <f ca="1">+'QTR Raw'!AB87</f>
        <v>#NAME?</v>
      </c>
      <c r="BI166" s="23" t="e">
        <f t="shared" ca="1" si="1241"/>
        <v>#NAME?</v>
      </c>
      <c r="BJ166" s="23" t="e">
        <f ca="1">+'QTR Raw'!AD87</f>
        <v>#NAME?</v>
      </c>
      <c r="BK166" s="23" t="e">
        <f t="shared" ca="1" si="1241"/>
        <v>#NAME?</v>
      </c>
      <c r="BL166" s="23" t="e">
        <f ca="1">+'QTR Raw'!AF87</f>
        <v>#NAME?</v>
      </c>
      <c r="BM166" s="23" t="e">
        <f t="shared" ca="1" si="1241"/>
        <v>#NAME?</v>
      </c>
      <c r="BN166" s="23" t="e">
        <f ca="1">+'QTR Raw'!AH87</f>
        <v>#NAME?</v>
      </c>
      <c r="BO166" s="23" t="e">
        <f t="shared" ca="1" si="1241"/>
        <v>#NAME?</v>
      </c>
      <c r="BP166" s="23" t="e">
        <f ca="1">+'QTR Raw'!AJ87</f>
        <v>#NAME?</v>
      </c>
      <c r="BQ166" s="23" t="e">
        <f t="shared" ca="1" si="1241"/>
        <v>#NAME?</v>
      </c>
      <c r="BR166" s="23" t="e">
        <f ca="1">+'QTR Raw'!AL87</f>
        <v>#NAME?</v>
      </c>
      <c r="BS166" s="23" t="e">
        <f t="shared" ca="1" si="1241"/>
        <v>#NAME?</v>
      </c>
      <c r="BT166" s="23" t="e">
        <f ca="1">+'QTR Raw'!AN87</f>
        <v>#NAME?</v>
      </c>
      <c r="BU166" s="23" t="e">
        <f t="shared" ca="1" si="1241"/>
        <v>#NAME?</v>
      </c>
      <c r="BV166" s="23" t="e">
        <f ca="1">+'QTR Raw'!AP87</f>
        <v>#NAME?</v>
      </c>
      <c r="BW166" s="23" t="e">
        <f t="shared" ca="1" si="1241"/>
        <v>#NAME?</v>
      </c>
      <c r="BX166" s="23" t="e">
        <f ca="1">+'QTR Raw'!AR87</f>
        <v>#NAME?</v>
      </c>
      <c r="BY166" s="23" t="e">
        <f t="shared" ca="1" si="1241"/>
        <v>#NAME?</v>
      </c>
      <c r="BZ166" s="23" t="e">
        <f ca="1">+'QTR Raw'!AT87</f>
        <v>#NAME?</v>
      </c>
      <c r="CA166" s="23" t="e">
        <f t="shared" ca="1" si="1241"/>
        <v>#NAME?</v>
      </c>
      <c r="CB166" s="23" t="e">
        <f ca="1">+'QTR Raw'!AV87</f>
        <v>#NAME?</v>
      </c>
      <c r="CC166" s="23" t="e">
        <f t="shared" ca="1" si="1241"/>
        <v>#NAME?</v>
      </c>
      <c r="CD166" s="23" t="e">
        <f ca="1">+'QTR Raw'!AX87</f>
        <v>#NAME?</v>
      </c>
      <c r="CE166" s="23" t="e">
        <f t="shared" ca="1" si="1241"/>
        <v>#NAME?</v>
      </c>
      <c r="CF166" s="23" t="e">
        <f ca="1">+'QTR Raw'!AZ87</f>
        <v>#NAME?</v>
      </c>
      <c r="CG166" s="23" t="e">
        <f t="shared" ca="1" si="1242"/>
        <v>#NAME?</v>
      </c>
      <c r="CH166" s="23">
        <f t="shared" si="1195"/>
        <v>0</v>
      </c>
      <c r="CI166" s="23" t="e">
        <f ca="1">CI24/90*CI198</f>
        <v>#NAME?</v>
      </c>
      <c r="CJ166" s="23" t="e">
        <f ca="1">+'QTR Raw'!BD87</f>
        <v>#NAME?</v>
      </c>
      <c r="CK166" s="23" t="e">
        <f t="shared" ref="CK166:DB166" ca="1" si="1243">CK24/90*CK198</f>
        <v>#NAME?</v>
      </c>
      <c r="CL166" s="23" t="e">
        <f ca="1">+'QTR Raw'!BF87</f>
        <v>#NAME?</v>
      </c>
      <c r="CM166" s="24" t="e">
        <f t="shared" ca="1" si="1243"/>
        <v>#NAME?</v>
      </c>
      <c r="CN166" s="24" t="e">
        <f t="shared" ca="1" si="1243"/>
        <v>#NAME?</v>
      </c>
      <c r="CO166" s="24" t="e">
        <f t="shared" ca="1" si="1243"/>
        <v>#NAME?</v>
      </c>
      <c r="CP166" s="24" t="e">
        <f t="shared" ca="1" si="1243"/>
        <v>#NAME?</v>
      </c>
      <c r="CQ166" s="24" t="e">
        <f t="shared" ca="1" si="1243"/>
        <v>#NAME?</v>
      </c>
      <c r="CR166" s="24" t="e">
        <f t="shared" ca="1" si="1243"/>
        <v>#NAME?</v>
      </c>
      <c r="CS166" s="24" t="e">
        <f t="shared" ca="1" si="1243"/>
        <v>#NAME?</v>
      </c>
      <c r="CT166" s="24" t="e">
        <f t="shared" ca="1" si="1243"/>
        <v>#NAME?</v>
      </c>
      <c r="CU166" s="24" t="e">
        <f t="shared" ca="1" si="1243"/>
        <v>#NAME?</v>
      </c>
      <c r="CV166" s="24" t="e">
        <f t="shared" ca="1" si="1243"/>
        <v>#NAME?</v>
      </c>
      <c r="CW166" s="24" t="e">
        <f t="shared" ca="1" si="1243"/>
        <v>#NAME?</v>
      </c>
      <c r="CX166" s="24" t="e">
        <f t="shared" ca="1" si="1243"/>
        <v>#NAME?</v>
      </c>
      <c r="CY166" s="24" t="e">
        <f t="shared" ca="1" si="1243"/>
        <v>#NAME?</v>
      </c>
      <c r="CZ166" s="24" t="e">
        <f t="shared" ca="1" si="1243"/>
        <v>#NAME?</v>
      </c>
      <c r="DA166" s="24" t="e">
        <f t="shared" ca="1" si="1243"/>
        <v>#NAME?</v>
      </c>
      <c r="DB166" s="24" t="e">
        <f t="shared" ca="1" si="1243"/>
        <v>#NAME?</v>
      </c>
      <c r="DE166" s="123"/>
      <c r="DF166" s="23">
        <v>0</v>
      </c>
    </row>
    <row r="167" spans="1:110" s="23" customFormat="1" outlineLevel="1" x14ac:dyDescent="0.2">
      <c r="A167" s="23" t="s">
        <v>70</v>
      </c>
      <c r="B167" s="23" t="e">
        <f ca="1">'Annual Raw'!C54</f>
        <v>#NAME?</v>
      </c>
      <c r="C167" s="23" t="e">
        <f ca="1">'Annual Raw'!D54</f>
        <v>#NAME?</v>
      </c>
      <c r="D167" s="23" t="e">
        <f ca="1">'Annual Raw'!E54</f>
        <v>#NAME?</v>
      </c>
      <c r="E167" s="23" t="e">
        <f ca="1">'Annual Raw'!F54</f>
        <v>#NAME?</v>
      </c>
      <c r="F167" s="23" t="e">
        <f ca="1">'Annual Raw'!G54</f>
        <v>#NAME?</v>
      </c>
      <c r="G167" s="23" t="e">
        <f ca="1">'Annual Raw'!H54</f>
        <v>#NAME?</v>
      </c>
      <c r="H167" s="23" t="e">
        <f ca="1">'Annual Raw'!I54</f>
        <v>#NAME?</v>
      </c>
      <c r="I167" s="23" t="e">
        <f ca="1">'Annual Raw'!J54</f>
        <v>#NAME?</v>
      </c>
      <c r="J167" s="23" t="e">
        <f ca="1">'Annual Raw'!K54</f>
        <v>#NAME?</v>
      </c>
      <c r="K167" s="23" t="e">
        <f ca="1">'Annual Raw'!L54</f>
        <v>#NAME?</v>
      </c>
      <c r="L167" s="23" t="e">
        <f ca="1">'Annual Raw'!M54</f>
        <v>#NAME?</v>
      </c>
      <c r="M167" s="23" t="e">
        <f ca="1">'Annual Raw'!N54</f>
        <v>#NAME?</v>
      </c>
      <c r="N167" s="23" t="e">
        <f ca="1">'Annual Raw'!O54</f>
        <v>#NAME?</v>
      </c>
      <c r="O167" s="23" t="e">
        <f ca="1">'Annual Raw'!P54</f>
        <v>#NAME?</v>
      </c>
      <c r="P167" s="23" t="e">
        <f ca="1">'Annual Raw'!Q54</f>
        <v>#NAME?</v>
      </c>
      <c r="Q167" s="23" t="e">
        <f ca="1">'Annual Raw'!R54</f>
        <v>#NAME?</v>
      </c>
      <c r="R167" s="23" t="e">
        <f ca="1">'Annual Raw'!S54</f>
        <v>#NAME?</v>
      </c>
      <c r="S167" s="23" t="e">
        <f ca="1">'Annual Raw'!T54</f>
        <v>#NAME?</v>
      </c>
      <c r="T167" s="23" t="e">
        <f ca="1">'Annual Raw'!U54</f>
        <v>#NAME?</v>
      </c>
      <c r="U167" s="23" t="e">
        <f ca="1">'Annual Raw'!V54</f>
        <v>#NAME?</v>
      </c>
      <c r="V167" s="23" t="e">
        <f ca="1">'Annual Raw'!W54</f>
        <v>#NAME?</v>
      </c>
      <c r="W167" s="23" t="e">
        <f ca="1">'Annual Raw'!X54</f>
        <v>#NAME?</v>
      </c>
      <c r="X167" s="23" t="e">
        <f ca="1">'Annual Raw'!Y54</f>
        <v>#NAME?</v>
      </c>
      <c r="Y167" s="23" t="e">
        <f ca="1">'Annual Raw'!Z54</f>
        <v>#NAME?</v>
      </c>
      <c r="Z167" s="23" t="e">
        <f ca="1">'Annual Raw'!AA54</f>
        <v>#NAME?</v>
      </c>
      <c r="AA167" s="23" t="e">
        <f ca="1">'Annual Raw'!AB54</f>
        <v>#NAME?</v>
      </c>
      <c r="AB167" s="24" t="e">
        <f t="shared" ca="1" si="1237"/>
        <v>#NAME?</v>
      </c>
      <c r="AC167" s="24" t="e">
        <f t="shared" ca="1" si="1238"/>
        <v>#NAME?</v>
      </c>
      <c r="AD167" s="24" t="e">
        <f t="shared" ca="1" si="1239"/>
        <v>#NAME?</v>
      </c>
      <c r="AE167" s="24" t="e">
        <f t="shared" ca="1" si="1240"/>
        <v>#NAME?</v>
      </c>
      <c r="AJ167" s="23" t="e">
        <f ca="1">+'QTR Raw'!D89</f>
        <v>#NAME?</v>
      </c>
      <c r="AK167" s="23" t="e">
        <f ca="1">+AK197*AK24/90</f>
        <v>#NAME?</v>
      </c>
      <c r="AL167" s="23" t="e">
        <f ca="1">+'QTR Raw'!F89</f>
        <v>#NAME?</v>
      </c>
      <c r="AM167" s="23" t="e">
        <f ca="1">+AM197*AM24/90</f>
        <v>#NAME?</v>
      </c>
      <c r="AN167" s="23" t="e">
        <f ca="1">+'QTR Raw'!H89</f>
        <v>#NAME?</v>
      </c>
      <c r="AO167" s="23" t="e">
        <f ca="1">+AO197*AO24/90</f>
        <v>#NAME?</v>
      </c>
      <c r="AP167" s="23" t="e">
        <f ca="1">+'QTR Raw'!J89</f>
        <v>#NAME?</v>
      </c>
      <c r="AQ167" s="23" t="e">
        <f ca="1">+AQ197*AQ24/90</f>
        <v>#NAME?</v>
      </c>
      <c r="AR167" s="23" t="e">
        <f ca="1">+'QTR Raw'!L89</f>
        <v>#NAME?</v>
      </c>
      <c r="AS167" s="23" t="e">
        <f ca="1">+AS197*AS24/90</f>
        <v>#NAME?</v>
      </c>
      <c r="AT167" s="23" t="e">
        <f ca="1">+'QTR Raw'!N89</f>
        <v>#NAME?</v>
      </c>
      <c r="AU167" s="23" t="e">
        <f ca="1">+AU197*AU24/90</f>
        <v>#NAME?</v>
      </c>
      <c r="AV167" s="23" t="e">
        <f ca="1">+'QTR Raw'!P89</f>
        <v>#NAME?</v>
      </c>
      <c r="AW167" s="23" t="e">
        <f ca="1">+AW197*AW24/90</f>
        <v>#NAME?</v>
      </c>
      <c r="AX167" s="23" t="e">
        <f ca="1">+'QTR Raw'!R89</f>
        <v>#NAME?</v>
      </c>
      <c r="AY167" s="23" t="e">
        <f ca="1">+AY197*AY24/90</f>
        <v>#NAME?</v>
      </c>
      <c r="AZ167" s="23" t="e">
        <f ca="1">+'QTR Raw'!T89</f>
        <v>#NAME?</v>
      </c>
      <c r="BA167" s="23" t="e">
        <f ca="1">+BA197*BA24/90</f>
        <v>#NAME?</v>
      </c>
      <c r="BB167" s="23" t="e">
        <f ca="1">+'QTR Raw'!V89</f>
        <v>#NAME?</v>
      </c>
      <c r="BC167" s="23" t="e">
        <f ca="1">+BC197*BC24/90</f>
        <v>#NAME?</v>
      </c>
      <c r="BD167" s="23" t="e">
        <f ca="1">+'QTR Raw'!X89</f>
        <v>#NAME?</v>
      </c>
      <c r="BE167" s="23" t="e">
        <f ca="1">+BE197*BE24/90</f>
        <v>#NAME?</v>
      </c>
      <c r="BF167" s="23" t="e">
        <f ca="1">+'QTR Raw'!Z89</f>
        <v>#NAME?</v>
      </c>
      <c r="BG167" s="23" t="e">
        <f ca="1">+BG197*BG24/90</f>
        <v>#NAME?</v>
      </c>
      <c r="BH167" s="23" t="e">
        <f ca="1">+'QTR Raw'!AB89</f>
        <v>#NAME?</v>
      </c>
      <c r="BI167" s="23" t="e">
        <f ca="1">+BI197*BI24/90</f>
        <v>#NAME?</v>
      </c>
      <c r="BJ167" s="23" t="e">
        <f ca="1">+'QTR Raw'!AD89</f>
        <v>#NAME?</v>
      </c>
      <c r="BK167" s="23" t="e">
        <f ca="1">+BK197*BK24/90</f>
        <v>#NAME?</v>
      </c>
      <c r="BL167" s="23" t="e">
        <f ca="1">+'QTR Raw'!AF89</f>
        <v>#NAME?</v>
      </c>
      <c r="BM167" s="23" t="e">
        <f ca="1">+BM197*BM24/90</f>
        <v>#NAME?</v>
      </c>
      <c r="BN167" s="23" t="e">
        <f ca="1">+'QTR Raw'!AH89</f>
        <v>#NAME?</v>
      </c>
      <c r="BO167" s="23" t="e">
        <f ca="1">+BO197*BO24/90</f>
        <v>#NAME?</v>
      </c>
      <c r="BP167" s="23" t="e">
        <f ca="1">+'QTR Raw'!AJ89</f>
        <v>#NAME?</v>
      </c>
      <c r="BQ167" s="23" t="e">
        <f ca="1">+BQ197*BQ24/90</f>
        <v>#NAME?</v>
      </c>
      <c r="BR167" s="23" t="e">
        <f ca="1">+'QTR Raw'!AL89</f>
        <v>#NAME?</v>
      </c>
      <c r="BS167" s="23" t="e">
        <f ca="1">+BS197*BS24/90</f>
        <v>#NAME?</v>
      </c>
      <c r="BT167" s="23" t="e">
        <f ca="1">+'QTR Raw'!AN89</f>
        <v>#NAME?</v>
      </c>
      <c r="BU167" s="23" t="e">
        <f ca="1">+BU197*BU24/90</f>
        <v>#NAME?</v>
      </c>
      <c r="BV167" s="23" t="e">
        <f ca="1">+'QTR Raw'!AP89</f>
        <v>#NAME?</v>
      </c>
      <c r="BW167" s="23" t="e">
        <f ca="1">+BW197*BW24/90</f>
        <v>#NAME?</v>
      </c>
      <c r="BX167" s="23" t="e">
        <f ca="1">+'QTR Raw'!AR89</f>
        <v>#NAME?</v>
      </c>
      <c r="BY167" s="23" t="e">
        <f ca="1">+BY197*BY24/90</f>
        <v>#NAME?</v>
      </c>
      <c r="BZ167" s="23" t="e">
        <f ca="1">+'QTR Raw'!AT89</f>
        <v>#NAME?</v>
      </c>
      <c r="CA167" s="23" t="e">
        <f ca="1">+CA197*CA24/90</f>
        <v>#NAME?</v>
      </c>
      <c r="CB167" s="23" t="e">
        <f ca="1">+'QTR Raw'!AV89</f>
        <v>#NAME?</v>
      </c>
      <c r="CC167" s="23" t="e">
        <f ca="1">+CC197*CC24/90</f>
        <v>#NAME?</v>
      </c>
      <c r="CD167" s="23" t="e">
        <f ca="1">+'QTR Raw'!AX89</f>
        <v>#NAME?</v>
      </c>
      <c r="CE167" s="23" t="e">
        <f ca="1">+CE197*CE24/90</f>
        <v>#NAME?</v>
      </c>
      <c r="CF167" s="23" t="e">
        <f ca="1">+'QTR Raw'!AZ89</f>
        <v>#NAME?</v>
      </c>
      <c r="CG167" s="23" t="e">
        <f ca="1">+CG197*CG24/90</f>
        <v>#NAME?</v>
      </c>
      <c r="CH167" s="23" t="e">
        <f t="shared" ca="1" si="1195"/>
        <v>#NAME?</v>
      </c>
      <c r="CI167" s="23" t="e">
        <f ca="1">+CI197*CI24/90</f>
        <v>#NAME?</v>
      </c>
      <c r="CJ167" s="23" t="e">
        <f ca="1">+'QTR Raw'!BD89</f>
        <v>#NAME?</v>
      </c>
      <c r="CK167" s="23" t="e">
        <f t="shared" ref="CK167:DB167" ca="1" si="1244">+CK197*CK24/90</f>
        <v>#NAME?</v>
      </c>
      <c r="CL167" s="23" t="e">
        <f ca="1">+'QTR Raw'!BF89</f>
        <v>#NAME?</v>
      </c>
      <c r="CM167" s="24" t="e">
        <f t="shared" ca="1" si="1244"/>
        <v>#NAME?</v>
      </c>
      <c r="CN167" s="24" t="e">
        <f t="shared" ca="1" si="1244"/>
        <v>#NAME?</v>
      </c>
      <c r="CO167" s="24" t="e">
        <f t="shared" ca="1" si="1244"/>
        <v>#NAME?</v>
      </c>
      <c r="CP167" s="24" t="e">
        <f t="shared" ca="1" si="1244"/>
        <v>#NAME?</v>
      </c>
      <c r="CQ167" s="24" t="e">
        <f t="shared" ca="1" si="1244"/>
        <v>#NAME?</v>
      </c>
      <c r="CR167" s="24" t="e">
        <f t="shared" ca="1" si="1244"/>
        <v>#NAME?</v>
      </c>
      <c r="CS167" s="24" t="e">
        <f t="shared" ca="1" si="1244"/>
        <v>#NAME?</v>
      </c>
      <c r="CT167" s="24" t="e">
        <f t="shared" ca="1" si="1244"/>
        <v>#NAME?</v>
      </c>
      <c r="CU167" s="24" t="e">
        <f t="shared" ca="1" si="1244"/>
        <v>#NAME?</v>
      </c>
      <c r="CV167" s="24" t="e">
        <f t="shared" ca="1" si="1244"/>
        <v>#NAME?</v>
      </c>
      <c r="CW167" s="24" t="e">
        <f t="shared" ca="1" si="1244"/>
        <v>#NAME?</v>
      </c>
      <c r="CX167" s="24" t="e">
        <f t="shared" ca="1" si="1244"/>
        <v>#NAME?</v>
      </c>
      <c r="CY167" s="24" t="e">
        <f t="shared" ca="1" si="1244"/>
        <v>#NAME?</v>
      </c>
      <c r="CZ167" s="24" t="e">
        <f t="shared" ca="1" si="1244"/>
        <v>#NAME?</v>
      </c>
      <c r="DA167" s="24" t="e">
        <f t="shared" ca="1" si="1244"/>
        <v>#NAME?</v>
      </c>
      <c r="DB167" s="24" t="e">
        <f t="shared" ca="1" si="1244"/>
        <v>#NAME?</v>
      </c>
      <c r="DE167" s="123"/>
      <c r="DF167" s="23">
        <v>4783.1980000000003</v>
      </c>
    </row>
    <row r="168" spans="1:110" s="23" customFormat="1" outlineLevel="1" x14ac:dyDescent="0.2">
      <c r="A168" s="23" t="s">
        <v>71</v>
      </c>
      <c r="B168" s="23" t="e">
        <f ca="1">'Annual Raw'!C55-Template!B140</f>
        <v>#NAME?</v>
      </c>
      <c r="C168" s="23" t="e">
        <f ca="1">'Annual Raw'!D55-Template!C140</f>
        <v>#NAME?</v>
      </c>
      <c r="D168" s="23" t="e">
        <f ca="1">'Annual Raw'!E55-Template!D140</f>
        <v>#NAME?</v>
      </c>
      <c r="E168" s="23" t="e">
        <f ca="1">'Annual Raw'!F55-Template!E140</f>
        <v>#NAME?</v>
      </c>
      <c r="F168" s="23" t="e">
        <f ca="1">'Annual Raw'!G55-Template!F140</f>
        <v>#NAME?</v>
      </c>
      <c r="G168" s="23" t="e">
        <f ca="1">'Annual Raw'!H55-Template!G140</f>
        <v>#NAME?</v>
      </c>
      <c r="H168" s="23" t="e">
        <f ca="1">'Annual Raw'!I55-Template!H140</f>
        <v>#NAME?</v>
      </c>
      <c r="I168" s="23" t="e">
        <f ca="1">'Annual Raw'!J55-Template!I140</f>
        <v>#NAME?</v>
      </c>
      <c r="J168" s="23" t="e">
        <f ca="1">'Annual Raw'!K55-Template!J140</f>
        <v>#NAME?</v>
      </c>
      <c r="K168" s="23" t="e">
        <f ca="1">'Annual Raw'!L55-Template!K140</f>
        <v>#NAME?</v>
      </c>
      <c r="L168" s="23" t="e">
        <f ca="1">'Annual Raw'!M55-Template!L140</f>
        <v>#NAME?</v>
      </c>
      <c r="M168" s="23" t="e">
        <f ca="1">'Annual Raw'!N55-Template!M140</f>
        <v>#NAME?</v>
      </c>
      <c r="N168" s="23" t="e">
        <f ca="1">'Annual Raw'!O55-Template!N140</f>
        <v>#NAME?</v>
      </c>
      <c r="O168" s="23" t="e">
        <f ca="1">'Annual Raw'!P55-Template!O140</f>
        <v>#NAME?</v>
      </c>
      <c r="P168" s="23" t="e">
        <f ca="1">'Annual Raw'!Q55-Template!P140</f>
        <v>#NAME?</v>
      </c>
      <c r="Q168" s="23" t="e">
        <f ca="1">'Annual Raw'!R55-Template!Q140</f>
        <v>#NAME?</v>
      </c>
      <c r="R168" s="23" t="e">
        <f ca="1">'Annual Raw'!S55-Template!R140</f>
        <v>#NAME?</v>
      </c>
      <c r="S168" s="23" t="e">
        <f ca="1">'Annual Raw'!T55-Template!S140</f>
        <v>#NAME?</v>
      </c>
      <c r="T168" s="23" t="e">
        <f ca="1">'Annual Raw'!U55-Template!T140</f>
        <v>#NAME?</v>
      </c>
      <c r="U168" s="23" t="e">
        <f ca="1">'Annual Raw'!V55-Template!U140</f>
        <v>#NAME?</v>
      </c>
      <c r="V168" s="23" t="e">
        <f ca="1">'Annual Raw'!W55-Template!V140</f>
        <v>#NAME?</v>
      </c>
      <c r="W168" s="23" t="e">
        <f ca="1">'Annual Raw'!X55-Template!W140</f>
        <v>#NAME?</v>
      </c>
      <c r="X168" s="23" t="e">
        <f ca="1">'Annual Raw'!Y55-Template!X140</f>
        <v>#NAME?</v>
      </c>
      <c r="Y168" s="23" t="e">
        <f ca="1">'Annual Raw'!Z55-Template!Y140</f>
        <v>#NAME?</v>
      </c>
      <c r="Z168" s="23" t="e">
        <f ca="1">'Annual Raw'!AA55-Template!Z140</f>
        <v>#NAME?</v>
      </c>
      <c r="AA168" s="23" t="e">
        <f ca="1">'Annual Raw'!AB55-Template!AA140</f>
        <v>#NAME?</v>
      </c>
      <c r="AB168" s="24">
        <f t="shared" si="1237"/>
        <v>0</v>
      </c>
      <c r="AC168" s="24">
        <f t="shared" si="1238"/>
        <v>0</v>
      </c>
      <c r="AD168" s="24">
        <f t="shared" si="1239"/>
        <v>0</v>
      </c>
      <c r="AE168" s="24">
        <f t="shared" si="1240"/>
        <v>0</v>
      </c>
      <c r="AJ168" s="23" t="e">
        <f ca="1">+'QTR Raw'!D91</f>
        <v>#NAME?</v>
      </c>
      <c r="AK168" s="23" t="e">
        <f t="shared" ca="1" si="1241"/>
        <v>#NAME?</v>
      </c>
      <c r="AL168" s="23" t="e">
        <f ca="1">+'QTR Raw'!F91</f>
        <v>#NAME?</v>
      </c>
      <c r="AM168" s="23" t="e">
        <f t="shared" ca="1" si="1241"/>
        <v>#NAME?</v>
      </c>
      <c r="AN168" s="23" t="e">
        <f ca="1">+'QTR Raw'!H91</f>
        <v>#NAME?</v>
      </c>
      <c r="AO168" s="23" t="e">
        <f t="shared" ca="1" si="1241"/>
        <v>#NAME?</v>
      </c>
      <c r="AP168" s="23" t="e">
        <f ca="1">+'QTR Raw'!J91</f>
        <v>#NAME?</v>
      </c>
      <c r="AQ168" s="23" t="e">
        <f t="shared" ca="1" si="1241"/>
        <v>#NAME?</v>
      </c>
      <c r="AR168" s="23" t="e">
        <f ca="1">+'QTR Raw'!L91</f>
        <v>#NAME?</v>
      </c>
      <c r="AS168" s="23" t="e">
        <f t="shared" ca="1" si="1241"/>
        <v>#NAME?</v>
      </c>
      <c r="AT168" s="23" t="e">
        <f ca="1">+'QTR Raw'!N91</f>
        <v>#NAME?</v>
      </c>
      <c r="AU168" s="23" t="e">
        <f t="shared" ca="1" si="1241"/>
        <v>#NAME?</v>
      </c>
      <c r="AV168" s="23" t="e">
        <f ca="1">+'QTR Raw'!P91</f>
        <v>#NAME?</v>
      </c>
      <c r="AW168" s="23" t="e">
        <f t="shared" ca="1" si="1241"/>
        <v>#NAME?</v>
      </c>
      <c r="AX168" s="23" t="e">
        <f ca="1">+'QTR Raw'!R91</f>
        <v>#NAME?</v>
      </c>
      <c r="AY168" s="23" t="e">
        <f t="shared" ca="1" si="1241"/>
        <v>#NAME?</v>
      </c>
      <c r="AZ168" s="23" t="e">
        <f ca="1">+'QTR Raw'!T91</f>
        <v>#NAME?</v>
      </c>
      <c r="BA168" s="23" t="e">
        <f t="shared" ca="1" si="1241"/>
        <v>#NAME?</v>
      </c>
      <c r="BB168" s="23" t="e">
        <f ca="1">+'QTR Raw'!V91</f>
        <v>#NAME?</v>
      </c>
      <c r="BC168" s="23" t="e">
        <f t="shared" ca="1" si="1241"/>
        <v>#NAME?</v>
      </c>
      <c r="BD168" s="23" t="e">
        <f ca="1">+'QTR Raw'!X91</f>
        <v>#NAME?</v>
      </c>
      <c r="BE168" s="23" t="e">
        <f t="shared" ca="1" si="1241"/>
        <v>#NAME?</v>
      </c>
      <c r="BF168" s="23" t="e">
        <f ca="1">+'QTR Raw'!Z91</f>
        <v>#NAME?</v>
      </c>
      <c r="BG168" s="23" t="e">
        <f t="shared" ca="1" si="1241"/>
        <v>#NAME?</v>
      </c>
      <c r="BH168" s="23" t="e">
        <f ca="1">+'QTR Raw'!AB91</f>
        <v>#NAME?</v>
      </c>
      <c r="BI168" s="23" t="e">
        <f t="shared" ca="1" si="1241"/>
        <v>#NAME?</v>
      </c>
      <c r="BJ168" s="23" t="e">
        <f ca="1">+'QTR Raw'!AD91</f>
        <v>#NAME?</v>
      </c>
      <c r="BK168" s="23" t="e">
        <f t="shared" ca="1" si="1241"/>
        <v>#NAME?</v>
      </c>
      <c r="BL168" s="23" t="e">
        <f ca="1">+'QTR Raw'!AF91</f>
        <v>#NAME?</v>
      </c>
      <c r="BM168" s="23" t="e">
        <f t="shared" ca="1" si="1241"/>
        <v>#NAME?</v>
      </c>
      <c r="BN168" s="23" t="e">
        <f ca="1">+'QTR Raw'!AH91</f>
        <v>#NAME?</v>
      </c>
      <c r="BO168" s="23" t="e">
        <f t="shared" ca="1" si="1241"/>
        <v>#NAME?</v>
      </c>
      <c r="BP168" s="23" t="e">
        <f ca="1">+'QTR Raw'!AJ91</f>
        <v>#NAME?</v>
      </c>
      <c r="BQ168" s="23" t="e">
        <f t="shared" ca="1" si="1241"/>
        <v>#NAME?</v>
      </c>
      <c r="BR168" s="23" t="e">
        <f ca="1">+'QTR Raw'!AL91</f>
        <v>#NAME?</v>
      </c>
      <c r="BS168" s="23" t="e">
        <f t="shared" ca="1" si="1241"/>
        <v>#NAME?</v>
      </c>
      <c r="BT168" s="23" t="e">
        <f ca="1">+'QTR Raw'!AN91</f>
        <v>#NAME?</v>
      </c>
      <c r="BU168" s="23" t="e">
        <f t="shared" ca="1" si="1241"/>
        <v>#NAME?</v>
      </c>
      <c r="BV168" s="23" t="e">
        <f ca="1">+'QTR Raw'!AP91</f>
        <v>#NAME?</v>
      </c>
      <c r="BW168" s="23" t="e">
        <f t="shared" ca="1" si="1241"/>
        <v>#NAME?</v>
      </c>
      <c r="BX168" s="23" t="e">
        <f ca="1">+'QTR Raw'!AR91</f>
        <v>#NAME?</v>
      </c>
      <c r="BY168" s="23" t="e">
        <f t="shared" ca="1" si="1241"/>
        <v>#NAME?</v>
      </c>
      <c r="BZ168" s="23" t="e">
        <f ca="1">+'QTR Raw'!AT91</f>
        <v>#NAME?</v>
      </c>
      <c r="CA168" s="23" t="e">
        <f t="shared" ca="1" si="1241"/>
        <v>#NAME?</v>
      </c>
      <c r="CB168" s="23" t="e">
        <f ca="1">+'QTR Raw'!AV91</f>
        <v>#NAME?</v>
      </c>
      <c r="CC168" s="23" t="e">
        <f t="shared" ca="1" si="1241"/>
        <v>#NAME?</v>
      </c>
      <c r="CD168" s="23" t="e">
        <f ca="1">+'QTR Raw'!AX91</f>
        <v>#NAME?</v>
      </c>
      <c r="CE168" s="23" t="e">
        <f t="shared" ca="1" si="1241"/>
        <v>#NAME?</v>
      </c>
      <c r="CF168" s="23" t="e">
        <f ca="1">+'QTR Raw'!AZ91</f>
        <v>#NAME?</v>
      </c>
      <c r="CG168" s="23" t="e">
        <f t="shared" ref="CG168:CG169" ca="1" si="1245">+CF168</f>
        <v>#NAME?</v>
      </c>
      <c r="CH168" s="23" t="e">
        <f t="shared" ca="1" si="1195"/>
        <v>#NAME?</v>
      </c>
      <c r="CJ168" s="23" t="e">
        <f ca="1">+'QTR Raw'!BD91</f>
        <v>#NAME?</v>
      </c>
      <c r="CL168" s="23" t="e">
        <f ca="1">+'QTR Raw'!BF91</f>
        <v>#NAME?</v>
      </c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  <c r="DF168" s="23">
        <v>33.448999999999998</v>
      </c>
    </row>
    <row r="169" spans="1:110" s="23" customFormat="1" outlineLevel="1" x14ac:dyDescent="0.2">
      <c r="A169" s="23" t="s">
        <v>72</v>
      </c>
      <c r="B169" s="23" t="e">
        <f ca="1">'Annual Raw'!C57</f>
        <v>#NAME?</v>
      </c>
      <c r="C169" s="23" t="e">
        <f ca="1">'Annual Raw'!D57</f>
        <v>#NAME?</v>
      </c>
      <c r="D169" s="23" t="e">
        <f ca="1">'Annual Raw'!E57</f>
        <v>#NAME?</v>
      </c>
      <c r="E169" s="23" t="e">
        <f ca="1">'Annual Raw'!F57</f>
        <v>#NAME?</v>
      </c>
      <c r="F169" s="23" t="e">
        <f ca="1">'Annual Raw'!G57</f>
        <v>#NAME?</v>
      </c>
      <c r="G169" s="23" t="e">
        <f ca="1">'Annual Raw'!H57</f>
        <v>#NAME?</v>
      </c>
      <c r="H169" s="23" t="e">
        <f ca="1">'Annual Raw'!I57</f>
        <v>#NAME?</v>
      </c>
      <c r="I169" s="23" t="e">
        <f ca="1">'Annual Raw'!J57</f>
        <v>#NAME?</v>
      </c>
      <c r="J169" s="23" t="e">
        <f ca="1">'Annual Raw'!K57</f>
        <v>#NAME?</v>
      </c>
      <c r="K169" s="23" t="e">
        <f ca="1">'Annual Raw'!L57</f>
        <v>#NAME?</v>
      </c>
      <c r="L169" s="23" t="e">
        <f ca="1">'Annual Raw'!M57</f>
        <v>#NAME?</v>
      </c>
      <c r="M169" s="23" t="e">
        <f ca="1">'Annual Raw'!N57</f>
        <v>#NAME?</v>
      </c>
      <c r="N169" s="23" t="e">
        <f ca="1">'Annual Raw'!O57</f>
        <v>#NAME?</v>
      </c>
      <c r="O169" s="23" t="e">
        <f ca="1">'Annual Raw'!P57</f>
        <v>#NAME?</v>
      </c>
      <c r="P169" s="23" t="e">
        <f ca="1">'Annual Raw'!Q57</f>
        <v>#NAME?</v>
      </c>
      <c r="Q169" s="23" t="e">
        <f ca="1">'Annual Raw'!R57</f>
        <v>#NAME?</v>
      </c>
      <c r="R169" s="23" t="e">
        <f ca="1">'Annual Raw'!S57</f>
        <v>#NAME?</v>
      </c>
      <c r="S169" s="23" t="e">
        <f ca="1">'Annual Raw'!T57</f>
        <v>#NAME?</v>
      </c>
      <c r="T169" s="23" t="e">
        <f ca="1">'Annual Raw'!U57</f>
        <v>#NAME?</v>
      </c>
      <c r="U169" s="23" t="e">
        <f ca="1">'Annual Raw'!V57</f>
        <v>#NAME?</v>
      </c>
      <c r="V169" s="23" t="e">
        <f ca="1">'Annual Raw'!W57</f>
        <v>#NAME?</v>
      </c>
      <c r="W169" s="23" t="e">
        <f ca="1">'Annual Raw'!X57</f>
        <v>#NAME?</v>
      </c>
      <c r="X169" s="23" t="e">
        <f ca="1">'Annual Raw'!Y57</f>
        <v>#NAME?</v>
      </c>
      <c r="Y169" s="23" t="e">
        <f ca="1">'Annual Raw'!Z57</f>
        <v>#NAME?</v>
      </c>
      <c r="Z169" s="23" t="e">
        <f ca="1">'Annual Raw'!AA57</f>
        <v>#NAME?</v>
      </c>
      <c r="AA169" s="23" t="e">
        <f ca="1">'Annual Raw'!AB57</f>
        <v>#NAME?</v>
      </c>
      <c r="AB169" s="24">
        <f t="shared" si="1237"/>
        <v>0</v>
      </c>
      <c r="AC169" s="24">
        <f t="shared" si="1238"/>
        <v>0</v>
      </c>
      <c r="AD169" s="24">
        <f t="shared" si="1239"/>
        <v>0</v>
      </c>
      <c r="AE169" s="24">
        <f t="shared" si="1240"/>
        <v>0</v>
      </c>
      <c r="AJ169" s="23" t="e">
        <f ca="1">+'QTR Raw'!D92</f>
        <v>#NAME?</v>
      </c>
      <c r="AK169" s="23" t="e">
        <f t="shared" ca="1" si="1241"/>
        <v>#NAME?</v>
      </c>
      <c r="AL169" s="23" t="e">
        <f ca="1">+'QTR Raw'!F92</f>
        <v>#NAME?</v>
      </c>
      <c r="AM169" s="23" t="e">
        <f t="shared" ca="1" si="1241"/>
        <v>#NAME?</v>
      </c>
      <c r="AN169" s="23" t="e">
        <f ca="1">+'QTR Raw'!H92</f>
        <v>#NAME?</v>
      </c>
      <c r="AO169" s="23" t="e">
        <f t="shared" ca="1" si="1241"/>
        <v>#NAME?</v>
      </c>
      <c r="AP169" s="23" t="e">
        <f ca="1">+'QTR Raw'!J92</f>
        <v>#NAME?</v>
      </c>
      <c r="AQ169" s="23" t="e">
        <f t="shared" ca="1" si="1241"/>
        <v>#NAME?</v>
      </c>
      <c r="AR169" s="23" t="e">
        <f ca="1">+'QTR Raw'!L92</f>
        <v>#NAME?</v>
      </c>
      <c r="AS169" s="23" t="e">
        <f t="shared" ca="1" si="1241"/>
        <v>#NAME?</v>
      </c>
      <c r="AT169" s="23" t="e">
        <f ca="1">+'QTR Raw'!N92</f>
        <v>#NAME?</v>
      </c>
      <c r="AU169" s="23" t="e">
        <f t="shared" ca="1" si="1241"/>
        <v>#NAME?</v>
      </c>
      <c r="AV169" s="23" t="e">
        <f ca="1">+'QTR Raw'!P92</f>
        <v>#NAME?</v>
      </c>
      <c r="AW169" s="23" t="e">
        <f t="shared" ca="1" si="1241"/>
        <v>#NAME?</v>
      </c>
      <c r="AX169" s="23" t="e">
        <f ca="1">+'QTR Raw'!R92</f>
        <v>#NAME?</v>
      </c>
      <c r="AY169" s="23" t="e">
        <f t="shared" ca="1" si="1241"/>
        <v>#NAME?</v>
      </c>
      <c r="AZ169" s="23" t="e">
        <f ca="1">+'QTR Raw'!T92</f>
        <v>#NAME?</v>
      </c>
      <c r="BA169" s="23" t="e">
        <f t="shared" ca="1" si="1241"/>
        <v>#NAME?</v>
      </c>
      <c r="BB169" s="23" t="e">
        <f ca="1">+'QTR Raw'!V92</f>
        <v>#NAME?</v>
      </c>
      <c r="BC169" s="23" t="e">
        <f t="shared" ca="1" si="1241"/>
        <v>#NAME?</v>
      </c>
      <c r="BD169" s="23" t="e">
        <f ca="1">+'QTR Raw'!X92</f>
        <v>#NAME?</v>
      </c>
      <c r="BE169" s="23" t="e">
        <f t="shared" ca="1" si="1241"/>
        <v>#NAME?</v>
      </c>
      <c r="BF169" s="23" t="e">
        <f ca="1">+'QTR Raw'!Z92</f>
        <v>#NAME?</v>
      </c>
      <c r="BG169" s="23" t="e">
        <f t="shared" ca="1" si="1241"/>
        <v>#NAME?</v>
      </c>
      <c r="BH169" s="23" t="e">
        <f ca="1">+'QTR Raw'!AB92</f>
        <v>#NAME?</v>
      </c>
      <c r="BI169" s="23" t="e">
        <f t="shared" ca="1" si="1241"/>
        <v>#NAME?</v>
      </c>
      <c r="BJ169" s="23" t="e">
        <f ca="1">+'QTR Raw'!AD92</f>
        <v>#NAME?</v>
      </c>
      <c r="BK169" s="23" t="e">
        <f t="shared" ca="1" si="1241"/>
        <v>#NAME?</v>
      </c>
      <c r="BL169" s="23" t="e">
        <f ca="1">+'QTR Raw'!AF92</f>
        <v>#NAME?</v>
      </c>
      <c r="BM169" s="23" t="e">
        <f t="shared" ca="1" si="1241"/>
        <v>#NAME?</v>
      </c>
      <c r="BN169" s="23" t="e">
        <f ca="1">+'QTR Raw'!AH92</f>
        <v>#NAME?</v>
      </c>
      <c r="BO169" s="23" t="e">
        <f t="shared" ca="1" si="1241"/>
        <v>#NAME?</v>
      </c>
      <c r="BP169" s="23" t="e">
        <f ca="1">+'QTR Raw'!AJ92</f>
        <v>#NAME?</v>
      </c>
      <c r="BQ169" s="23" t="e">
        <f t="shared" ca="1" si="1241"/>
        <v>#NAME?</v>
      </c>
      <c r="BR169" s="23" t="e">
        <f ca="1">+'QTR Raw'!AL92</f>
        <v>#NAME?</v>
      </c>
      <c r="BS169" s="23" t="e">
        <f t="shared" ca="1" si="1241"/>
        <v>#NAME?</v>
      </c>
      <c r="BT169" s="23" t="e">
        <f ca="1">+'QTR Raw'!AN92</f>
        <v>#NAME?</v>
      </c>
      <c r="BU169" s="23" t="e">
        <f t="shared" ca="1" si="1241"/>
        <v>#NAME?</v>
      </c>
      <c r="BV169" s="23" t="e">
        <f ca="1">+'QTR Raw'!AP92</f>
        <v>#NAME?</v>
      </c>
      <c r="BW169" s="23" t="e">
        <f t="shared" ca="1" si="1241"/>
        <v>#NAME?</v>
      </c>
      <c r="BX169" s="23" t="e">
        <f ca="1">+'QTR Raw'!AR92</f>
        <v>#NAME?</v>
      </c>
      <c r="BY169" s="23" t="e">
        <f t="shared" ca="1" si="1241"/>
        <v>#NAME?</v>
      </c>
      <c r="BZ169" s="23" t="e">
        <f ca="1">+'QTR Raw'!AT92</f>
        <v>#NAME?</v>
      </c>
      <c r="CA169" s="23" t="e">
        <f t="shared" ca="1" si="1241"/>
        <v>#NAME?</v>
      </c>
      <c r="CB169" s="23" t="e">
        <f ca="1">+'QTR Raw'!AV92</f>
        <v>#NAME?</v>
      </c>
      <c r="CC169" s="23" t="e">
        <f t="shared" ca="1" si="1241"/>
        <v>#NAME?</v>
      </c>
      <c r="CD169" s="23" t="e">
        <f ca="1">+'QTR Raw'!AX92</f>
        <v>#NAME?</v>
      </c>
      <c r="CE169" s="23" t="e">
        <f t="shared" ca="1" si="1241"/>
        <v>#NAME?</v>
      </c>
      <c r="CF169" s="23" t="e">
        <f ca="1">+'QTR Raw'!AZ92</f>
        <v>#NAME?</v>
      </c>
      <c r="CG169" s="23" t="e">
        <f t="shared" ca="1" si="1245"/>
        <v>#NAME?</v>
      </c>
      <c r="CH169" s="23" t="e">
        <f t="shared" ca="1" si="1195"/>
        <v>#NAME?</v>
      </c>
      <c r="CJ169" s="23" t="e">
        <f ca="1">+'QTR Raw'!BD92</f>
        <v>#NAME?</v>
      </c>
      <c r="CL169" s="23" t="e">
        <f ca="1">+'QTR Raw'!BF92</f>
        <v>#NAME?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0</v>
      </c>
    </row>
    <row r="170" spans="1:110" s="22" customFormat="1" x14ac:dyDescent="0.2">
      <c r="A170" s="22" t="s">
        <v>73</v>
      </c>
      <c r="B170" s="22" t="e">
        <f ca="1">SUM(B163:B169)</f>
        <v>#NAME?</v>
      </c>
      <c r="C170" s="22" t="e">
        <f t="shared" ref="C170:V170" ca="1" si="1246">SUM(C163:C169)</f>
        <v>#NAME?</v>
      </c>
      <c r="D170" s="22" t="e">
        <f t="shared" ca="1" si="1246"/>
        <v>#NAME?</v>
      </c>
      <c r="E170" s="22" t="e">
        <f t="shared" ca="1" si="1246"/>
        <v>#NAME?</v>
      </c>
      <c r="F170" s="22" t="e">
        <f t="shared" ca="1" si="1246"/>
        <v>#NAME?</v>
      </c>
      <c r="G170" s="22" t="e">
        <f t="shared" ca="1" si="1246"/>
        <v>#NAME?</v>
      </c>
      <c r="H170" s="22" t="e">
        <f t="shared" ca="1" si="1246"/>
        <v>#NAME?</v>
      </c>
      <c r="I170" s="22" t="e">
        <f t="shared" ca="1" si="1246"/>
        <v>#NAME?</v>
      </c>
      <c r="J170" s="22" t="e">
        <f t="shared" ca="1" si="1246"/>
        <v>#NAME?</v>
      </c>
      <c r="K170" s="22" t="e">
        <f t="shared" ca="1" si="1246"/>
        <v>#NAME?</v>
      </c>
      <c r="L170" s="22" t="e">
        <f t="shared" ca="1" si="1246"/>
        <v>#NAME?</v>
      </c>
      <c r="M170" s="22" t="e">
        <f t="shared" ca="1" si="1246"/>
        <v>#NAME?</v>
      </c>
      <c r="N170" s="22" t="e">
        <f t="shared" ca="1" si="1246"/>
        <v>#NAME?</v>
      </c>
      <c r="O170" s="22" t="e">
        <f t="shared" ca="1" si="1246"/>
        <v>#NAME?</v>
      </c>
      <c r="P170" s="22" t="e">
        <f t="shared" ca="1" si="1246"/>
        <v>#NAME?</v>
      </c>
      <c r="Q170" s="22" t="e">
        <f t="shared" ca="1" si="1246"/>
        <v>#NAME?</v>
      </c>
      <c r="R170" s="22" t="e">
        <f t="shared" ca="1" si="1246"/>
        <v>#NAME?</v>
      </c>
      <c r="S170" s="22" t="e">
        <f t="shared" ca="1" si="1246"/>
        <v>#NAME?</v>
      </c>
      <c r="T170" s="22" t="e">
        <f t="shared" ca="1" si="1246"/>
        <v>#NAME?</v>
      </c>
      <c r="U170" s="22" t="e">
        <f t="shared" ca="1" si="1246"/>
        <v>#NAME?</v>
      </c>
      <c r="V170" s="22" t="e">
        <f t="shared" ca="1" si="1246"/>
        <v>#NAME?</v>
      </c>
      <c r="W170" s="22" t="e">
        <f t="shared" ref="W170" ca="1" si="1247">SUM(W163:W169)</f>
        <v>#NAME?</v>
      </c>
      <c r="X170" s="22" t="e">
        <f t="shared" ref="X170:Y170" ca="1" si="1248">SUM(X163:X169)</f>
        <v>#NAME?</v>
      </c>
      <c r="Y170" s="22" t="e">
        <f t="shared" ca="1" si="1248"/>
        <v>#NAME?</v>
      </c>
      <c r="Z170" s="22" t="e">
        <f t="shared" ref="Z170:AA170" ca="1" si="1249">SUM(Z163:Z169)</f>
        <v>#NAME?</v>
      </c>
      <c r="AA170" s="22" t="e">
        <f t="shared" ca="1" si="1249"/>
        <v>#NAME?</v>
      </c>
      <c r="AB170" s="21" t="e">
        <f t="shared" ref="AA170:AD170" ca="1" si="1250">SUM(AB163:AB169)</f>
        <v>#NAME?</v>
      </c>
      <c r="AC170" s="21" t="e">
        <f t="shared" ca="1" si="1250"/>
        <v>#NAME?</v>
      </c>
      <c r="AD170" s="21" t="e">
        <f t="shared" ca="1" si="1250"/>
        <v>#NAME?</v>
      </c>
      <c r="AE170" s="21" t="e">
        <f t="shared" ref="AE170" ca="1" si="1251">SUM(AE163:AE169)</f>
        <v>#NAME?</v>
      </c>
      <c r="AJ170" s="22" t="e">
        <f t="shared" ref="AJ170" ca="1" si="1252">SUM(AJ163:AJ169)</f>
        <v>#NAME?</v>
      </c>
      <c r="AK170" s="22" t="e">
        <f t="shared" ref="AK170" ca="1" si="1253">SUM(AK163:AK169)</f>
        <v>#NAME?</v>
      </c>
      <c r="AL170" s="22" t="e">
        <f t="shared" ref="AL170:AM170" ca="1" si="1254">SUM(AL163:AL169)</f>
        <v>#NAME?</v>
      </c>
      <c r="AM170" s="22" t="e">
        <f t="shared" ca="1" si="1254"/>
        <v>#NAME?</v>
      </c>
      <c r="AN170" s="22" t="e">
        <f t="shared" ref="AN170:AO170" ca="1" si="1255">SUM(AN163:AN169)</f>
        <v>#NAME?</v>
      </c>
      <c r="AO170" s="22" t="e">
        <f t="shared" ca="1" si="1255"/>
        <v>#NAME?</v>
      </c>
      <c r="AP170" s="22" t="e">
        <f t="shared" ref="AP170:CE170" ca="1" si="1256">SUM(AP163:AP169)</f>
        <v>#NAME?</v>
      </c>
      <c r="AQ170" s="22" t="e">
        <f t="shared" ca="1" si="1256"/>
        <v>#NAME?</v>
      </c>
      <c r="AR170" s="22" t="e">
        <f t="shared" ca="1" si="1256"/>
        <v>#NAME?</v>
      </c>
      <c r="AS170" s="22" t="e">
        <f t="shared" ca="1" si="1256"/>
        <v>#NAME?</v>
      </c>
      <c r="AT170" s="22" t="e">
        <f t="shared" ca="1" si="1256"/>
        <v>#NAME?</v>
      </c>
      <c r="AU170" s="22" t="e">
        <f t="shared" ca="1" si="1256"/>
        <v>#NAME?</v>
      </c>
      <c r="AV170" s="22" t="e">
        <f t="shared" ca="1" si="1256"/>
        <v>#NAME?</v>
      </c>
      <c r="AW170" s="22" t="e">
        <f t="shared" ca="1" si="1256"/>
        <v>#NAME?</v>
      </c>
      <c r="AX170" s="22" t="e">
        <f t="shared" ca="1" si="1256"/>
        <v>#NAME?</v>
      </c>
      <c r="AY170" s="22" t="e">
        <f t="shared" ca="1" si="1256"/>
        <v>#NAME?</v>
      </c>
      <c r="AZ170" s="22" t="e">
        <f t="shared" ca="1" si="1256"/>
        <v>#NAME?</v>
      </c>
      <c r="BA170" s="22" t="e">
        <f t="shared" ca="1" si="1256"/>
        <v>#NAME?</v>
      </c>
      <c r="BB170" s="22" t="e">
        <f t="shared" ca="1" si="1256"/>
        <v>#NAME?</v>
      </c>
      <c r="BC170" s="22" t="e">
        <f t="shared" ca="1" si="1256"/>
        <v>#NAME?</v>
      </c>
      <c r="BD170" s="22" t="e">
        <f t="shared" ca="1" si="1256"/>
        <v>#NAME?</v>
      </c>
      <c r="BE170" s="22" t="e">
        <f t="shared" ca="1" si="1256"/>
        <v>#NAME?</v>
      </c>
      <c r="BF170" s="22" t="e">
        <f t="shared" ca="1" si="1256"/>
        <v>#NAME?</v>
      </c>
      <c r="BG170" s="22" t="e">
        <f t="shared" ca="1" si="1256"/>
        <v>#NAME?</v>
      </c>
      <c r="BH170" s="22" t="e">
        <f t="shared" ref="BH170" ca="1" si="1257">SUM(BH163:BH169)</f>
        <v>#NAME?</v>
      </c>
      <c r="BI170" s="22" t="e">
        <f t="shared" ca="1" si="1256"/>
        <v>#NAME?</v>
      </c>
      <c r="BJ170" s="22" t="e">
        <f t="shared" ca="1" si="1256"/>
        <v>#NAME?</v>
      </c>
      <c r="BK170" s="22" t="e">
        <f t="shared" ca="1" si="1256"/>
        <v>#NAME?</v>
      </c>
      <c r="BL170" s="22" t="e">
        <f t="shared" ca="1" si="1256"/>
        <v>#NAME?</v>
      </c>
      <c r="BM170" s="22" t="e">
        <f t="shared" ca="1" si="1256"/>
        <v>#NAME?</v>
      </c>
      <c r="BN170" s="22" t="e">
        <f t="shared" ca="1" si="1256"/>
        <v>#NAME?</v>
      </c>
      <c r="BO170" s="22" t="e">
        <f t="shared" ca="1" si="1256"/>
        <v>#NAME?</v>
      </c>
      <c r="BP170" s="22" t="e">
        <f t="shared" ca="1" si="1256"/>
        <v>#NAME?</v>
      </c>
      <c r="BQ170" s="22" t="e">
        <f t="shared" ca="1" si="1256"/>
        <v>#NAME?</v>
      </c>
      <c r="BR170" s="22" t="e">
        <f t="shared" ca="1" si="1256"/>
        <v>#NAME?</v>
      </c>
      <c r="BS170" s="22" t="e">
        <f t="shared" ca="1" si="1256"/>
        <v>#NAME?</v>
      </c>
      <c r="BT170" s="22" t="e">
        <f t="shared" ca="1" si="1256"/>
        <v>#NAME?</v>
      </c>
      <c r="BU170" s="22" t="e">
        <f t="shared" ca="1" si="1256"/>
        <v>#NAME?</v>
      </c>
      <c r="BV170" s="22" t="e">
        <f t="shared" ca="1" si="1256"/>
        <v>#NAME?</v>
      </c>
      <c r="BW170" s="22" t="e">
        <f t="shared" ca="1" si="1256"/>
        <v>#NAME?</v>
      </c>
      <c r="BX170" s="22" t="e">
        <f t="shared" ca="1" si="1256"/>
        <v>#NAME?</v>
      </c>
      <c r="BY170" s="22" t="e">
        <f t="shared" ca="1" si="1256"/>
        <v>#NAME?</v>
      </c>
      <c r="BZ170" s="22" t="e">
        <f t="shared" ca="1" si="1256"/>
        <v>#NAME?</v>
      </c>
      <c r="CA170" s="22" t="e">
        <f t="shared" ca="1" si="1256"/>
        <v>#NAME?</v>
      </c>
      <c r="CB170" s="22" t="e">
        <f t="shared" ca="1" si="1256"/>
        <v>#NAME?</v>
      </c>
      <c r="CC170" s="22" t="e">
        <f t="shared" ca="1" si="1256"/>
        <v>#NAME?</v>
      </c>
      <c r="CD170" s="22" t="e">
        <f t="shared" ca="1" si="1256"/>
        <v>#NAME?</v>
      </c>
      <c r="CE170" s="22" t="e">
        <f t="shared" ca="1" si="1256"/>
        <v>#NAME?</v>
      </c>
      <c r="CF170" s="22" t="e">
        <f t="shared" ref="CF170:CG170" ca="1" si="1258">SUM(CF163:CF169)</f>
        <v>#NAME?</v>
      </c>
      <c r="CG170" s="22" t="e">
        <f t="shared" ca="1" si="1258"/>
        <v>#NAME?</v>
      </c>
      <c r="CH170" s="22" t="e">
        <f t="shared" ref="CH170:CI170" ca="1" si="1259">SUM(CH163:CH169)</f>
        <v>#NAME?</v>
      </c>
      <c r="CI170" s="22" t="e">
        <f t="shared" ca="1" si="1259"/>
        <v>#NAME?</v>
      </c>
      <c r="CJ170" s="22" t="e">
        <f t="shared" ref="CJ170:DB170" ca="1" si="1260">SUM(CJ163:CJ169)</f>
        <v>#NAME?</v>
      </c>
      <c r="CK170" s="22" t="e">
        <f t="shared" ca="1" si="1260"/>
        <v>#NAME?</v>
      </c>
      <c r="CL170" s="22" t="e">
        <f t="shared" ref="CL170" ca="1" si="1261">SUM(CL163:CL169)</f>
        <v>#NAME?</v>
      </c>
      <c r="CM170" s="21" t="e">
        <f t="shared" ca="1" si="1260"/>
        <v>#NAME?</v>
      </c>
      <c r="CN170" s="21" t="e">
        <f t="shared" ca="1" si="1260"/>
        <v>#NAME?</v>
      </c>
      <c r="CO170" s="21" t="e">
        <f t="shared" ca="1" si="1260"/>
        <v>#NAME?</v>
      </c>
      <c r="CP170" s="21" t="e">
        <f t="shared" ca="1" si="1260"/>
        <v>#NAME?</v>
      </c>
      <c r="CQ170" s="21" t="e">
        <f t="shared" ca="1" si="1260"/>
        <v>#NAME?</v>
      </c>
      <c r="CR170" s="21" t="e">
        <f t="shared" ca="1" si="1260"/>
        <v>#NAME?</v>
      </c>
      <c r="CS170" s="21" t="e">
        <f t="shared" ca="1" si="1260"/>
        <v>#NAME?</v>
      </c>
      <c r="CT170" s="21" t="e">
        <f t="shared" ca="1" si="1260"/>
        <v>#NAME?</v>
      </c>
      <c r="CU170" s="21" t="e">
        <f t="shared" ca="1" si="1260"/>
        <v>#NAME?</v>
      </c>
      <c r="CV170" s="21" t="e">
        <f t="shared" ca="1" si="1260"/>
        <v>#NAME?</v>
      </c>
      <c r="CW170" s="21" t="e">
        <f t="shared" ca="1" si="1260"/>
        <v>#NAME?</v>
      </c>
      <c r="CX170" s="21" t="e">
        <f t="shared" ca="1" si="1260"/>
        <v>#NAME?</v>
      </c>
      <c r="CY170" s="21" t="e">
        <f t="shared" ca="1" si="1260"/>
        <v>#NAME?</v>
      </c>
      <c r="CZ170" s="21" t="e">
        <f t="shared" ca="1" si="1260"/>
        <v>#NAME?</v>
      </c>
      <c r="DA170" s="21" t="e">
        <f t="shared" ca="1" si="1260"/>
        <v>#NAME?</v>
      </c>
      <c r="DB170" s="21" t="e">
        <f t="shared" ca="1" si="1260"/>
        <v>#NAME?</v>
      </c>
      <c r="DE170" s="126"/>
      <c r="DF170" s="22">
        <v>4918.5379999999996</v>
      </c>
    </row>
    <row r="171" spans="1:110" s="22" customFormat="1" x14ac:dyDescent="0.2">
      <c r="A171" s="22" t="s">
        <v>74</v>
      </c>
      <c r="B171" s="22" t="e">
        <f ca="1">B162-B170</f>
        <v>#NAME?</v>
      </c>
      <c r="C171" s="22" t="e">
        <f t="shared" ref="C171:V171" ca="1" si="1262">C162-C170</f>
        <v>#NAME?</v>
      </c>
      <c r="D171" s="22" t="e">
        <f t="shared" ca="1" si="1262"/>
        <v>#NAME?</v>
      </c>
      <c r="E171" s="22" t="e">
        <f t="shared" ca="1" si="1262"/>
        <v>#NAME?</v>
      </c>
      <c r="F171" s="22" t="e">
        <f t="shared" ca="1" si="1262"/>
        <v>#NAME?</v>
      </c>
      <c r="G171" s="22" t="e">
        <f t="shared" ca="1" si="1262"/>
        <v>#NAME?</v>
      </c>
      <c r="H171" s="22" t="e">
        <f t="shared" ca="1" si="1262"/>
        <v>#NAME?</v>
      </c>
      <c r="I171" s="22" t="e">
        <f t="shared" ca="1" si="1262"/>
        <v>#NAME?</v>
      </c>
      <c r="J171" s="22" t="e">
        <f t="shared" ca="1" si="1262"/>
        <v>#NAME?</v>
      </c>
      <c r="K171" s="22" t="e">
        <f t="shared" ca="1" si="1262"/>
        <v>#NAME?</v>
      </c>
      <c r="L171" s="22" t="e">
        <f t="shared" ca="1" si="1262"/>
        <v>#NAME?</v>
      </c>
      <c r="M171" s="22" t="e">
        <f t="shared" ca="1" si="1262"/>
        <v>#NAME?</v>
      </c>
      <c r="N171" s="22" t="e">
        <f t="shared" ca="1" si="1262"/>
        <v>#NAME?</v>
      </c>
      <c r="O171" s="22" t="e">
        <f t="shared" ca="1" si="1262"/>
        <v>#NAME?</v>
      </c>
      <c r="P171" s="22" t="e">
        <f t="shared" ca="1" si="1262"/>
        <v>#NAME?</v>
      </c>
      <c r="Q171" s="22" t="e">
        <f t="shared" ca="1" si="1262"/>
        <v>#NAME?</v>
      </c>
      <c r="R171" s="22" t="e">
        <f t="shared" ca="1" si="1262"/>
        <v>#NAME?</v>
      </c>
      <c r="S171" s="22" t="e">
        <f t="shared" ca="1" si="1262"/>
        <v>#NAME?</v>
      </c>
      <c r="T171" s="22" t="e">
        <f t="shared" ca="1" si="1262"/>
        <v>#NAME?</v>
      </c>
      <c r="U171" s="22" t="e">
        <f t="shared" ca="1" si="1262"/>
        <v>#NAME?</v>
      </c>
      <c r="V171" s="22" t="e">
        <f t="shared" ca="1" si="1262"/>
        <v>#NAME?</v>
      </c>
      <c r="W171" s="22" t="e">
        <f t="shared" ref="W171" ca="1" si="1263">W162-W170</f>
        <v>#NAME?</v>
      </c>
      <c r="X171" s="22" t="e">
        <f t="shared" ref="X171:Y171" ca="1" si="1264">X162-X170</f>
        <v>#NAME?</v>
      </c>
      <c r="Y171" s="22" t="e">
        <f t="shared" ca="1" si="1264"/>
        <v>#NAME?</v>
      </c>
      <c r="Z171" s="22" t="e">
        <f t="shared" ref="Z171:AA171" ca="1" si="1265">Z162-Z170</f>
        <v>#NAME?</v>
      </c>
      <c r="AA171" s="22" t="e">
        <f t="shared" ca="1" si="1265"/>
        <v>#NAME?</v>
      </c>
      <c r="AB171" s="21" t="e">
        <f t="shared" ref="AA171:AD171" ca="1" si="1266">AB162-AB170</f>
        <v>#NAME?</v>
      </c>
      <c r="AC171" s="21" t="e">
        <f t="shared" ca="1" si="1266"/>
        <v>#NAME?</v>
      </c>
      <c r="AD171" s="21" t="e">
        <f t="shared" ca="1" si="1266"/>
        <v>#NAME?</v>
      </c>
      <c r="AE171" s="21" t="e">
        <f t="shared" ref="AE171" ca="1" si="1267">AE162-AE170</f>
        <v>#NAME?</v>
      </c>
      <c r="AJ171" s="22" t="e">
        <f t="shared" ref="AJ171" ca="1" si="1268">AJ162-AJ170</f>
        <v>#NAME?</v>
      </c>
      <c r="AK171" s="22" t="e">
        <f t="shared" ref="AK171" ca="1" si="1269">AK162-AK170</f>
        <v>#NAME?</v>
      </c>
      <c r="AL171" s="22" t="e">
        <f t="shared" ref="AL171:AM171" ca="1" si="1270">AL162-AL170</f>
        <v>#NAME?</v>
      </c>
      <c r="AM171" s="22" t="e">
        <f t="shared" ca="1" si="1270"/>
        <v>#NAME?</v>
      </c>
      <c r="AN171" s="22" t="e">
        <f t="shared" ref="AN171:AO171" ca="1" si="1271">AN162-AN170</f>
        <v>#NAME?</v>
      </c>
      <c r="AO171" s="22" t="e">
        <f t="shared" ca="1" si="1271"/>
        <v>#NAME?</v>
      </c>
      <c r="AP171" s="22" t="e">
        <f t="shared" ref="AP171:CE171" ca="1" si="1272">AP162-AP170</f>
        <v>#NAME?</v>
      </c>
      <c r="AQ171" s="22" t="e">
        <f t="shared" ca="1" si="1272"/>
        <v>#NAME?</v>
      </c>
      <c r="AR171" s="22" t="e">
        <f t="shared" ca="1" si="1272"/>
        <v>#NAME?</v>
      </c>
      <c r="AS171" s="22" t="e">
        <f t="shared" ca="1" si="1272"/>
        <v>#NAME?</v>
      </c>
      <c r="AT171" s="22" t="e">
        <f t="shared" ca="1" si="1272"/>
        <v>#NAME?</v>
      </c>
      <c r="AU171" s="22" t="e">
        <f t="shared" ca="1" si="1272"/>
        <v>#NAME?</v>
      </c>
      <c r="AV171" s="22" t="e">
        <f t="shared" ca="1" si="1272"/>
        <v>#NAME?</v>
      </c>
      <c r="AW171" s="22" t="e">
        <f t="shared" ca="1" si="1272"/>
        <v>#NAME?</v>
      </c>
      <c r="AX171" s="22" t="e">
        <f t="shared" ca="1" si="1272"/>
        <v>#NAME?</v>
      </c>
      <c r="AY171" s="22" t="e">
        <f t="shared" ca="1" si="1272"/>
        <v>#NAME?</v>
      </c>
      <c r="AZ171" s="22" t="e">
        <f t="shared" ca="1" si="1272"/>
        <v>#NAME?</v>
      </c>
      <c r="BA171" s="22" t="e">
        <f t="shared" ca="1" si="1272"/>
        <v>#NAME?</v>
      </c>
      <c r="BB171" s="22" t="e">
        <f t="shared" ca="1" si="1272"/>
        <v>#NAME?</v>
      </c>
      <c r="BC171" s="22" t="e">
        <f t="shared" ca="1" si="1272"/>
        <v>#NAME?</v>
      </c>
      <c r="BD171" s="22" t="e">
        <f t="shared" ca="1" si="1272"/>
        <v>#NAME?</v>
      </c>
      <c r="BE171" s="22" t="e">
        <f t="shared" ca="1" si="1272"/>
        <v>#NAME?</v>
      </c>
      <c r="BF171" s="22" t="e">
        <f t="shared" ca="1" si="1272"/>
        <v>#NAME?</v>
      </c>
      <c r="BG171" s="22" t="e">
        <f t="shared" ca="1" si="1272"/>
        <v>#NAME?</v>
      </c>
      <c r="BH171" s="22" t="e">
        <f t="shared" ref="BH171" ca="1" si="1273">BH162-BH170</f>
        <v>#NAME?</v>
      </c>
      <c r="BI171" s="22" t="e">
        <f t="shared" ca="1" si="1272"/>
        <v>#NAME?</v>
      </c>
      <c r="BJ171" s="22" t="e">
        <f t="shared" ca="1" si="1272"/>
        <v>#NAME?</v>
      </c>
      <c r="BK171" s="22" t="e">
        <f t="shared" ca="1" si="1272"/>
        <v>#NAME?</v>
      </c>
      <c r="BL171" s="22" t="e">
        <f t="shared" ca="1" si="1272"/>
        <v>#NAME?</v>
      </c>
      <c r="BM171" s="22" t="e">
        <f t="shared" ca="1" si="1272"/>
        <v>#NAME?</v>
      </c>
      <c r="BN171" s="22" t="e">
        <f t="shared" ca="1" si="1272"/>
        <v>#NAME?</v>
      </c>
      <c r="BO171" s="22" t="e">
        <f t="shared" ca="1" si="1272"/>
        <v>#NAME?</v>
      </c>
      <c r="BP171" s="22" t="e">
        <f t="shared" ca="1" si="1272"/>
        <v>#NAME?</v>
      </c>
      <c r="BQ171" s="22" t="e">
        <f t="shared" ca="1" si="1272"/>
        <v>#NAME?</v>
      </c>
      <c r="BR171" s="22" t="e">
        <f t="shared" ca="1" si="1272"/>
        <v>#NAME?</v>
      </c>
      <c r="BS171" s="22" t="e">
        <f t="shared" ca="1" si="1272"/>
        <v>#NAME?</v>
      </c>
      <c r="BT171" s="22" t="e">
        <f t="shared" ca="1" si="1272"/>
        <v>#NAME?</v>
      </c>
      <c r="BU171" s="22" t="e">
        <f t="shared" ca="1" si="1272"/>
        <v>#NAME?</v>
      </c>
      <c r="BV171" s="22" t="e">
        <f t="shared" ca="1" si="1272"/>
        <v>#NAME?</v>
      </c>
      <c r="BW171" s="22" t="e">
        <f t="shared" ca="1" si="1272"/>
        <v>#NAME?</v>
      </c>
      <c r="BX171" s="22" t="e">
        <f t="shared" ca="1" si="1272"/>
        <v>#NAME?</v>
      </c>
      <c r="BY171" s="22" t="e">
        <f t="shared" ca="1" si="1272"/>
        <v>#NAME?</v>
      </c>
      <c r="BZ171" s="22" t="e">
        <f t="shared" ca="1" si="1272"/>
        <v>#NAME?</v>
      </c>
      <c r="CA171" s="22" t="e">
        <f t="shared" ca="1" si="1272"/>
        <v>#NAME?</v>
      </c>
      <c r="CB171" s="22" t="e">
        <f t="shared" ca="1" si="1272"/>
        <v>#NAME?</v>
      </c>
      <c r="CC171" s="22" t="e">
        <f t="shared" ca="1" si="1272"/>
        <v>#NAME?</v>
      </c>
      <c r="CD171" s="22" t="e">
        <f t="shared" ca="1" si="1272"/>
        <v>#NAME?</v>
      </c>
      <c r="CE171" s="22" t="e">
        <f t="shared" ca="1" si="1272"/>
        <v>#NAME?</v>
      </c>
      <c r="CF171" s="22" t="e">
        <f t="shared" ref="CF171:CG171" ca="1" si="1274">CF162-CF170</f>
        <v>#NAME?</v>
      </c>
      <c r="CG171" s="22" t="e">
        <f t="shared" ca="1" si="1274"/>
        <v>#NAME?</v>
      </c>
      <c r="CH171" s="22" t="e">
        <f t="shared" ref="CH171:CI171" ca="1" si="1275">CH162-CH170</f>
        <v>#NAME?</v>
      </c>
      <c r="CI171" s="22" t="e">
        <f t="shared" ca="1" si="1275"/>
        <v>#NAME?</v>
      </c>
      <c r="CJ171" s="22" t="e">
        <f t="shared" ref="CJ171:DB171" ca="1" si="1276">CJ162-CJ170</f>
        <v>#NAME?</v>
      </c>
      <c r="CK171" s="22" t="e">
        <f t="shared" ca="1" si="1276"/>
        <v>#NAME?</v>
      </c>
      <c r="CL171" s="22" t="e">
        <f t="shared" ref="CL171" ca="1" si="1277">CL162-CL170</f>
        <v>#NAME?</v>
      </c>
      <c r="CM171" s="21" t="e">
        <f t="shared" ca="1" si="1276"/>
        <v>#NAME?</v>
      </c>
      <c r="CN171" s="21" t="e">
        <f t="shared" ca="1" si="1276"/>
        <v>#NAME?</v>
      </c>
      <c r="CO171" s="21" t="e">
        <f t="shared" ca="1" si="1276"/>
        <v>#NAME?</v>
      </c>
      <c r="CP171" s="21" t="e">
        <f t="shared" ca="1" si="1276"/>
        <v>#NAME?</v>
      </c>
      <c r="CQ171" s="21" t="e">
        <f t="shared" ca="1" si="1276"/>
        <v>#NAME?</v>
      </c>
      <c r="CR171" s="21" t="e">
        <f t="shared" ca="1" si="1276"/>
        <v>#NAME?</v>
      </c>
      <c r="CS171" s="21" t="e">
        <f t="shared" ca="1" si="1276"/>
        <v>#NAME?</v>
      </c>
      <c r="CT171" s="21" t="e">
        <f t="shared" ca="1" si="1276"/>
        <v>#NAME?</v>
      </c>
      <c r="CU171" s="21" t="e">
        <f t="shared" ca="1" si="1276"/>
        <v>#NAME?</v>
      </c>
      <c r="CV171" s="21" t="e">
        <f t="shared" ca="1" si="1276"/>
        <v>#NAME?</v>
      </c>
      <c r="CW171" s="21" t="e">
        <f t="shared" ca="1" si="1276"/>
        <v>#NAME?</v>
      </c>
      <c r="CX171" s="21" t="e">
        <f t="shared" ca="1" si="1276"/>
        <v>#NAME?</v>
      </c>
      <c r="CY171" s="21" t="e">
        <f t="shared" ca="1" si="1276"/>
        <v>#NAME?</v>
      </c>
      <c r="CZ171" s="21" t="e">
        <f t="shared" ca="1" si="1276"/>
        <v>#NAME?</v>
      </c>
      <c r="DA171" s="21" t="e">
        <f t="shared" ca="1" si="1276"/>
        <v>#NAME?</v>
      </c>
      <c r="DB171" s="21" t="e">
        <f t="shared" ca="1" si="1276"/>
        <v>#NAME?</v>
      </c>
      <c r="DE171" s="126"/>
      <c r="DF171" s="22">
        <v>-1455.8029999999994</v>
      </c>
    </row>
    <row r="172" spans="1:110" s="23" customFormat="1" x14ac:dyDescent="0.2">
      <c r="AB172" s="24"/>
      <c r="AC172" s="24"/>
      <c r="AD172" s="24"/>
      <c r="AE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3"/>
    </row>
    <row r="173" spans="1:110" s="23" customFormat="1" outlineLevel="1" x14ac:dyDescent="0.2">
      <c r="A173" s="23" t="s">
        <v>75</v>
      </c>
      <c r="B173" s="23" t="e">
        <f ca="1">'Annual Raw'!C75</f>
        <v>#NAME?</v>
      </c>
      <c r="C173" s="23" t="e">
        <f ca="1">'Annual Raw'!D75</f>
        <v>#NAME?</v>
      </c>
      <c r="D173" s="23" t="e">
        <f ca="1">'Annual Raw'!E75</f>
        <v>#NAME?</v>
      </c>
      <c r="E173" s="23" t="e">
        <f ca="1">'Annual Raw'!F75</f>
        <v>#NAME?</v>
      </c>
      <c r="F173" s="23" t="e">
        <f ca="1">'Annual Raw'!G75</f>
        <v>#NAME?</v>
      </c>
      <c r="G173" s="23" t="e">
        <f ca="1">'Annual Raw'!H75</f>
        <v>#NAME?</v>
      </c>
      <c r="H173" s="23" t="e">
        <f ca="1">'Annual Raw'!I75</f>
        <v>#NAME?</v>
      </c>
      <c r="I173" s="23" t="e">
        <f ca="1">'Annual Raw'!J75</f>
        <v>#NAME?</v>
      </c>
      <c r="J173" s="23" t="e">
        <f ca="1">'Annual Raw'!K75</f>
        <v>#NAME?</v>
      </c>
      <c r="K173" s="23" t="e">
        <f ca="1">'Annual Raw'!L75</f>
        <v>#NAME?</v>
      </c>
      <c r="L173" s="23" t="e">
        <f ca="1">'Annual Raw'!M75</f>
        <v>#NAME?</v>
      </c>
      <c r="M173" s="23" t="e">
        <f ca="1">'Annual Raw'!N75</f>
        <v>#NAME?</v>
      </c>
      <c r="N173" s="23" t="e">
        <f ca="1">'Annual Raw'!O75</f>
        <v>#NAME?</v>
      </c>
      <c r="O173" s="23" t="e">
        <f ca="1">'Annual Raw'!P75</f>
        <v>#NAME?</v>
      </c>
      <c r="P173" s="23" t="e">
        <f ca="1">'Annual Raw'!Q75</f>
        <v>#NAME?</v>
      </c>
      <c r="Q173" s="23" t="e">
        <f ca="1">'Annual Raw'!R75</f>
        <v>#NAME?</v>
      </c>
      <c r="R173" s="23" t="e">
        <f ca="1">'Annual Raw'!S75</f>
        <v>#NAME?</v>
      </c>
      <c r="S173" s="23" t="e">
        <f ca="1">'Annual Raw'!T75</f>
        <v>#NAME?</v>
      </c>
      <c r="T173" s="23" t="e">
        <f ca="1">'Annual Raw'!U75</f>
        <v>#NAME?</v>
      </c>
      <c r="U173" s="23" t="e">
        <f ca="1">'Annual Raw'!V75</f>
        <v>#NAME?</v>
      </c>
      <c r="V173" s="23" t="e">
        <f ca="1">'Annual Raw'!W75</f>
        <v>#NAME?</v>
      </c>
      <c r="W173" s="23" t="e">
        <f ca="1">'Annual Raw'!X75</f>
        <v>#NAME?</v>
      </c>
      <c r="X173" s="23" t="e">
        <f ca="1">'Annual Raw'!Y75</f>
        <v>#NAME?</v>
      </c>
      <c r="Y173" s="23" t="e">
        <f ca="1">'Annual Raw'!Z75</f>
        <v>#NAME?</v>
      </c>
      <c r="Z173" s="23" t="e">
        <f ca="1">'Annual Raw'!AA75</f>
        <v>#NAME?</v>
      </c>
      <c r="AA173" s="23" t="e">
        <f ca="1">'Annual Raw'!AB75</f>
        <v>#NAME?</v>
      </c>
      <c r="AB173" s="24">
        <f t="shared" ref="AB173:AB174" si="1278">+CP173</f>
        <v>0</v>
      </c>
      <c r="AC173" s="24">
        <f t="shared" ref="AC173:AC174" si="1279">+CT173</f>
        <v>0</v>
      </c>
      <c r="AD173" s="24">
        <f t="shared" ref="AD173:AD174" si="1280">+CX173</f>
        <v>0</v>
      </c>
      <c r="AE173" s="24">
        <f t="shared" ref="AE173:AE174" si="1281">+DB173</f>
        <v>0</v>
      </c>
      <c r="AJ173" s="23" t="e">
        <f ca="1">+'QTR Raw'!D80</f>
        <v>#NAME?</v>
      </c>
      <c r="AL173" s="23" t="e">
        <f ca="1">+'QTR Raw'!F80</f>
        <v>#NAME?</v>
      </c>
      <c r="AN173" s="23" t="e">
        <f ca="1">+'QTR Raw'!H80</f>
        <v>#NAME?</v>
      </c>
      <c r="AP173" s="23" t="e">
        <f ca="1">+'QTR Raw'!J80</f>
        <v>#NAME?</v>
      </c>
      <c r="AR173" s="23" t="e">
        <f ca="1">+'QTR Raw'!L80</f>
        <v>#NAME?</v>
      </c>
      <c r="AT173" s="23" t="e">
        <f ca="1">+'QTR Raw'!N80</f>
        <v>#NAME?</v>
      </c>
      <c r="AV173" s="23" t="e">
        <f ca="1">+'QTR Raw'!P80</f>
        <v>#NAME?</v>
      </c>
      <c r="AX173" s="23" t="e">
        <f ca="1">+'QTR Raw'!R80</f>
        <v>#NAME?</v>
      </c>
      <c r="AZ173" s="23" t="e">
        <f ca="1">+'QTR Raw'!T80</f>
        <v>#NAME?</v>
      </c>
      <c r="BB173" s="23" t="e">
        <f ca="1">+'QTR Raw'!V80</f>
        <v>#NAME?</v>
      </c>
      <c r="BD173" s="23" t="e">
        <f ca="1">+'QTR Raw'!X80</f>
        <v>#NAME?</v>
      </c>
      <c r="BF173" s="23" t="e">
        <f ca="1">+'QTR Raw'!Z80</f>
        <v>#NAME?</v>
      </c>
      <c r="BH173" s="23" t="e">
        <f ca="1">+'QTR Raw'!AB80</f>
        <v>#NAME?</v>
      </c>
      <c r="BJ173" s="23" t="e">
        <f ca="1">+'QTR Raw'!AD80</f>
        <v>#NAME?</v>
      </c>
      <c r="BL173" s="23" t="e">
        <f ca="1">+'QTR Raw'!AF80</f>
        <v>#NAME?</v>
      </c>
      <c r="BN173" s="23" t="e">
        <f ca="1">+'QTR Raw'!AH80</f>
        <v>#NAME?</v>
      </c>
      <c r="BP173" s="23" t="e">
        <f ca="1">+'QTR Raw'!AJ80</f>
        <v>#NAME?</v>
      </c>
      <c r="BR173" s="23" t="e">
        <f ca="1">+'QTR Raw'!AL80</f>
        <v>#NAME?</v>
      </c>
      <c r="BT173" s="23" t="e">
        <f ca="1">+'QTR Raw'!AN80</f>
        <v>#NAME?</v>
      </c>
      <c r="BV173" s="23" t="e">
        <f ca="1">+'QTR Raw'!AP80</f>
        <v>#NAME?</v>
      </c>
      <c r="BX173" s="23" t="e">
        <f ca="1">+'QTR Raw'!AR80</f>
        <v>#NAME?</v>
      </c>
      <c r="BZ173" s="23" t="e">
        <f ca="1">+'QTR Raw'!AT80</f>
        <v>#NAME?</v>
      </c>
      <c r="CB173" s="23" t="e">
        <f ca="1">+'QTR Raw'!AV80</f>
        <v>#NAME?</v>
      </c>
      <c r="CD173" s="23" t="e">
        <f ca="1">+'QTR Raw'!AX80</f>
        <v>#NAME?</v>
      </c>
      <c r="CF173" s="23" t="e">
        <f ca="1">+'QTR Raw'!AZ80</f>
        <v>#NAME?</v>
      </c>
      <c r="CH173" s="23" t="e">
        <f t="shared" ref="CH173:CH174" ca="1" si="1282">Z173</f>
        <v>#NAME?</v>
      </c>
      <c r="CJ173" s="23" t="e">
        <f ca="1">+'QTR Raw'!BD80</f>
        <v>#NAME?</v>
      </c>
      <c r="CL173" s="23" t="e">
        <f ca="1">+'QTR Raw'!BF80</f>
        <v>#NAME?</v>
      </c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  <c r="DF173" s="23">
        <v>32.777000000000001</v>
      </c>
    </row>
    <row r="174" spans="1:110" s="23" customFormat="1" outlineLevel="1" x14ac:dyDescent="0.2">
      <c r="A174" s="23" t="s">
        <v>76</v>
      </c>
      <c r="B174" s="23" t="e">
        <f ca="1">'Annual Raw'!C78</f>
        <v>#NAME?</v>
      </c>
      <c r="C174" s="23" t="e">
        <f ca="1">'Annual Raw'!D78</f>
        <v>#NAME?</v>
      </c>
      <c r="D174" s="23" t="e">
        <f ca="1">'Annual Raw'!E78</f>
        <v>#NAME?</v>
      </c>
      <c r="E174" s="23" t="e">
        <f ca="1">'Annual Raw'!F78</f>
        <v>#NAME?</v>
      </c>
      <c r="F174" s="23" t="e">
        <f ca="1">'Annual Raw'!G78</f>
        <v>#NAME?</v>
      </c>
      <c r="G174" s="23" t="e">
        <f ca="1">'Annual Raw'!H78</f>
        <v>#NAME?</v>
      </c>
      <c r="H174" s="23" t="e">
        <f ca="1">'Annual Raw'!I78</f>
        <v>#NAME?</v>
      </c>
      <c r="I174" s="23" t="e">
        <f ca="1">'Annual Raw'!J78</f>
        <v>#NAME?</v>
      </c>
      <c r="J174" s="23" t="e">
        <f ca="1">'Annual Raw'!K78</f>
        <v>#NAME?</v>
      </c>
      <c r="K174" s="23" t="e">
        <f ca="1">'Annual Raw'!L78</f>
        <v>#NAME?</v>
      </c>
      <c r="L174" s="23" t="e">
        <f ca="1">'Annual Raw'!M78</f>
        <v>#NAME?</v>
      </c>
      <c r="M174" s="23" t="e">
        <f ca="1">'Annual Raw'!N78</f>
        <v>#NAME?</v>
      </c>
      <c r="N174" s="23" t="e">
        <f ca="1">'Annual Raw'!O78</f>
        <v>#NAME?</v>
      </c>
      <c r="O174" s="23" t="e">
        <f ca="1">'Annual Raw'!P78</f>
        <v>#NAME?</v>
      </c>
      <c r="P174" s="23" t="e">
        <f ca="1">'Annual Raw'!Q78</f>
        <v>#NAME?</v>
      </c>
      <c r="Q174" s="23" t="e">
        <f ca="1">'Annual Raw'!R78</f>
        <v>#NAME?</v>
      </c>
      <c r="R174" s="23" t="e">
        <f ca="1">'Annual Raw'!S78</f>
        <v>#NAME?</v>
      </c>
      <c r="S174" s="23" t="e">
        <f ca="1">'Annual Raw'!T78</f>
        <v>#NAME?</v>
      </c>
      <c r="T174" s="23" t="e">
        <f ca="1">'Annual Raw'!U78</f>
        <v>#NAME?</v>
      </c>
      <c r="U174" s="23" t="e">
        <f ca="1">'Annual Raw'!V78</f>
        <v>#NAME?</v>
      </c>
      <c r="V174" s="23" t="e">
        <f ca="1">'Annual Raw'!W78</f>
        <v>#NAME?</v>
      </c>
      <c r="W174" s="23" t="e">
        <f ca="1">'Annual Raw'!X78</f>
        <v>#NAME?</v>
      </c>
      <c r="X174" s="23" t="e">
        <f ca="1">'Annual Raw'!Y78</f>
        <v>#NAME?</v>
      </c>
      <c r="Y174" s="23" t="e">
        <f ca="1">'Annual Raw'!Z78</f>
        <v>#NAME?</v>
      </c>
      <c r="Z174" s="23" t="e">
        <f ca="1">'Annual Raw'!AA78</f>
        <v>#NAME?</v>
      </c>
      <c r="AA174" s="23" t="e">
        <f ca="1">'Annual Raw'!AB78</f>
        <v>#NAME?</v>
      </c>
      <c r="AB174" s="24" t="e">
        <f t="shared" ca="1" si="1278"/>
        <v>#NAME?</v>
      </c>
      <c r="AC174" s="24" t="e">
        <f t="shared" ca="1" si="1279"/>
        <v>#NAME?</v>
      </c>
      <c r="AD174" s="24" t="e">
        <f t="shared" ca="1" si="1280"/>
        <v>#NAME?</v>
      </c>
      <c r="AE174" s="24" t="e">
        <f t="shared" ca="1" si="1281"/>
        <v>#NAME?</v>
      </c>
      <c r="AJ174" s="23" t="e">
        <f ca="1">+'QTR Raw'!D83</f>
        <v>#NAME?</v>
      </c>
      <c r="AK174" s="23" t="e">
        <f t="shared" ref="AK174:AM174" ca="1" si="1283">+AK224</f>
        <v>#NAME?</v>
      </c>
      <c r="AL174" s="23" t="e">
        <f ca="1">+'QTR Raw'!F83</f>
        <v>#NAME?</v>
      </c>
      <c r="AM174" s="23" t="e">
        <f t="shared" ca="1" si="1283"/>
        <v>#NAME?</v>
      </c>
      <c r="AN174" s="23" t="e">
        <f ca="1">+'QTR Raw'!H83</f>
        <v>#NAME?</v>
      </c>
      <c r="AO174" s="23" t="e">
        <f t="shared" ref="AO174" ca="1" si="1284">+AO224</f>
        <v>#NAME?</v>
      </c>
      <c r="AP174" s="23" t="e">
        <f ca="1">+'QTR Raw'!J83</f>
        <v>#NAME?</v>
      </c>
      <c r="AQ174" s="23" t="e">
        <f t="shared" ref="AQ174" ca="1" si="1285">+AQ224</f>
        <v>#NAME?</v>
      </c>
      <c r="AR174" s="23" t="e">
        <f ca="1">+'QTR Raw'!L83</f>
        <v>#NAME?</v>
      </c>
      <c r="AS174" s="23" t="e">
        <f t="shared" ref="AS174" ca="1" si="1286">+AS224</f>
        <v>#NAME?</v>
      </c>
      <c r="AT174" s="23" t="e">
        <f ca="1">+'QTR Raw'!N83</f>
        <v>#NAME?</v>
      </c>
      <c r="AU174" s="23" t="e">
        <f t="shared" ref="AU174" ca="1" si="1287">+AU224</f>
        <v>#NAME?</v>
      </c>
      <c r="AV174" s="23" t="e">
        <f ca="1">+'QTR Raw'!P83</f>
        <v>#NAME?</v>
      </c>
      <c r="AW174" s="23" t="e">
        <f t="shared" ref="AW174" ca="1" si="1288">+AW224</f>
        <v>#NAME?</v>
      </c>
      <c r="AX174" s="23" t="e">
        <f ca="1">+'QTR Raw'!R83</f>
        <v>#NAME?</v>
      </c>
      <c r="AY174" s="23" t="e">
        <f t="shared" ref="AY174" ca="1" si="1289">+AY224</f>
        <v>#NAME?</v>
      </c>
      <c r="AZ174" s="23" t="e">
        <f ca="1">+'QTR Raw'!T83</f>
        <v>#NAME?</v>
      </c>
      <c r="BA174" s="23" t="e">
        <f t="shared" ref="BA174" ca="1" si="1290">+BA224</f>
        <v>#NAME?</v>
      </c>
      <c r="BB174" s="23" t="e">
        <f ca="1">+'QTR Raw'!V83</f>
        <v>#NAME?</v>
      </c>
      <c r="BC174" s="23" t="e">
        <f t="shared" ref="BC174" ca="1" si="1291">+BC224</f>
        <v>#NAME?</v>
      </c>
      <c r="BD174" s="23" t="e">
        <f ca="1">+'QTR Raw'!X83</f>
        <v>#NAME?</v>
      </c>
      <c r="BE174" s="23" t="e">
        <f t="shared" ref="BE174" ca="1" si="1292">+BE224</f>
        <v>#NAME?</v>
      </c>
      <c r="BF174" s="23" t="e">
        <f ca="1">+'QTR Raw'!Z83</f>
        <v>#NAME?</v>
      </c>
      <c r="BG174" s="23" t="e">
        <f t="shared" ref="BG174" ca="1" si="1293">+BG224</f>
        <v>#NAME?</v>
      </c>
      <c r="BH174" s="23" t="e">
        <f ca="1">+'QTR Raw'!AB83</f>
        <v>#NAME?</v>
      </c>
      <c r="BI174" s="23" t="e">
        <f t="shared" ref="BI174" ca="1" si="1294">+BI224</f>
        <v>#NAME?</v>
      </c>
      <c r="BJ174" s="23" t="e">
        <f ca="1">+'QTR Raw'!AD83</f>
        <v>#NAME?</v>
      </c>
      <c r="BK174" s="23" t="e">
        <f t="shared" ref="BK174" ca="1" si="1295">+BK224</f>
        <v>#NAME?</v>
      </c>
      <c r="BL174" s="23" t="e">
        <f ca="1">+'QTR Raw'!AF83</f>
        <v>#NAME?</v>
      </c>
      <c r="BM174" s="23" t="e">
        <f t="shared" ref="BM174" ca="1" si="1296">+BM224</f>
        <v>#NAME?</v>
      </c>
      <c r="BN174" s="23" t="e">
        <f ca="1">+'QTR Raw'!AH83</f>
        <v>#NAME?</v>
      </c>
      <c r="BO174" s="23" t="e">
        <f t="shared" ref="BO174" ca="1" si="1297">+BO224</f>
        <v>#NAME?</v>
      </c>
      <c r="BP174" s="23" t="e">
        <f ca="1">+'QTR Raw'!AJ83</f>
        <v>#NAME?</v>
      </c>
      <c r="BQ174" s="23" t="e">
        <f t="shared" ref="BQ174" ca="1" si="1298">+BQ224</f>
        <v>#NAME?</v>
      </c>
      <c r="BR174" s="23" t="e">
        <f ca="1">+'QTR Raw'!AL83</f>
        <v>#NAME?</v>
      </c>
      <c r="BS174" s="23" t="e">
        <f t="shared" ref="BS174" ca="1" si="1299">+BS224</f>
        <v>#NAME?</v>
      </c>
      <c r="BT174" s="23" t="e">
        <f ca="1">+'QTR Raw'!AN83</f>
        <v>#NAME?</v>
      </c>
      <c r="BU174" s="23" t="e">
        <f t="shared" ref="BU174" ca="1" si="1300">+BU224</f>
        <v>#NAME?</v>
      </c>
      <c r="BV174" s="23" t="e">
        <f ca="1">+'QTR Raw'!AP83</f>
        <v>#NAME?</v>
      </c>
      <c r="BW174" s="23" t="e">
        <f t="shared" ref="BW174" ca="1" si="1301">+BW224</f>
        <v>#NAME?</v>
      </c>
      <c r="BX174" s="23" t="e">
        <f ca="1">+'QTR Raw'!AR83</f>
        <v>#NAME?</v>
      </c>
      <c r="BY174" s="23" t="e">
        <f t="shared" ref="BY174" ca="1" si="1302">+BY224</f>
        <v>#NAME?</v>
      </c>
      <c r="BZ174" s="23" t="e">
        <f ca="1">+'QTR Raw'!AT83</f>
        <v>#NAME?</v>
      </c>
      <c r="CA174" s="23" t="e">
        <f t="shared" ref="CA174" ca="1" si="1303">+CA224</f>
        <v>#NAME?</v>
      </c>
      <c r="CB174" s="23" t="e">
        <f ca="1">+'QTR Raw'!AV83</f>
        <v>#NAME?</v>
      </c>
      <c r="CC174" s="23" t="e">
        <f t="shared" ref="CC174" ca="1" si="1304">+CC224</f>
        <v>#NAME?</v>
      </c>
      <c r="CD174" s="23" t="e">
        <f ca="1">+'QTR Raw'!AX83</f>
        <v>#NAME?</v>
      </c>
      <c r="CE174" s="23" t="e">
        <f t="shared" ref="CE174" ca="1" si="1305">+CE224</f>
        <v>#NAME?</v>
      </c>
      <c r="CF174" s="23" t="e">
        <f ca="1">+'QTR Raw'!AZ83</f>
        <v>#NAME?</v>
      </c>
      <c r="CG174" s="23" t="e">
        <f t="shared" ref="CG174:CI174" ca="1" si="1306">+CG224</f>
        <v>#NAME?</v>
      </c>
      <c r="CH174" s="23" t="e">
        <f t="shared" ca="1" si="1282"/>
        <v>#NAME?</v>
      </c>
      <c r="CI174" s="23" t="e">
        <f t="shared" ca="1" si="1306"/>
        <v>#NAME?</v>
      </c>
      <c r="CJ174" s="23" t="e">
        <f ca="1">+'QTR Raw'!BD83</f>
        <v>#NAME?</v>
      </c>
      <c r="CK174" s="23" t="e">
        <f t="shared" ref="CK174:DB174" ca="1" si="1307">+CK224</f>
        <v>#NAME?</v>
      </c>
      <c r="CL174" s="23" t="e">
        <f ca="1">+'QTR Raw'!BF83</f>
        <v>#NAME?</v>
      </c>
      <c r="CM174" s="24" t="e">
        <f t="shared" ca="1" si="1307"/>
        <v>#NAME?</v>
      </c>
      <c r="CN174" s="24" t="e">
        <f t="shared" ca="1" si="1307"/>
        <v>#NAME?</v>
      </c>
      <c r="CO174" s="24" t="e">
        <f t="shared" ca="1" si="1307"/>
        <v>#NAME?</v>
      </c>
      <c r="CP174" s="24" t="e">
        <f t="shared" ca="1" si="1307"/>
        <v>#NAME?</v>
      </c>
      <c r="CQ174" s="24" t="e">
        <f t="shared" ca="1" si="1307"/>
        <v>#NAME?</v>
      </c>
      <c r="CR174" s="24" t="e">
        <f t="shared" ca="1" si="1307"/>
        <v>#NAME?</v>
      </c>
      <c r="CS174" s="24" t="e">
        <f t="shared" ca="1" si="1307"/>
        <v>#NAME?</v>
      </c>
      <c r="CT174" s="24" t="e">
        <f t="shared" ca="1" si="1307"/>
        <v>#NAME?</v>
      </c>
      <c r="CU174" s="24" t="e">
        <f t="shared" ca="1" si="1307"/>
        <v>#NAME?</v>
      </c>
      <c r="CV174" s="24" t="e">
        <f t="shared" ca="1" si="1307"/>
        <v>#NAME?</v>
      </c>
      <c r="CW174" s="24" t="e">
        <f t="shared" ca="1" si="1307"/>
        <v>#NAME?</v>
      </c>
      <c r="CX174" s="24" t="e">
        <f t="shared" ca="1" si="1307"/>
        <v>#NAME?</v>
      </c>
      <c r="CY174" s="24" t="e">
        <f t="shared" ca="1" si="1307"/>
        <v>#NAME?</v>
      </c>
      <c r="CZ174" s="24" t="e">
        <f t="shared" ca="1" si="1307"/>
        <v>#NAME?</v>
      </c>
      <c r="DA174" s="24" t="e">
        <f t="shared" ca="1" si="1307"/>
        <v>#NAME?</v>
      </c>
      <c r="DB174" s="24" t="e">
        <f t="shared" ca="1" si="1307"/>
        <v>#NAME?</v>
      </c>
      <c r="DE174" s="123"/>
      <c r="DF174" s="23">
        <v>3548.0239999999999</v>
      </c>
    </row>
    <row r="175" spans="1:110" s="22" customFormat="1" x14ac:dyDescent="0.2">
      <c r="A175" s="22" t="s">
        <v>77</v>
      </c>
      <c r="B175" s="22" t="e">
        <f ca="1">B173+B174</f>
        <v>#NAME?</v>
      </c>
      <c r="C175" s="22" t="e">
        <f t="shared" ref="C175:V175" ca="1" si="1308">C173+C174</f>
        <v>#NAME?</v>
      </c>
      <c r="D175" s="22" t="e">
        <f t="shared" ca="1" si="1308"/>
        <v>#NAME?</v>
      </c>
      <c r="E175" s="22" t="e">
        <f t="shared" ca="1" si="1308"/>
        <v>#NAME?</v>
      </c>
      <c r="F175" s="22" t="e">
        <f t="shared" ca="1" si="1308"/>
        <v>#NAME?</v>
      </c>
      <c r="G175" s="22" t="e">
        <f t="shared" ca="1" si="1308"/>
        <v>#NAME?</v>
      </c>
      <c r="H175" s="22" t="e">
        <f t="shared" ca="1" si="1308"/>
        <v>#NAME?</v>
      </c>
      <c r="I175" s="22" t="e">
        <f t="shared" ca="1" si="1308"/>
        <v>#NAME?</v>
      </c>
      <c r="J175" s="22" t="e">
        <f t="shared" ca="1" si="1308"/>
        <v>#NAME?</v>
      </c>
      <c r="K175" s="22" t="e">
        <f t="shared" ca="1" si="1308"/>
        <v>#NAME?</v>
      </c>
      <c r="L175" s="22" t="e">
        <f t="shared" ca="1" si="1308"/>
        <v>#NAME?</v>
      </c>
      <c r="M175" s="22" t="e">
        <f t="shared" ca="1" si="1308"/>
        <v>#NAME?</v>
      </c>
      <c r="N175" s="22" t="e">
        <f t="shared" ca="1" si="1308"/>
        <v>#NAME?</v>
      </c>
      <c r="O175" s="22" t="e">
        <f t="shared" ca="1" si="1308"/>
        <v>#NAME?</v>
      </c>
      <c r="P175" s="22" t="e">
        <f t="shared" ca="1" si="1308"/>
        <v>#NAME?</v>
      </c>
      <c r="Q175" s="22" t="e">
        <f t="shared" ca="1" si="1308"/>
        <v>#NAME?</v>
      </c>
      <c r="R175" s="22" t="e">
        <f t="shared" ca="1" si="1308"/>
        <v>#NAME?</v>
      </c>
      <c r="S175" s="22" t="e">
        <f t="shared" ca="1" si="1308"/>
        <v>#NAME?</v>
      </c>
      <c r="T175" s="22" t="e">
        <f t="shared" ca="1" si="1308"/>
        <v>#NAME?</v>
      </c>
      <c r="U175" s="22" t="e">
        <f t="shared" ca="1" si="1308"/>
        <v>#NAME?</v>
      </c>
      <c r="V175" s="22" t="e">
        <f t="shared" ca="1" si="1308"/>
        <v>#NAME?</v>
      </c>
      <c r="W175" s="22" t="e">
        <f t="shared" ref="W175" ca="1" si="1309">W173+W174</f>
        <v>#NAME?</v>
      </c>
      <c r="X175" s="22" t="e">
        <f t="shared" ref="X175:Y175" ca="1" si="1310">X173+X174</f>
        <v>#NAME?</v>
      </c>
      <c r="Y175" s="22" t="e">
        <f t="shared" ca="1" si="1310"/>
        <v>#NAME?</v>
      </c>
      <c r="Z175" s="22" t="e">
        <f t="shared" ref="Z175:AA175" ca="1" si="1311">Z173+Z174</f>
        <v>#NAME?</v>
      </c>
      <c r="AA175" s="22" t="e">
        <f t="shared" ca="1" si="1311"/>
        <v>#NAME?</v>
      </c>
      <c r="AB175" s="21" t="e">
        <f t="shared" ref="AA175:AD175" ca="1" si="1312">AB173+AB174</f>
        <v>#NAME?</v>
      </c>
      <c r="AC175" s="21" t="e">
        <f t="shared" ca="1" si="1312"/>
        <v>#NAME?</v>
      </c>
      <c r="AD175" s="21" t="e">
        <f t="shared" ca="1" si="1312"/>
        <v>#NAME?</v>
      </c>
      <c r="AE175" s="21" t="e">
        <f t="shared" ref="AE175" ca="1" si="1313">AE173+AE174</f>
        <v>#NAME?</v>
      </c>
      <c r="AJ175" s="22" t="e">
        <f t="shared" ref="AJ175" ca="1" si="1314">AJ173+AJ174</f>
        <v>#NAME?</v>
      </c>
      <c r="AK175" s="22" t="e">
        <f t="shared" ref="AK175" ca="1" si="1315">AK173+AK174</f>
        <v>#NAME?</v>
      </c>
      <c r="AL175" s="22" t="e">
        <f t="shared" ref="AL175:AM175" ca="1" si="1316">AL173+AL174</f>
        <v>#NAME?</v>
      </c>
      <c r="AM175" s="22" t="e">
        <f t="shared" ca="1" si="1316"/>
        <v>#NAME?</v>
      </c>
      <c r="AN175" s="22" t="e">
        <f t="shared" ref="AN175:AO175" ca="1" si="1317">AN173+AN174</f>
        <v>#NAME?</v>
      </c>
      <c r="AO175" s="22" t="e">
        <f t="shared" ca="1" si="1317"/>
        <v>#NAME?</v>
      </c>
      <c r="AP175" s="22" t="e">
        <f t="shared" ref="AP175:CE175" ca="1" si="1318">AP173+AP174</f>
        <v>#NAME?</v>
      </c>
      <c r="AQ175" s="22" t="e">
        <f t="shared" ca="1" si="1318"/>
        <v>#NAME?</v>
      </c>
      <c r="AR175" s="22" t="e">
        <f t="shared" ca="1" si="1318"/>
        <v>#NAME?</v>
      </c>
      <c r="AS175" s="22" t="e">
        <f t="shared" ca="1" si="1318"/>
        <v>#NAME?</v>
      </c>
      <c r="AT175" s="22" t="e">
        <f t="shared" ca="1" si="1318"/>
        <v>#NAME?</v>
      </c>
      <c r="AU175" s="22" t="e">
        <f t="shared" ca="1" si="1318"/>
        <v>#NAME?</v>
      </c>
      <c r="AV175" s="22" t="e">
        <f t="shared" ca="1" si="1318"/>
        <v>#NAME?</v>
      </c>
      <c r="AW175" s="22" t="e">
        <f t="shared" ca="1" si="1318"/>
        <v>#NAME?</v>
      </c>
      <c r="AX175" s="22" t="e">
        <f t="shared" ca="1" si="1318"/>
        <v>#NAME?</v>
      </c>
      <c r="AY175" s="22" t="e">
        <f t="shared" ca="1" si="1318"/>
        <v>#NAME?</v>
      </c>
      <c r="AZ175" s="22" t="e">
        <f t="shared" ca="1" si="1318"/>
        <v>#NAME?</v>
      </c>
      <c r="BA175" s="22" t="e">
        <f t="shared" ca="1" si="1318"/>
        <v>#NAME?</v>
      </c>
      <c r="BB175" s="22" t="e">
        <f t="shared" ca="1" si="1318"/>
        <v>#NAME?</v>
      </c>
      <c r="BC175" s="22" t="e">
        <f t="shared" ca="1" si="1318"/>
        <v>#NAME?</v>
      </c>
      <c r="BD175" s="22" t="e">
        <f t="shared" ca="1" si="1318"/>
        <v>#NAME?</v>
      </c>
      <c r="BE175" s="22" t="e">
        <f t="shared" ca="1" si="1318"/>
        <v>#NAME?</v>
      </c>
      <c r="BF175" s="22" t="e">
        <f t="shared" ca="1" si="1318"/>
        <v>#NAME?</v>
      </c>
      <c r="BG175" s="22" t="e">
        <f t="shared" ca="1" si="1318"/>
        <v>#NAME?</v>
      </c>
      <c r="BH175" s="22" t="e">
        <f t="shared" ca="1" si="1318"/>
        <v>#NAME?</v>
      </c>
      <c r="BI175" s="22" t="e">
        <f t="shared" ca="1" si="1318"/>
        <v>#NAME?</v>
      </c>
      <c r="BJ175" s="22" t="e">
        <f t="shared" ca="1" si="1318"/>
        <v>#NAME?</v>
      </c>
      <c r="BK175" s="22" t="e">
        <f t="shared" ca="1" si="1318"/>
        <v>#NAME?</v>
      </c>
      <c r="BL175" s="22" t="e">
        <f t="shared" ca="1" si="1318"/>
        <v>#NAME?</v>
      </c>
      <c r="BM175" s="22" t="e">
        <f t="shared" ca="1" si="1318"/>
        <v>#NAME?</v>
      </c>
      <c r="BN175" s="22" t="e">
        <f t="shared" ca="1" si="1318"/>
        <v>#NAME?</v>
      </c>
      <c r="BO175" s="22" t="e">
        <f t="shared" ca="1" si="1318"/>
        <v>#NAME?</v>
      </c>
      <c r="BP175" s="22" t="e">
        <f t="shared" ca="1" si="1318"/>
        <v>#NAME?</v>
      </c>
      <c r="BQ175" s="22" t="e">
        <f t="shared" ca="1" si="1318"/>
        <v>#NAME?</v>
      </c>
      <c r="BR175" s="22" t="e">
        <f t="shared" ca="1" si="1318"/>
        <v>#NAME?</v>
      </c>
      <c r="BS175" s="22" t="e">
        <f t="shared" ca="1" si="1318"/>
        <v>#NAME?</v>
      </c>
      <c r="BT175" s="22" t="e">
        <f t="shared" ca="1" si="1318"/>
        <v>#NAME?</v>
      </c>
      <c r="BU175" s="22" t="e">
        <f t="shared" ca="1" si="1318"/>
        <v>#NAME?</v>
      </c>
      <c r="BV175" s="22" t="e">
        <f t="shared" ca="1" si="1318"/>
        <v>#NAME?</v>
      </c>
      <c r="BW175" s="22" t="e">
        <f t="shared" ca="1" si="1318"/>
        <v>#NAME?</v>
      </c>
      <c r="BX175" s="22" t="e">
        <f t="shared" ca="1" si="1318"/>
        <v>#NAME?</v>
      </c>
      <c r="BY175" s="22" t="e">
        <f t="shared" ca="1" si="1318"/>
        <v>#NAME?</v>
      </c>
      <c r="BZ175" s="22" t="e">
        <f t="shared" ca="1" si="1318"/>
        <v>#NAME?</v>
      </c>
      <c r="CA175" s="22" t="e">
        <f t="shared" ca="1" si="1318"/>
        <v>#NAME?</v>
      </c>
      <c r="CB175" s="22" t="e">
        <f t="shared" ca="1" si="1318"/>
        <v>#NAME?</v>
      </c>
      <c r="CC175" s="22" t="e">
        <f t="shared" ca="1" si="1318"/>
        <v>#NAME?</v>
      </c>
      <c r="CD175" s="22" t="e">
        <f t="shared" ca="1" si="1318"/>
        <v>#NAME?</v>
      </c>
      <c r="CE175" s="22" t="e">
        <f t="shared" ca="1" si="1318"/>
        <v>#NAME?</v>
      </c>
      <c r="CF175" s="22" t="e">
        <f t="shared" ref="CF175:CG175" ca="1" si="1319">CF173+CF174</f>
        <v>#NAME?</v>
      </c>
      <c r="CG175" s="22" t="e">
        <f t="shared" ca="1" si="1319"/>
        <v>#NAME?</v>
      </c>
      <c r="CH175" s="22" t="e">
        <f t="shared" ref="CH175:CI175" ca="1" si="1320">CH173+CH174</f>
        <v>#NAME?</v>
      </c>
      <c r="CI175" s="22" t="e">
        <f t="shared" ca="1" si="1320"/>
        <v>#NAME?</v>
      </c>
      <c r="CJ175" s="22" t="e">
        <f t="shared" ref="CJ175:DB175" ca="1" si="1321">CJ173+CJ174</f>
        <v>#NAME?</v>
      </c>
      <c r="CK175" s="22" t="e">
        <f t="shared" ca="1" si="1321"/>
        <v>#NAME?</v>
      </c>
      <c r="CL175" s="22" t="e">
        <f t="shared" ref="CL175" ca="1" si="1322">CL173+CL174</f>
        <v>#NAME?</v>
      </c>
      <c r="CM175" s="21" t="e">
        <f t="shared" ca="1" si="1321"/>
        <v>#NAME?</v>
      </c>
      <c r="CN175" s="21" t="e">
        <f t="shared" ca="1" si="1321"/>
        <v>#NAME?</v>
      </c>
      <c r="CO175" s="21" t="e">
        <f t="shared" ca="1" si="1321"/>
        <v>#NAME?</v>
      </c>
      <c r="CP175" s="21" t="e">
        <f t="shared" ca="1" si="1321"/>
        <v>#NAME?</v>
      </c>
      <c r="CQ175" s="21" t="e">
        <f t="shared" ca="1" si="1321"/>
        <v>#NAME?</v>
      </c>
      <c r="CR175" s="21" t="e">
        <f t="shared" ca="1" si="1321"/>
        <v>#NAME?</v>
      </c>
      <c r="CS175" s="21" t="e">
        <f t="shared" ca="1" si="1321"/>
        <v>#NAME?</v>
      </c>
      <c r="CT175" s="21" t="e">
        <f t="shared" ca="1" si="1321"/>
        <v>#NAME?</v>
      </c>
      <c r="CU175" s="21" t="e">
        <f t="shared" ca="1" si="1321"/>
        <v>#NAME?</v>
      </c>
      <c r="CV175" s="21" t="e">
        <f t="shared" ca="1" si="1321"/>
        <v>#NAME?</v>
      </c>
      <c r="CW175" s="21" t="e">
        <f t="shared" ca="1" si="1321"/>
        <v>#NAME?</v>
      </c>
      <c r="CX175" s="21" t="e">
        <f t="shared" ca="1" si="1321"/>
        <v>#NAME?</v>
      </c>
      <c r="CY175" s="21" t="e">
        <f t="shared" ca="1" si="1321"/>
        <v>#NAME?</v>
      </c>
      <c r="CZ175" s="21" t="e">
        <f t="shared" ca="1" si="1321"/>
        <v>#NAME?</v>
      </c>
      <c r="DA175" s="21" t="e">
        <f t="shared" ca="1" si="1321"/>
        <v>#NAME?</v>
      </c>
      <c r="DB175" s="21" t="e">
        <f t="shared" ca="1" si="1321"/>
        <v>#NAME?</v>
      </c>
      <c r="DE175" s="126"/>
      <c r="DF175" s="22">
        <v>3580.8009999999999</v>
      </c>
    </row>
    <row r="176" spans="1:110" s="23" customFormat="1" x14ac:dyDescent="0.2">
      <c r="AB176" s="24"/>
      <c r="AC176" s="24"/>
      <c r="AD176" s="24"/>
      <c r="AE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E176" s="123"/>
    </row>
    <row r="177" spans="1:110" s="23" customFormat="1" x14ac:dyDescent="0.2">
      <c r="A177" s="23" t="s">
        <v>78</v>
      </c>
      <c r="B177" s="23" t="e">
        <f ca="1">-'Annual Raw'!C49</f>
        <v>#NAME?</v>
      </c>
      <c r="C177" s="23" t="e">
        <f ca="1">-'Annual Raw'!D49</f>
        <v>#NAME?</v>
      </c>
      <c r="D177" s="23" t="e">
        <f ca="1">-'Annual Raw'!E49</f>
        <v>#NAME?</v>
      </c>
      <c r="E177" s="23" t="e">
        <f ca="1">-'Annual Raw'!F49</f>
        <v>#NAME?</v>
      </c>
      <c r="F177" s="23" t="e">
        <f ca="1">-'Annual Raw'!G49</f>
        <v>#NAME?</v>
      </c>
      <c r="G177" s="23" t="e">
        <f ca="1">-'Annual Raw'!H49</f>
        <v>#NAME?</v>
      </c>
      <c r="H177" s="23" t="e">
        <f ca="1">-'Annual Raw'!I49</f>
        <v>#NAME?</v>
      </c>
      <c r="I177" s="23" t="e">
        <f ca="1">-'Annual Raw'!J49</f>
        <v>#NAME?</v>
      </c>
      <c r="J177" s="23" t="e">
        <f ca="1">-'Annual Raw'!K49</f>
        <v>#NAME?</v>
      </c>
      <c r="K177" s="23" t="e">
        <f ca="1">-'Annual Raw'!L49</f>
        <v>#NAME?</v>
      </c>
      <c r="L177" s="23" t="e">
        <f ca="1">-'Annual Raw'!M49</f>
        <v>#NAME?</v>
      </c>
      <c r="M177" s="23" t="e">
        <f ca="1">-'Annual Raw'!N49</f>
        <v>#NAME?</v>
      </c>
      <c r="N177" s="23" t="e">
        <f ca="1">-'Annual Raw'!O49</f>
        <v>#NAME?</v>
      </c>
      <c r="O177" s="23" t="e">
        <f ca="1">-'Annual Raw'!P49</f>
        <v>#NAME?</v>
      </c>
      <c r="P177" s="23" t="e">
        <f ca="1">-'Annual Raw'!Q49</f>
        <v>#NAME?</v>
      </c>
      <c r="Q177" s="23" t="e">
        <f ca="1">-'Annual Raw'!R49</f>
        <v>#NAME?</v>
      </c>
      <c r="R177" s="23" t="e">
        <f ca="1">-'Annual Raw'!S49</f>
        <v>#NAME?</v>
      </c>
      <c r="S177" s="23" t="e">
        <f ca="1">-'Annual Raw'!T49</f>
        <v>#NAME?</v>
      </c>
      <c r="T177" s="23" t="e">
        <f ca="1">-'Annual Raw'!U49</f>
        <v>#NAME?</v>
      </c>
      <c r="U177" s="23" t="e">
        <f ca="1">-'Annual Raw'!V49</f>
        <v>#NAME?</v>
      </c>
      <c r="V177" s="23" t="e">
        <f ca="1">-'Annual Raw'!W49</f>
        <v>#NAME?</v>
      </c>
      <c r="W177" s="23" t="e">
        <f ca="1">-'Annual Raw'!X49</f>
        <v>#NAME?</v>
      </c>
      <c r="X177" s="23" t="e">
        <f ca="1">-'Annual Raw'!Y49</f>
        <v>#NAME?</v>
      </c>
      <c r="Y177" s="23" t="e">
        <f ca="1">-'Annual Raw'!Z49</f>
        <v>#NAME?</v>
      </c>
      <c r="Z177" s="23" t="e">
        <f ca="1">-'Annual Raw'!AA49</f>
        <v>#NAME?</v>
      </c>
      <c r="AA177" s="23" t="e">
        <f ca="1">-'Annual Raw'!AB49</f>
        <v>#NAME?</v>
      </c>
      <c r="AB177" s="24" t="e">
        <f t="shared" ref="AB177:AB178" ca="1" si="1323">+CP177</f>
        <v>#NAME?</v>
      </c>
      <c r="AC177" s="24" t="e">
        <f t="shared" ref="AC177:AC178" ca="1" si="1324">+CT177</f>
        <v>#NAME?</v>
      </c>
      <c r="AD177" s="24" t="e">
        <f t="shared" ref="AD177:AD178" ca="1" si="1325">+CX177</f>
        <v>#NAME?</v>
      </c>
      <c r="AE177" s="24" t="e">
        <f t="shared" ref="AE177:AE178" ca="1" si="1326">+DB177</f>
        <v>#NAME?</v>
      </c>
      <c r="AJ177" s="23" t="e">
        <f ca="1">+'QTR Raw'!D96</f>
        <v>#NAME?</v>
      </c>
      <c r="AK177" s="23" t="e">
        <f t="shared" ref="AK177:CE177" ca="1" si="1327">+AJ177</f>
        <v>#NAME?</v>
      </c>
      <c r="AL177" s="23" t="e">
        <f ca="1">+'QTR Raw'!F96</f>
        <v>#NAME?</v>
      </c>
      <c r="AM177" s="23" t="e">
        <f t="shared" ca="1" si="1327"/>
        <v>#NAME?</v>
      </c>
      <c r="AN177" s="23" t="e">
        <f ca="1">+'QTR Raw'!H96</f>
        <v>#NAME?</v>
      </c>
      <c r="AO177" s="23" t="e">
        <f t="shared" ca="1" si="1327"/>
        <v>#NAME?</v>
      </c>
      <c r="AP177" s="23" t="e">
        <f ca="1">+'QTR Raw'!J96</f>
        <v>#NAME?</v>
      </c>
      <c r="AQ177" s="23" t="e">
        <f t="shared" ca="1" si="1327"/>
        <v>#NAME?</v>
      </c>
      <c r="AR177" s="23" t="e">
        <f ca="1">+'QTR Raw'!L96</f>
        <v>#NAME?</v>
      </c>
      <c r="AS177" s="23" t="e">
        <f t="shared" ca="1" si="1327"/>
        <v>#NAME?</v>
      </c>
      <c r="AT177" s="23" t="e">
        <f ca="1">+'QTR Raw'!N96</f>
        <v>#NAME?</v>
      </c>
      <c r="AU177" s="23" t="e">
        <f t="shared" ca="1" si="1327"/>
        <v>#NAME?</v>
      </c>
      <c r="AV177" s="23" t="e">
        <f ca="1">+'QTR Raw'!P96</f>
        <v>#NAME?</v>
      </c>
      <c r="AW177" s="23" t="e">
        <f t="shared" ca="1" si="1327"/>
        <v>#NAME?</v>
      </c>
      <c r="AX177" s="23" t="e">
        <f ca="1">+'QTR Raw'!R96</f>
        <v>#NAME?</v>
      </c>
      <c r="AY177" s="23" t="e">
        <f t="shared" ca="1" si="1327"/>
        <v>#NAME?</v>
      </c>
      <c r="AZ177" s="23" t="e">
        <f ca="1">+'QTR Raw'!T96</f>
        <v>#NAME?</v>
      </c>
      <c r="BA177" s="23" t="e">
        <f t="shared" ca="1" si="1327"/>
        <v>#NAME?</v>
      </c>
      <c r="BB177" s="23" t="e">
        <f ca="1">+'QTR Raw'!V96</f>
        <v>#NAME?</v>
      </c>
      <c r="BC177" s="23" t="e">
        <f t="shared" ca="1" si="1327"/>
        <v>#NAME?</v>
      </c>
      <c r="BD177" s="23" t="e">
        <f ca="1">+'QTR Raw'!X96</f>
        <v>#NAME?</v>
      </c>
      <c r="BE177" s="23" t="e">
        <f t="shared" ca="1" si="1327"/>
        <v>#NAME?</v>
      </c>
      <c r="BF177" s="23" t="e">
        <f ca="1">+'QTR Raw'!Z96</f>
        <v>#NAME?</v>
      </c>
      <c r="BG177" s="23" t="e">
        <f t="shared" ca="1" si="1327"/>
        <v>#NAME?</v>
      </c>
      <c r="BH177" s="23" t="e">
        <f ca="1">+'QTR Raw'!AB96</f>
        <v>#NAME?</v>
      </c>
      <c r="BI177" s="23" t="e">
        <f t="shared" ca="1" si="1327"/>
        <v>#NAME?</v>
      </c>
      <c r="BJ177" s="23" t="e">
        <f ca="1">+'QTR Raw'!AD96</f>
        <v>#NAME?</v>
      </c>
      <c r="BK177" s="23" t="e">
        <f t="shared" ca="1" si="1327"/>
        <v>#NAME?</v>
      </c>
      <c r="BL177" s="23" t="e">
        <f ca="1">+'QTR Raw'!AF96</f>
        <v>#NAME?</v>
      </c>
      <c r="BM177" s="23" t="e">
        <f t="shared" ca="1" si="1327"/>
        <v>#NAME?</v>
      </c>
      <c r="BN177" s="23" t="e">
        <f ca="1">+'QTR Raw'!AH96</f>
        <v>#NAME?</v>
      </c>
      <c r="BO177" s="23" t="e">
        <f t="shared" ca="1" si="1327"/>
        <v>#NAME?</v>
      </c>
      <c r="BP177" s="23" t="e">
        <f ca="1">+'QTR Raw'!AJ96</f>
        <v>#NAME?</v>
      </c>
      <c r="BQ177" s="23" t="e">
        <f t="shared" ca="1" si="1327"/>
        <v>#NAME?</v>
      </c>
      <c r="BR177" s="23" t="e">
        <f ca="1">+'QTR Raw'!AL96</f>
        <v>#NAME?</v>
      </c>
      <c r="BS177" s="23" t="e">
        <f t="shared" ca="1" si="1327"/>
        <v>#NAME?</v>
      </c>
      <c r="BT177" s="23" t="e">
        <f ca="1">+'QTR Raw'!AN96</f>
        <v>#NAME?</v>
      </c>
      <c r="BU177" s="23" t="e">
        <f t="shared" ca="1" si="1327"/>
        <v>#NAME?</v>
      </c>
      <c r="BV177" s="23" t="e">
        <f ca="1">+'QTR Raw'!AP96</f>
        <v>#NAME?</v>
      </c>
      <c r="BW177" s="23" t="e">
        <f t="shared" ca="1" si="1327"/>
        <v>#NAME?</v>
      </c>
      <c r="BX177" s="23" t="e">
        <f ca="1">+'QTR Raw'!AR96</f>
        <v>#NAME?</v>
      </c>
      <c r="BY177" s="23" t="e">
        <f t="shared" ca="1" si="1327"/>
        <v>#NAME?</v>
      </c>
      <c r="BZ177" s="23" t="e">
        <f ca="1">+'QTR Raw'!AT96</f>
        <v>#NAME?</v>
      </c>
      <c r="CA177" s="23" t="e">
        <f t="shared" ca="1" si="1327"/>
        <v>#NAME?</v>
      </c>
      <c r="CB177" s="23" t="e">
        <f ca="1">+'QTR Raw'!AV96</f>
        <v>#NAME?</v>
      </c>
      <c r="CC177" s="23" t="e">
        <f t="shared" ca="1" si="1327"/>
        <v>#NAME?</v>
      </c>
      <c r="CD177" s="23" t="e">
        <f ca="1">+'QTR Raw'!AX96</f>
        <v>#NAME?</v>
      </c>
      <c r="CE177" s="23" t="e">
        <f t="shared" ca="1" si="1327"/>
        <v>#NAME?</v>
      </c>
      <c r="CF177" s="23" t="e">
        <f ca="1">+'QTR Raw'!AZ96</f>
        <v>#NAME?</v>
      </c>
      <c r="CG177" s="23" t="e">
        <f t="shared" ref="CG177:CI178" ca="1" si="1328">+CF177</f>
        <v>#NAME?</v>
      </c>
      <c r="CH177" s="23" t="e">
        <f t="shared" ref="CH177:CH178" ca="1" si="1329">Z177</f>
        <v>#NAME?</v>
      </c>
      <c r="CI177" s="23" t="e">
        <f t="shared" ca="1" si="1328"/>
        <v>#NAME?</v>
      </c>
      <c r="CJ177" s="23" t="e">
        <f ca="1">+'QTR Raw'!BD96</f>
        <v>#NAME?</v>
      </c>
      <c r="CK177" s="23" t="e">
        <f t="shared" ref="CK177:CK178" ca="1" si="1330">+CJ177</f>
        <v>#NAME?</v>
      </c>
      <c r="CL177" s="23" t="e">
        <f ca="1">+'QTR Raw'!BF96</f>
        <v>#NAME?</v>
      </c>
      <c r="CM177" s="24" t="e">
        <f t="shared" ref="CM177:CM178" ca="1" si="1331">+CL177</f>
        <v>#NAME?</v>
      </c>
      <c r="CN177" s="24" t="e">
        <f t="shared" ref="CN177:CN178" ca="1" si="1332">+CM177</f>
        <v>#NAME?</v>
      </c>
      <c r="CO177" s="24" t="e">
        <f t="shared" ref="CO177:CO178" ca="1" si="1333">+CN177</f>
        <v>#NAME?</v>
      </c>
      <c r="CP177" s="24" t="e">
        <f t="shared" ref="CP177:CP178" ca="1" si="1334">+CO177</f>
        <v>#NAME?</v>
      </c>
      <c r="CQ177" s="24" t="e">
        <f t="shared" ref="CQ177:CQ178" ca="1" si="1335">+CP177</f>
        <v>#NAME?</v>
      </c>
      <c r="CR177" s="24" t="e">
        <f t="shared" ref="CR177:CR178" ca="1" si="1336">+CQ177</f>
        <v>#NAME?</v>
      </c>
      <c r="CS177" s="24" t="e">
        <f t="shared" ref="CS177:CS178" ca="1" si="1337">+CR177</f>
        <v>#NAME?</v>
      </c>
      <c r="CT177" s="24" t="e">
        <f t="shared" ref="CT177:CT178" ca="1" si="1338">+CS177</f>
        <v>#NAME?</v>
      </c>
      <c r="CU177" s="24" t="e">
        <f t="shared" ref="CU177:CU178" ca="1" si="1339">+CT177</f>
        <v>#NAME?</v>
      </c>
      <c r="CV177" s="24" t="e">
        <f t="shared" ref="CV177:CV178" ca="1" si="1340">+CU177</f>
        <v>#NAME?</v>
      </c>
      <c r="CW177" s="24" t="e">
        <f t="shared" ref="CW177:CW178" ca="1" si="1341">+CV177</f>
        <v>#NAME?</v>
      </c>
      <c r="CX177" s="24" t="e">
        <f t="shared" ref="CX177:CX178" ca="1" si="1342">+CW177</f>
        <v>#NAME?</v>
      </c>
      <c r="CY177" s="24" t="e">
        <f t="shared" ref="CY177:CY178" ca="1" si="1343">+CX177</f>
        <v>#NAME?</v>
      </c>
      <c r="CZ177" s="24" t="e">
        <f t="shared" ref="CZ177:CZ178" ca="1" si="1344">+CY177</f>
        <v>#NAME?</v>
      </c>
      <c r="DA177" s="24" t="e">
        <f t="shared" ref="DA177:DA178" ca="1" si="1345">+CZ177</f>
        <v>#NAME?</v>
      </c>
      <c r="DB177" s="24" t="e">
        <f t="shared" ref="DB177:DB178" ca="1" si="1346">+DA177</f>
        <v>#NAME?</v>
      </c>
      <c r="DE177" s="123"/>
      <c r="DF177" s="23">
        <v>-1.6679999999999999</v>
      </c>
    </row>
    <row r="178" spans="1:110" s="23" customFormat="1" x14ac:dyDescent="0.2">
      <c r="A178" s="23" t="s">
        <v>79</v>
      </c>
      <c r="B178" s="23" t="e">
        <f ca="1">'Annual Raw'!C83</f>
        <v>#NAME?</v>
      </c>
      <c r="C178" s="23" t="e">
        <f ca="1">'Annual Raw'!D83</f>
        <v>#NAME?</v>
      </c>
      <c r="D178" s="23" t="e">
        <f ca="1">'Annual Raw'!E83</f>
        <v>#NAME?</v>
      </c>
      <c r="E178" s="23" t="e">
        <f ca="1">'Annual Raw'!F83</f>
        <v>#NAME?</v>
      </c>
      <c r="F178" s="23" t="e">
        <f ca="1">'Annual Raw'!G83</f>
        <v>#NAME?</v>
      </c>
      <c r="G178" s="23" t="e">
        <f ca="1">'Annual Raw'!H83</f>
        <v>#NAME?</v>
      </c>
      <c r="H178" s="23" t="e">
        <f ca="1">'Annual Raw'!I83</f>
        <v>#NAME?</v>
      </c>
      <c r="I178" s="23" t="e">
        <f ca="1">'Annual Raw'!J83</f>
        <v>#NAME?</v>
      </c>
      <c r="J178" s="23" t="e">
        <f ca="1">'Annual Raw'!K83</f>
        <v>#NAME?</v>
      </c>
      <c r="K178" s="23" t="e">
        <f ca="1">'Annual Raw'!L83</f>
        <v>#NAME?</v>
      </c>
      <c r="L178" s="23" t="e">
        <f ca="1">'Annual Raw'!M83</f>
        <v>#NAME?</v>
      </c>
      <c r="M178" s="23" t="e">
        <f ca="1">'Annual Raw'!N83</f>
        <v>#NAME?</v>
      </c>
      <c r="N178" s="23" t="e">
        <f ca="1">'Annual Raw'!O83</f>
        <v>#NAME?</v>
      </c>
      <c r="O178" s="23" t="e">
        <f ca="1">'Annual Raw'!P83</f>
        <v>#NAME?</v>
      </c>
      <c r="P178" s="23" t="e">
        <f ca="1">'Annual Raw'!Q83</f>
        <v>#NAME?</v>
      </c>
      <c r="Q178" s="23" t="e">
        <f ca="1">'Annual Raw'!R83</f>
        <v>#NAME?</v>
      </c>
      <c r="R178" s="23" t="e">
        <f ca="1">'Annual Raw'!S83</f>
        <v>#NAME?</v>
      </c>
      <c r="S178" s="23" t="e">
        <f ca="1">'Annual Raw'!T83</f>
        <v>#NAME?</v>
      </c>
      <c r="T178" s="23" t="e">
        <f ca="1">'Annual Raw'!U83</f>
        <v>#NAME?</v>
      </c>
      <c r="U178" s="23" t="e">
        <f ca="1">'Annual Raw'!V83</f>
        <v>#NAME?</v>
      </c>
      <c r="V178" s="23" t="e">
        <f ca="1">'Annual Raw'!W83</f>
        <v>#NAME?</v>
      </c>
      <c r="W178" s="23" t="e">
        <f ca="1">'Annual Raw'!X83</f>
        <v>#NAME?</v>
      </c>
      <c r="X178" s="23" t="e">
        <f ca="1">'Annual Raw'!Y83</f>
        <v>#NAME?</v>
      </c>
      <c r="Y178" s="23" t="e">
        <f ca="1">'Annual Raw'!Z83</f>
        <v>#NAME?</v>
      </c>
      <c r="Z178" s="23" t="e">
        <f ca="1">'Annual Raw'!AA83</f>
        <v>#NAME?</v>
      </c>
      <c r="AA178" s="23" t="e">
        <f ca="1">'Annual Raw'!AB83</f>
        <v>#NAME?</v>
      </c>
      <c r="AB178" s="24" t="e">
        <f t="shared" ca="1" si="1323"/>
        <v>#NAME?</v>
      </c>
      <c r="AC178" s="24" t="e">
        <f t="shared" ca="1" si="1324"/>
        <v>#NAME?</v>
      </c>
      <c r="AD178" s="24" t="e">
        <f t="shared" ca="1" si="1325"/>
        <v>#NAME?</v>
      </c>
      <c r="AE178" s="24" t="e">
        <f t="shared" ca="1" si="1326"/>
        <v>#NAME?</v>
      </c>
      <c r="AJ178" s="23" t="e">
        <f ca="1">+'QTR Raw'!D95</f>
        <v>#NAME?</v>
      </c>
      <c r="AK178" s="23" t="e">
        <f t="shared" ref="AK178:CE178" ca="1" si="1347">+AJ178</f>
        <v>#NAME?</v>
      </c>
      <c r="AL178" s="23" t="e">
        <f ca="1">+'QTR Raw'!F95</f>
        <v>#NAME?</v>
      </c>
      <c r="AM178" s="23" t="e">
        <f t="shared" ca="1" si="1347"/>
        <v>#NAME?</v>
      </c>
      <c r="AN178" s="23" t="e">
        <f ca="1">+'QTR Raw'!H95</f>
        <v>#NAME?</v>
      </c>
      <c r="AO178" s="23" t="e">
        <f t="shared" ca="1" si="1347"/>
        <v>#NAME?</v>
      </c>
      <c r="AP178" s="23" t="e">
        <f ca="1">+'QTR Raw'!J95</f>
        <v>#NAME?</v>
      </c>
      <c r="AQ178" s="23" t="e">
        <f t="shared" ca="1" si="1347"/>
        <v>#NAME?</v>
      </c>
      <c r="AR178" s="23" t="e">
        <f ca="1">+'QTR Raw'!L95</f>
        <v>#NAME?</v>
      </c>
      <c r="AS178" s="23" t="e">
        <f t="shared" ca="1" si="1347"/>
        <v>#NAME?</v>
      </c>
      <c r="AT178" s="23" t="e">
        <f ca="1">+'QTR Raw'!N95</f>
        <v>#NAME?</v>
      </c>
      <c r="AU178" s="23" t="e">
        <f t="shared" ca="1" si="1347"/>
        <v>#NAME?</v>
      </c>
      <c r="AV178" s="23" t="e">
        <f ca="1">+'QTR Raw'!P95</f>
        <v>#NAME?</v>
      </c>
      <c r="AW178" s="23" t="e">
        <f t="shared" ca="1" si="1347"/>
        <v>#NAME?</v>
      </c>
      <c r="AX178" s="23" t="e">
        <f ca="1">+'QTR Raw'!R95</f>
        <v>#NAME?</v>
      </c>
      <c r="AY178" s="23" t="e">
        <f t="shared" ca="1" si="1347"/>
        <v>#NAME?</v>
      </c>
      <c r="AZ178" s="23" t="e">
        <f ca="1">+'QTR Raw'!T95</f>
        <v>#NAME?</v>
      </c>
      <c r="BA178" s="23" t="e">
        <f t="shared" ca="1" si="1347"/>
        <v>#NAME?</v>
      </c>
      <c r="BB178" s="23" t="e">
        <f ca="1">+'QTR Raw'!V95</f>
        <v>#NAME?</v>
      </c>
      <c r="BC178" s="23" t="e">
        <f t="shared" ca="1" si="1347"/>
        <v>#NAME?</v>
      </c>
      <c r="BD178" s="23" t="e">
        <f ca="1">+'QTR Raw'!X95</f>
        <v>#NAME?</v>
      </c>
      <c r="BE178" s="23" t="e">
        <f t="shared" ca="1" si="1347"/>
        <v>#NAME?</v>
      </c>
      <c r="BF178" s="23" t="e">
        <f ca="1">+'QTR Raw'!Z95</f>
        <v>#NAME?</v>
      </c>
      <c r="BG178" s="23" t="e">
        <f t="shared" ca="1" si="1347"/>
        <v>#NAME?</v>
      </c>
      <c r="BH178" s="23" t="e">
        <f ca="1">+'QTR Raw'!AB95</f>
        <v>#NAME?</v>
      </c>
      <c r="BI178" s="23" t="e">
        <f t="shared" ca="1" si="1347"/>
        <v>#NAME?</v>
      </c>
      <c r="BJ178" s="23" t="e">
        <f ca="1">+'QTR Raw'!AD95</f>
        <v>#NAME?</v>
      </c>
      <c r="BK178" s="23" t="e">
        <f t="shared" ca="1" si="1347"/>
        <v>#NAME?</v>
      </c>
      <c r="BL178" s="23" t="e">
        <f ca="1">+'QTR Raw'!AF95</f>
        <v>#NAME?</v>
      </c>
      <c r="BM178" s="23" t="e">
        <f t="shared" ca="1" si="1347"/>
        <v>#NAME?</v>
      </c>
      <c r="BN178" s="23" t="e">
        <f ca="1">+'QTR Raw'!AH95</f>
        <v>#NAME?</v>
      </c>
      <c r="BO178" s="23" t="e">
        <f t="shared" ca="1" si="1347"/>
        <v>#NAME?</v>
      </c>
      <c r="BP178" s="23" t="e">
        <f ca="1">+'QTR Raw'!AJ95</f>
        <v>#NAME?</v>
      </c>
      <c r="BQ178" s="23" t="e">
        <f t="shared" ca="1" si="1347"/>
        <v>#NAME?</v>
      </c>
      <c r="BR178" s="23" t="e">
        <f ca="1">+'QTR Raw'!AL95</f>
        <v>#NAME?</v>
      </c>
      <c r="BS178" s="23" t="e">
        <f t="shared" ca="1" si="1347"/>
        <v>#NAME?</v>
      </c>
      <c r="BT178" s="23" t="e">
        <f ca="1">+'QTR Raw'!AN95</f>
        <v>#NAME?</v>
      </c>
      <c r="BU178" s="23" t="e">
        <f t="shared" ca="1" si="1347"/>
        <v>#NAME?</v>
      </c>
      <c r="BV178" s="23" t="e">
        <f ca="1">+'QTR Raw'!AP95</f>
        <v>#NAME?</v>
      </c>
      <c r="BW178" s="23" t="e">
        <f t="shared" ca="1" si="1347"/>
        <v>#NAME?</v>
      </c>
      <c r="BX178" s="23" t="e">
        <f ca="1">+'QTR Raw'!AR95</f>
        <v>#NAME?</v>
      </c>
      <c r="BY178" s="23" t="e">
        <f t="shared" ca="1" si="1347"/>
        <v>#NAME?</v>
      </c>
      <c r="BZ178" s="23" t="e">
        <f ca="1">+'QTR Raw'!AT95</f>
        <v>#NAME?</v>
      </c>
      <c r="CA178" s="23" t="e">
        <f t="shared" ca="1" si="1347"/>
        <v>#NAME?</v>
      </c>
      <c r="CB178" s="23" t="e">
        <f ca="1">+'QTR Raw'!AV95</f>
        <v>#NAME?</v>
      </c>
      <c r="CC178" s="23" t="e">
        <f t="shared" ca="1" si="1347"/>
        <v>#NAME?</v>
      </c>
      <c r="CD178" s="23" t="e">
        <f ca="1">+'QTR Raw'!AX95</f>
        <v>#NAME?</v>
      </c>
      <c r="CE178" s="23" t="e">
        <f t="shared" ca="1" si="1347"/>
        <v>#NAME?</v>
      </c>
      <c r="CF178" s="23" t="e">
        <f ca="1">+'QTR Raw'!AZ95</f>
        <v>#NAME?</v>
      </c>
      <c r="CG178" s="23" t="e">
        <f t="shared" ca="1" si="1328"/>
        <v>#NAME?</v>
      </c>
      <c r="CH178" s="23" t="e">
        <f t="shared" ca="1" si="1329"/>
        <v>#NAME?</v>
      </c>
      <c r="CI178" s="23" t="e">
        <f t="shared" ca="1" si="1328"/>
        <v>#NAME?</v>
      </c>
      <c r="CJ178" s="23" t="e">
        <f ca="1">+'QTR Raw'!BD95</f>
        <v>#NAME?</v>
      </c>
      <c r="CK178" s="23" t="e">
        <f t="shared" ca="1" si="1330"/>
        <v>#NAME?</v>
      </c>
      <c r="CL178" s="23" t="e">
        <f ca="1">+'QTR Raw'!BF95</f>
        <v>#NAME?</v>
      </c>
      <c r="CM178" s="24" t="e">
        <f t="shared" ca="1" si="1331"/>
        <v>#NAME?</v>
      </c>
      <c r="CN178" s="24" t="e">
        <f t="shared" ca="1" si="1332"/>
        <v>#NAME?</v>
      </c>
      <c r="CO178" s="24" t="e">
        <f t="shared" ca="1" si="1333"/>
        <v>#NAME?</v>
      </c>
      <c r="CP178" s="24" t="e">
        <f t="shared" ca="1" si="1334"/>
        <v>#NAME?</v>
      </c>
      <c r="CQ178" s="24" t="e">
        <f t="shared" ca="1" si="1335"/>
        <v>#NAME?</v>
      </c>
      <c r="CR178" s="24" t="e">
        <f t="shared" ca="1" si="1336"/>
        <v>#NAME?</v>
      </c>
      <c r="CS178" s="24" t="e">
        <f t="shared" ca="1" si="1337"/>
        <v>#NAME?</v>
      </c>
      <c r="CT178" s="24" t="e">
        <f t="shared" ca="1" si="1338"/>
        <v>#NAME?</v>
      </c>
      <c r="CU178" s="24" t="e">
        <f t="shared" ca="1" si="1339"/>
        <v>#NAME?</v>
      </c>
      <c r="CV178" s="24" t="e">
        <f t="shared" ca="1" si="1340"/>
        <v>#NAME?</v>
      </c>
      <c r="CW178" s="24" t="e">
        <f t="shared" ca="1" si="1341"/>
        <v>#NAME?</v>
      </c>
      <c r="CX178" s="24" t="e">
        <f t="shared" ca="1" si="1342"/>
        <v>#NAME?</v>
      </c>
      <c r="CY178" s="24" t="e">
        <f t="shared" ca="1" si="1343"/>
        <v>#NAME?</v>
      </c>
      <c r="CZ178" s="24" t="e">
        <f t="shared" ca="1" si="1344"/>
        <v>#NAME?</v>
      </c>
      <c r="DA178" s="24" t="e">
        <f t="shared" ca="1" si="1345"/>
        <v>#NAME?</v>
      </c>
      <c r="DB178" s="24" t="e">
        <f t="shared" ca="1" si="1346"/>
        <v>#NAME?</v>
      </c>
      <c r="DE178" s="123"/>
      <c r="DF178" s="23">
        <v>0</v>
      </c>
    </row>
    <row r="179" spans="1:110" s="26" customFormat="1" x14ac:dyDescent="0.2">
      <c r="A179" s="26" t="s">
        <v>438</v>
      </c>
      <c r="B179" s="26" t="e">
        <f t="shared" ref="B179:W179" ca="1" si="1348">B177+B175+B171+B154+B152+B178</f>
        <v>#NAME?</v>
      </c>
      <c r="C179" s="26" t="e">
        <f t="shared" ca="1" si="1348"/>
        <v>#NAME?</v>
      </c>
      <c r="D179" s="26" t="e">
        <f t="shared" ca="1" si="1348"/>
        <v>#NAME?</v>
      </c>
      <c r="E179" s="26" t="e">
        <f t="shared" ca="1" si="1348"/>
        <v>#NAME?</v>
      </c>
      <c r="F179" s="26" t="e">
        <f t="shared" ca="1" si="1348"/>
        <v>#NAME?</v>
      </c>
      <c r="G179" s="26" t="e">
        <f t="shared" ca="1" si="1348"/>
        <v>#NAME?</v>
      </c>
      <c r="H179" s="26" t="e">
        <f t="shared" ca="1" si="1348"/>
        <v>#NAME?</v>
      </c>
      <c r="I179" s="26" t="e">
        <f t="shared" ca="1" si="1348"/>
        <v>#NAME?</v>
      </c>
      <c r="J179" s="26" t="e">
        <f t="shared" ca="1" si="1348"/>
        <v>#NAME?</v>
      </c>
      <c r="K179" s="26" t="e">
        <f t="shared" ca="1" si="1348"/>
        <v>#NAME?</v>
      </c>
      <c r="L179" s="26" t="e">
        <f t="shared" ca="1" si="1348"/>
        <v>#NAME?</v>
      </c>
      <c r="M179" s="26" t="e">
        <f t="shared" ca="1" si="1348"/>
        <v>#NAME?</v>
      </c>
      <c r="N179" s="26" t="e">
        <f t="shared" ca="1" si="1348"/>
        <v>#NAME?</v>
      </c>
      <c r="O179" s="26" t="e">
        <f t="shared" ca="1" si="1348"/>
        <v>#NAME?</v>
      </c>
      <c r="P179" s="26" t="e">
        <f t="shared" ca="1" si="1348"/>
        <v>#NAME?</v>
      </c>
      <c r="Q179" s="26" t="e">
        <f t="shared" ca="1" si="1348"/>
        <v>#NAME?</v>
      </c>
      <c r="R179" s="26" t="e">
        <f t="shared" ca="1" si="1348"/>
        <v>#NAME?</v>
      </c>
      <c r="S179" s="26" t="e">
        <f t="shared" ca="1" si="1348"/>
        <v>#NAME?</v>
      </c>
      <c r="T179" s="26" t="e">
        <f t="shared" ca="1" si="1348"/>
        <v>#NAME?</v>
      </c>
      <c r="U179" s="26" t="e">
        <f t="shared" ca="1" si="1348"/>
        <v>#NAME?</v>
      </c>
      <c r="V179" s="26" t="e">
        <f t="shared" ca="1" si="1348"/>
        <v>#NAME?</v>
      </c>
      <c r="W179" s="26" t="e">
        <f t="shared" ca="1" si="1348"/>
        <v>#NAME?</v>
      </c>
      <c r="X179" s="26" t="e">
        <f t="shared" ref="X179:Y179" ca="1" si="1349">X177+X175+X171+X154+X152+X178</f>
        <v>#NAME?</v>
      </c>
      <c r="Y179" s="26" t="e">
        <f t="shared" ca="1" si="1349"/>
        <v>#NAME?</v>
      </c>
      <c r="Z179" s="26" t="e">
        <f t="shared" ref="Z179:AA179" ca="1" si="1350">Z177+Z175+Z171+Z154+Z152+Z178</f>
        <v>#NAME?</v>
      </c>
      <c r="AA179" s="26" t="e">
        <f t="shared" ca="1" si="1350"/>
        <v>#NAME?</v>
      </c>
      <c r="AB179" s="27" t="e">
        <f t="shared" ref="AA179:AD179" ca="1" si="1351">AB177+AB175+AB171+AB154+AB152+AB178</f>
        <v>#NAME?</v>
      </c>
      <c r="AC179" s="27" t="e">
        <f t="shared" ca="1" si="1351"/>
        <v>#NAME?</v>
      </c>
      <c r="AD179" s="27" t="e">
        <f t="shared" ca="1" si="1351"/>
        <v>#NAME?</v>
      </c>
      <c r="AE179" s="27" t="e">
        <f t="shared" ref="AE179" ca="1" si="1352">AE177+AE175+AE171+AE154+AE152+AE178</f>
        <v>#NAME?</v>
      </c>
      <c r="AJ179" s="26" t="e">
        <f t="shared" ref="AJ179" ca="1" si="1353">AJ177+AJ175+AJ171+AJ154+AJ152+AJ178</f>
        <v>#NAME?</v>
      </c>
      <c r="AK179" s="26" t="e">
        <f t="shared" ref="AK179:AL179" ca="1" si="1354">AK177+AK175+AK171+AK154+AK152+AK178</f>
        <v>#NAME?</v>
      </c>
      <c r="AL179" s="26" t="e">
        <f t="shared" ca="1" si="1354"/>
        <v>#NAME?</v>
      </c>
      <c r="AM179" s="26" t="e">
        <f t="shared" ref="AM179:AO179" ca="1" si="1355">AM177+AM175+AM171+AM154+AM152+AM178</f>
        <v>#NAME?</v>
      </c>
      <c r="AN179" s="26" t="e">
        <f t="shared" ca="1" si="1355"/>
        <v>#NAME?</v>
      </c>
      <c r="AO179" s="26" t="e">
        <f t="shared" ca="1" si="1355"/>
        <v>#NAME?</v>
      </c>
      <c r="AP179" s="26" t="e">
        <f t="shared" ref="AP179:CE179" ca="1" si="1356">AP177+AP175+AP171+AP154+AP152+AP178</f>
        <v>#NAME?</v>
      </c>
      <c r="AQ179" s="26" t="e">
        <f t="shared" ca="1" si="1356"/>
        <v>#NAME?</v>
      </c>
      <c r="AR179" s="26" t="e">
        <f t="shared" ca="1" si="1356"/>
        <v>#NAME?</v>
      </c>
      <c r="AS179" s="26" t="e">
        <f t="shared" ca="1" si="1356"/>
        <v>#NAME?</v>
      </c>
      <c r="AT179" s="26" t="e">
        <f t="shared" ca="1" si="1356"/>
        <v>#NAME?</v>
      </c>
      <c r="AU179" s="26" t="e">
        <f t="shared" ca="1" si="1356"/>
        <v>#NAME?</v>
      </c>
      <c r="AV179" s="26" t="e">
        <f t="shared" ca="1" si="1356"/>
        <v>#NAME?</v>
      </c>
      <c r="AW179" s="26" t="e">
        <f t="shared" ca="1" si="1356"/>
        <v>#NAME?</v>
      </c>
      <c r="AX179" s="26" t="e">
        <f t="shared" ca="1" si="1356"/>
        <v>#NAME?</v>
      </c>
      <c r="AY179" s="26" t="e">
        <f t="shared" ca="1" si="1356"/>
        <v>#NAME?</v>
      </c>
      <c r="AZ179" s="26" t="e">
        <f t="shared" ca="1" si="1356"/>
        <v>#NAME?</v>
      </c>
      <c r="BA179" s="26" t="e">
        <f t="shared" ca="1" si="1356"/>
        <v>#NAME?</v>
      </c>
      <c r="BB179" s="26" t="e">
        <f t="shared" ca="1" si="1356"/>
        <v>#NAME?</v>
      </c>
      <c r="BC179" s="26" t="e">
        <f t="shared" ca="1" si="1356"/>
        <v>#NAME?</v>
      </c>
      <c r="BD179" s="26" t="e">
        <f t="shared" ca="1" si="1356"/>
        <v>#NAME?</v>
      </c>
      <c r="BE179" s="26" t="e">
        <f t="shared" ca="1" si="1356"/>
        <v>#NAME?</v>
      </c>
      <c r="BF179" s="26" t="e">
        <f t="shared" ca="1" si="1356"/>
        <v>#NAME?</v>
      </c>
      <c r="BG179" s="26" t="e">
        <f t="shared" ca="1" si="1356"/>
        <v>#NAME?</v>
      </c>
      <c r="BH179" s="26" t="e">
        <f t="shared" ref="BH179" ca="1" si="1357">BH177+BH175+BH171+BH154+BH152+BH178</f>
        <v>#NAME?</v>
      </c>
      <c r="BI179" s="26" t="e">
        <f t="shared" ca="1" si="1356"/>
        <v>#NAME?</v>
      </c>
      <c r="BJ179" s="26" t="e">
        <f t="shared" ca="1" si="1356"/>
        <v>#NAME?</v>
      </c>
      <c r="BK179" s="26" t="e">
        <f t="shared" ca="1" si="1356"/>
        <v>#NAME?</v>
      </c>
      <c r="BL179" s="26" t="e">
        <f t="shared" ca="1" si="1356"/>
        <v>#NAME?</v>
      </c>
      <c r="BM179" s="26" t="e">
        <f t="shared" ca="1" si="1356"/>
        <v>#NAME?</v>
      </c>
      <c r="BN179" s="26" t="e">
        <f t="shared" ca="1" si="1356"/>
        <v>#NAME?</v>
      </c>
      <c r="BO179" s="26" t="e">
        <f t="shared" ca="1" si="1356"/>
        <v>#NAME?</v>
      </c>
      <c r="BP179" s="26" t="e">
        <f t="shared" ca="1" si="1356"/>
        <v>#NAME?</v>
      </c>
      <c r="BQ179" s="26" t="e">
        <f t="shared" ca="1" si="1356"/>
        <v>#NAME?</v>
      </c>
      <c r="BR179" s="26" t="e">
        <f t="shared" ca="1" si="1356"/>
        <v>#NAME?</v>
      </c>
      <c r="BS179" s="26" t="e">
        <f t="shared" ca="1" si="1356"/>
        <v>#NAME?</v>
      </c>
      <c r="BT179" s="26" t="e">
        <f t="shared" ca="1" si="1356"/>
        <v>#NAME?</v>
      </c>
      <c r="BU179" s="26" t="e">
        <f t="shared" ca="1" si="1356"/>
        <v>#NAME?</v>
      </c>
      <c r="BV179" s="26" t="e">
        <f t="shared" ca="1" si="1356"/>
        <v>#NAME?</v>
      </c>
      <c r="BW179" s="26" t="e">
        <f t="shared" ca="1" si="1356"/>
        <v>#NAME?</v>
      </c>
      <c r="BX179" s="26" t="e">
        <f t="shared" ca="1" si="1356"/>
        <v>#NAME?</v>
      </c>
      <c r="BY179" s="26" t="e">
        <f t="shared" ca="1" si="1356"/>
        <v>#NAME?</v>
      </c>
      <c r="BZ179" s="26" t="e">
        <f t="shared" ca="1" si="1356"/>
        <v>#NAME?</v>
      </c>
      <c r="CA179" s="26" t="e">
        <f t="shared" ca="1" si="1356"/>
        <v>#NAME?</v>
      </c>
      <c r="CB179" s="26" t="e">
        <f t="shared" ca="1" si="1356"/>
        <v>#NAME?</v>
      </c>
      <c r="CC179" s="26" t="e">
        <f t="shared" ca="1" si="1356"/>
        <v>#NAME?</v>
      </c>
      <c r="CD179" s="26" t="e">
        <f t="shared" ca="1" si="1356"/>
        <v>#NAME?</v>
      </c>
      <c r="CE179" s="26" t="e">
        <f t="shared" ca="1" si="1356"/>
        <v>#NAME?</v>
      </c>
      <c r="CF179" s="26" t="e">
        <f t="shared" ref="CF179:CG179" ca="1" si="1358">CF177+CF175+CF171+CF154+CF152+CF178</f>
        <v>#NAME?</v>
      </c>
      <c r="CG179" s="26" t="e">
        <f t="shared" ca="1" si="1358"/>
        <v>#NAME?</v>
      </c>
      <c r="CH179" s="26" t="e">
        <f t="shared" ref="CH179:CI179" ca="1" si="1359">CH177+CH175+CH171+CH154+CH152+CH178</f>
        <v>#NAME?</v>
      </c>
      <c r="CI179" s="26" t="e">
        <f t="shared" ca="1" si="1359"/>
        <v>#NAME?</v>
      </c>
      <c r="CJ179" s="26" t="e">
        <f t="shared" ref="CJ179:DB179" ca="1" si="1360">CJ177+CJ175+CJ171+CJ154+CJ152+CJ178</f>
        <v>#NAME?</v>
      </c>
      <c r="CK179" s="26" t="e">
        <f t="shared" ca="1" si="1360"/>
        <v>#NAME?</v>
      </c>
      <c r="CL179" s="26" t="e">
        <f t="shared" ref="CL179" ca="1" si="1361">CL177+CL175+CL171+CL154+CL152+CL178</f>
        <v>#NAME?</v>
      </c>
      <c r="CM179" s="27" t="e">
        <f t="shared" ca="1" si="1360"/>
        <v>#NAME?</v>
      </c>
      <c r="CN179" s="27" t="e">
        <f t="shared" ca="1" si="1360"/>
        <v>#NAME?</v>
      </c>
      <c r="CO179" s="27" t="e">
        <f t="shared" ca="1" si="1360"/>
        <v>#NAME?</v>
      </c>
      <c r="CP179" s="27" t="e">
        <f t="shared" ca="1" si="1360"/>
        <v>#NAME?</v>
      </c>
      <c r="CQ179" s="27" t="e">
        <f t="shared" ca="1" si="1360"/>
        <v>#NAME?</v>
      </c>
      <c r="CR179" s="27" t="e">
        <f t="shared" ca="1" si="1360"/>
        <v>#NAME?</v>
      </c>
      <c r="CS179" s="27" t="e">
        <f t="shared" ca="1" si="1360"/>
        <v>#NAME?</v>
      </c>
      <c r="CT179" s="27" t="e">
        <f t="shared" ca="1" si="1360"/>
        <v>#NAME?</v>
      </c>
      <c r="CU179" s="27" t="e">
        <f t="shared" ca="1" si="1360"/>
        <v>#NAME?</v>
      </c>
      <c r="CV179" s="27" t="e">
        <f t="shared" ca="1" si="1360"/>
        <v>#NAME?</v>
      </c>
      <c r="CW179" s="27" t="e">
        <f t="shared" ca="1" si="1360"/>
        <v>#NAME?</v>
      </c>
      <c r="CX179" s="27" t="e">
        <f t="shared" ca="1" si="1360"/>
        <v>#NAME?</v>
      </c>
      <c r="CY179" s="27" t="e">
        <f t="shared" ca="1" si="1360"/>
        <v>#NAME?</v>
      </c>
      <c r="CZ179" s="27" t="e">
        <f t="shared" ca="1" si="1360"/>
        <v>#NAME?</v>
      </c>
      <c r="DA179" s="27" t="e">
        <f t="shared" ca="1" si="1360"/>
        <v>#NAME?</v>
      </c>
      <c r="DB179" s="27" t="e">
        <f t="shared" ca="1" si="1360"/>
        <v>#NAME?</v>
      </c>
      <c r="DE179" s="121"/>
      <c r="DF179" s="26">
        <v>2179.1340000000005</v>
      </c>
    </row>
    <row r="180" spans="1:110" s="23" customFormat="1" x14ac:dyDescent="0.2">
      <c r="A180" s="28" t="s">
        <v>439</v>
      </c>
      <c r="B180" s="23" t="e">
        <f t="shared" ref="B180:W180" ca="1" si="1362">B179-B143</f>
        <v>#NAME?</v>
      </c>
      <c r="C180" s="23" t="e">
        <f t="shared" ca="1" si="1362"/>
        <v>#NAME?</v>
      </c>
      <c r="D180" s="23" t="e">
        <f t="shared" ca="1" si="1362"/>
        <v>#NAME?</v>
      </c>
      <c r="E180" s="23" t="e">
        <f t="shared" ca="1" si="1362"/>
        <v>#NAME?</v>
      </c>
      <c r="F180" s="23" t="e">
        <f t="shared" ca="1" si="1362"/>
        <v>#NAME?</v>
      </c>
      <c r="G180" s="23" t="e">
        <f t="shared" ca="1" si="1362"/>
        <v>#NAME?</v>
      </c>
      <c r="H180" s="23" t="e">
        <f t="shared" ca="1" si="1362"/>
        <v>#NAME?</v>
      </c>
      <c r="I180" s="23" t="e">
        <f t="shared" ca="1" si="1362"/>
        <v>#NAME?</v>
      </c>
      <c r="J180" s="23" t="e">
        <f t="shared" ca="1" si="1362"/>
        <v>#NAME?</v>
      </c>
      <c r="K180" s="23" t="e">
        <f t="shared" ca="1" si="1362"/>
        <v>#NAME?</v>
      </c>
      <c r="L180" s="23" t="e">
        <f t="shared" ca="1" si="1362"/>
        <v>#NAME?</v>
      </c>
      <c r="M180" s="23" t="e">
        <f t="shared" ca="1" si="1362"/>
        <v>#NAME?</v>
      </c>
      <c r="N180" s="23" t="e">
        <f t="shared" ca="1" si="1362"/>
        <v>#NAME?</v>
      </c>
      <c r="O180" s="23" t="e">
        <f t="shared" ca="1" si="1362"/>
        <v>#NAME?</v>
      </c>
      <c r="P180" s="23" t="e">
        <f t="shared" ca="1" si="1362"/>
        <v>#NAME?</v>
      </c>
      <c r="Q180" s="23" t="e">
        <f t="shared" ca="1" si="1362"/>
        <v>#NAME?</v>
      </c>
      <c r="R180" s="23" t="e">
        <f t="shared" ca="1" si="1362"/>
        <v>#NAME?</v>
      </c>
      <c r="S180" s="23" t="e">
        <f t="shared" ca="1" si="1362"/>
        <v>#NAME?</v>
      </c>
      <c r="T180" s="23" t="e">
        <f t="shared" ca="1" si="1362"/>
        <v>#NAME?</v>
      </c>
      <c r="U180" s="23" t="e">
        <f t="shared" ca="1" si="1362"/>
        <v>#NAME?</v>
      </c>
      <c r="V180" s="23" t="e">
        <f t="shared" ca="1" si="1362"/>
        <v>#NAME?</v>
      </c>
      <c r="W180" s="23" t="e">
        <f t="shared" ca="1" si="1362"/>
        <v>#NAME?</v>
      </c>
      <c r="X180" s="23" t="e">
        <f t="shared" ref="X180:Y180" ca="1" si="1363">X179-X143</f>
        <v>#NAME?</v>
      </c>
      <c r="Y180" s="23" t="e">
        <f t="shared" ca="1" si="1363"/>
        <v>#NAME?</v>
      </c>
      <c r="Z180" s="23" t="e">
        <f t="shared" ref="Z180:AA180" ca="1" si="1364">Z179-Z143</f>
        <v>#NAME?</v>
      </c>
      <c r="AA180" s="23" t="e">
        <f t="shared" ca="1" si="1364"/>
        <v>#NAME?</v>
      </c>
      <c r="AB180" s="24" t="e">
        <f t="shared" ref="AA180:AD180" ca="1" si="1365">AB179-AB143</f>
        <v>#NAME?</v>
      </c>
      <c r="AC180" s="24" t="e">
        <f t="shared" ca="1" si="1365"/>
        <v>#NAME?</v>
      </c>
      <c r="AD180" s="24" t="e">
        <f t="shared" ca="1" si="1365"/>
        <v>#NAME?</v>
      </c>
      <c r="AE180" s="24" t="e">
        <f t="shared" ref="AE180" ca="1" si="1366">AE179-AE143</f>
        <v>#NAME?</v>
      </c>
      <c r="AJ180" s="23" t="e">
        <f t="shared" ref="AJ180" ca="1" si="1367">AJ179-AJ143</f>
        <v>#NAME?</v>
      </c>
      <c r="AK180" s="23" t="e">
        <f t="shared" ref="AK180" ca="1" si="1368">AK179-AK143</f>
        <v>#NAME?</v>
      </c>
      <c r="AL180" s="23" t="e">
        <f t="shared" ref="AL180:AM180" ca="1" si="1369">AL179-AL143</f>
        <v>#NAME?</v>
      </c>
      <c r="AM180" s="23" t="e">
        <f t="shared" ca="1" si="1369"/>
        <v>#NAME?</v>
      </c>
      <c r="AN180" s="23" t="e">
        <f t="shared" ref="AN180:AO180" ca="1" si="1370">AN179-AN143</f>
        <v>#NAME?</v>
      </c>
      <c r="AO180" s="23" t="e">
        <f t="shared" ca="1" si="1370"/>
        <v>#NAME?</v>
      </c>
      <c r="AP180" s="23" t="e">
        <f t="shared" ref="AP180:CE180" ca="1" si="1371">AP179-AP143</f>
        <v>#NAME?</v>
      </c>
      <c r="AQ180" s="23" t="e">
        <f t="shared" ca="1" si="1371"/>
        <v>#NAME?</v>
      </c>
      <c r="AR180" s="23" t="e">
        <f t="shared" ca="1" si="1371"/>
        <v>#NAME?</v>
      </c>
      <c r="AS180" s="23" t="e">
        <f t="shared" ca="1" si="1371"/>
        <v>#NAME?</v>
      </c>
      <c r="AT180" s="23" t="e">
        <f t="shared" ca="1" si="1371"/>
        <v>#NAME?</v>
      </c>
      <c r="AU180" s="23" t="e">
        <f t="shared" ca="1" si="1371"/>
        <v>#NAME?</v>
      </c>
      <c r="AV180" s="23" t="e">
        <f t="shared" ca="1" si="1371"/>
        <v>#NAME?</v>
      </c>
      <c r="AW180" s="23" t="e">
        <f t="shared" ca="1" si="1371"/>
        <v>#NAME?</v>
      </c>
      <c r="AX180" s="23" t="e">
        <f t="shared" ca="1" si="1371"/>
        <v>#NAME?</v>
      </c>
      <c r="AY180" s="23" t="e">
        <f t="shared" ca="1" si="1371"/>
        <v>#NAME?</v>
      </c>
      <c r="AZ180" s="23" t="e">
        <f t="shared" ca="1" si="1371"/>
        <v>#NAME?</v>
      </c>
      <c r="BA180" s="23" t="e">
        <f t="shared" ca="1" si="1371"/>
        <v>#NAME?</v>
      </c>
      <c r="BB180" s="23" t="e">
        <f t="shared" ca="1" si="1371"/>
        <v>#NAME?</v>
      </c>
      <c r="BC180" s="23" t="e">
        <f t="shared" ca="1" si="1371"/>
        <v>#NAME?</v>
      </c>
      <c r="BD180" s="23" t="e">
        <f t="shared" ca="1" si="1371"/>
        <v>#NAME?</v>
      </c>
      <c r="BE180" s="23" t="e">
        <f t="shared" ca="1" si="1371"/>
        <v>#NAME?</v>
      </c>
      <c r="BF180" s="23" t="e">
        <f t="shared" ca="1" si="1371"/>
        <v>#NAME?</v>
      </c>
      <c r="BG180" s="23" t="e">
        <f t="shared" ca="1" si="1371"/>
        <v>#NAME?</v>
      </c>
      <c r="BH180" s="23" t="e">
        <f t="shared" ref="BH180" ca="1" si="1372">BH179-BH143</f>
        <v>#NAME?</v>
      </c>
      <c r="BI180" s="23" t="e">
        <f t="shared" ca="1" si="1371"/>
        <v>#NAME?</v>
      </c>
      <c r="BJ180" s="23" t="e">
        <f t="shared" ca="1" si="1371"/>
        <v>#NAME?</v>
      </c>
      <c r="BK180" s="23" t="e">
        <f t="shared" ca="1" si="1371"/>
        <v>#NAME?</v>
      </c>
      <c r="BL180" s="23" t="e">
        <f t="shared" ca="1" si="1371"/>
        <v>#NAME?</v>
      </c>
      <c r="BM180" s="23" t="e">
        <f t="shared" ca="1" si="1371"/>
        <v>#NAME?</v>
      </c>
      <c r="BN180" s="23" t="e">
        <f t="shared" ca="1" si="1371"/>
        <v>#NAME?</v>
      </c>
      <c r="BO180" s="23" t="e">
        <f t="shared" ca="1" si="1371"/>
        <v>#NAME?</v>
      </c>
      <c r="BP180" s="23" t="e">
        <f t="shared" ca="1" si="1371"/>
        <v>#NAME?</v>
      </c>
      <c r="BQ180" s="23" t="e">
        <f t="shared" ca="1" si="1371"/>
        <v>#NAME?</v>
      </c>
      <c r="BR180" s="23" t="e">
        <f t="shared" ca="1" si="1371"/>
        <v>#NAME?</v>
      </c>
      <c r="BS180" s="23" t="e">
        <f t="shared" ca="1" si="1371"/>
        <v>#NAME?</v>
      </c>
      <c r="BT180" s="23" t="e">
        <f t="shared" ca="1" si="1371"/>
        <v>#NAME?</v>
      </c>
      <c r="BU180" s="23" t="e">
        <f t="shared" ca="1" si="1371"/>
        <v>#NAME?</v>
      </c>
      <c r="BV180" s="23" t="e">
        <f t="shared" ca="1" si="1371"/>
        <v>#NAME?</v>
      </c>
      <c r="BW180" s="23" t="e">
        <f t="shared" ca="1" si="1371"/>
        <v>#NAME?</v>
      </c>
      <c r="BX180" s="23" t="e">
        <f t="shared" ca="1" si="1371"/>
        <v>#NAME?</v>
      </c>
      <c r="BY180" s="23" t="e">
        <f t="shared" ca="1" si="1371"/>
        <v>#NAME?</v>
      </c>
      <c r="BZ180" s="23" t="e">
        <f t="shared" ca="1" si="1371"/>
        <v>#NAME?</v>
      </c>
      <c r="CA180" s="23" t="e">
        <f t="shared" ca="1" si="1371"/>
        <v>#NAME?</v>
      </c>
      <c r="CB180" s="23" t="e">
        <f t="shared" ca="1" si="1371"/>
        <v>#NAME?</v>
      </c>
      <c r="CC180" s="23" t="e">
        <f t="shared" ca="1" si="1371"/>
        <v>#NAME?</v>
      </c>
      <c r="CD180" s="23" t="e">
        <f t="shared" ca="1" si="1371"/>
        <v>#NAME?</v>
      </c>
      <c r="CE180" s="23" t="e">
        <f t="shared" ca="1" si="1371"/>
        <v>#NAME?</v>
      </c>
      <c r="CF180" s="23" t="e">
        <f t="shared" ref="CF180:CG180" ca="1" si="1373">CF179-CF143</f>
        <v>#NAME?</v>
      </c>
      <c r="CG180" s="23" t="e">
        <f t="shared" ca="1" si="1373"/>
        <v>#NAME?</v>
      </c>
      <c r="CH180" s="23" t="e">
        <f t="shared" ref="CH180:CI180" ca="1" si="1374">CH179-CH143</f>
        <v>#NAME?</v>
      </c>
      <c r="CI180" s="23" t="e">
        <f t="shared" ca="1" si="1374"/>
        <v>#NAME?</v>
      </c>
      <c r="CJ180" s="23" t="e">
        <f t="shared" ref="CJ180:DB180" ca="1" si="1375">CJ179-CJ143</f>
        <v>#NAME?</v>
      </c>
      <c r="CK180" s="23" t="e">
        <f t="shared" ca="1" si="1375"/>
        <v>#NAME?</v>
      </c>
      <c r="CL180" s="23" t="e">
        <f t="shared" ref="CL180" ca="1" si="1376">CL179-CL143</f>
        <v>#NAME?</v>
      </c>
      <c r="CM180" s="24" t="e">
        <f t="shared" ca="1" si="1375"/>
        <v>#NAME?</v>
      </c>
      <c r="CN180" s="24" t="e">
        <f t="shared" ca="1" si="1375"/>
        <v>#NAME?</v>
      </c>
      <c r="CO180" s="24" t="e">
        <f t="shared" ca="1" si="1375"/>
        <v>#NAME?</v>
      </c>
      <c r="CP180" s="24" t="e">
        <f t="shared" ca="1" si="1375"/>
        <v>#NAME?</v>
      </c>
      <c r="CQ180" s="24" t="e">
        <f t="shared" ca="1" si="1375"/>
        <v>#NAME?</v>
      </c>
      <c r="CR180" s="24" t="e">
        <f t="shared" ca="1" si="1375"/>
        <v>#NAME?</v>
      </c>
      <c r="CS180" s="24" t="e">
        <f t="shared" ca="1" si="1375"/>
        <v>#NAME?</v>
      </c>
      <c r="CT180" s="24" t="e">
        <f t="shared" ca="1" si="1375"/>
        <v>#NAME?</v>
      </c>
      <c r="CU180" s="24" t="e">
        <f t="shared" ca="1" si="1375"/>
        <v>#NAME?</v>
      </c>
      <c r="CV180" s="24" t="e">
        <f t="shared" ca="1" si="1375"/>
        <v>#NAME?</v>
      </c>
      <c r="CW180" s="24" t="e">
        <f t="shared" ca="1" si="1375"/>
        <v>#NAME?</v>
      </c>
      <c r="CX180" s="24" t="e">
        <f t="shared" ca="1" si="1375"/>
        <v>#NAME?</v>
      </c>
      <c r="CY180" s="24" t="e">
        <f t="shared" ca="1" si="1375"/>
        <v>#NAME?</v>
      </c>
      <c r="CZ180" s="24" t="e">
        <f t="shared" ca="1" si="1375"/>
        <v>#NAME?</v>
      </c>
      <c r="DA180" s="24" t="e">
        <f t="shared" ca="1" si="1375"/>
        <v>#NAME?</v>
      </c>
      <c r="DB180" s="24" t="e">
        <f t="shared" ca="1" si="1375"/>
        <v>#NAME?</v>
      </c>
      <c r="DE180" s="123"/>
      <c r="DF180" s="23">
        <v>0</v>
      </c>
    </row>
    <row r="181" spans="1:110" s="23" customFormat="1" x14ac:dyDescent="0.2">
      <c r="A181" s="28"/>
      <c r="AB181" s="24"/>
      <c r="AC181" s="24"/>
      <c r="AD181" s="24"/>
      <c r="AE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E181" s="123"/>
    </row>
    <row r="182" spans="1:110" s="22" customFormat="1" x14ac:dyDescent="0.2">
      <c r="A182" s="22" t="s">
        <v>80</v>
      </c>
      <c r="B182" s="22" t="e">
        <f t="shared" ref="B182:W182" ca="1" si="1377">B142-B175</f>
        <v>#NAME?</v>
      </c>
      <c r="C182" s="22" t="e">
        <f t="shared" ca="1" si="1377"/>
        <v>#NAME?</v>
      </c>
      <c r="D182" s="22" t="e">
        <f t="shared" ca="1" si="1377"/>
        <v>#NAME?</v>
      </c>
      <c r="E182" s="22" t="e">
        <f t="shared" ca="1" si="1377"/>
        <v>#NAME?</v>
      </c>
      <c r="F182" s="22" t="e">
        <f t="shared" ca="1" si="1377"/>
        <v>#NAME?</v>
      </c>
      <c r="G182" s="22" t="e">
        <f t="shared" ca="1" si="1377"/>
        <v>#NAME?</v>
      </c>
      <c r="H182" s="22" t="e">
        <f t="shared" ca="1" si="1377"/>
        <v>#NAME?</v>
      </c>
      <c r="I182" s="22" t="e">
        <f t="shared" ca="1" si="1377"/>
        <v>#NAME?</v>
      </c>
      <c r="J182" s="22" t="e">
        <f t="shared" ca="1" si="1377"/>
        <v>#NAME?</v>
      </c>
      <c r="K182" s="22" t="e">
        <f t="shared" ca="1" si="1377"/>
        <v>#NAME?</v>
      </c>
      <c r="L182" s="22" t="e">
        <f t="shared" ca="1" si="1377"/>
        <v>#NAME?</v>
      </c>
      <c r="M182" s="22" t="e">
        <f t="shared" ca="1" si="1377"/>
        <v>#NAME?</v>
      </c>
      <c r="N182" s="22" t="e">
        <f t="shared" ca="1" si="1377"/>
        <v>#NAME?</v>
      </c>
      <c r="O182" s="22" t="e">
        <f t="shared" ca="1" si="1377"/>
        <v>#NAME?</v>
      </c>
      <c r="P182" s="22" t="e">
        <f t="shared" ca="1" si="1377"/>
        <v>#NAME?</v>
      </c>
      <c r="Q182" s="22" t="e">
        <f t="shared" ca="1" si="1377"/>
        <v>#NAME?</v>
      </c>
      <c r="R182" s="22" t="e">
        <f t="shared" ca="1" si="1377"/>
        <v>#NAME?</v>
      </c>
      <c r="S182" s="22" t="e">
        <f t="shared" ca="1" si="1377"/>
        <v>#NAME?</v>
      </c>
      <c r="T182" s="22" t="e">
        <f t="shared" ca="1" si="1377"/>
        <v>#NAME?</v>
      </c>
      <c r="U182" s="22" t="e">
        <f t="shared" ca="1" si="1377"/>
        <v>#NAME?</v>
      </c>
      <c r="V182" s="22" t="e">
        <f t="shared" ca="1" si="1377"/>
        <v>#NAME?</v>
      </c>
      <c r="W182" s="22" t="e">
        <f t="shared" ca="1" si="1377"/>
        <v>#NAME?</v>
      </c>
      <c r="X182" s="22" t="e">
        <f t="shared" ref="X182:Y182" ca="1" si="1378">X142-X175</f>
        <v>#NAME?</v>
      </c>
      <c r="Y182" s="22" t="e">
        <f t="shared" ca="1" si="1378"/>
        <v>#NAME?</v>
      </c>
      <c r="Z182" s="22" t="e">
        <f t="shared" ref="Z182:AA182" ca="1" si="1379">Z142-Z175</f>
        <v>#NAME?</v>
      </c>
      <c r="AA182" s="22" t="e">
        <f t="shared" ca="1" si="1379"/>
        <v>#NAME?</v>
      </c>
      <c r="AB182" s="21" t="e">
        <f t="shared" ref="AA182:AD182" ca="1" si="1380">AB142-AB175</f>
        <v>#NAME?</v>
      </c>
      <c r="AC182" s="21" t="e">
        <f t="shared" ca="1" si="1380"/>
        <v>#NAME?</v>
      </c>
      <c r="AD182" s="21" t="e">
        <f t="shared" ca="1" si="1380"/>
        <v>#NAME?</v>
      </c>
      <c r="AE182" s="21" t="e">
        <f t="shared" ref="AE182" ca="1" si="1381">AE142-AE175</f>
        <v>#NAME?</v>
      </c>
      <c r="AJ182" s="22" t="e">
        <f t="shared" ref="AJ182:AM182" ca="1" si="1382">AJ142-AJ175</f>
        <v>#NAME?</v>
      </c>
      <c r="AK182" s="22" t="e">
        <f t="shared" ca="1" si="1382"/>
        <v>#NAME?</v>
      </c>
      <c r="AL182" s="22" t="e">
        <f t="shared" ca="1" si="1382"/>
        <v>#NAME?</v>
      </c>
      <c r="AM182" s="22" t="e">
        <f t="shared" ca="1" si="1382"/>
        <v>#NAME?</v>
      </c>
      <c r="AN182" s="22" t="e">
        <f t="shared" ref="AN182:AO182" ca="1" si="1383">AN142-AN175</f>
        <v>#NAME?</v>
      </c>
      <c r="AO182" s="22" t="e">
        <f t="shared" ca="1" si="1383"/>
        <v>#NAME?</v>
      </c>
      <c r="AP182" s="22" t="e">
        <f t="shared" ref="AP182:CE182" ca="1" si="1384">AP142-AP175</f>
        <v>#NAME?</v>
      </c>
      <c r="AQ182" s="22" t="e">
        <f t="shared" ca="1" si="1384"/>
        <v>#NAME?</v>
      </c>
      <c r="AR182" s="22" t="e">
        <f t="shared" ca="1" si="1384"/>
        <v>#NAME?</v>
      </c>
      <c r="AS182" s="22" t="e">
        <f t="shared" ca="1" si="1384"/>
        <v>#NAME?</v>
      </c>
      <c r="AT182" s="22" t="e">
        <f t="shared" ca="1" si="1384"/>
        <v>#NAME?</v>
      </c>
      <c r="AU182" s="22" t="e">
        <f t="shared" ca="1" si="1384"/>
        <v>#NAME?</v>
      </c>
      <c r="AV182" s="22" t="e">
        <f t="shared" ca="1" si="1384"/>
        <v>#NAME?</v>
      </c>
      <c r="AW182" s="22" t="e">
        <f t="shared" ca="1" si="1384"/>
        <v>#NAME?</v>
      </c>
      <c r="AX182" s="22" t="e">
        <f t="shared" ca="1" si="1384"/>
        <v>#NAME?</v>
      </c>
      <c r="AY182" s="22" t="e">
        <f t="shared" ca="1" si="1384"/>
        <v>#NAME?</v>
      </c>
      <c r="AZ182" s="22" t="e">
        <f t="shared" ca="1" si="1384"/>
        <v>#NAME?</v>
      </c>
      <c r="BA182" s="22" t="e">
        <f t="shared" ca="1" si="1384"/>
        <v>#NAME?</v>
      </c>
      <c r="BB182" s="22" t="e">
        <f t="shared" ca="1" si="1384"/>
        <v>#NAME?</v>
      </c>
      <c r="BC182" s="22" t="e">
        <f t="shared" ca="1" si="1384"/>
        <v>#NAME?</v>
      </c>
      <c r="BD182" s="22" t="e">
        <f t="shared" ca="1" si="1384"/>
        <v>#NAME?</v>
      </c>
      <c r="BE182" s="22" t="e">
        <f t="shared" ca="1" si="1384"/>
        <v>#NAME?</v>
      </c>
      <c r="BF182" s="22" t="e">
        <f t="shared" ca="1" si="1384"/>
        <v>#NAME?</v>
      </c>
      <c r="BG182" s="22" t="e">
        <f t="shared" ca="1" si="1384"/>
        <v>#NAME?</v>
      </c>
      <c r="BH182" s="22" t="e">
        <f t="shared" ca="1" si="1384"/>
        <v>#NAME?</v>
      </c>
      <c r="BI182" s="22" t="e">
        <f t="shared" ca="1" si="1384"/>
        <v>#NAME?</v>
      </c>
      <c r="BJ182" s="22" t="e">
        <f t="shared" ca="1" si="1384"/>
        <v>#NAME?</v>
      </c>
      <c r="BK182" s="22" t="e">
        <f t="shared" ca="1" si="1384"/>
        <v>#NAME?</v>
      </c>
      <c r="BL182" s="22" t="e">
        <f t="shared" ca="1" si="1384"/>
        <v>#NAME?</v>
      </c>
      <c r="BM182" s="22" t="e">
        <f t="shared" ca="1" si="1384"/>
        <v>#NAME?</v>
      </c>
      <c r="BN182" s="22" t="e">
        <f t="shared" ca="1" si="1384"/>
        <v>#NAME?</v>
      </c>
      <c r="BO182" s="22" t="e">
        <f t="shared" ca="1" si="1384"/>
        <v>#NAME?</v>
      </c>
      <c r="BP182" s="22" t="e">
        <f t="shared" ca="1" si="1384"/>
        <v>#NAME?</v>
      </c>
      <c r="BQ182" s="22" t="e">
        <f t="shared" ca="1" si="1384"/>
        <v>#NAME?</v>
      </c>
      <c r="BR182" s="22" t="e">
        <f t="shared" ca="1" si="1384"/>
        <v>#NAME?</v>
      </c>
      <c r="BS182" s="22" t="e">
        <f t="shared" ca="1" si="1384"/>
        <v>#NAME?</v>
      </c>
      <c r="BT182" s="22" t="e">
        <f t="shared" ca="1" si="1384"/>
        <v>#NAME?</v>
      </c>
      <c r="BU182" s="22" t="e">
        <f t="shared" ca="1" si="1384"/>
        <v>#NAME?</v>
      </c>
      <c r="BV182" s="22" t="e">
        <f t="shared" ca="1" si="1384"/>
        <v>#NAME?</v>
      </c>
      <c r="BW182" s="22" t="e">
        <f t="shared" ca="1" si="1384"/>
        <v>#NAME?</v>
      </c>
      <c r="BX182" s="22" t="e">
        <f t="shared" ca="1" si="1384"/>
        <v>#NAME?</v>
      </c>
      <c r="BY182" s="22" t="e">
        <f t="shared" ca="1" si="1384"/>
        <v>#NAME?</v>
      </c>
      <c r="BZ182" s="22" t="e">
        <f t="shared" ca="1" si="1384"/>
        <v>#NAME?</v>
      </c>
      <c r="CA182" s="22" t="e">
        <f t="shared" ca="1" si="1384"/>
        <v>#NAME?</v>
      </c>
      <c r="CB182" s="22" t="e">
        <f t="shared" ca="1" si="1384"/>
        <v>#NAME?</v>
      </c>
      <c r="CC182" s="22" t="e">
        <f t="shared" ca="1" si="1384"/>
        <v>#NAME?</v>
      </c>
      <c r="CD182" s="22" t="e">
        <f t="shared" ca="1" si="1384"/>
        <v>#NAME?</v>
      </c>
      <c r="CE182" s="22" t="e">
        <f t="shared" ca="1" si="1384"/>
        <v>#NAME?</v>
      </c>
      <c r="CF182" s="22" t="e">
        <f t="shared" ref="CF182:CG182" ca="1" si="1385">CF142-CF175</f>
        <v>#NAME?</v>
      </c>
      <c r="CG182" s="22" t="e">
        <f t="shared" ca="1" si="1385"/>
        <v>#NAME?</v>
      </c>
      <c r="CH182" s="22" t="e">
        <f t="shared" ref="CH182:CI182" ca="1" si="1386">CH142-CH175</f>
        <v>#NAME?</v>
      </c>
      <c r="CI182" s="22" t="e">
        <f t="shared" ca="1" si="1386"/>
        <v>#NAME?</v>
      </c>
      <c r="CJ182" s="22" t="e">
        <f t="shared" ref="CJ182:DB182" ca="1" si="1387">CJ142-CJ175</f>
        <v>#NAME?</v>
      </c>
      <c r="CK182" s="22" t="e">
        <f t="shared" ca="1" si="1387"/>
        <v>#NAME?</v>
      </c>
      <c r="CL182" s="22" t="e">
        <f t="shared" ref="CL182" ca="1" si="1388">CL142-CL175</f>
        <v>#NAME?</v>
      </c>
      <c r="CM182" s="21" t="e">
        <f t="shared" ca="1" si="1387"/>
        <v>#NAME?</v>
      </c>
      <c r="CN182" s="21" t="e">
        <f t="shared" ca="1" si="1387"/>
        <v>#NAME?</v>
      </c>
      <c r="CO182" s="21" t="e">
        <f t="shared" ca="1" si="1387"/>
        <v>#NAME?</v>
      </c>
      <c r="CP182" s="21" t="e">
        <f t="shared" ca="1" si="1387"/>
        <v>#NAME?</v>
      </c>
      <c r="CQ182" s="21" t="e">
        <f t="shared" ca="1" si="1387"/>
        <v>#NAME?</v>
      </c>
      <c r="CR182" s="21" t="e">
        <f t="shared" ca="1" si="1387"/>
        <v>#NAME?</v>
      </c>
      <c r="CS182" s="21" t="e">
        <f t="shared" ca="1" si="1387"/>
        <v>#NAME?</v>
      </c>
      <c r="CT182" s="21" t="e">
        <f t="shared" ca="1" si="1387"/>
        <v>#NAME?</v>
      </c>
      <c r="CU182" s="21" t="e">
        <f t="shared" ca="1" si="1387"/>
        <v>#NAME?</v>
      </c>
      <c r="CV182" s="21" t="e">
        <f t="shared" ca="1" si="1387"/>
        <v>#NAME?</v>
      </c>
      <c r="CW182" s="21" t="e">
        <f t="shared" ca="1" si="1387"/>
        <v>#NAME?</v>
      </c>
      <c r="CX182" s="21" t="e">
        <f t="shared" ca="1" si="1387"/>
        <v>#NAME?</v>
      </c>
      <c r="CY182" s="21" t="e">
        <f t="shared" ca="1" si="1387"/>
        <v>#NAME?</v>
      </c>
      <c r="CZ182" s="21" t="e">
        <f t="shared" ca="1" si="1387"/>
        <v>#NAME?</v>
      </c>
      <c r="DA182" s="21" t="e">
        <f t="shared" ca="1" si="1387"/>
        <v>#NAME?</v>
      </c>
      <c r="DB182" s="21" t="e">
        <f t="shared" ca="1" si="1387"/>
        <v>#NAME?</v>
      </c>
      <c r="DE182" s="126"/>
      <c r="DF182" s="22">
        <v>-2749.7959999999998</v>
      </c>
    </row>
    <row r="183" spans="1:110" x14ac:dyDescent="0.2">
      <c r="AA183" s="2"/>
      <c r="CE183" s="111"/>
      <c r="CG183" s="111"/>
    </row>
    <row r="184" spans="1:110" s="49" customFormat="1" x14ac:dyDescent="0.2">
      <c r="A184" s="49" t="s">
        <v>81</v>
      </c>
      <c r="B184" s="49" t="e">
        <f ca="1">'Annual Raw'!C85</f>
        <v>#NAME?</v>
      </c>
      <c r="C184" s="49" t="e">
        <f ca="1">'Annual Raw'!D85</f>
        <v>#NAME?</v>
      </c>
      <c r="D184" s="49" t="e">
        <f ca="1">'Annual Raw'!E85</f>
        <v>#NAME?</v>
      </c>
      <c r="E184" s="49" t="e">
        <f ca="1">'Annual Raw'!F85</f>
        <v>#NAME?</v>
      </c>
      <c r="F184" s="49" t="e">
        <f ca="1">'Annual Raw'!G85</f>
        <v>#NAME?</v>
      </c>
      <c r="G184" s="49" t="e">
        <f ca="1">'Annual Raw'!H85</f>
        <v>#NAME?</v>
      </c>
      <c r="H184" s="49" t="e">
        <f ca="1">'Annual Raw'!I85</f>
        <v>#NAME?</v>
      </c>
      <c r="I184" s="49" t="e">
        <f ca="1">'Annual Raw'!J85</f>
        <v>#NAME?</v>
      </c>
      <c r="J184" s="49" t="e">
        <f ca="1">'Annual Raw'!K85</f>
        <v>#NAME?</v>
      </c>
      <c r="K184" s="49" t="e">
        <f ca="1">'Annual Raw'!L85</f>
        <v>#NAME?</v>
      </c>
      <c r="L184" s="49" t="e">
        <f ca="1">'Annual Raw'!M85</f>
        <v>#NAME?</v>
      </c>
      <c r="M184" s="49" t="e">
        <f ca="1">'Annual Raw'!N85</f>
        <v>#NAME?</v>
      </c>
      <c r="N184" s="49" t="e">
        <f ca="1">'Annual Raw'!O85</f>
        <v>#NAME?</v>
      </c>
      <c r="O184" s="49" t="e">
        <f ca="1">'Annual Raw'!P85</f>
        <v>#NAME?</v>
      </c>
      <c r="P184" s="49" t="e">
        <f ca="1">'Annual Raw'!Q85</f>
        <v>#NAME?</v>
      </c>
      <c r="Q184" s="49" t="e">
        <f ca="1">'Annual Raw'!R85</f>
        <v>#NAME?</v>
      </c>
      <c r="R184" s="49" t="e">
        <f ca="1">'Annual Raw'!S85</f>
        <v>#NAME?</v>
      </c>
      <c r="S184" s="49" t="e">
        <f ca="1">'Annual Raw'!T85</f>
        <v>#NAME?</v>
      </c>
      <c r="T184" s="49" t="e">
        <f ca="1">'Annual Raw'!U85</f>
        <v>#NAME?</v>
      </c>
      <c r="U184" s="49" t="e">
        <f ca="1">'Annual Raw'!V85</f>
        <v>#NAME?</v>
      </c>
      <c r="V184" s="49" t="e">
        <f ca="1">'Annual Raw'!W85</f>
        <v>#NAME?</v>
      </c>
      <c r="W184" s="49" t="e">
        <f ca="1">'Annual Raw'!X85</f>
        <v>#NAME?</v>
      </c>
      <c r="X184" s="49" t="e">
        <f ca="1">'Annual Raw'!Y85</f>
        <v>#NAME?</v>
      </c>
      <c r="Y184" s="49" t="e">
        <f ca="1">'Annual Raw'!Z85</f>
        <v>#NAME?</v>
      </c>
      <c r="Z184" s="49" t="e">
        <f ca="1">'Annual Raw'!AA85</f>
        <v>#NAME?</v>
      </c>
      <c r="AA184" s="49" t="e">
        <f ca="1">'Annual Raw'!AB85</f>
        <v>#NAME?</v>
      </c>
      <c r="AB184" s="50"/>
      <c r="AC184" s="50"/>
      <c r="AD184" s="50"/>
      <c r="AE184" s="50"/>
      <c r="CM184" s="50"/>
      <c r="CN184" s="50"/>
      <c r="CO184" s="50"/>
      <c r="CP184" s="50"/>
      <c r="CQ184" s="50"/>
      <c r="CR184" s="50"/>
      <c r="CS184" s="50"/>
      <c r="CT184" s="50"/>
      <c r="CU184" s="50"/>
      <c r="CV184" s="50"/>
      <c r="CW184" s="50"/>
      <c r="CX184" s="50"/>
      <c r="CY184" s="50"/>
      <c r="CZ184" s="50"/>
      <c r="DA184" s="50"/>
      <c r="DB184" s="50"/>
      <c r="DE184" s="138"/>
    </row>
    <row r="185" spans="1:110" s="29" customFormat="1" x14ac:dyDescent="0.2">
      <c r="A185" s="29" t="s">
        <v>82</v>
      </c>
      <c r="B185" s="29" t="e">
        <f ca="1">'Annual Raw'!C95</f>
        <v>#NAME?</v>
      </c>
      <c r="C185" s="29" t="e">
        <f ca="1">'Annual Raw'!D95</f>
        <v>#NAME?</v>
      </c>
      <c r="D185" s="29" t="e">
        <f ca="1">'Annual Raw'!E95</f>
        <v>#NAME?</v>
      </c>
      <c r="E185" s="29" t="e">
        <f ca="1">'Annual Raw'!F95</f>
        <v>#NAME?</v>
      </c>
      <c r="F185" s="29" t="e">
        <f ca="1">'Annual Raw'!G95</f>
        <v>#NAME?</v>
      </c>
      <c r="G185" s="29" t="e">
        <f ca="1">'Annual Raw'!H95</f>
        <v>#NAME?</v>
      </c>
      <c r="H185" s="29" t="e">
        <f ca="1">'Annual Raw'!I95</f>
        <v>#NAME?</v>
      </c>
      <c r="I185" s="29" t="e">
        <f ca="1">'Annual Raw'!J95</f>
        <v>#NAME?</v>
      </c>
      <c r="J185" s="29" t="e">
        <f ca="1">'Annual Raw'!K95</f>
        <v>#NAME?</v>
      </c>
      <c r="K185" s="29" t="e">
        <f ca="1">'Annual Raw'!L95</f>
        <v>#NAME?</v>
      </c>
      <c r="L185" s="29" t="e">
        <f ca="1">'Annual Raw'!M95</f>
        <v>#NAME?</v>
      </c>
      <c r="M185" s="29" t="e">
        <f ca="1">'Annual Raw'!N95</f>
        <v>#NAME?</v>
      </c>
      <c r="N185" s="29" t="e">
        <f ca="1">'Annual Raw'!O95</f>
        <v>#NAME?</v>
      </c>
      <c r="O185" s="29" t="e">
        <f ca="1">'Annual Raw'!P95</f>
        <v>#NAME?</v>
      </c>
      <c r="P185" s="29" t="e">
        <f ca="1">'Annual Raw'!Q95</f>
        <v>#NAME?</v>
      </c>
      <c r="Q185" s="29" t="e">
        <f ca="1">'Annual Raw'!R95</f>
        <v>#NAME?</v>
      </c>
      <c r="R185" s="29" t="e">
        <f ca="1">'Annual Raw'!S95</f>
        <v>#NAME?</v>
      </c>
      <c r="S185" s="29" t="e">
        <f ca="1">'Annual Raw'!T95</f>
        <v>#NAME?</v>
      </c>
      <c r="T185" s="29" t="e">
        <f ca="1">'Annual Raw'!U95</f>
        <v>#NAME?</v>
      </c>
      <c r="U185" s="29" t="e">
        <f ca="1">'Annual Raw'!V95</f>
        <v>#NAME?</v>
      </c>
      <c r="V185" s="29" t="e">
        <f ca="1">'Annual Raw'!W95</f>
        <v>#NAME?</v>
      </c>
      <c r="W185" s="29" t="e">
        <f ca="1">'Annual Raw'!X95</f>
        <v>#NAME?</v>
      </c>
      <c r="X185" s="29" t="e">
        <f ca="1">'Annual Raw'!Y95</f>
        <v>#NAME?</v>
      </c>
      <c r="Y185" s="29" t="e">
        <f ca="1">'Annual Raw'!Z95</f>
        <v>#NAME?</v>
      </c>
      <c r="Z185" s="29" t="e">
        <f ca="1">'Annual Raw'!AA95</f>
        <v>#NAME?</v>
      </c>
      <c r="AA185" s="29" t="e">
        <f ca="1">'Annual Raw'!AB95</f>
        <v>#NAME?</v>
      </c>
      <c r="AB185" s="30"/>
      <c r="AC185" s="30"/>
      <c r="AD185" s="30"/>
      <c r="AE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E185" s="139"/>
    </row>
    <row r="186" spans="1:110" s="29" customFormat="1" x14ac:dyDescent="0.2">
      <c r="A186" s="29" t="s">
        <v>83</v>
      </c>
      <c r="B186" s="29" t="e">
        <f ca="1">'Annual Raw'!C93</f>
        <v>#NAME?</v>
      </c>
      <c r="C186" s="29" t="e">
        <f ca="1">'Annual Raw'!D93</f>
        <v>#NAME?</v>
      </c>
      <c r="D186" s="29" t="e">
        <f ca="1">'Annual Raw'!E93</f>
        <v>#NAME?</v>
      </c>
      <c r="E186" s="29" t="e">
        <f ca="1">'Annual Raw'!F93</f>
        <v>#NAME?</v>
      </c>
      <c r="F186" s="29" t="e">
        <f ca="1">'Annual Raw'!G93</f>
        <v>#NAME?</v>
      </c>
      <c r="G186" s="29" t="e">
        <f ca="1">'Annual Raw'!H93</f>
        <v>#NAME?</v>
      </c>
      <c r="H186" s="29" t="e">
        <f ca="1">'Annual Raw'!I93</f>
        <v>#NAME?</v>
      </c>
      <c r="I186" s="29" t="e">
        <f ca="1">'Annual Raw'!J93</f>
        <v>#NAME?</v>
      </c>
      <c r="J186" s="29" t="e">
        <f ca="1">'Annual Raw'!K93</f>
        <v>#NAME?</v>
      </c>
      <c r="K186" s="29" t="e">
        <f ca="1">'Annual Raw'!L93</f>
        <v>#NAME?</v>
      </c>
      <c r="L186" s="29" t="e">
        <f ca="1">'Annual Raw'!M93</f>
        <v>#NAME?</v>
      </c>
      <c r="M186" s="29" t="e">
        <f ca="1">'Annual Raw'!N93</f>
        <v>#NAME?</v>
      </c>
      <c r="N186" s="29" t="e">
        <f ca="1">'Annual Raw'!O93</f>
        <v>#NAME?</v>
      </c>
      <c r="O186" s="29" t="e">
        <f ca="1">'Annual Raw'!P93</f>
        <v>#NAME?</v>
      </c>
      <c r="P186" s="29" t="e">
        <f ca="1">'Annual Raw'!Q93</f>
        <v>#NAME?</v>
      </c>
      <c r="Q186" s="29" t="e">
        <f ca="1">'Annual Raw'!R93</f>
        <v>#NAME?</v>
      </c>
      <c r="R186" s="29" t="e">
        <f ca="1">'Annual Raw'!S93</f>
        <v>#NAME?</v>
      </c>
      <c r="S186" s="29" t="e">
        <f ca="1">'Annual Raw'!T93</f>
        <v>#NAME?</v>
      </c>
      <c r="T186" s="29" t="e">
        <f ca="1">'Annual Raw'!U93</f>
        <v>#NAME?</v>
      </c>
      <c r="U186" s="29" t="e">
        <f ca="1">'Annual Raw'!V93</f>
        <v>#NAME?</v>
      </c>
      <c r="V186" s="29" t="e">
        <f ca="1">'Annual Raw'!W93</f>
        <v>#NAME?</v>
      </c>
      <c r="W186" s="29" t="e">
        <f ca="1">'Annual Raw'!X93</f>
        <v>#NAME?</v>
      </c>
      <c r="X186" s="29" t="e">
        <f ca="1">'Annual Raw'!Y93</f>
        <v>#NAME?</v>
      </c>
      <c r="Y186" s="29" t="e">
        <f ca="1">'Annual Raw'!Z93</f>
        <v>#NAME?</v>
      </c>
      <c r="Z186" s="29" t="e">
        <f ca="1">'Annual Raw'!AA93</f>
        <v>#NAME?</v>
      </c>
      <c r="AA186" s="29" t="e">
        <f ca="1">'Annual Raw'!AB93</f>
        <v>#NAME?</v>
      </c>
      <c r="AB186" s="30"/>
      <c r="AC186" s="30"/>
      <c r="AD186" s="30"/>
      <c r="AE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E186" s="139"/>
    </row>
    <row r="187" spans="1:110" s="29" customFormat="1" x14ac:dyDescent="0.2">
      <c r="A187" s="29" t="s">
        <v>84</v>
      </c>
      <c r="B187" s="29" t="e">
        <f t="shared" ref="B187:V187" ca="1" si="1389">B184-B185-B186</f>
        <v>#NAME?</v>
      </c>
      <c r="C187" s="29" t="e">
        <f t="shared" ca="1" si="1389"/>
        <v>#NAME?</v>
      </c>
      <c r="D187" s="29" t="e">
        <f t="shared" ca="1" si="1389"/>
        <v>#NAME?</v>
      </c>
      <c r="E187" s="29" t="e">
        <f t="shared" ca="1" si="1389"/>
        <v>#NAME?</v>
      </c>
      <c r="F187" s="29" t="e">
        <f t="shared" ca="1" si="1389"/>
        <v>#NAME?</v>
      </c>
      <c r="G187" s="29" t="e">
        <f t="shared" ca="1" si="1389"/>
        <v>#NAME?</v>
      </c>
      <c r="H187" s="29" t="e">
        <f t="shared" ca="1" si="1389"/>
        <v>#NAME?</v>
      </c>
      <c r="I187" s="29" t="e">
        <f t="shared" ca="1" si="1389"/>
        <v>#NAME?</v>
      </c>
      <c r="J187" s="29" t="e">
        <f t="shared" ca="1" si="1389"/>
        <v>#NAME?</v>
      </c>
      <c r="K187" s="29" t="e">
        <f t="shared" ca="1" si="1389"/>
        <v>#NAME?</v>
      </c>
      <c r="L187" s="29" t="e">
        <f t="shared" ca="1" si="1389"/>
        <v>#NAME?</v>
      </c>
      <c r="M187" s="29" t="e">
        <f t="shared" ca="1" si="1389"/>
        <v>#NAME?</v>
      </c>
      <c r="N187" s="29" t="e">
        <f t="shared" ca="1" si="1389"/>
        <v>#NAME?</v>
      </c>
      <c r="O187" s="29" t="e">
        <f t="shared" ca="1" si="1389"/>
        <v>#NAME?</v>
      </c>
      <c r="P187" s="29" t="e">
        <f t="shared" ca="1" si="1389"/>
        <v>#NAME?</v>
      </c>
      <c r="Q187" s="29" t="e">
        <f t="shared" ca="1" si="1389"/>
        <v>#NAME?</v>
      </c>
      <c r="R187" s="29" t="e">
        <f t="shared" ca="1" si="1389"/>
        <v>#NAME?</v>
      </c>
      <c r="S187" s="29" t="e">
        <f t="shared" ca="1" si="1389"/>
        <v>#NAME?</v>
      </c>
      <c r="T187" s="29" t="e">
        <f t="shared" ca="1" si="1389"/>
        <v>#NAME?</v>
      </c>
      <c r="U187" s="29" t="e">
        <f t="shared" ca="1" si="1389"/>
        <v>#NAME?</v>
      </c>
      <c r="V187" s="29" t="e">
        <f t="shared" ca="1" si="1389"/>
        <v>#NAME?</v>
      </c>
      <c r="W187" s="29" t="e">
        <f t="shared" ref="W187" ca="1" si="1390">W184-W185-W186</f>
        <v>#NAME?</v>
      </c>
      <c r="X187" s="29" t="e">
        <f t="shared" ref="X187:Y187" ca="1" si="1391">X184-X185-X186</f>
        <v>#NAME?</v>
      </c>
      <c r="Y187" s="29" t="e">
        <f t="shared" ca="1" si="1391"/>
        <v>#NAME?</v>
      </c>
      <c r="Z187" s="29" t="e">
        <f t="shared" ref="Z187:AA187" ca="1" si="1392">Z184-Z185-Z186</f>
        <v>#NAME?</v>
      </c>
      <c r="AA187" s="29" t="e">
        <f t="shared" ca="1" si="1392"/>
        <v>#NAME?</v>
      </c>
      <c r="AB187" s="30">
        <f t="shared" ref="AA187:AD187" si="1393">AB184-AB185-AB186</f>
        <v>0</v>
      </c>
      <c r="AC187" s="30">
        <f t="shared" si="1393"/>
        <v>0</v>
      </c>
      <c r="AD187" s="30">
        <f t="shared" si="1393"/>
        <v>0</v>
      </c>
      <c r="AE187" s="30">
        <f t="shared" ref="AE187" si="1394">AE184-AE185-AE186</f>
        <v>0</v>
      </c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E187" s="139"/>
      <c r="DF187" s="29">
        <v>0</v>
      </c>
    </row>
    <row r="188" spans="1:110" s="5" customFormat="1" x14ac:dyDescent="0.2">
      <c r="AB188" s="63"/>
      <c r="AC188" s="63"/>
      <c r="AD188" s="63"/>
      <c r="AE188" s="63"/>
      <c r="CE188" s="112"/>
      <c r="CG188" s="112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E188" s="139"/>
    </row>
    <row r="189" spans="1:110" s="95" customFormat="1" x14ac:dyDescent="0.2">
      <c r="A189" s="95" t="s">
        <v>85</v>
      </c>
      <c r="B189" s="95" t="e">
        <f t="shared" ref="B189:W189" ca="1" si="1395">B184/B134</f>
        <v>#NAME?</v>
      </c>
      <c r="C189" s="95" t="e">
        <f t="shared" ca="1" si="1395"/>
        <v>#NAME?</v>
      </c>
      <c r="D189" s="95" t="e">
        <f t="shared" ca="1" si="1395"/>
        <v>#NAME?</v>
      </c>
      <c r="E189" s="95" t="e">
        <f t="shared" ca="1" si="1395"/>
        <v>#NAME?</v>
      </c>
      <c r="F189" s="95" t="e">
        <f t="shared" ca="1" si="1395"/>
        <v>#NAME?</v>
      </c>
      <c r="G189" s="95" t="e">
        <f t="shared" ca="1" si="1395"/>
        <v>#NAME?</v>
      </c>
      <c r="H189" s="95" t="e">
        <f t="shared" ca="1" si="1395"/>
        <v>#NAME?</v>
      </c>
      <c r="I189" s="95" t="e">
        <f t="shared" ca="1" si="1395"/>
        <v>#NAME?</v>
      </c>
      <c r="J189" s="95" t="e">
        <f t="shared" ca="1" si="1395"/>
        <v>#NAME?</v>
      </c>
      <c r="K189" s="95" t="e">
        <f t="shared" ca="1" si="1395"/>
        <v>#NAME?</v>
      </c>
      <c r="L189" s="95" t="e">
        <f t="shared" ca="1" si="1395"/>
        <v>#NAME?</v>
      </c>
      <c r="M189" s="95" t="e">
        <f t="shared" ca="1" si="1395"/>
        <v>#NAME?</v>
      </c>
      <c r="N189" s="95" t="e">
        <f t="shared" ca="1" si="1395"/>
        <v>#NAME?</v>
      </c>
      <c r="O189" s="95" t="e">
        <f t="shared" ca="1" si="1395"/>
        <v>#NAME?</v>
      </c>
      <c r="P189" s="95" t="e">
        <f t="shared" ca="1" si="1395"/>
        <v>#NAME?</v>
      </c>
      <c r="Q189" s="95" t="e">
        <f t="shared" ca="1" si="1395"/>
        <v>#NAME?</v>
      </c>
      <c r="R189" s="95" t="e">
        <f t="shared" ca="1" si="1395"/>
        <v>#NAME?</v>
      </c>
      <c r="S189" s="95" t="e">
        <f t="shared" ca="1" si="1395"/>
        <v>#NAME?</v>
      </c>
      <c r="T189" s="95" t="e">
        <f t="shared" ca="1" si="1395"/>
        <v>#NAME?</v>
      </c>
      <c r="U189" s="95" t="e">
        <f t="shared" ca="1" si="1395"/>
        <v>#NAME?</v>
      </c>
      <c r="V189" s="95" t="e">
        <f t="shared" ca="1" si="1395"/>
        <v>#NAME?</v>
      </c>
      <c r="W189" s="95" t="e">
        <f t="shared" ca="1" si="1395"/>
        <v>#NAME?</v>
      </c>
      <c r="X189" s="95" t="e">
        <f t="shared" ref="X189:Y189" ca="1" si="1396">X184/X134</f>
        <v>#NAME?</v>
      </c>
      <c r="Y189" s="95" t="e">
        <f t="shared" ca="1" si="1396"/>
        <v>#NAME?</v>
      </c>
      <c r="Z189" s="95" t="e">
        <f t="shared" ref="Z189:AA189" ca="1" si="1397">Z184/Z134</f>
        <v>#NAME?</v>
      </c>
      <c r="AA189" s="95" t="e">
        <f t="shared" ca="1" si="1397"/>
        <v>#NAME?</v>
      </c>
      <c r="AB189" s="87" t="e">
        <f t="shared" ref="AA189:AD189" ca="1" si="1398">AB184/AB134</f>
        <v>#NAME?</v>
      </c>
      <c r="AC189" s="87" t="e">
        <f t="shared" ca="1" si="1398"/>
        <v>#NAME?</v>
      </c>
      <c r="AD189" s="87" t="e">
        <f t="shared" ca="1" si="1398"/>
        <v>#NAME?</v>
      </c>
      <c r="AE189" s="87" t="e">
        <f t="shared" ref="AE189" ca="1" si="1399">AE184/AE134</f>
        <v>#NAME?</v>
      </c>
      <c r="CM189" s="96"/>
      <c r="CN189" s="96"/>
      <c r="CO189" s="96"/>
      <c r="CP189" s="96"/>
      <c r="CQ189" s="96"/>
      <c r="CR189" s="96"/>
      <c r="CS189" s="96"/>
      <c r="CT189" s="96"/>
      <c r="CU189" s="96"/>
      <c r="CV189" s="96"/>
      <c r="CW189" s="96"/>
      <c r="CX189" s="96"/>
      <c r="CY189" s="96"/>
      <c r="CZ189" s="96"/>
      <c r="DA189" s="96"/>
      <c r="DB189" s="96"/>
      <c r="DE189" s="140"/>
      <c r="DF189" s="95">
        <v>0</v>
      </c>
    </row>
    <row r="190" spans="1:110" x14ac:dyDescent="0.2">
      <c r="A190" s="152" t="s">
        <v>492</v>
      </c>
      <c r="AA190" s="2"/>
      <c r="CE190" s="111"/>
      <c r="CG190" s="111"/>
    </row>
    <row r="191" spans="1:110" s="6" customFormat="1" x14ac:dyDescent="0.2">
      <c r="AB191" s="19"/>
      <c r="AC191" s="19"/>
      <c r="AD191" s="19"/>
      <c r="AE191" s="19"/>
      <c r="CE191" s="113"/>
      <c r="CG191" s="113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E191" s="123"/>
    </row>
    <row r="192" spans="1:110" s="62" customFormat="1" x14ac:dyDescent="0.2">
      <c r="A192" s="153" t="s">
        <v>493</v>
      </c>
      <c r="AB192" s="63"/>
      <c r="AC192" s="63"/>
      <c r="AD192" s="63"/>
      <c r="AE192" s="63"/>
      <c r="CE192" s="114"/>
      <c r="CG192" s="114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E192" s="139"/>
    </row>
    <row r="193" spans="1:110" s="62" customFormat="1" outlineLevel="1" x14ac:dyDescent="0.2">
      <c r="A193" s="68" t="s">
        <v>464</v>
      </c>
      <c r="B193" s="67" t="e">
        <f t="shared" ref="B193:AE193" ca="1" si="1400">B158/B22*365</f>
        <v>#NAME?</v>
      </c>
      <c r="C193" s="67" t="e">
        <f t="shared" ca="1" si="1400"/>
        <v>#NAME?</v>
      </c>
      <c r="D193" s="67" t="e">
        <f t="shared" ca="1" si="1400"/>
        <v>#NAME?</v>
      </c>
      <c r="E193" s="67" t="e">
        <f t="shared" ca="1" si="1400"/>
        <v>#NAME?</v>
      </c>
      <c r="F193" s="67" t="e">
        <f t="shared" ca="1" si="1400"/>
        <v>#NAME?</v>
      </c>
      <c r="G193" s="67" t="e">
        <f t="shared" ca="1" si="1400"/>
        <v>#NAME?</v>
      </c>
      <c r="H193" s="67" t="e">
        <f t="shared" ca="1" si="1400"/>
        <v>#NAME?</v>
      </c>
      <c r="I193" s="67" t="e">
        <f t="shared" ca="1" si="1400"/>
        <v>#NAME?</v>
      </c>
      <c r="J193" s="67" t="e">
        <f t="shared" ca="1" si="1400"/>
        <v>#NAME?</v>
      </c>
      <c r="K193" s="67" t="e">
        <f t="shared" ca="1" si="1400"/>
        <v>#NAME?</v>
      </c>
      <c r="L193" s="67" t="e">
        <f t="shared" ca="1" si="1400"/>
        <v>#NAME?</v>
      </c>
      <c r="M193" s="67" t="e">
        <f t="shared" ca="1" si="1400"/>
        <v>#NAME?</v>
      </c>
      <c r="N193" s="67" t="e">
        <f t="shared" ca="1" si="1400"/>
        <v>#NAME?</v>
      </c>
      <c r="O193" s="67" t="e">
        <f t="shared" ca="1" si="1400"/>
        <v>#NAME?</v>
      </c>
      <c r="P193" s="67" t="e">
        <f t="shared" ca="1" si="1400"/>
        <v>#NAME?</v>
      </c>
      <c r="Q193" s="67" t="e">
        <f t="shared" ca="1" si="1400"/>
        <v>#NAME?</v>
      </c>
      <c r="R193" s="67" t="e">
        <f t="shared" ca="1" si="1400"/>
        <v>#NAME?</v>
      </c>
      <c r="S193" s="67" t="e">
        <f t="shared" ca="1" si="1400"/>
        <v>#NAME?</v>
      </c>
      <c r="T193" s="67" t="e">
        <f t="shared" ca="1" si="1400"/>
        <v>#NAME?</v>
      </c>
      <c r="U193" s="67" t="e">
        <f t="shared" ca="1" si="1400"/>
        <v>#NAME?</v>
      </c>
      <c r="V193" s="67" t="e">
        <f t="shared" ca="1" si="1400"/>
        <v>#NAME?</v>
      </c>
      <c r="W193" s="67" t="e">
        <f t="shared" ca="1" si="1400"/>
        <v>#NAME?</v>
      </c>
      <c r="X193" s="67" t="e">
        <f t="shared" ca="1" si="1400"/>
        <v>#NAME?</v>
      </c>
      <c r="Y193" s="67" t="e">
        <f t="shared" ca="1" si="1400"/>
        <v>#NAME?</v>
      </c>
      <c r="Z193" s="67" t="e">
        <f t="shared" ca="1" si="1400"/>
        <v>#NAME?</v>
      </c>
      <c r="AA193" s="67" t="e">
        <f t="shared" ref="AA193" ca="1" si="1401">AA158/AA22*365</f>
        <v>#NAME?</v>
      </c>
      <c r="AB193" s="18" t="e">
        <f t="shared" ca="1" si="1400"/>
        <v>#NAME?</v>
      </c>
      <c r="AC193" s="18" t="e">
        <f t="shared" ca="1" si="1400"/>
        <v>#NAME?</v>
      </c>
      <c r="AD193" s="18" t="e">
        <f t="shared" ca="1" si="1400"/>
        <v>#NAME?</v>
      </c>
      <c r="AE193" s="18" t="e">
        <f t="shared" ca="1" si="1400"/>
        <v>#NAME?</v>
      </c>
      <c r="AI193" s="67" t="e">
        <f ca="1">AJ158/AI22*90</f>
        <v>#NAME?</v>
      </c>
      <c r="AJ193" s="67" t="e">
        <f ca="1">AJ158/AJ22*90</f>
        <v>#NAME?</v>
      </c>
      <c r="AK193" s="67" t="e">
        <f t="shared" ref="AK193:CE193" ca="1" si="1402">+AJ193</f>
        <v>#NAME?</v>
      </c>
      <c r="AL193" s="67" t="e">
        <f ca="1">AL158/AL22*90</f>
        <v>#NAME?</v>
      </c>
      <c r="AM193" s="67" t="e">
        <f t="shared" ref="AM193:AM194" ca="1" si="1403">+AL193</f>
        <v>#NAME?</v>
      </c>
      <c r="AN193" s="67" t="e">
        <f ca="1">AN158/AN22*90</f>
        <v>#NAME?</v>
      </c>
      <c r="AO193" s="67" t="e">
        <f t="shared" ref="AO193:AO194" ca="1" si="1404">+AN193</f>
        <v>#NAME?</v>
      </c>
      <c r="AP193" s="67" t="e">
        <f ca="1">AP158/AP22*90</f>
        <v>#NAME?</v>
      </c>
      <c r="AQ193" s="67" t="e">
        <f t="shared" ref="AQ193:AQ194" ca="1" si="1405">+AP193</f>
        <v>#NAME?</v>
      </c>
      <c r="AR193" s="67" t="e">
        <f ca="1">AR158/AR22*90</f>
        <v>#NAME?</v>
      </c>
      <c r="AS193" s="67" t="e">
        <f t="shared" ref="AS193:AS194" ca="1" si="1406">+AR193</f>
        <v>#NAME?</v>
      </c>
      <c r="AT193" s="67" t="e">
        <f ca="1">AT158/AT22*90</f>
        <v>#NAME?</v>
      </c>
      <c r="AU193" s="67" t="e">
        <f t="shared" ref="AU193:AU194" ca="1" si="1407">+AT193</f>
        <v>#NAME?</v>
      </c>
      <c r="AV193" s="67" t="e">
        <f ca="1">AV158/AV22*90</f>
        <v>#NAME?</v>
      </c>
      <c r="AW193" s="67" t="e">
        <f t="shared" ref="AW193:AW194" ca="1" si="1408">+AV193</f>
        <v>#NAME?</v>
      </c>
      <c r="AX193" s="67" t="e">
        <f ca="1">AX158/AX22*90</f>
        <v>#NAME?</v>
      </c>
      <c r="AY193" s="67" t="e">
        <f t="shared" ref="AY193:AY194" ca="1" si="1409">+AX193</f>
        <v>#NAME?</v>
      </c>
      <c r="AZ193" s="67" t="e">
        <f ca="1">AZ158/AZ22*90</f>
        <v>#NAME?</v>
      </c>
      <c r="BA193" s="67" t="e">
        <f t="shared" ref="BA193:BA194" ca="1" si="1410">+AZ193</f>
        <v>#NAME?</v>
      </c>
      <c r="BB193" s="67" t="e">
        <f ca="1">BB158/BB22*90</f>
        <v>#NAME?</v>
      </c>
      <c r="BC193" s="67" t="e">
        <f t="shared" ref="BC193:BC194" ca="1" si="1411">+BB193</f>
        <v>#NAME?</v>
      </c>
      <c r="BD193" s="67" t="e">
        <f ca="1">BD158/BD22*90</f>
        <v>#NAME?</v>
      </c>
      <c r="BE193" s="67" t="e">
        <f t="shared" ref="BE193:BE194" ca="1" si="1412">+BD193</f>
        <v>#NAME?</v>
      </c>
      <c r="BF193" s="67" t="e">
        <f ca="1">BF158/BF22*90</f>
        <v>#NAME?</v>
      </c>
      <c r="BG193" s="67" t="e">
        <f t="shared" ref="BG193:BG194" ca="1" si="1413">+BF193</f>
        <v>#NAME?</v>
      </c>
      <c r="BH193" s="67" t="e">
        <f ca="1">BH158/BH22*90</f>
        <v>#NAME?</v>
      </c>
      <c r="BI193" s="67" t="e">
        <f t="shared" ref="BI193:BI194" ca="1" si="1414">+BH193</f>
        <v>#NAME?</v>
      </c>
      <c r="BJ193" s="67" t="e">
        <f ca="1">BJ158/BJ22*90</f>
        <v>#NAME?</v>
      </c>
      <c r="BK193" s="67" t="e">
        <f t="shared" ref="BK193:BK194" ca="1" si="1415">+BJ193</f>
        <v>#NAME?</v>
      </c>
      <c r="BL193" s="67" t="e">
        <f ca="1">BL158/BL22*90</f>
        <v>#NAME?</v>
      </c>
      <c r="BM193" s="67" t="e">
        <f t="shared" ref="BM193:BM194" ca="1" si="1416">+BL193</f>
        <v>#NAME?</v>
      </c>
      <c r="BN193" s="67" t="e">
        <f ca="1">BN158/BN22*90</f>
        <v>#NAME?</v>
      </c>
      <c r="BO193" s="67" t="e">
        <f t="shared" ref="BO193:BO194" ca="1" si="1417">+BN193</f>
        <v>#NAME?</v>
      </c>
      <c r="BP193" s="67" t="e">
        <f ca="1">BP158/BP22*90</f>
        <v>#NAME?</v>
      </c>
      <c r="BQ193" s="67" t="e">
        <f t="shared" ref="BQ193:BQ194" ca="1" si="1418">+BP193</f>
        <v>#NAME?</v>
      </c>
      <c r="BR193" s="67" t="e">
        <f ca="1">BR158/BR22*90</f>
        <v>#NAME?</v>
      </c>
      <c r="BS193" s="67" t="e">
        <f t="shared" ref="BS193:BS194" ca="1" si="1419">+BR193</f>
        <v>#NAME?</v>
      </c>
      <c r="BT193" s="67" t="e">
        <f ca="1">BT158/BT22*90</f>
        <v>#NAME?</v>
      </c>
      <c r="BU193" s="67" t="e">
        <f t="shared" ref="BU193:BU194" ca="1" si="1420">+BT193</f>
        <v>#NAME?</v>
      </c>
      <c r="BV193" s="67" t="e">
        <f ca="1">BV158/BV22*90</f>
        <v>#NAME?</v>
      </c>
      <c r="BW193" s="67" t="e">
        <f t="shared" ref="BW193:BW194" ca="1" si="1421">+BV193</f>
        <v>#NAME?</v>
      </c>
      <c r="BX193" s="67" t="e">
        <f ca="1">BX158/BX22*90</f>
        <v>#NAME?</v>
      </c>
      <c r="BY193" s="67" t="e">
        <f t="shared" ref="BY193:BY194" ca="1" si="1422">+BX193</f>
        <v>#NAME?</v>
      </c>
      <c r="BZ193" s="67" t="e">
        <f ca="1">BZ158/BZ22*90</f>
        <v>#NAME?</v>
      </c>
      <c r="CA193" s="67" t="e">
        <f t="shared" ref="CA193:CA194" ca="1" si="1423">+BZ193</f>
        <v>#NAME?</v>
      </c>
      <c r="CB193" s="67" t="e">
        <f ca="1">CB158/CB22*90</f>
        <v>#NAME?</v>
      </c>
      <c r="CC193" s="67" t="e">
        <f t="shared" ref="CC193:CC194" ca="1" si="1424">+CB193</f>
        <v>#NAME?</v>
      </c>
      <c r="CD193" s="67" t="e">
        <f ca="1">CD158/CD22*90</f>
        <v>#NAME?</v>
      </c>
      <c r="CE193" s="67" t="e">
        <f t="shared" ca="1" si="1402"/>
        <v>#NAME?</v>
      </c>
      <c r="CF193" s="67" t="e">
        <f ca="1">CF158/CF22*90</f>
        <v>#NAME?</v>
      </c>
      <c r="CG193" s="67" t="e">
        <f t="shared" ref="CG193:CI194" ca="1" si="1425">+CF193</f>
        <v>#NAME?</v>
      </c>
      <c r="CH193" s="67" t="e">
        <f ca="1">CH158/CH22*90</f>
        <v>#NAME?</v>
      </c>
      <c r="CI193" s="67" t="e">
        <f t="shared" ca="1" si="1425"/>
        <v>#NAME?</v>
      </c>
      <c r="CJ193" s="67" t="e">
        <f ca="1">CJ158/CJ22*90</f>
        <v>#NAME?</v>
      </c>
      <c r="CK193" s="67" t="e">
        <f t="shared" ref="CK193:CK194" ca="1" si="1426">+CJ193</f>
        <v>#NAME?</v>
      </c>
      <c r="CL193" s="67" t="e">
        <f ca="1">CL158/CL22*90</f>
        <v>#NAME?</v>
      </c>
      <c r="CM193" s="30" t="e">
        <f t="shared" ref="CM193:CM194" ca="1" si="1427">+CL193</f>
        <v>#NAME?</v>
      </c>
      <c r="CN193" s="30" t="e">
        <f t="shared" ref="CN193:CN194" ca="1" si="1428">+CM193</f>
        <v>#NAME?</v>
      </c>
      <c r="CO193" s="30" t="e">
        <f t="shared" ref="CO193:CO194" ca="1" si="1429">+CN193</f>
        <v>#NAME?</v>
      </c>
      <c r="CP193" s="30" t="e">
        <f t="shared" ref="CP193:CP194" ca="1" si="1430">+CO193</f>
        <v>#NAME?</v>
      </c>
      <c r="CQ193" s="30" t="e">
        <f t="shared" ref="CQ193:CQ194" ca="1" si="1431">+CP193</f>
        <v>#NAME?</v>
      </c>
      <c r="CR193" s="30" t="e">
        <f t="shared" ref="CR193:CR194" ca="1" si="1432">+CQ193</f>
        <v>#NAME?</v>
      </c>
      <c r="CS193" s="30" t="e">
        <f t="shared" ref="CS193:CS194" ca="1" si="1433">+CR193</f>
        <v>#NAME?</v>
      </c>
      <c r="CT193" s="30" t="e">
        <f t="shared" ref="CT193:CT194" ca="1" si="1434">+CS193</f>
        <v>#NAME?</v>
      </c>
      <c r="CU193" s="30" t="e">
        <f t="shared" ref="CU193:CU194" ca="1" si="1435">+CT193</f>
        <v>#NAME?</v>
      </c>
      <c r="CV193" s="30" t="e">
        <f t="shared" ref="CV193:CV194" ca="1" si="1436">+CU193</f>
        <v>#NAME?</v>
      </c>
      <c r="CW193" s="30" t="e">
        <f t="shared" ref="CW193:CW194" ca="1" si="1437">+CV193</f>
        <v>#NAME?</v>
      </c>
      <c r="CX193" s="30" t="e">
        <f t="shared" ref="CX193:CX194" ca="1" si="1438">+CW193</f>
        <v>#NAME?</v>
      </c>
      <c r="CY193" s="30" t="e">
        <f t="shared" ref="CY193:CY194" ca="1" si="1439">+CX193</f>
        <v>#NAME?</v>
      </c>
      <c r="CZ193" s="30" t="e">
        <f t="shared" ref="CZ193:CZ194" ca="1" si="1440">+CY193</f>
        <v>#NAME?</v>
      </c>
      <c r="DA193" s="30" t="e">
        <f t="shared" ref="DA193:DA194" ca="1" si="1441">+CZ193</f>
        <v>#NAME?</v>
      </c>
      <c r="DB193" s="30" t="e">
        <f t="shared" ref="DB193:DB194" ca="1" si="1442">+DA193</f>
        <v>#NAME?</v>
      </c>
      <c r="DE193" s="139"/>
      <c r="DF193" s="62">
        <v>0</v>
      </c>
    </row>
    <row r="194" spans="1:110" s="62" customFormat="1" outlineLevel="1" x14ac:dyDescent="0.2">
      <c r="A194" s="68" t="s">
        <v>465</v>
      </c>
      <c r="B194" s="67" t="e">
        <f t="shared" ref="B194:AE194" ca="1" si="1443">B159/B22*365</f>
        <v>#NAME?</v>
      </c>
      <c r="C194" s="67" t="e">
        <f t="shared" ca="1" si="1443"/>
        <v>#NAME?</v>
      </c>
      <c r="D194" s="67" t="e">
        <f t="shared" ca="1" si="1443"/>
        <v>#NAME?</v>
      </c>
      <c r="E194" s="67" t="e">
        <f t="shared" ca="1" si="1443"/>
        <v>#NAME?</v>
      </c>
      <c r="F194" s="67" t="e">
        <f t="shared" ca="1" si="1443"/>
        <v>#NAME?</v>
      </c>
      <c r="G194" s="67" t="e">
        <f t="shared" ca="1" si="1443"/>
        <v>#NAME?</v>
      </c>
      <c r="H194" s="67" t="e">
        <f t="shared" ca="1" si="1443"/>
        <v>#NAME?</v>
      </c>
      <c r="I194" s="67" t="e">
        <f t="shared" ca="1" si="1443"/>
        <v>#NAME?</v>
      </c>
      <c r="J194" s="67" t="e">
        <f t="shared" ca="1" si="1443"/>
        <v>#NAME?</v>
      </c>
      <c r="K194" s="67" t="e">
        <f t="shared" ca="1" si="1443"/>
        <v>#NAME?</v>
      </c>
      <c r="L194" s="67" t="e">
        <f t="shared" ca="1" si="1443"/>
        <v>#NAME?</v>
      </c>
      <c r="M194" s="67" t="e">
        <f t="shared" ca="1" si="1443"/>
        <v>#NAME?</v>
      </c>
      <c r="N194" s="67" t="e">
        <f t="shared" ca="1" si="1443"/>
        <v>#NAME?</v>
      </c>
      <c r="O194" s="67" t="e">
        <f t="shared" ca="1" si="1443"/>
        <v>#NAME?</v>
      </c>
      <c r="P194" s="67" t="e">
        <f t="shared" ca="1" si="1443"/>
        <v>#NAME?</v>
      </c>
      <c r="Q194" s="67" t="e">
        <f t="shared" ca="1" si="1443"/>
        <v>#NAME?</v>
      </c>
      <c r="R194" s="67" t="e">
        <f t="shared" ca="1" si="1443"/>
        <v>#NAME?</v>
      </c>
      <c r="S194" s="67" t="e">
        <f t="shared" ca="1" si="1443"/>
        <v>#NAME?</v>
      </c>
      <c r="T194" s="67" t="e">
        <f t="shared" ca="1" si="1443"/>
        <v>#NAME?</v>
      </c>
      <c r="U194" s="67" t="e">
        <f t="shared" ca="1" si="1443"/>
        <v>#NAME?</v>
      </c>
      <c r="V194" s="67" t="e">
        <f t="shared" ca="1" si="1443"/>
        <v>#NAME?</v>
      </c>
      <c r="W194" s="67" t="e">
        <f t="shared" ca="1" si="1443"/>
        <v>#NAME?</v>
      </c>
      <c r="X194" s="67" t="e">
        <f t="shared" ca="1" si="1443"/>
        <v>#NAME?</v>
      </c>
      <c r="Y194" s="67" t="e">
        <f t="shared" ca="1" si="1443"/>
        <v>#NAME?</v>
      </c>
      <c r="Z194" s="67" t="e">
        <f t="shared" ca="1" si="1443"/>
        <v>#NAME?</v>
      </c>
      <c r="AA194" s="67" t="e">
        <f t="shared" ref="AA194" ca="1" si="1444">AA159/AA22*365</f>
        <v>#NAME?</v>
      </c>
      <c r="AB194" s="18" t="e">
        <f t="shared" ca="1" si="1443"/>
        <v>#NAME?</v>
      </c>
      <c r="AC194" s="18" t="e">
        <f t="shared" ca="1" si="1443"/>
        <v>#NAME?</v>
      </c>
      <c r="AD194" s="18" t="e">
        <f t="shared" ca="1" si="1443"/>
        <v>#NAME?</v>
      </c>
      <c r="AE194" s="18" t="e">
        <f t="shared" ca="1" si="1443"/>
        <v>#NAME?</v>
      </c>
      <c r="AI194" s="67" t="e">
        <f ca="1">AJ159/AI22*90</f>
        <v>#NAME?</v>
      </c>
      <c r="AJ194" s="67" t="e">
        <f ca="1">AJ159/AJ22*90</f>
        <v>#NAME?</v>
      </c>
      <c r="AK194" s="67" t="e">
        <f ca="1">+AJ194</f>
        <v>#NAME?</v>
      </c>
      <c r="AL194" s="67" t="e">
        <f ca="1">AL159/AL22*90</f>
        <v>#NAME?</v>
      </c>
      <c r="AM194" s="67" t="e">
        <f t="shared" ca="1" si="1403"/>
        <v>#NAME?</v>
      </c>
      <c r="AN194" s="67" t="e">
        <f ca="1">AN159/AN22*90</f>
        <v>#NAME?</v>
      </c>
      <c r="AO194" s="67" t="e">
        <f t="shared" ca="1" si="1404"/>
        <v>#NAME?</v>
      </c>
      <c r="AP194" s="67" t="e">
        <f ca="1">AP159/AP22*90</f>
        <v>#NAME?</v>
      </c>
      <c r="AQ194" s="67" t="e">
        <f t="shared" ca="1" si="1405"/>
        <v>#NAME?</v>
      </c>
      <c r="AR194" s="67" t="e">
        <f ca="1">AR159/AR22*90</f>
        <v>#NAME?</v>
      </c>
      <c r="AS194" s="67" t="e">
        <f t="shared" ca="1" si="1406"/>
        <v>#NAME?</v>
      </c>
      <c r="AT194" s="67" t="e">
        <f ca="1">AT159/AT22*90</f>
        <v>#NAME?</v>
      </c>
      <c r="AU194" s="67" t="e">
        <f t="shared" ca="1" si="1407"/>
        <v>#NAME?</v>
      </c>
      <c r="AV194" s="67" t="e">
        <f ca="1">AV159/AV22*90</f>
        <v>#NAME?</v>
      </c>
      <c r="AW194" s="67" t="e">
        <f t="shared" ca="1" si="1408"/>
        <v>#NAME?</v>
      </c>
      <c r="AX194" s="67" t="e">
        <f ca="1">AX159/AX22*90</f>
        <v>#NAME?</v>
      </c>
      <c r="AY194" s="67" t="e">
        <f t="shared" ca="1" si="1409"/>
        <v>#NAME?</v>
      </c>
      <c r="AZ194" s="67" t="e">
        <f ca="1">AZ159/AZ22*90</f>
        <v>#NAME?</v>
      </c>
      <c r="BA194" s="67" t="e">
        <f t="shared" ca="1" si="1410"/>
        <v>#NAME?</v>
      </c>
      <c r="BB194" s="67" t="e">
        <f ca="1">BB159/BB22*90</f>
        <v>#NAME?</v>
      </c>
      <c r="BC194" s="67" t="e">
        <f t="shared" ca="1" si="1411"/>
        <v>#NAME?</v>
      </c>
      <c r="BD194" s="67" t="e">
        <f ca="1">BD159/BD22*90</f>
        <v>#NAME?</v>
      </c>
      <c r="BE194" s="67" t="e">
        <f t="shared" ca="1" si="1412"/>
        <v>#NAME?</v>
      </c>
      <c r="BF194" s="67" t="e">
        <f ca="1">BF159/BF22*90</f>
        <v>#NAME?</v>
      </c>
      <c r="BG194" s="67" t="e">
        <f t="shared" ca="1" si="1413"/>
        <v>#NAME?</v>
      </c>
      <c r="BH194" s="67" t="e">
        <f ca="1">BH159/BH22*90</f>
        <v>#NAME?</v>
      </c>
      <c r="BI194" s="67" t="e">
        <f t="shared" ca="1" si="1414"/>
        <v>#NAME?</v>
      </c>
      <c r="BJ194" s="67" t="e">
        <f ca="1">BJ159/BJ22*90</f>
        <v>#NAME?</v>
      </c>
      <c r="BK194" s="67" t="e">
        <f t="shared" ca="1" si="1415"/>
        <v>#NAME?</v>
      </c>
      <c r="BL194" s="67" t="e">
        <f ca="1">BL159/BL22*90</f>
        <v>#NAME?</v>
      </c>
      <c r="BM194" s="67" t="e">
        <f t="shared" ca="1" si="1416"/>
        <v>#NAME?</v>
      </c>
      <c r="BN194" s="67" t="e">
        <f ca="1">BN159/BN22*90</f>
        <v>#NAME?</v>
      </c>
      <c r="BO194" s="67" t="e">
        <f t="shared" ca="1" si="1417"/>
        <v>#NAME?</v>
      </c>
      <c r="BP194" s="67" t="e">
        <f ca="1">BP159/BP22*90</f>
        <v>#NAME?</v>
      </c>
      <c r="BQ194" s="67" t="e">
        <f t="shared" ca="1" si="1418"/>
        <v>#NAME?</v>
      </c>
      <c r="BR194" s="67" t="e">
        <f ca="1">BR159/BR22*90</f>
        <v>#NAME?</v>
      </c>
      <c r="BS194" s="67" t="e">
        <f t="shared" ca="1" si="1419"/>
        <v>#NAME?</v>
      </c>
      <c r="BT194" s="67" t="e">
        <f ca="1">BT159/BT22*90</f>
        <v>#NAME?</v>
      </c>
      <c r="BU194" s="67" t="e">
        <f t="shared" ca="1" si="1420"/>
        <v>#NAME?</v>
      </c>
      <c r="BV194" s="67" t="e">
        <f ca="1">BV159/BV22*90</f>
        <v>#NAME?</v>
      </c>
      <c r="BW194" s="67" t="e">
        <f t="shared" ca="1" si="1421"/>
        <v>#NAME?</v>
      </c>
      <c r="BX194" s="67" t="e">
        <f ca="1">BX159/BX22*90</f>
        <v>#NAME?</v>
      </c>
      <c r="BY194" s="67" t="e">
        <f t="shared" ca="1" si="1422"/>
        <v>#NAME?</v>
      </c>
      <c r="BZ194" s="67" t="e">
        <f ca="1">BZ159/BZ22*90</f>
        <v>#NAME?</v>
      </c>
      <c r="CA194" s="67" t="e">
        <f t="shared" ca="1" si="1423"/>
        <v>#NAME?</v>
      </c>
      <c r="CB194" s="67" t="e">
        <f ca="1">CB159/CB22*90</f>
        <v>#NAME?</v>
      </c>
      <c r="CC194" s="67" t="e">
        <f t="shared" ca="1" si="1424"/>
        <v>#NAME?</v>
      </c>
      <c r="CD194" s="67" t="e">
        <f ca="1">CD159/CD22*90</f>
        <v>#NAME?</v>
      </c>
      <c r="CE194" s="114" t="e">
        <f t="shared" ref="CE194" ca="1" si="1445">+CD194</f>
        <v>#NAME?</v>
      </c>
      <c r="CF194" s="67" t="e">
        <f ca="1">CF159/CF22*90</f>
        <v>#NAME?</v>
      </c>
      <c r="CG194" s="67" t="e">
        <f t="shared" ca="1" si="1425"/>
        <v>#NAME?</v>
      </c>
      <c r="CH194" s="67" t="e">
        <f ca="1">CH159/CH22*90</f>
        <v>#NAME?</v>
      </c>
      <c r="CI194" s="67" t="e">
        <f t="shared" ca="1" si="1425"/>
        <v>#NAME?</v>
      </c>
      <c r="CJ194" s="67" t="e">
        <f ca="1">CJ159/CJ22*90</f>
        <v>#NAME?</v>
      </c>
      <c r="CK194" s="67" t="e">
        <f t="shared" ca="1" si="1426"/>
        <v>#NAME?</v>
      </c>
      <c r="CL194" s="67" t="e">
        <f ca="1">CL159/CL22*90</f>
        <v>#NAME?</v>
      </c>
      <c r="CM194" s="30" t="e">
        <f t="shared" ca="1" si="1427"/>
        <v>#NAME?</v>
      </c>
      <c r="CN194" s="30" t="e">
        <f t="shared" ca="1" si="1428"/>
        <v>#NAME?</v>
      </c>
      <c r="CO194" s="30" t="e">
        <f t="shared" ca="1" si="1429"/>
        <v>#NAME?</v>
      </c>
      <c r="CP194" s="30" t="e">
        <f t="shared" ca="1" si="1430"/>
        <v>#NAME?</v>
      </c>
      <c r="CQ194" s="30" t="e">
        <f t="shared" ca="1" si="1431"/>
        <v>#NAME?</v>
      </c>
      <c r="CR194" s="30" t="e">
        <f t="shared" ca="1" si="1432"/>
        <v>#NAME?</v>
      </c>
      <c r="CS194" s="30" t="e">
        <f t="shared" ca="1" si="1433"/>
        <v>#NAME?</v>
      </c>
      <c r="CT194" s="30" t="e">
        <f t="shared" ca="1" si="1434"/>
        <v>#NAME?</v>
      </c>
      <c r="CU194" s="30" t="e">
        <f t="shared" ca="1" si="1435"/>
        <v>#NAME?</v>
      </c>
      <c r="CV194" s="30" t="e">
        <f t="shared" ca="1" si="1436"/>
        <v>#NAME?</v>
      </c>
      <c r="CW194" s="30" t="e">
        <f t="shared" ca="1" si="1437"/>
        <v>#NAME?</v>
      </c>
      <c r="CX194" s="30" t="e">
        <f t="shared" ca="1" si="1438"/>
        <v>#NAME?</v>
      </c>
      <c r="CY194" s="30" t="e">
        <f t="shared" ca="1" si="1439"/>
        <v>#NAME?</v>
      </c>
      <c r="CZ194" s="30" t="e">
        <f t="shared" ca="1" si="1440"/>
        <v>#NAME?</v>
      </c>
      <c r="DA194" s="30" t="e">
        <f t="shared" ca="1" si="1441"/>
        <v>#NAME?</v>
      </c>
      <c r="DB194" s="30" t="e">
        <f t="shared" ca="1" si="1442"/>
        <v>#NAME?</v>
      </c>
      <c r="DE194" s="139"/>
      <c r="DF194" s="62">
        <v>122.78850022045641</v>
      </c>
    </row>
    <row r="195" spans="1:110" s="62" customFormat="1" outlineLevel="1" x14ac:dyDescent="0.2">
      <c r="A195" s="68" t="s">
        <v>466</v>
      </c>
      <c r="B195" s="67" t="e">
        <f ca="1">B196-B194-B193</f>
        <v>#NAME?</v>
      </c>
      <c r="C195" s="67" t="e">
        <f t="shared" ref="C195:U195" ca="1" si="1446">C196-C194-C193</f>
        <v>#NAME?</v>
      </c>
      <c r="D195" s="67" t="e">
        <f t="shared" ca="1" si="1446"/>
        <v>#NAME?</v>
      </c>
      <c r="E195" s="67" t="e">
        <f t="shared" ca="1" si="1446"/>
        <v>#NAME?</v>
      </c>
      <c r="F195" s="67" t="e">
        <f t="shared" ca="1" si="1446"/>
        <v>#NAME?</v>
      </c>
      <c r="G195" s="67" t="e">
        <f t="shared" ca="1" si="1446"/>
        <v>#NAME?</v>
      </c>
      <c r="H195" s="67" t="e">
        <f t="shared" ca="1" si="1446"/>
        <v>#NAME?</v>
      </c>
      <c r="I195" s="67" t="e">
        <f t="shared" ca="1" si="1446"/>
        <v>#NAME?</v>
      </c>
      <c r="J195" s="67" t="e">
        <f t="shared" ca="1" si="1446"/>
        <v>#NAME?</v>
      </c>
      <c r="K195" s="67" t="e">
        <f t="shared" ca="1" si="1446"/>
        <v>#NAME?</v>
      </c>
      <c r="L195" s="67" t="e">
        <f t="shared" ca="1" si="1446"/>
        <v>#NAME?</v>
      </c>
      <c r="M195" s="67" t="e">
        <f t="shared" ca="1" si="1446"/>
        <v>#NAME?</v>
      </c>
      <c r="N195" s="67" t="e">
        <f t="shared" ca="1" si="1446"/>
        <v>#NAME?</v>
      </c>
      <c r="O195" s="67" t="e">
        <f t="shared" ca="1" si="1446"/>
        <v>#NAME?</v>
      </c>
      <c r="P195" s="67" t="e">
        <f t="shared" ca="1" si="1446"/>
        <v>#NAME?</v>
      </c>
      <c r="Q195" s="67" t="e">
        <f t="shared" ca="1" si="1446"/>
        <v>#NAME?</v>
      </c>
      <c r="R195" s="67" t="e">
        <f t="shared" ca="1" si="1446"/>
        <v>#NAME?</v>
      </c>
      <c r="S195" s="67" t="e">
        <f t="shared" ca="1" si="1446"/>
        <v>#NAME?</v>
      </c>
      <c r="T195" s="67" t="e">
        <f t="shared" ca="1" si="1446"/>
        <v>#NAME?</v>
      </c>
      <c r="U195" s="67" t="e">
        <f t="shared" ca="1" si="1446"/>
        <v>#NAME?</v>
      </c>
      <c r="V195" s="67" t="e">
        <f ca="1">V196-V194-V193</f>
        <v>#NAME?</v>
      </c>
      <c r="W195" s="67" t="e">
        <f t="shared" ref="W195" ca="1" si="1447">W196-W194-W193</f>
        <v>#NAME?</v>
      </c>
      <c r="X195" s="67" t="e">
        <f t="shared" ref="X195:Y195" ca="1" si="1448">X196-X194-X193</f>
        <v>#NAME?</v>
      </c>
      <c r="Y195" s="67" t="e">
        <f t="shared" ca="1" si="1448"/>
        <v>#NAME?</v>
      </c>
      <c r="Z195" s="67" t="e">
        <f t="shared" ref="Z195:AA195" ca="1" si="1449">Z196-Z194-Z193</f>
        <v>#NAME?</v>
      </c>
      <c r="AA195" s="67" t="e">
        <f t="shared" ca="1" si="1449"/>
        <v>#NAME?</v>
      </c>
      <c r="AB195" s="18" t="e">
        <f t="shared" ref="AA195:AD195" ca="1" si="1450">AB196-AB194-AB193</f>
        <v>#NAME?</v>
      </c>
      <c r="AC195" s="18" t="e">
        <f t="shared" ca="1" si="1450"/>
        <v>#NAME?</v>
      </c>
      <c r="AD195" s="18" t="e">
        <f t="shared" ca="1" si="1450"/>
        <v>#NAME?</v>
      </c>
      <c r="AE195" s="18" t="e">
        <f t="shared" ref="AE195" ca="1" si="1451">AE196-AE194-AE193</f>
        <v>#NAME?</v>
      </c>
      <c r="AI195" s="67" t="e">
        <f t="shared" ref="AI195:AK195" ca="1" si="1452">AI196-AI194-AI193</f>
        <v>#NAME?</v>
      </c>
      <c r="AJ195" s="67" t="e">
        <f t="shared" ref="AJ195:AM195" ca="1" si="1453">AJ196-AJ194-AJ193</f>
        <v>#NAME?</v>
      </c>
      <c r="AK195" s="67" t="e">
        <f t="shared" ca="1" si="1452"/>
        <v>#NAME?</v>
      </c>
      <c r="AL195" s="67" t="e">
        <f t="shared" ca="1" si="1453"/>
        <v>#NAME?</v>
      </c>
      <c r="AM195" s="67" t="e">
        <f t="shared" ca="1" si="1453"/>
        <v>#NAME?</v>
      </c>
      <c r="AN195" s="67" t="e">
        <f t="shared" ref="AN195:AY195" ca="1" si="1454">AN196-AN194-AN193</f>
        <v>#NAME?</v>
      </c>
      <c r="AO195" s="67" t="e">
        <f t="shared" ca="1" si="1454"/>
        <v>#NAME?</v>
      </c>
      <c r="AP195" s="67" t="e">
        <f t="shared" ca="1" si="1454"/>
        <v>#NAME?</v>
      </c>
      <c r="AQ195" s="67" t="e">
        <f t="shared" ca="1" si="1454"/>
        <v>#NAME?</v>
      </c>
      <c r="AR195" s="67" t="e">
        <f t="shared" ca="1" si="1454"/>
        <v>#NAME?</v>
      </c>
      <c r="AS195" s="67" t="e">
        <f t="shared" ca="1" si="1454"/>
        <v>#NAME?</v>
      </c>
      <c r="AT195" s="67" t="e">
        <f t="shared" ca="1" si="1454"/>
        <v>#NAME?</v>
      </c>
      <c r="AU195" s="67" t="e">
        <f t="shared" ca="1" si="1454"/>
        <v>#NAME?</v>
      </c>
      <c r="AV195" s="67" t="e">
        <f t="shared" ca="1" si="1454"/>
        <v>#NAME?</v>
      </c>
      <c r="AW195" s="67" t="e">
        <f t="shared" ca="1" si="1454"/>
        <v>#NAME?</v>
      </c>
      <c r="AX195" s="67" t="e">
        <f t="shared" ca="1" si="1454"/>
        <v>#NAME?</v>
      </c>
      <c r="AY195" s="67" t="e">
        <f t="shared" ca="1" si="1454"/>
        <v>#NAME?</v>
      </c>
      <c r="AZ195" s="67" t="e">
        <f t="shared" ref="AZ195:BC195" ca="1" si="1455">AZ196-AZ194-AZ193</f>
        <v>#NAME?</v>
      </c>
      <c r="BA195" s="67" t="e">
        <f t="shared" ca="1" si="1455"/>
        <v>#NAME?</v>
      </c>
      <c r="BB195" s="67" t="e">
        <f t="shared" ca="1" si="1455"/>
        <v>#NAME?</v>
      </c>
      <c r="BC195" s="67" t="e">
        <f t="shared" ca="1" si="1455"/>
        <v>#NAME?</v>
      </c>
      <c r="BD195" s="67" t="e">
        <f t="shared" ref="BD195:CE195" ca="1" si="1456">BD196-BD194-BD193</f>
        <v>#NAME?</v>
      </c>
      <c r="BE195" s="67" t="e">
        <f t="shared" ca="1" si="1456"/>
        <v>#NAME?</v>
      </c>
      <c r="BF195" s="67" t="e">
        <f t="shared" ca="1" si="1456"/>
        <v>#NAME?</v>
      </c>
      <c r="BG195" s="67" t="e">
        <f t="shared" ca="1" si="1456"/>
        <v>#NAME?</v>
      </c>
      <c r="BH195" s="67" t="e">
        <f t="shared" ca="1" si="1456"/>
        <v>#NAME?</v>
      </c>
      <c r="BI195" s="67" t="e">
        <f t="shared" ca="1" si="1456"/>
        <v>#NAME?</v>
      </c>
      <c r="BJ195" s="67" t="e">
        <f t="shared" ca="1" si="1456"/>
        <v>#NAME?</v>
      </c>
      <c r="BK195" s="67" t="e">
        <f t="shared" ca="1" si="1456"/>
        <v>#NAME?</v>
      </c>
      <c r="BL195" s="67" t="e">
        <f t="shared" ca="1" si="1456"/>
        <v>#NAME?</v>
      </c>
      <c r="BM195" s="67" t="e">
        <f t="shared" ca="1" si="1456"/>
        <v>#NAME?</v>
      </c>
      <c r="BN195" s="67" t="e">
        <f t="shared" ca="1" si="1456"/>
        <v>#NAME?</v>
      </c>
      <c r="BO195" s="67" t="e">
        <f t="shared" ca="1" si="1456"/>
        <v>#NAME?</v>
      </c>
      <c r="BP195" s="67" t="e">
        <f t="shared" ca="1" si="1456"/>
        <v>#NAME?</v>
      </c>
      <c r="BQ195" s="67" t="e">
        <f t="shared" ca="1" si="1456"/>
        <v>#NAME?</v>
      </c>
      <c r="BR195" s="67" t="e">
        <f t="shared" ca="1" si="1456"/>
        <v>#NAME?</v>
      </c>
      <c r="BS195" s="67" t="e">
        <f t="shared" ca="1" si="1456"/>
        <v>#NAME?</v>
      </c>
      <c r="BT195" s="67" t="e">
        <f t="shared" ca="1" si="1456"/>
        <v>#NAME?</v>
      </c>
      <c r="BU195" s="67" t="e">
        <f t="shared" ca="1" si="1456"/>
        <v>#NAME?</v>
      </c>
      <c r="BV195" s="67" t="e">
        <f t="shared" ca="1" si="1456"/>
        <v>#NAME?</v>
      </c>
      <c r="BW195" s="67" t="e">
        <f t="shared" ca="1" si="1456"/>
        <v>#NAME?</v>
      </c>
      <c r="BX195" s="67" t="e">
        <f t="shared" ca="1" si="1456"/>
        <v>#NAME?</v>
      </c>
      <c r="BY195" s="67" t="e">
        <f t="shared" ca="1" si="1456"/>
        <v>#NAME?</v>
      </c>
      <c r="BZ195" s="67" t="e">
        <f t="shared" ca="1" si="1456"/>
        <v>#NAME?</v>
      </c>
      <c r="CA195" s="67" t="e">
        <f t="shared" ca="1" si="1456"/>
        <v>#NAME?</v>
      </c>
      <c r="CB195" s="67" t="e">
        <f t="shared" ca="1" si="1456"/>
        <v>#NAME?</v>
      </c>
      <c r="CC195" s="67" t="e">
        <f t="shared" ca="1" si="1456"/>
        <v>#NAME?</v>
      </c>
      <c r="CD195" s="67" t="e">
        <f t="shared" ca="1" si="1456"/>
        <v>#NAME?</v>
      </c>
      <c r="CE195" s="114" t="e">
        <f t="shared" ca="1" si="1456"/>
        <v>#NAME?</v>
      </c>
      <c r="CF195" s="67" t="e">
        <f t="shared" ref="CF195:CG195" ca="1" si="1457">CF196-CF194-CF193</f>
        <v>#NAME?</v>
      </c>
      <c r="CG195" s="67" t="e">
        <f t="shared" ca="1" si="1457"/>
        <v>#NAME?</v>
      </c>
      <c r="CH195" s="67" t="e">
        <f t="shared" ref="CH195" ca="1" si="1458">CH196-CH194-CH193</f>
        <v>#NAME?</v>
      </c>
      <c r="CI195" s="67" t="e">
        <f ca="1">CH195</f>
        <v>#NAME?</v>
      </c>
      <c r="CJ195" s="67" t="e">
        <f t="shared" ref="CJ195:CL195" ca="1" si="1459">CJ196-CJ194-CJ193</f>
        <v>#NAME?</v>
      </c>
      <c r="CK195" s="67" t="e">
        <f t="shared" ref="CK195:DB195" ca="1" si="1460">CJ195</f>
        <v>#NAME?</v>
      </c>
      <c r="CL195" s="67" t="e">
        <f t="shared" ca="1" si="1459"/>
        <v>#NAME?</v>
      </c>
      <c r="CM195" s="30" t="e">
        <f t="shared" ca="1" si="1460"/>
        <v>#NAME?</v>
      </c>
      <c r="CN195" s="30" t="e">
        <f t="shared" ca="1" si="1460"/>
        <v>#NAME?</v>
      </c>
      <c r="CO195" s="30" t="e">
        <f t="shared" ca="1" si="1460"/>
        <v>#NAME?</v>
      </c>
      <c r="CP195" s="30" t="e">
        <f t="shared" ca="1" si="1460"/>
        <v>#NAME?</v>
      </c>
      <c r="CQ195" s="30" t="e">
        <f t="shared" ca="1" si="1460"/>
        <v>#NAME?</v>
      </c>
      <c r="CR195" s="30" t="e">
        <f t="shared" ca="1" si="1460"/>
        <v>#NAME?</v>
      </c>
      <c r="CS195" s="30" t="e">
        <f t="shared" ca="1" si="1460"/>
        <v>#NAME?</v>
      </c>
      <c r="CT195" s="30" t="e">
        <f t="shared" ca="1" si="1460"/>
        <v>#NAME?</v>
      </c>
      <c r="CU195" s="30" t="e">
        <f t="shared" ca="1" si="1460"/>
        <v>#NAME?</v>
      </c>
      <c r="CV195" s="30" t="e">
        <f t="shared" ca="1" si="1460"/>
        <v>#NAME?</v>
      </c>
      <c r="CW195" s="30" t="e">
        <f t="shared" ca="1" si="1460"/>
        <v>#NAME?</v>
      </c>
      <c r="CX195" s="30" t="e">
        <f t="shared" ca="1" si="1460"/>
        <v>#NAME?</v>
      </c>
      <c r="CY195" s="30" t="e">
        <f t="shared" ca="1" si="1460"/>
        <v>#NAME?</v>
      </c>
      <c r="CZ195" s="30" t="e">
        <f t="shared" ca="1" si="1460"/>
        <v>#NAME?</v>
      </c>
      <c r="DA195" s="30" t="e">
        <f t="shared" ca="1" si="1460"/>
        <v>#NAME?</v>
      </c>
      <c r="DB195" s="30" t="e">
        <f t="shared" ca="1" si="1460"/>
        <v>#NAME?</v>
      </c>
      <c r="DE195" s="139"/>
      <c r="DF195" s="62">
        <v>1233.097123124109</v>
      </c>
    </row>
    <row r="196" spans="1:110" s="7" customFormat="1" outlineLevel="1" x14ac:dyDescent="0.2">
      <c r="A196" s="69" t="s">
        <v>467</v>
      </c>
      <c r="B196" s="70" t="e">
        <f t="shared" ref="B196:AE196" ca="1" si="1461">B162/B22*365</f>
        <v>#NAME?</v>
      </c>
      <c r="C196" s="70" t="e">
        <f t="shared" ca="1" si="1461"/>
        <v>#NAME?</v>
      </c>
      <c r="D196" s="70" t="e">
        <f t="shared" ca="1" si="1461"/>
        <v>#NAME?</v>
      </c>
      <c r="E196" s="70" t="e">
        <f t="shared" ca="1" si="1461"/>
        <v>#NAME?</v>
      </c>
      <c r="F196" s="70" t="e">
        <f t="shared" ca="1" si="1461"/>
        <v>#NAME?</v>
      </c>
      <c r="G196" s="70" t="e">
        <f t="shared" ca="1" si="1461"/>
        <v>#NAME?</v>
      </c>
      <c r="H196" s="70" t="e">
        <f t="shared" ca="1" si="1461"/>
        <v>#NAME?</v>
      </c>
      <c r="I196" s="70" t="e">
        <f t="shared" ca="1" si="1461"/>
        <v>#NAME?</v>
      </c>
      <c r="J196" s="70" t="e">
        <f t="shared" ca="1" si="1461"/>
        <v>#NAME?</v>
      </c>
      <c r="K196" s="70" t="e">
        <f t="shared" ca="1" si="1461"/>
        <v>#NAME?</v>
      </c>
      <c r="L196" s="70" t="e">
        <f t="shared" ca="1" si="1461"/>
        <v>#NAME?</v>
      </c>
      <c r="M196" s="70" t="e">
        <f t="shared" ca="1" si="1461"/>
        <v>#NAME?</v>
      </c>
      <c r="N196" s="70" t="e">
        <f t="shared" ca="1" si="1461"/>
        <v>#NAME?</v>
      </c>
      <c r="O196" s="70" t="e">
        <f t="shared" ca="1" si="1461"/>
        <v>#NAME?</v>
      </c>
      <c r="P196" s="70" t="e">
        <f t="shared" ca="1" si="1461"/>
        <v>#NAME?</v>
      </c>
      <c r="Q196" s="70" t="e">
        <f t="shared" ca="1" si="1461"/>
        <v>#NAME?</v>
      </c>
      <c r="R196" s="70" t="e">
        <f t="shared" ca="1" si="1461"/>
        <v>#NAME?</v>
      </c>
      <c r="S196" s="70" t="e">
        <f t="shared" ca="1" si="1461"/>
        <v>#NAME?</v>
      </c>
      <c r="T196" s="70" t="e">
        <f t="shared" ca="1" si="1461"/>
        <v>#NAME?</v>
      </c>
      <c r="U196" s="70" t="e">
        <f t="shared" ca="1" si="1461"/>
        <v>#NAME?</v>
      </c>
      <c r="V196" s="70" t="e">
        <f t="shared" ca="1" si="1461"/>
        <v>#NAME?</v>
      </c>
      <c r="W196" s="70" t="e">
        <f t="shared" ca="1" si="1461"/>
        <v>#NAME?</v>
      </c>
      <c r="X196" s="70" t="e">
        <f t="shared" ca="1" si="1461"/>
        <v>#NAME?</v>
      </c>
      <c r="Y196" s="70" t="e">
        <f t="shared" ca="1" si="1461"/>
        <v>#NAME?</v>
      </c>
      <c r="Z196" s="70" t="e">
        <f t="shared" ca="1" si="1461"/>
        <v>#NAME?</v>
      </c>
      <c r="AA196" s="70" t="e">
        <f t="shared" ref="AA196" ca="1" si="1462">AA162/AA22*365</f>
        <v>#NAME?</v>
      </c>
      <c r="AB196" s="71" t="e">
        <f t="shared" ca="1" si="1461"/>
        <v>#NAME?</v>
      </c>
      <c r="AC196" s="71" t="e">
        <f t="shared" ca="1" si="1461"/>
        <v>#NAME?</v>
      </c>
      <c r="AD196" s="71" t="e">
        <f t="shared" ca="1" si="1461"/>
        <v>#NAME?</v>
      </c>
      <c r="AE196" s="71" t="e">
        <f t="shared" ca="1" si="1461"/>
        <v>#NAME?</v>
      </c>
      <c r="AI196" s="70" t="e">
        <f t="shared" ref="AI196:CD196" ca="1" si="1463">AI162/AI22*90</f>
        <v>#NAME?</v>
      </c>
      <c r="AJ196" s="70" t="e">
        <f t="shared" ca="1" si="1463"/>
        <v>#NAME?</v>
      </c>
      <c r="AK196" s="70" t="e">
        <f t="shared" ca="1" si="1463"/>
        <v>#NAME?</v>
      </c>
      <c r="AL196" s="70" t="e">
        <f t="shared" ca="1" si="1463"/>
        <v>#NAME?</v>
      </c>
      <c r="AM196" s="70" t="e">
        <f t="shared" ca="1" si="1463"/>
        <v>#NAME?</v>
      </c>
      <c r="AN196" s="70" t="e">
        <f t="shared" ca="1" si="1463"/>
        <v>#NAME?</v>
      </c>
      <c r="AO196" s="70" t="e">
        <f t="shared" ca="1" si="1463"/>
        <v>#NAME?</v>
      </c>
      <c r="AP196" s="70" t="e">
        <f t="shared" ca="1" si="1463"/>
        <v>#NAME?</v>
      </c>
      <c r="AQ196" s="70" t="e">
        <f t="shared" ca="1" si="1463"/>
        <v>#NAME?</v>
      </c>
      <c r="AR196" s="70" t="e">
        <f t="shared" ca="1" si="1463"/>
        <v>#NAME?</v>
      </c>
      <c r="AS196" s="70" t="e">
        <f t="shared" ca="1" si="1463"/>
        <v>#NAME?</v>
      </c>
      <c r="AT196" s="70" t="e">
        <f t="shared" ca="1" si="1463"/>
        <v>#NAME?</v>
      </c>
      <c r="AU196" s="70" t="e">
        <f t="shared" ca="1" si="1463"/>
        <v>#NAME?</v>
      </c>
      <c r="AV196" s="70" t="e">
        <f t="shared" ca="1" si="1463"/>
        <v>#NAME?</v>
      </c>
      <c r="AW196" s="70" t="e">
        <f t="shared" ca="1" si="1463"/>
        <v>#NAME?</v>
      </c>
      <c r="AX196" s="70" t="e">
        <f t="shared" ca="1" si="1463"/>
        <v>#NAME?</v>
      </c>
      <c r="AY196" s="70" t="e">
        <f t="shared" ca="1" si="1463"/>
        <v>#NAME?</v>
      </c>
      <c r="AZ196" s="70" t="e">
        <f t="shared" ca="1" si="1463"/>
        <v>#NAME?</v>
      </c>
      <c r="BA196" s="70" t="e">
        <f t="shared" ca="1" si="1463"/>
        <v>#NAME?</v>
      </c>
      <c r="BB196" s="70" t="e">
        <f t="shared" ca="1" si="1463"/>
        <v>#NAME?</v>
      </c>
      <c r="BC196" s="70" t="e">
        <f t="shared" ca="1" si="1463"/>
        <v>#NAME?</v>
      </c>
      <c r="BD196" s="70" t="e">
        <f t="shared" ca="1" si="1463"/>
        <v>#NAME?</v>
      </c>
      <c r="BE196" s="70" t="e">
        <f t="shared" ca="1" si="1463"/>
        <v>#NAME?</v>
      </c>
      <c r="BF196" s="70" t="e">
        <f t="shared" ca="1" si="1463"/>
        <v>#NAME?</v>
      </c>
      <c r="BG196" s="70" t="e">
        <f t="shared" ca="1" si="1463"/>
        <v>#NAME?</v>
      </c>
      <c r="BH196" s="70" t="e">
        <f t="shared" ca="1" si="1463"/>
        <v>#NAME?</v>
      </c>
      <c r="BI196" s="70" t="e">
        <f t="shared" ca="1" si="1463"/>
        <v>#NAME?</v>
      </c>
      <c r="BJ196" s="70" t="e">
        <f t="shared" ca="1" si="1463"/>
        <v>#NAME?</v>
      </c>
      <c r="BK196" s="70" t="e">
        <f t="shared" ca="1" si="1463"/>
        <v>#NAME?</v>
      </c>
      <c r="BL196" s="70" t="e">
        <f t="shared" ca="1" si="1463"/>
        <v>#NAME?</v>
      </c>
      <c r="BM196" s="70" t="e">
        <f t="shared" ca="1" si="1463"/>
        <v>#NAME?</v>
      </c>
      <c r="BN196" s="70" t="e">
        <f t="shared" ca="1" si="1463"/>
        <v>#NAME?</v>
      </c>
      <c r="BO196" s="70" t="e">
        <f t="shared" ca="1" si="1463"/>
        <v>#NAME?</v>
      </c>
      <c r="BP196" s="70" t="e">
        <f t="shared" ca="1" si="1463"/>
        <v>#NAME?</v>
      </c>
      <c r="BQ196" s="70" t="e">
        <f t="shared" ca="1" si="1463"/>
        <v>#NAME?</v>
      </c>
      <c r="BR196" s="70" t="e">
        <f t="shared" ca="1" si="1463"/>
        <v>#NAME?</v>
      </c>
      <c r="BS196" s="70" t="e">
        <f t="shared" ca="1" si="1463"/>
        <v>#NAME?</v>
      </c>
      <c r="BT196" s="70" t="e">
        <f t="shared" ca="1" si="1463"/>
        <v>#NAME?</v>
      </c>
      <c r="BU196" s="70" t="e">
        <f t="shared" ca="1" si="1463"/>
        <v>#NAME?</v>
      </c>
      <c r="BV196" s="70" t="e">
        <f t="shared" ca="1" si="1463"/>
        <v>#NAME?</v>
      </c>
      <c r="BW196" s="70" t="e">
        <f t="shared" ca="1" si="1463"/>
        <v>#NAME?</v>
      </c>
      <c r="BX196" s="70" t="e">
        <f t="shared" ca="1" si="1463"/>
        <v>#NAME?</v>
      </c>
      <c r="BY196" s="70" t="e">
        <f t="shared" ca="1" si="1463"/>
        <v>#NAME?</v>
      </c>
      <c r="BZ196" s="70" t="e">
        <f t="shared" ca="1" si="1463"/>
        <v>#NAME?</v>
      </c>
      <c r="CA196" s="70" t="e">
        <f t="shared" ca="1" si="1463"/>
        <v>#NAME?</v>
      </c>
      <c r="CB196" s="70" t="e">
        <f t="shared" ca="1" si="1463"/>
        <v>#NAME?</v>
      </c>
      <c r="CC196" s="70" t="e">
        <f t="shared" ca="1" si="1463"/>
        <v>#NAME?</v>
      </c>
      <c r="CD196" s="70" t="e">
        <f t="shared" ca="1" si="1463"/>
        <v>#NAME?</v>
      </c>
      <c r="CE196" s="115" t="e">
        <f ca="1">CE162/CE24*90</f>
        <v>#NAME?</v>
      </c>
      <c r="CF196" s="70" t="e">
        <f ca="1">CF162/CF22*90</f>
        <v>#NAME?</v>
      </c>
      <c r="CG196" s="70" t="e">
        <f ca="1">CG162/CG24*90</f>
        <v>#NAME?</v>
      </c>
      <c r="CH196" s="70" t="e">
        <f ca="1">CH162/CH22*90</f>
        <v>#NAME?</v>
      </c>
      <c r="CI196" s="70" t="e">
        <f ca="1">CI193+CI194+CI195</f>
        <v>#NAME?</v>
      </c>
      <c r="CJ196" s="70" t="e">
        <f ca="1">CJ162/CJ22*90</f>
        <v>#NAME?</v>
      </c>
      <c r="CK196" s="70" t="e">
        <f t="shared" ref="CK196:DB196" ca="1" si="1464">CK193+CK194+CK195</f>
        <v>#NAME?</v>
      </c>
      <c r="CL196" s="70" t="e">
        <f ca="1">CL162/CL22*90</f>
        <v>#NAME?</v>
      </c>
      <c r="CM196" s="50" t="e">
        <f t="shared" ca="1" si="1464"/>
        <v>#NAME?</v>
      </c>
      <c r="CN196" s="50" t="e">
        <f t="shared" ca="1" si="1464"/>
        <v>#NAME?</v>
      </c>
      <c r="CO196" s="50" t="e">
        <f t="shared" ca="1" si="1464"/>
        <v>#NAME?</v>
      </c>
      <c r="CP196" s="50" t="e">
        <f t="shared" ca="1" si="1464"/>
        <v>#NAME?</v>
      </c>
      <c r="CQ196" s="50" t="e">
        <f t="shared" ca="1" si="1464"/>
        <v>#NAME?</v>
      </c>
      <c r="CR196" s="50" t="e">
        <f t="shared" ca="1" si="1464"/>
        <v>#NAME?</v>
      </c>
      <c r="CS196" s="50" t="e">
        <f t="shared" ca="1" si="1464"/>
        <v>#NAME?</v>
      </c>
      <c r="CT196" s="50" t="e">
        <f t="shared" ca="1" si="1464"/>
        <v>#NAME?</v>
      </c>
      <c r="CU196" s="50" t="e">
        <f t="shared" ca="1" si="1464"/>
        <v>#NAME?</v>
      </c>
      <c r="CV196" s="50" t="e">
        <f t="shared" ca="1" si="1464"/>
        <v>#NAME?</v>
      </c>
      <c r="CW196" s="50" t="e">
        <f t="shared" ca="1" si="1464"/>
        <v>#NAME?</v>
      </c>
      <c r="CX196" s="50" t="e">
        <f t="shared" ca="1" si="1464"/>
        <v>#NAME?</v>
      </c>
      <c r="CY196" s="50" t="e">
        <f t="shared" ca="1" si="1464"/>
        <v>#NAME?</v>
      </c>
      <c r="CZ196" s="50" t="e">
        <f t="shared" ca="1" si="1464"/>
        <v>#NAME?</v>
      </c>
      <c r="DA196" s="50" t="e">
        <f t="shared" ca="1" si="1464"/>
        <v>#NAME?</v>
      </c>
      <c r="DB196" s="50" t="e">
        <f t="shared" ca="1" si="1464"/>
        <v>#NAME?</v>
      </c>
      <c r="DE196" s="138"/>
      <c r="DF196" s="7">
        <v>1355.8856233445654</v>
      </c>
    </row>
    <row r="197" spans="1:110" s="62" customFormat="1" outlineLevel="1" x14ac:dyDescent="0.2">
      <c r="A197" s="68" t="s">
        <v>468</v>
      </c>
      <c r="B197" s="67" t="e">
        <f t="shared" ref="B197:AE197" ca="1" si="1465">B167/B22*365</f>
        <v>#NAME?</v>
      </c>
      <c r="C197" s="67" t="e">
        <f t="shared" ca="1" si="1465"/>
        <v>#NAME?</v>
      </c>
      <c r="D197" s="67" t="e">
        <f t="shared" ca="1" si="1465"/>
        <v>#NAME?</v>
      </c>
      <c r="E197" s="67" t="e">
        <f t="shared" ca="1" si="1465"/>
        <v>#NAME?</v>
      </c>
      <c r="F197" s="67" t="e">
        <f t="shared" ca="1" si="1465"/>
        <v>#NAME?</v>
      </c>
      <c r="G197" s="67" t="e">
        <f t="shared" ca="1" si="1465"/>
        <v>#NAME?</v>
      </c>
      <c r="H197" s="67" t="e">
        <f t="shared" ca="1" si="1465"/>
        <v>#NAME?</v>
      </c>
      <c r="I197" s="67" t="e">
        <f t="shared" ca="1" si="1465"/>
        <v>#NAME?</v>
      </c>
      <c r="J197" s="67" t="e">
        <f t="shared" ca="1" si="1465"/>
        <v>#NAME?</v>
      </c>
      <c r="K197" s="67" t="e">
        <f t="shared" ca="1" si="1465"/>
        <v>#NAME?</v>
      </c>
      <c r="L197" s="67" t="e">
        <f t="shared" ca="1" si="1465"/>
        <v>#NAME?</v>
      </c>
      <c r="M197" s="67" t="e">
        <f t="shared" ca="1" si="1465"/>
        <v>#NAME?</v>
      </c>
      <c r="N197" s="67" t="e">
        <f t="shared" ca="1" si="1465"/>
        <v>#NAME?</v>
      </c>
      <c r="O197" s="67" t="e">
        <f t="shared" ca="1" si="1465"/>
        <v>#NAME?</v>
      </c>
      <c r="P197" s="67" t="e">
        <f t="shared" ca="1" si="1465"/>
        <v>#NAME?</v>
      </c>
      <c r="Q197" s="67" t="e">
        <f t="shared" ca="1" si="1465"/>
        <v>#NAME?</v>
      </c>
      <c r="R197" s="67" t="e">
        <f t="shared" ca="1" si="1465"/>
        <v>#NAME?</v>
      </c>
      <c r="S197" s="67" t="e">
        <f t="shared" ca="1" si="1465"/>
        <v>#NAME?</v>
      </c>
      <c r="T197" s="67" t="e">
        <f t="shared" ca="1" si="1465"/>
        <v>#NAME?</v>
      </c>
      <c r="U197" s="67" t="e">
        <f t="shared" ca="1" si="1465"/>
        <v>#NAME?</v>
      </c>
      <c r="V197" s="67" t="e">
        <f t="shared" ca="1" si="1465"/>
        <v>#NAME?</v>
      </c>
      <c r="W197" s="67" t="e">
        <f t="shared" ca="1" si="1465"/>
        <v>#NAME?</v>
      </c>
      <c r="X197" s="67" t="e">
        <f t="shared" ca="1" si="1465"/>
        <v>#NAME?</v>
      </c>
      <c r="Y197" s="67" t="e">
        <f t="shared" ca="1" si="1465"/>
        <v>#NAME?</v>
      </c>
      <c r="Z197" s="67" t="e">
        <f t="shared" ca="1" si="1465"/>
        <v>#NAME?</v>
      </c>
      <c r="AA197" s="67" t="e">
        <f t="shared" ref="AA197" ca="1" si="1466">AA167/AA22*365</f>
        <v>#NAME?</v>
      </c>
      <c r="AB197" s="18" t="e">
        <f t="shared" ca="1" si="1465"/>
        <v>#NAME?</v>
      </c>
      <c r="AC197" s="18" t="e">
        <f t="shared" ca="1" si="1465"/>
        <v>#NAME?</v>
      </c>
      <c r="AD197" s="18" t="e">
        <f t="shared" ca="1" si="1465"/>
        <v>#NAME?</v>
      </c>
      <c r="AE197" s="18" t="e">
        <f t="shared" ca="1" si="1465"/>
        <v>#NAME?</v>
      </c>
      <c r="AI197" s="67" t="e">
        <f ca="1">AJ167/AI22*90</f>
        <v>#NAME?</v>
      </c>
      <c r="AJ197" s="67" t="e">
        <f ca="1">AJ167/AJ22*90</f>
        <v>#NAME?</v>
      </c>
      <c r="AK197" s="67" t="e">
        <f t="shared" ref="AK197:CE197" ca="1" si="1467">+AJ197</f>
        <v>#NAME?</v>
      </c>
      <c r="AL197" s="67" t="e">
        <f ca="1">AL167/AL22*90</f>
        <v>#NAME?</v>
      </c>
      <c r="AM197" s="67" t="e">
        <f t="shared" ref="AM197" ca="1" si="1468">+AL197</f>
        <v>#NAME?</v>
      </c>
      <c r="AN197" s="67" t="e">
        <f ca="1">AN167/AN22*90</f>
        <v>#NAME?</v>
      </c>
      <c r="AO197" s="67" t="e">
        <f t="shared" ref="AO197" ca="1" si="1469">+AN197</f>
        <v>#NAME?</v>
      </c>
      <c r="AP197" s="67" t="e">
        <f ca="1">AP167/AP22*90</f>
        <v>#NAME?</v>
      </c>
      <c r="AQ197" s="67" t="e">
        <f t="shared" ref="AQ197" ca="1" si="1470">+AP197</f>
        <v>#NAME?</v>
      </c>
      <c r="AR197" s="67" t="e">
        <f ca="1">AR167/AR22*90</f>
        <v>#NAME?</v>
      </c>
      <c r="AS197" s="67" t="e">
        <f t="shared" ref="AS197" ca="1" si="1471">+AR197</f>
        <v>#NAME?</v>
      </c>
      <c r="AT197" s="67" t="e">
        <f ca="1">AT167/AT22*90</f>
        <v>#NAME?</v>
      </c>
      <c r="AU197" s="67" t="e">
        <f t="shared" ref="AU197" ca="1" si="1472">+AT197</f>
        <v>#NAME?</v>
      </c>
      <c r="AV197" s="67" t="e">
        <f ca="1">AV167/AV22*90</f>
        <v>#NAME?</v>
      </c>
      <c r="AW197" s="67" t="e">
        <f t="shared" ref="AW197" ca="1" si="1473">+AV197</f>
        <v>#NAME?</v>
      </c>
      <c r="AX197" s="67" t="e">
        <f ca="1">AX167/AX22*90</f>
        <v>#NAME?</v>
      </c>
      <c r="AY197" s="67" t="e">
        <f t="shared" ref="AY197" ca="1" si="1474">+AX197</f>
        <v>#NAME?</v>
      </c>
      <c r="AZ197" s="67" t="e">
        <f ca="1">AZ167/AZ22*90</f>
        <v>#NAME?</v>
      </c>
      <c r="BA197" s="67" t="e">
        <f t="shared" ref="BA197" ca="1" si="1475">+AZ197</f>
        <v>#NAME?</v>
      </c>
      <c r="BB197" s="67" t="e">
        <f ca="1">BB167/BB22*90</f>
        <v>#NAME?</v>
      </c>
      <c r="BC197" s="67" t="e">
        <f t="shared" ref="BC197" ca="1" si="1476">+BB197</f>
        <v>#NAME?</v>
      </c>
      <c r="BD197" s="67" t="e">
        <f ca="1">BD167/BD22*90</f>
        <v>#NAME?</v>
      </c>
      <c r="BE197" s="67" t="e">
        <f t="shared" ref="BE197" ca="1" si="1477">+BD197</f>
        <v>#NAME?</v>
      </c>
      <c r="BF197" s="67" t="e">
        <f ca="1">BF167/BF22*90</f>
        <v>#NAME?</v>
      </c>
      <c r="BG197" s="67" t="e">
        <f t="shared" ref="BG197" ca="1" si="1478">+BF197</f>
        <v>#NAME?</v>
      </c>
      <c r="BH197" s="67" t="e">
        <f ca="1">BH167/BH22*90</f>
        <v>#NAME?</v>
      </c>
      <c r="BI197" s="67" t="e">
        <f t="shared" ref="BI197" ca="1" si="1479">+BH197</f>
        <v>#NAME?</v>
      </c>
      <c r="BJ197" s="67" t="e">
        <f ca="1">BJ167/BJ22*90</f>
        <v>#NAME?</v>
      </c>
      <c r="BK197" s="67" t="e">
        <f t="shared" ref="BK197" ca="1" si="1480">+BJ197</f>
        <v>#NAME?</v>
      </c>
      <c r="BL197" s="67" t="e">
        <f ca="1">BL167/BL22*90</f>
        <v>#NAME?</v>
      </c>
      <c r="BM197" s="67" t="e">
        <f t="shared" ref="BM197" ca="1" si="1481">+BL197</f>
        <v>#NAME?</v>
      </c>
      <c r="BN197" s="67" t="e">
        <f ca="1">BN167/BN22*90</f>
        <v>#NAME?</v>
      </c>
      <c r="BO197" s="67" t="e">
        <f t="shared" ref="BO197" ca="1" si="1482">+BN197</f>
        <v>#NAME?</v>
      </c>
      <c r="BP197" s="67" t="e">
        <f ca="1">BP167/BP22*90</f>
        <v>#NAME?</v>
      </c>
      <c r="BQ197" s="67" t="e">
        <f t="shared" ref="BQ197" ca="1" si="1483">+BP197</f>
        <v>#NAME?</v>
      </c>
      <c r="BR197" s="67" t="e">
        <f ca="1">BR167/BR22*90</f>
        <v>#NAME?</v>
      </c>
      <c r="BS197" s="67" t="e">
        <f t="shared" ref="BS197" ca="1" si="1484">+BR197</f>
        <v>#NAME?</v>
      </c>
      <c r="BT197" s="67" t="e">
        <f ca="1">BT167/BT22*90</f>
        <v>#NAME?</v>
      </c>
      <c r="BU197" s="67" t="e">
        <f t="shared" ref="BU197" ca="1" si="1485">+BT197</f>
        <v>#NAME?</v>
      </c>
      <c r="BV197" s="67" t="e">
        <f ca="1">BV167/BV22*90</f>
        <v>#NAME?</v>
      </c>
      <c r="BW197" s="67" t="e">
        <f t="shared" ref="BW197" ca="1" si="1486">+BV197</f>
        <v>#NAME?</v>
      </c>
      <c r="BX197" s="67" t="e">
        <f ca="1">BX167/BX22*90</f>
        <v>#NAME?</v>
      </c>
      <c r="BY197" s="67" t="e">
        <f t="shared" ref="BY197" ca="1" si="1487">+BX197</f>
        <v>#NAME?</v>
      </c>
      <c r="BZ197" s="67" t="e">
        <f ca="1">BZ167/BZ22*90</f>
        <v>#NAME?</v>
      </c>
      <c r="CA197" s="67" t="e">
        <f t="shared" ref="CA197" ca="1" si="1488">+BZ197</f>
        <v>#NAME?</v>
      </c>
      <c r="CB197" s="67" t="e">
        <f ca="1">CB167/CB22*90</f>
        <v>#NAME?</v>
      </c>
      <c r="CC197" s="67" t="e">
        <f t="shared" ref="CC197" ca="1" si="1489">+CB197</f>
        <v>#NAME?</v>
      </c>
      <c r="CD197" s="67" t="e">
        <f ca="1">CD167/CD22*90</f>
        <v>#NAME?</v>
      </c>
      <c r="CE197" s="114" t="e">
        <f t="shared" ca="1" si="1467"/>
        <v>#NAME?</v>
      </c>
      <c r="CF197" s="67" t="e">
        <f ca="1">CF167/CF22*90</f>
        <v>#NAME?</v>
      </c>
      <c r="CG197" s="67" t="e">
        <f t="shared" ref="CG197:CI197" ca="1" si="1490">+CF197</f>
        <v>#NAME?</v>
      </c>
      <c r="CH197" s="67" t="e">
        <f ca="1">CH167/CH22*90</f>
        <v>#NAME?</v>
      </c>
      <c r="CI197" s="67" t="e">
        <f t="shared" ca="1" si="1490"/>
        <v>#NAME?</v>
      </c>
      <c r="CJ197" s="67" t="e">
        <f ca="1">CJ167/CJ22*90</f>
        <v>#NAME?</v>
      </c>
      <c r="CK197" s="67" t="e">
        <f t="shared" ref="CK197" ca="1" si="1491">+CJ197</f>
        <v>#NAME?</v>
      </c>
      <c r="CL197" s="67" t="e">
        <f ca="1">CL167/CL22*90</f>
        <v>#NAME?</v>
      </c>
      <c r="CM197" s="30" t="e">
        <f t="shared" ref="CM197" ca="1" si="1492">+CL197</f>
        <v>#NAME?</v>
      </c>
      <c r="CN197" s="30" t="e">
        <f t="shared" ref="CN197" ca="1" si="1493">+CM197</f>
        <v>#NAME?</v>
      </c>
      <c r="CO197" s="30" t="e">
        <f t="shared" ref="CO197" ca="1" si="1494">+CN197</f>
        <v>#NAME?</v>
      </c>
      <c r="CP197" s="30" t="e">
        <f t="shared" ref="CP197" ca="1" si="1495">+CO197</f>
        <v>#NAME?</v>
      </c>
      <c r="CQ197" s="30" t="e">
        <f t="shared" ref="CQ197" ca="1" si="1496">+CP197</f>
        <v>#NAME?</v>
      </c>
      <c r="CR197" s="30" t="e">
        <f t="shared" ref="CR197" ca="1" si="1497">+CQ197</f>
        <v>#NAME?</v>
      </c>
      <c r="CS197" s="30" t="e">
        <f t="shared" ref="CS197" ca="1" si="1498">+CR197</f>
        <v>#NAME?</v>
      </c>
      <c r="CT197" s="30" t="e">
        <f t="shared" ref="CT197" ca="1" si="1499">+CS197</f>
        <v>#NAME?</v>
      </c>
      <c r="CU197" s="30" t="e">
        <f t="shared" ref="CU197" ca="1" si="1500">+CT197</f>
        <v>#NAME?</v>
      </c>
      <c r="CV197" s="30" t="e">
        <f t="shared" ref="CV197" ca="1" si="1501">+CU197</f>
        <v>#NAME?</v>
      </c>
      <c r="CW197" s="30" t="e">
        <f t="shared" ref="CW197" ca="1" si="1502">+CV197</f>
        <v>#NAME?</v>
      </c>
      <c r="CX197" s="30" t="e">
        <f t="shared" ref="CX197" ca="1" si="1503">+CW197</f>
        <v>#NAME?</v>
      </c>
      <c r="CY197" s="30" t="e">
        <f t="shared" ref="CY197" ca="1" si="1504">+CX197</f>
        <v>#NAME?</v>
      </c>
      <c r="CZ197" s="30" t="e">
        <f t="shared" ref="CZ197" ca="1" si="1505">+CY197</f>
        <v>#NAME?</v>
      </c>
      <c r="DA197" s="30" t="e">
        <f t="shared" ref="DA197" ca="1" si="1506">+CZ197</f>
        <v>#NAME?</v>
      </c>
      <c r="DB197" s="30" t="e">
        <f t="shared" ref="DB197" ca="1" si="1507">+DA197</f>
        <v>#NAME?</v>
      </c>
      <c r="DE197" s="139"/>
      <c r="DF197" s="62">
        <v>1872.9326390296912</v>
      </c>
    </row>
    <row r="198" spans="1:110" s="62" customFormat="1" outlineLevel="1" x14ac:dyDescent="0.2">
      <c r="A198" s="68" t="s">
        <v>466</v>
      </c>
      <c r="B198" s="67" t="e">
        <f ca="1">B199-B197</f>
        <v>#NAME?</v>
      </c>
      <c r="C198" s="67" t="e">
        <f t="shared" ref="C198:V198" ca="1" si="1508">C199-C197</f>
        <v>#NAME?</v>
      </c>
      <c r="D198" s="67" t="e">
        <f t="shared" ca="1" si="1508"/>
        <v>#NAME?</v>
      </c>
      <c r="E198" s="67" t="e">
        <f t="shared" ca="1" si="1508"/>
        <v>#NAME?</v>
      </c>
      <c r="F198" s="67" t="e">
        <f t="shared" ca="1" si="1508"/>
        <v>#NAME?</v>
      </c>
      <c r="G198" s="67" t="e">
        <f t="shared" ca="1" si="1508"/>
        <v>#NAME?</v>
      </c>
      <c r="H198" s="67" t="e">
        <f t="shared" ca="1" si="1508"/>
        <v>#NAME?</v>
      </c>
      <c r="I198" s="67" t="e">
        <f t="shared" ca="1" si="1508"/>
        <v>#NAME?</v>
      </c>
      <c r="J198" s="67" t="e">
        <f t="shared" ca="1" si="1508"/>
        <v>#NAME?</v>
      </c>
      <c r="K198" s="67" t="e">
        <f t="shared" ca="1" si="1508"/>
        <v>#NAME?</v>
      </c>
      <c r="L198" s="67" t="e">
        <f t="shared" ca="1" si="1508"/>
        <v>#NAME?</v>
      </c>
      <c r="M198" s="67" t="e">
        <f t="shared" ca="1" si="1508"/>
        <v>#NAME?</v>
      </c>
      <c r="N198" s="67" t="e">
        <f t="shared" ca="1" si="1508"/>
        <v>#NAME?</v>
      </c>
      <c r="O198" s="67" t="e">
        <f t="shared" ca="1" si="1508"/>
        <v>#NAME?</v>
      </c>
      <c r="P198" s="67" t="e">
        <f t="shared" ca="1" si="1508"/>
        <v>#NAME?</v>
      </c>
      <c r="Q198" s="67" t="e">
        <f t="shared" ca="1" si="1508"/>
        <v>#NAME?</v>
      </c>
      <c r="R198" s="67" t="e">
        <f t="shared" ca="1" si="1508"/>
        <v>#NAME?</v>
      </c>
      <c r="S198" s="67" t="e">
        <f t="shared" ca="1" si="1508"/>
        <v>#NAME?</v>
      </c>
      <c r="T198" s="67" t="e">
        <f t="shared" ca="1" si="1508"/>
        <v>#NAME?</v>
      </c>
      <c r="U198" s="67" t="e">
        <f t="shared" ca="1" si="1508"/>
        <v>#NAME?</v>
      </c>
      <c r="V198" s="67" t="e">
        <f t="shared" ca="1" si="1508"/>
        <v>#NAME?</v>
      </c>
      <c r="W198" s="67" t="e">
        <f t="shared" ref="W198" ca="1" si="1509">W199-W197</f>
        <v>#NAME?</v>
      </c>
      <c r="X198" s="67" t="e">
        <f t="shared" ref="X198:Y198" ca="1" si="1510">X199-X197</f>
        <v>#NAME?</v>
      </c>
      <c r="Y198" s="67" t="e">
        <f t="shared" ca="1" si="1510"/>
        <v>#NAME?</v>
      </c>
      <c r="Z198" s="67" t="e">
        <f t="shared" ref="Z198:AA198" ca="1" si="1511">Z199-Z197</f>
        <v>#NAME?</v>
      </c>
      <c r="AA198" s="67" t="e">
        <f t="shared" ca="1" si="1511"/>
        <v>#NAME?</v>
      </c>
      <c r="AB198" s="18" t="e">
        <f t="shared" ref="AA198:AD198" ca="1" si="1512">AB199-AB197</f>
        <v>#NAME?</v>
      </c>
      <c r="AC198" s="18" t="e">
        <f t="shared" ca="1" si="1512"/>
        <v>#NAME?</v>
      </c>
      <c r="AD198" s="18" t="e">
        <f t="shared" ca="1" si="1512"/>
        <v>#NAME?</v>
      </c>
      <c r="AE198" s="18" t="e">
        <f t="shared" ref="AE198" ca="1" si="1513">AE199-AE197</f>
        <v>#NAME?</v>
      </c>
      <c r="AI198" s="67" t="e">
        <f t="shared" ref="AI198:AK198" ca="1" si="1514">AI199-AI197</f>
        <v>#NAME?</v>
      </c>
      <c r="AJ198" s="67" t="e">
        <f t="shared" ref="AJ198:AM198" ca="1" si="1515">AJ199-AJ197</f>
        <v>#NAME?</v>
      </c>
      <c r="AK198" s="67" t="e">
        <f t="shared" ca="1" si="1514"/>
        <v>#NAME?</v>
      </c>
      <c r="AL198" s="67" t="e">
        <f t="shared" ca="1" si="1515"/>
        <v>#NAME?</v>
      </c>
      <c r="AM198" s="67" t="e">
        <f t="shared" ca="1" si="1515"/>
        <v>#NAME?</v>
      </c>
      <c r="AN198" s="67" t="e">
        <f t="shared" ref="AN198:AY198" ca="1" si="1516">AN199-AN197</f>
        <v>#NAME?</v>
      </c>
      <c r="AO198" s="67" t="e">
        <f t="shared" ca="1" si="1516"/>
        <v>#NAME?</v>
      </c>
      <c r="AP198" s="67" t="e">
        <f t="shared" ca="1" si="1516"/>
        <v>#NAME?</v>
      </c>
      <c r="AQ198" s="67" t="e">
        <f t="shared" ca="1" si="1516"/>
        <v>#NAME?</v>
      </c>
      <c r="AR198" s="67" t="e">
        <f t="shared" ca="1" si="1516"/>
        <v>#NAME?</v>
      </c>
      <c r="AS198" s="67" t="e">
        <f t="shared" ca="1" si="1516"/>
        <v>#NAME?</v>
      </c>
      <c r="AT198" s="67" t="e">
        <f t="shared" ca="1" si="1516"/>
        <v>#NAME?</v>
      </c>
      <c r="AU198" s="67" t="e">
        <f t="shared" ca="1" si="1516"/>
        <v>#NAME?</v>
      </c>
      <c r="AV198" s="67" t="e">
        <f t="shared" ca="1" si="1516"/>
        <v>#NAME?</v>
      </c>
      <c r="AW198" s="67" t="e">
        <f t="shared" ca="1" si="1516"/>
        <v>#NAME?</v>
      </c>
      <c r="AX198" s="67" t="e">
        <f t="shared" ca="1" si="1516"/>
        <v>#NAME?</v>
      </c>
      <c r="AY198" s="67" t="e">
        <f t="shared" ca="1" si="1516"/>
        <v>#NAME?</v>
      </c>
      <c r="AZ198" s="67" t="e">
        <f t="shared" ref="AZ198:BC198" ca="1" si="1517">AZ199-AZ197</f>
        <v>#NAME?</v>
      </c>
      <c r="BA198" s="67" t="e">
        <f t="shared" ca="1" si="1517"/>
        <v>#NAME?</v>
      </c>
      <c r="BB198" s="67" t="e">
        <f t="shared" ca="1" si="1517"/>
        <v>#NAME?</v>
      </c>
      <c r="BC198" s="67" t="e">
        <f t="shared" ca="1" si="1517"/>
        <v>#NAME?</v>
      </c>
      <c r="BD198" s="67" t="e">
        <f t="shared" ref="BD198:CE198" ca="1" si="1518">BD199-BD197</f>
        <v>#NAME?</v>
      </c>
      <c r="BE198" s="67" t="e">
        <f t="shared" ca="1" si="1518"/>
        <v>#NAME?</v>
      </c>
      <c r="BF198" s="67" t="e">
        <f t="shared" ca="1" si="1518"/>
        <v>#NAME?</v>
      </c>
      <c r="BG198" s="67" t="e">
        <f t="shared" ca="1" si="1518"/>
        <v>#NAME?</v>
      </c>
      <c r="BH198" s="67" t="e">
        <f t="shared" ca="1" si="1518"/>
        <v>#NAME?</v>
      </c>
      <c r="BI198" s="67" t="e">
        <f t="shared" ca="1" si="1518"/>
        <v>#NAME?</v>
      </c>
      <c r="BJ198" s="67" t="e">
        <f t="shared" ca="1" si="1518"/>
        <v>#NAME?</v>
      </c>
      <c r="BK198" s="67" t="e">
        <f t="shared" ca="1" si="1518"/>
        <v>#NAME?</v>
      </c>
      <c r="BL198" s="67" t="e">
        <f t="shared" ca="1" si="1518"/>
        <v>#NAME?</v>
      </c>
      <c r="BM198" s="67" t="e">
        <f t="shared" ca="1" si="1518"/>
        <v>#NAME?</v>
      </c>
      <c r="BN198" s="67" t="e">
        <f t="shared" ca="1" si="1518"/>
        <v>#NAME?</v>
      </c>
      <c r="BO198" s="67" t="e">
        <f t="shared" ca="1" si="1518"/>
        <v>#NAME?</v>
      </c>
      <c r="BP198" s="67" t="e">
        <f t="shared" ca="1" si="1518"/>
        <v>#NAME?</v>
      </c>
      <c r="BQ198" s="67" t="e">
        <f t="shared" ca="1" si="1518"/>
        <v>#NAME?</v>
      </c>
      <c r="BR198" s="67" t="e">
        <f t="shared" ca="1" si="1518"/>
        <v>#NAME?</v>
      </c>
      <c r="BS198" s="67" t="e">
        <f t="shared" ca="1" si="1518"/>
        <v>#NAME?</v>
      </c>
      <c r="BT198" s="67" t="e">
        <f t="shared" ca="1" si="1518"/>
        <v>#NAME?</v>
      </c>
      <c r="BU198" s="67" t="e">
        <f t="shared" ca="1" si="1518"/>
        <v>#NAME?</v>
      </c>
      <c r="BV198" s="67" t="e">
        <f t="shared" ca="1" si="1518"/>
        <v>#NAME?</v>
      </c>
      <c r="BW198" s="67" t="e">
        <f t="shared" ca="1" si="1518"/>
        <v>#NAME?</v>
      </c>
      <c r="BX198" s="67" t="e">
        <f t="shared" ca="1" si="1518"/>
        <v>#NAME?</v>
      </c>
      <c r="BY198" s="67" t="e">
        <f t="shared" ca="1" si="1518"/>
        <v>#NAME?</v>
      </c>
      <c r="BZ198" s="67" t="e">
        <f t="shared" ca="1" si="1518"/>
        <v>#NAME?</v>
      </c>
      <c r="CA198" s="67" t="e">
        <f t="shared" ca="1" si="1518"/>
        <v>#NAME?</v>
      </c>
      <c r="CB198" s="67" t="e">
        <f t="shared" ca="1" si="1518"/>
        <v>#NAME?</v>
      </c>
      <c r="CC198" s="67" t="e">
        <f t="shared" ca="1" si="1518"/>
        <v>#NAME?</v>
      </c>
      <c r="CD198" s="67" t="e">
        <f t="shared" ca="1" si="1518"/>
        <v>#NAME?</v>
      </c>
      <c r="CE198" s="114" t="e">
        <f t="shared" ca="1" si="1518"/>
        <v>#NAME?</v>
      </c>
      <c r="CF198" s="67" t="e">
        <f t="shared" ref="CF198:CG198" ca="1" si="1519">CF199-CF197</f>
        <v>#NAME?</v>
      </c>
      <c r="CG198" s="67" t="e">
        <f t="shared" ca="1" si="1519"/>
        <v>#NAME?</v>
      </c>
      <c r="CH198" s="67" t="e">
        <f t="shared" ref="CH198" ca="1" si="1520">CH199-CH197</f>
        <v>#NAME?</v>
      </c>
      <c r="CI198" s="67" t="e">
        <f ca="1">CH198</f>
        <v>#NAME?</v>
      </c>
      <c r="CJ198" s="67" t="e">
        <f t="shared" ref="CJ198:CL198" ca="1" si="1521">CJ199-CJ197</f>
        <v>#NAME?</v>
      </c>
      <c r="CK198" s="67" t="e">
        <f t="shared" ref="CK198:DB198" ca="1" si="1522">CJ198</f>
        <v>#NAME?</v>
      </c>
      <c r="CL198" s="67" t="e">
        <f t="shared" ca="1" si="1521"/>
        <v>#NAME?</v>
      </c>
      <c r="CM198" s="30" t="e">
        <f t="shared" ca="1" si="1522"/>
        <v>#NAME?</v>
      </c>
      <c r="CN198" s="30" t="e">
        <f t="shared" ca="1" si="1522"/>
        <v>#NAME?</v>
      </c>
      <c r="CO198" s="30" t="e">
        <f t="shared" ca="1" si="1522"/>
        <v>#NAME?</v>
      </c>
      <c r="CP198" s="30" t="e">
        <f t="shared" ca="1" si="1522"/>
        <v>#NAME?</v>
      </c>
      <c r="CQ198" s="30" t="e">
        <f t="shared" ca="1" si="1522"/>
        <v>#NAME?</v>
      </c>
      <c r="CR198" s="30" t="e">
        <f t="shared" ca="1" si="1522"/>
        <v>#NAME?</v>
      </c>
      <c r="CS198" s="30" t="e">
        <f t="shared" ca="1" si="1522"/>
        <v>#NAME?</v>
      </c>
      <c r="CT198" s="30" t="e">
        <f t="shared" ca="1" si="1522"/>
        <v>#NAME?</v>
      </c>
      <c r="CU198" s="30" t="e">
        <f t="shared" ca="1" si="1522"/>
        <v>#NAME?</v>
      </c>
      <c r="CV198" s="30" t="e">
        <f t="shared" ca="1" si="1522"/>
        <v>#NAME?</v>
      </c>
      <c r="CW198" s="30" t="e">
        <f t="shared" ca="1" si="1522"/>
        <v>#NAME?</v>
      </c>
      <c r="CX198" s="30" t="e">
        <f t="shared" ca="1" si="1522"/>
        <v>#NAME?</v>
      </c>
      <c r="CY198" s="30" t="e">
        <f t="shared" ca="1" si="1522"/>
        <v>#NAME?</v>
      </c>
      <c r="CZ198" s="30" t="e">
        <f t="shared" ca="1" si="1522"/>
        <v>#NAME?</v>
      </c>
      <c r="DA198" s="30" t="e">
        <f t="shared" ca="1" si="1522"/>
        <v>#NAME?</v>
      </c>
      <c r="DB198" s="30" t="e">
        <f t="shared" ca="1" si="1522"/>
        <v>#NAME?</v>
      </c>
      <c r="DE198" s="139"/>
      <c r="DF198" s="62">
        <v>52.994399012183521</v>
      </c>
    </row>
    <row r="199" spans="1:110" s="7" customFormat="1" outlineLevel="1" x14ac:dyDescent="0.2">
      <c r="A199" s="69" t="s">
        <v>469</v>
      </c>
      <c r="B199" s="70" t="e">
        <f t="shared" ref="B199:AE199" ca="1" si="1523">B170/B22*365</f>
        <v>#NAME?</v>
      </c>
      <c r="C199" s="70" t="e">
        <f t="shared" ca="1" si="1523"/>
        <v>#NAME?</v>
      </c>
      <c r="D199" s="70" t="e">
        <f t="shared" ca="1" si="1523"/>
        <v>#NAME?</v>
      </c>
      <c r="E199" s="70" t="e">
        <f t="shared" ca="1" si="1523"/>
        <v>#NAME?</v>
      </c>
      <c r="F199" s="70" t="e">
        <f t="shared" ca="1" si="1523"/>
        <v>#NAME?</v>
      </c>
      <c r="G199" s="70" t="e">
        <f t="shared" ca="1" si="1523"/>
        <v>#NAME?</v>
      </c>
      <c r="H199" s="70" t="e">
        <f t="shared" ca="1" si="1523"/>
        <v>#NAME?</v>
      </c>
      <c r="I199" s="70" t="e">
        <f t="shared" ca="1" si="1523"/>
        <v>#NAME?</v>
      </c>
      <c r="J199" s="70" t="e">
        <f t="shared" ca="1" si="1523"/>
        <v>#NAME?</v>
      </c>
      <c r="K199" s="70" t="e">
        <f t="shared" ca="1" si="1523"/>
        <v>#NAME?</v>
      </c>
      <c r="L199" s="70" t="e">
        <f t="shared" ca="1" si="1523"/>
        <v>#NAME?</v>
      </c>
      <c r="M199" s="70" t="e">
        <f t="shared" ca="1" si="1523"/>
        <v>#NAME?</v>
      </c>
      <c r="N199" s="70" t="e">
        <f t="shared" ca="1" si="1523"/>
        <v>#NAME?</v>
      </c>
      <c r="O199" s="70" t="e">
        <f t="shared" ca="1" si="1523"/>
        <v>#NAME?</v>
      </c>
      <c r="P199" s="70" t="e">
        <f t="shared" ca="1" si="1523"/>
        <v>#NAME?</v>
      </c>
      <c r="Q199" s="70" t="e">
        <f t="shared" ca="1" si="1523"/>
        <v>#NAME?</v>
      </c>
      <c r="R199" s="70" t="e">
        <f t="shared" ca="1" si="1523"/>
        <v>#NAME?</v>
      </c>
      <c r="S199" s="70" t="e">
        <f t="shared" ca="1" si="1523"/>
        <v>#NAME?</v>
      </c>
      <c r="T199" s="70" t="e">
        <f t="shared" ca="1" si="1523"/>
        <v>#NAME?</v>
      </c>
      <c r="U199" s="70" t="e">
        <f t="shared" ca="1" si="1523"/>
        <v>#NAME?</v>
      </c>
      <c r="V199" s="70" t="e">
        <f t="shared" ca="1" si="1523"/>
        <v>#NAME?</v>
      </c>
      <c r="W199" s="70" t="e">
        <f t="shared" ca="1" si="1523"/>
        <v>#NAME?</v>
      </c>
      <c r="X199" s="70" t="e">
        <f t="shared" ca="1" si="1523"/>
        <v>#NAME?</v>
      </c>
      <c r="Y199" s="70" t="e">
        <f t="shared" ca="1" si="1523"/>
        <v>#NAME?</v>
      </c>
      <c r="Z199" s="70" t="e">
        <f t="shared" ca="1" si="1523"/>
        <v>#NAME?</v>
      </c>
      <c r="AA199" s="70" t="e">
        <f t="shared" ref="AA199" ca="1" si="1524">AA170/AA22*365</f>
        <v>#NAME?</v>
      </c>
      <c r="AB199" s="71" t="e">
        <f t="shared" ca="1" si="1523"/>
        <v>#NAME?</v>
      </c>
      <c r="AC199" s="71" t="e">
        <f t="shared" ca="1" si="1523"/>
        <v>#NAME?</v>
      </c>
      <c r="AD199" s="71" t="e">
        <f t="shared" ca="1" si="1523"/>
        <v>#NAME?</v>
      </c>
      <c r="AE199" s="71" t="e">
        <f t="shared" ca="1" si="1523"/>
        <v>#NAME?</v>
      </c>
      <c r="AI199" s="70" t="e">
        <f t="shared" ref="AI199:CD199" ca="1" si="1525">AI170/AI22*90</f>
        <v>#NAME?</v>
      </c>
      <c r="AJ199" s="70" t="e">
        <f t="shared" ca="1" si="1525"/>
        <v>#NAME?</v>
      </c>
      <c r="AK199" s="70" t="e">
        <f ca="1">AK170/AK22*90</f>
        <v>#NAME?</v>
      </c>
      <c r="AL199" s="70" t="e">
        <f t="shared" ca="1" si="1525"/>
        <v>#NAME?</v>
      </c>
      <c r="AM199" s="70" t="e">
        <f t="shared" ca="1" si="1525"/>
        <v>#NAME?</v>
      </c>
      <c r="AN199" s="70" t="e">
        <f t="shared" ca="1" si="1525"/>
        <v>#NAME?</v>
      </c>
      <c r="AO199" s="70" t="e">
        <f t="shared" ca="1" si="1525"/>
        <v>#NAME?</v>
      </c>
      <c r="AP199" s="70" t="e">
        <f t="shared" ca="1" si="1525"/>
        <v>#NAME?</v>
      </c>
      <c r="AQ199" s="70" t="e">
        <f t="shared" ca="1" si="1525"/>
        <v>#NAME?</v>
      </c>
      <c r="AR199" s="70" t="e">
        <f t="shared" ca="1" si="1525"/>
        <v>#NAME?</v>
      </c>
      <c r="AS199" s="70" t="e">
        <f t="shared" ca="1" si="1525"/>
        <v>#NAME?</v>
      </c>
      <c r="AT199" s="70" t="e">
        <f t="shared" ca="1" si="1525"/>
        <v>#NAME?</v>
      </c>
      <c r="AU199" s="70" t="e">
        <f t="shared" ca="1" si="1525"/>
        <v>#NAME?</v>
      </c>
      <c r="AV199" s="70" t="e">
        <f t="shared" ca="1" si="1525"/>
        <v>#NAME?</v>
      </c>
      <c r="AW199" s="70" t="e">
        <f t="shared" ca="1" si="1525"/>
        <v>#NAME?</v>
      </c>
      <c r="AX199" s="70" t="e">
        <f t="shared" ca="1" si="1525"/>
        <v>#NAME?</v>
      </c>
      <c r="AY199" s="70" t="e">
        <f t="shared" ca="1" si="1525"/>
        <v>#NAME?</v>
      </c>
      <c r="AZ199" s="70" t="e">
        <f t="shared" ca="1" si="1525"/>
        <v>#NAME?</v>
      </c>
      <c r="BA199" s="70" t="e">
        <f t="shared" ca="1" si="1525"/>
        <v>#NAME?</v>
      </c>
      <c r="BB199" s="70" t="e">
        <f t="shared" ca="1" si="1525"/>
        <v>#NAME?</v>
      </c>
      <c r="BC199" s="70" t="e">
        <f t="shared" ca="1" si="1525"/>
        <v>#NAME?</v>
      </c>
      <c r="BD199" s="70" t="e">
        <f t="shared" ca="1" si="1525"/>
        <v>#NAME?</v>
      </c>
      <c r="BE199" s="70" t="e">
        <f t="shared" ca="1" si="1525"/>
        <v>#NAME?</v>
      </c>
      <c r="BF199" s="70" t="e">
        <f t="shared" ca="1" si="1525"/>
        <v>#NAME?</v>
      </c>
      <c r="BG199" s="70" t="e">
        <f t="shared" ca="1" si="1525"/>
        <v>#NAME?</v>
      </c>
      <c r="BH199" s="70" t="e">
        <f t="shared" ca="1" si="1525"/>
        <v>#NAME?</v>
      </c>
      <c r="BI199" s="70" t="e">
        <f t="shared" ca="1" si="1525"/>
        <v>#NAME?</v>
      </c>
      <c r="BJ199" s="70" t="e">
        <f t="shared" ca="1" si="1525"/>
        <v>#NAME?</v>
      </c>
      <c r="BK199" s="70" t="e">
        <f t="shared" ca="1" si="1525"/>
        <v>#NAME?</v>
      </c>
      <c r="BL199" s="70" t="e">
        <f t="shared" ca="1" si="1525"/>
        <v>#NAME?</v>
      </c>
      <c r="BM199" s="70" t="e">
        <f t="shared" ca="1" si="1525"/>
        <v>#NAME?</v>
      </c>
      <c r="BN199" s="70" t="e">
        <f t="shared" ca="1" si="1525"/>
        <v>#NAME?</v>
      </c>
      <c r="BO199" s="70" t="e">
        <f t="shared" ca="1" si="1525"/>
        <v>#NAME?</v>
      </c>
      <c r="BP199" s="70" t="e">
        <f t="shared" ca="1" si="1525"/>
        <v>#NAME?</v>
      </c>
      <c r="BQ199" s="70" t="e">
        <f t="shared" ca="1" si="1525"/>
        <v>#NAME?</v>
      </c>
      <c r="BR199" s="70" t="e">
        <f t="shared" ca="1" si="1525"/>
        <v>#NAME?</v>
      </c>
      <c r="BS199" s="70" t="e">
        <f t="shared" ca="1" si="1525"/>
        <v>#NAME?</v>
      </c>
      <c r="BT199" s="70" t="e">
        <f t="shared" ca="1" si="1525"/>
        <v>#NAME?</v>
      </c>
      <c r="BU199" s="70" t="e">
        <f t="shared" ca="1" si="1525"/>
        <v>#NAME?</v>
      </c>
      <c r="BV199" s="70" t="e">
        <f t="shared" ca="1" si="1525"/>
        <v>#NAME?</v>
      </c>
      <c r="BW199" s="70" t="e">
        <f t="shared" ca="1" si="1525"/>
        <v>#NAME?</v>
      </c>
      <c r="BX199" s="70" t="e">
        <f t="shared" ca="1" si="1525"/>
        <v>#NAME?</v>
      </c>
      <c r="BY199" s="70" t="e">
        <f t="shared" ca="1" si="1525"/>
        <v>#NAME?</v>
      </c>
      <c r="BZ199" s="70" t="e">
        <f t="shared" ca="1" si="1525"/>
        <v>#NAME?</v>
      </c>
      <c r="CA199" s="70" t="e">
        <f t="shared" ca="1" si="1525"/>
        <v>#NAME?</v>
      </c>
      <c r="CB199" s="70" t="e">
        <f t="shared" ca="1" si="1525"/>
        <v>#NAME?</v>
      </c>
      <c r="CC199" s="70" t="e">
        <f t="shared" ca="1" si="1525"/>
        <v>#NAME?</v>
      </c>
      <c r="CD199" s="70" t="e">
        <f t="shared" ca="1" si="1525"/>
        <v>#NAME?</v>
      </c>
      <c r="CE199" s="115" t="e">
        <f ca="1">CE170/CE24*90</f>
        <v>#NAME?</v>
      </c>
      <c r="CF199" s="70" t="e">
        <f ca="1">CF170/CF22*90</f>
        <v>#NAME?</v>
      </c>
      <c r="CG199" s="70" t="e">
        <f ca="1">CG170/CG24*90</f>
        <v>#NAME?</v>
      </c>
      <c r="CH199" s="70" t="e">
        <f ca="1">CH170/CH22*90</f>
        <v>#NAME?</v>
      </c>
      <c r="CI199" s="70" t="e">
        <f ca="1">CI197+CI198</f>
        <v>#NAME?</v>
      </c>
      <c r="CJ199" s="70" t="e">
        <f ca="1">CJ170/CJ22*90</f>
        <v>#NAME?</v>
      </c>
      <c r="CK199" s="70" t="e">
        <f t="shared" ref="CK199:DB199" ca="1" si="1526">CK197+CK198</f>
        <v>#NAME?</v>
      </c>
      <c r="CL199" s="70" t="e">
        <f ca="1">CL170/CL22*90</f>
        <v>#NAME?</v>
      </c>
      <c r="CM199" s="50" t="e">
        <f t="shared" ca="1" si="1526"/>
        <v>#NAME?</v>
      </c>
      <c r="CN199" s="50" t="e">
        <f t="shared" ca="1" si="1526"/>
        <v>#NAME?</v>
      </c>
      <c r="CO199" s="50" t="e">
        <f t="shared" ca="1" si="1526"/>
        <v>#NAME?</v>
      </c>
      <c r="CP199" s="50" t="e">
        <f t="shared" ca="1" si="1526"/>
        <v>#NAME?</v>
      </c>
      <c r="CQ199" s="50" t="e">
        <f t="shared" ca="1" si="1526"/>
        <v>#NAME?</v>
      </c>
      <c r="CR199" s="50" t="e">
        <f t="shared" ca="1" si="1526"/>
        <v>#NAME?</v>
      </c>
      <c r="CS199" s="50" t="e">
        <f t="shared" ca="1" si="1526"/>
        <v>#NAME?</v>
      </c>
      <c r="CT199" s="50" t="e">
        <f t="shared" ca="1" si="1526"/>
        <v>#NAME?</v>
      </c>
      <c r="CU199" s="50" t="e">
        <f t="shared" ca="1" si="1526"/>
        <v>#NAME?</v>
      </c>
      <c r="CV199" s="50" t="e">
        <f t="shared" ca="1" si="1526"/>
        <v>#NAME?</v>
      </c>
      <c r="CW199" s="50" t="e">
        <f t="shared" ca="1" si="1526"/>
        <v>#NAME?</v>
      </c>
      <c r="CX199" s="50" t="e">
        <f t="shared" ca="1" si="1526"/>
        <v>#NAME?</v>
      </c>
      <c r="CY199" s="50" t="e">
        <f t="shared" ca="1" si="1526"/>
        <v>#NAME?</v>
      </c>
      <c r="CZ199" s="50" t="e">
        <f t="shared" ca="1" si="1526"/>
        <v>#NAME?</v>
      </c>
      <c r="DA199" s="50" t="e">
        <f t="shared" ca="1" si="1526"/>
        <v>#NAME?</v>
      </c>
      <c r="DB199" s="50" t="e">
        <f t="shared" ca="1" si="1526"/>
        <v>#NAME?</v>
      </c>
      <c r="DE199" s="138"/>
      <c r="DF199" s="7">
        <v>1925.9270380418748</v>
      </c>
    </row>
    <row r="200" spans="1:110" s="7" customFormat="1" x14ac:dyDescent="0.2">
      <c r="A200" s="69" t="s">
        <v>470</v>
      </c>
      <c r="B200" s="70" t="e">
        <f ca="1">B196-B199</f>
        <v>#NAME?</v>
      </c>
      <c r="C200" s="70" t="e">
        <f t="shared" ref="C200:V200" ca="1" si="1527">C196-C199</f>
        <v>#NAME?</v>
      </c>
      <c r="D200" s="70" t="e">
        <f t="shared" ca="1" si="1527"/>
        <v>#NAME?</v>
      </c>
      <c r="E200" s="70" t="e">
        <f t="shared" ca="1" si="1527"/>
        <v>#NAME?</v>
      </c>
      <c r="F200" s="70" t="e">
        <f t="shared" ca="1" si="1527"/>
        <v>#NAME?</v>
      </c>
      <c r="G200" s="70" t="e">
        <f t="shared" ca="1" si="1527"/>
        <v>#NAME?</v>
      </c>
      <c r="H200" s="70" t="e">
        <f t="shared" ca="1" si="1527"/>
        <v>#NAME?</v>
      </c>
      <c r="I200" s="70" t="e">
        <f t="shared" ca="1" si="1527"/>
        <v>#NAME?</v>
      </c>
      <c r="J200" s="70" t="e">
        <f t="shared" ca="1" si="1527"/>
        <v>#NAME?</v>
      </c>
      <c r="K200" s="70" t="e">
        <f t="shared" ca="1" si="1527"/>
        <v>#NAME?</v>
      </c>
      <c r="L200" s="70" t="e">
        <f t="shared" ca="1" si="1527"/>
        <v>#NAME?</v>
      </c>
      <c r="M200" s="70" t="e">
        <f t="shared" ca="1" si="1527"/>
        <v>#NAME?</v>
      </c>
      <c r="N200" s="70" t="e">
        <f t="shared" ca="1" si="1527"/>
        <v>#NAME?</v>
      </c>
      <c r="O200" s="70" t="e">
        <f t="shared" ca="1" si="1527"/>
        <v>#NAME?</v>
      </c>
      <c r="P200" s="70" t="e">
        <f t="shared" ca="1" si="1527"/>
        <v>#NAME?</v>
      </c>
      <c r="Q200" s="70" t="e">
        <f t="shared" ca="1" si="1527"/>
        <v>#NAME?</v>
      </c>
      <c r="R200" s="70" t="e">
        <f t="shared" ca="1" si="1527"/>
        <v>#NAME?</v>
      </c>
      <c r="S200" s="70" t="e">
        <f t="shared" ca="1" si="1527"/>
        <v>#NAME?</v>
      </c>
      <c r="T200" s="70" t="e">
        <f t="shared" ca="1" si="1527"/>
        <v>#NAME?</v>
      </c>
      <c r="U200" s="70" t="e">
        <f t="shared" ca="1" si="1527"/>
        <v>#NAME?</v>
      </c>
      <c r="V200" s="70" t="e">
        <f t="shared" ca="1" si="1527"/>
        <v>#NAME?</v>
      </c>
      <c r="W200" s="70" t="e">
        <f t="shared" ref="W200" ca="1" si="1528">W196-W199</f>
        <v>#NAME?</v>
      </c>
      <c r="X200" s="70" t="e">
        <f t="shared" ref="X200:Y200" ca="1" si="1529">X196-X199</f>
        <v>#NAME?</v>
      </c>
      <c r="Y200" s="70" t="e">
        <f t="shared" ca="1" si="1529"/>
        <v>#NAME?</v>
      </c>
      <c r="Z200" s="70" t="e">
        <f t="shared" ref="Z200:AA200" ca="1" si="1530">Z196-Z199</f>
        <v>#NAME?</v>
      </c>
      <c r="AA200" s="70" t="e">
        <f t="shared" ca="1" si="1530"/>
        <v>#NAME?</v>
      </c>
      <c r="AB200" s="71" t="e">
        <f t="shared" ref="AA200:AD200" ca="1" si="1531">AB196-AB199</f>
        <v>#NAME?</v>
      </c>
      <c r="AC200" s="71" t="e">
        <f t="shared" ca="1" si="1531"/>
        <v>#NAME?</v>
      </c>
      <c r="AD200" s="71" t="e">
        <f t="shared" ca="1" si="1531"/>
        <v>#NAME?</v>
      </c>
      <c r="AE200" s="71" t="e">
        <f t="shared" ref="AE200" ca="1" si="1532">AE196-AE199</f>
        <v>#NAME?</v>
      </c>
      <c r="AI200" s="70" t="e">
        <f t="shared" ref="AI200:AK200" ca="1" si="1533">AI196-AI199</f>
        <v>#NAME?</v>
      </c>
      <c r="AJ200" s="70" t="e">
        <f t="shared" ref="AJ200:AM200" ca="1" si="1534">AJ196-AJ199</f>
        <v>#NAME?</v>
      </c>
      <c r="AK200" s="70" t="e">
        <f t="shared" ca="1" si="1533"/>
        <v>#NAME?</v>
      </c>
      <c r="AL200" s="70" t="e">
        <f t="shared" ca="1" si="1534"/>
        <v>#NAME?</v>
      </c>
      <c r="AM200" s="70" t="e">
        <f t="shared" ca="1" si="1534"/>
        <v>#NAME?</v>
      </c>
      <c r="AN200" s="70" t="e">
        <f t="shared" ref="AN200:AY200" ca="1" si="1535">AN196-AN199</f>
        <v>#NAME?</v>
      </c>
      <c r="AO200" s="70" t="e">
        <f t="shared" ca="1" si="1535"/>
        <v>#NAME?</v>
      </c>
      <c r="AP200" s="70" t="e">
        <f t="shared" ca="1" si="1535"/>
        <v>#NAME?</v>
      </c>
      <c r="AQ200" s="70" t="e">
        <f t="shared" ca="1" si="1535"/>
        <v>#NAME?</v>
      </c>
      <c r="AR200" s="70" t="e">
        <f t="shared" ca="1" si="1535"/>
        <v>#NAME?</v>
      </c>
      <c r="AS200" s="70" t="e">
        <f t="shared" ca="1" si="1535"/>
        <v>#NAME?</v>
      </c>
      <c r="AT200" s="70" t="e">
        <f t="shared" ca="1" si="1535"/>
        <v>#NAME?</v>
      </c>
      <c r="AU200" s="70" t="e">
        <f t="shared" ca="1" si="1535"/>
        <v>#NAME?</v>
      </c>
      <c r="AV200" s="70" t="e">
        <f t="shared" ca="1" si="1535"/>
        <v>#NAME?</v>
      </c>
      <c r="AW200" s="70" t="e">
        <f t="shared" ca="1" si="1535"/>
        <v>#NAME?</v>
      </c>
      <c r="AX200" s="70" t="e">
        <f t="shared" ca="1" si="1535"/>
        <v>#NAME?</v>
      </c>
      <c r="AY200" s="70" t="e">
        <f t="shared" ca="1" si="1535"/>
        <v>#NAME?</v>
      </c>
      <c r="AZ200" s="70" t="e">
        <f t="shared" ref="AZ200:BC200" ca="1" si="1536">AZ196-AZ199</f>
        <v>#NAME?</v>
      </c>
      <c r="BA200" s="70" t="e">
        <f t="shared" ca="1" si="1536"/>
        <v>#NAME?</v>
      </c>
      <c r="BB200" s="70" t="e">
        <f t="shared" ca="1" si="1536"/>
        <v>#NAME?</v>
      </c>
      <c r="BC200" s="70" t="e">
        <f t="shared" ca="1" si="1536"/>
        <v>#NAME?</v>
      </c>
      <c r="BD200" s="70" t="e">
        <f t="shared" ref="BD200:CE200" ca="1" si="1537">BD196-BD199</f>
        <v>#NAME?</v>
      </c>
      <c r="BE200" s="70" t="e">
        <f t="shared" ca="1" si="1537"/>
        <v>#NAME?</v>
      </c>
      <c r="BF200" s="70" t="e">
        <f t="shared" ca="1" si="1537"/>
        <v>#NAME?</v>
      </c>
      <c r="BG200" s="70" t="e">
        <f t="shared" ca="1" si="1537"/>
        <v>#NAME?</v>
      </c>
      <c r="BH200" s="70" t="e">
        <f t="shared" ca="1" si="1537"/>
        <v>#NAME?</v>
      </c>
      <c r="BI200" s="70" t="e">
        <f t="shared" ca="1" si="1537"/>
        <v>#NAME?</v>
      </c>
      <c r="BJ200" s="70" t="e">
        <f t="shared" ca="1" si="1537"/>
        <v>#NAME?</v>
      </c>
      <c r="BK200" s="70" t="e">
        <f t="shared" ca="1" si="1537"/>
        <v>#NAME?</v>
      </c>
      <c r="BL200" s="70" t="e">
        <f t="shared" ca="1" si="1537"/>
        <v>#NAME?</v>
      </c>
      <c r="BM200" s="70" t="e">
        <f t="shared" ca="1" si="1537"/>
        <v>#NAME?</v>
      </c>
      <c r="BN200" s="70" t="e">
        <f t="shared" ca="1" si="1537"/>
        <v>#NAME?</v>
      </c>
      <c r="BO200" s="70" t="e">
        <f t="shared" ca="1" si="1537"/>
        <v>#NAME?</v>
      </c>
      <c r="BP200" s="70" t="e">
        <f t="shared" ca="1" si="1537"/>
        <v>#NAME?</v>
      </c>
      <c r="BQ200" s="70" t="e">
        <f t="shared" ca="1" si="1537"/>
        <v>#NAME?</v>
      </c>
      <c r="BR200" s="70" t="e">
        <f t="shared" ca="1" si="1537"/>
        <v>#NAME?</v>
      </c>
      <c r="BS200" s="70" t="e">
        <f t="shared" ca="1" si="1537"/>
        <v>#NAME?</v>
      </c>
      <c r="BT200" s="70" t="e">
        <f t="shared" ca="1" si="1537"/>
        <v>#NAME?</v>
      </c>
      <c r="BU200" s="70" t="e">
        <f t="shared" ca="1" si="1537"/>
        <v>#NAME?</v>
      </c>
      <c r="BV200" s="70" t="e">
        <f t="shared" ca="1" si="1537"/>
        <v>#NAME?</v>
      </c>
      <c r="BW200" s="70" t="e">
        <f t="shared" ca="1" si="1537"/>
        <v>#NAME?</v>
      </c>
      <c r="BX200" s="70" t="e">
        <f t="shared" ca="1" si="1537"/>
        <v>#NAME?</v>
      </c>
      <c r="BY200" s="70" t="e">
        <f t="shared" ca="1" si="1537"/>
        <v>#NAME?</v>
      </c>
      <c r="BZ200" s="70" t="e">
        <f t="shared" ca="1" si="1537"/>
        <v>#NAME?</v>
      </c>
      <c r="CA200" s="70" t="e">
        <f t="shared" ca="1" si="1537"/>
        <v>#NAME?</v>
      </c>
      <c r="CB200" s="70" t="e">
        <f t="shared" ca="1" si="1537"/>
        <v>#NAME?</v>
      </c>
      <c r="CC200" s="70" t="e">
        <f t="shared" ca="1" si="1537"/>
        <v>#NAME?</v>
      </c>
      <c r="CD200" s="70" t="e">
        <f t="shared" ca="1" si="1537"/>
        <v>#NAME?</v>
      </c>
      <c r="CE200" s="115" t="e">
        <f t="shared" ca="1" si="1537"/>
        <v>#NAME?</v>
      </c>
      <c r="CF200" s="70" t="e">
        <f t="shared" ref="CF200:CG200" ca="1" si="1538">CF196-CF199</f>
        <v>#NAME?</v>
      </c>
      <c r="CG200" s="70" t="e">
        <f t="shared" ca="1" si="1538"/>
        <v>#NAME?</v>
      </c>
      <c r="CH200" s="70" t="e">
        <f t="shared" ref="CH200:CI200" ca="1" si="1539">CH196-CH199</f>
        <v>#NAME?</v>
      </c>
      <c r="CI200" s="70" t="e">
        <f t="shared" ca="1" si="1539"/>
        <v>#NAME?</v>
      </c>
      <c r="CJ200" s="70" t="e">
        <f t="shared" ref="CJ200:DB200" ca="1" si="1540">CJ196-CJ199</f>
        <v>#NAME?</v>
      </c>
      <c r="CK200" s="70" t="e">
        <f t="shared" ca="1" si="1540"/>
        <v>#NAME?</v>
      </c>
      <c r="CL200" s="70" t="e">
        <f t="shared" ref="CL200" ca="1" si="1541">CL196-CL199</f>
        <v>#NAME?</v>
      </c>
      <c r="CM200" s="50" t="e">
        <f t="shared" ca="1" si="1540"/>
        <v>#NAME?</v>
      </c>
      <c r="CN200" s="50" t="e">
        <f t="shared" ca="1" si="1540"/>
        <v>#NAME?</v>
      </c>
      <c r="CO200" s="50" t="e">
        <f t="shared" ca="1" si="1540"/>
        <v>#NAME?</v>
      </c>
      <c r="CP200" s="50" t="e">
        <f t="shared" ca="1" si="1540"/>
        <v>#NAME?</v>
      </c>
      <c r="CQ200" s="50" t="e">
        <f t="shared" ca="1" si="1540"/>
        <v>#NAME?</v>
      </c>
      <c r="CR200" s="50" t="e">
        <f t="shared" ca="1" si="1540"/>
        <v>#NAME?</v>
      </c>
      <c r="CS200" s="50" t="e">
        <f t="shared" ca="1" si="1540"/>
        <v>#NAME?</v>
      </c>
      <c r="CT200" s="50" t="e">
        <f t="shared" ca="1" si="1540"/>
        <v>#NAME?</v>
      </c>
      <c r="CU200" s="50" t="e">
        <f t="shared" ca="1" si="1540"/>
        <v>#NAME?</v>
      </c>
      <c r="CV200" s="50" t="e">
        <f t="shared" ca="1" si="1540"/>
        <v>#NAME?</v>
      </c>
      <c r="CW200" s="50" t="e">
        <f t="shared" ca="1" si="1540"/>
        <v>#NAME?</v>
      </c>
      <c r="CX200" s="50" t="e">
        <f t="shared" ca="1" si="1540"/>
        <v>#NAME?</v>
      </c>
      <c r="CY200" s="50" t="e">
        <f t="shared" ca="1" si="1540"/>
        <v>#NAME?</v>
      </c>
      <c r="CZ200" s="50" t="e">
        <f t="shared" ca="1" si="1540"/>
        <v>#NAME?</v>
      </c>
      <c r="DA200" s="50" t="e">
        <f t="shared" ca="1" si="1540"/>
        <v>#NAME?</v>
      </c>
      <c r="DB200" s="50" t="e">
        <f t="shared" ca="1" si="1540"/>
        <v>#NAME?</v>
      </c>
      <c r="DE200" s="138"/>
      <c r="DF200" s="7">
        <v>-570.04141469730939</v>
      </c>
    </row>
    <row r="201" spans="1:110" s="7" customFormat="1" x14ac:dyDescent="0.2">
      <c r="A201" s="69" t="s">
        <v>86</v>
      </c>
      <c r="AB201" s="77"/>
      <c r="AC201" s="77"/>
      <c r="AD201" s="77"/>
      <c r="AE201" s="77"/>
      <c r="CE201" s="115"/>
      <c r="CG201" s="115"/>
      <c r="CM201" s="50"/>
      <c r="CN201" s="50"/>
      <c r="CO201" s="50"/>
      <c r="CP201" s="50"/>
      <c r="CQ201" s="50"/>
      <c r="CR201" s="50"/>
      <c r="CS201" s="50"/>
      <c r="CT201" s="50"/>
      <c r="CU201" s="50"/>
      <c r="CV201" s="50"/>
      <c r="CW201" s="50"/>
      <c r="CX201" s="50"/>
      <c r="CY201" s="50"/>
      <c r="CZ201" s="50"/>
      <c r="DA201" s="50"/>
      <c r="DB201" s="50"/>
      <c r="DE201" s="138"/>
    </row>
    <row r="202" spans="1:110" s="86" customFormat="1" x14ac:dyDescent="0.2">
      <c r="A202" s="86" t="s">
        <v>440</v>
      </c>
      <c r="C202" s="86" t="e">
        <f t="shared" ref="C202:Y202" ca="1" si="1542">C24/B24-1</f>
        <v>#NAME?</v>
      </c>
      <c r="D202" s="86" t="e">
        <f t="shared" ca="1" si="1542"/>
        <v>#NAME?</v>
      </c>
      <c r="E202" s="86" t="e">
        <f t="shared" ca="1" si="1542"/>
        <v>#NAME?</v>
      </c>
      <c r="F202" s="86" t="e">
        <f t="shared" ca="1" si="1542"/>
        <v>#NAME?</v>
      </c>
      <c r="G202" s="86" t="e">
        <f t="shared" ca="1" si="1542"/>
        <v>#NAME?</v>
      </c>
      <c r="H202" s="86" t="e">
        <f t="shared" ca="1" si="1542"/>
        <v>#NAME?</v>
      </c>
      <c r="I202" s="86" t="e">
        <f t="shared" ca="1" si="1542"/>
        <v>#NAME?</v>
      </c>
      <c r="J202" s="86" t="e">
        <f t="shared" ca="1" si="1542"/>
        <v>#NAME?</v>
      </c>
      <c r="K202" s="86" t="e">
        <f t="shared" ca="1" si="1542"/>
        <v>#NAME?</v>
      </c>
      <c r="L202" s="86" t="e">
        <f t="shared" ca="1" si="1542"/>
        <v>#NAME?</v>
      </c>
      <c r="M202" s="86" t="e">
        <f t="shared" ca="1" si="1542"/>
        <v>#NAME?</v>
      </c>
      <c r="N202" s="86" t="e">
        <f t="shared" ca="1" si="1542"/>
        <v>#NAME?</v>
      </c>
      <c r="O202" s="86" t="e">
        <f t="shared" ca="1" si="1542"/>
        <v>#NAME?</v>
      </c>
      <c r="P202" s="86" t="e">
        <f t="shared" ca="1" si="1542"/>
        <v>#NAME?</v>
      </c>
      <c r="Q202" s="86" t="e">
        <f t="shared" ca="1" si="1542"/>
        <v>#NAME?</v>
      </c>
      <c r="R202" s="86" t="e">
        <f t="shared" ca="1" si="1542"/>
        <v>#NAME?</v>
      </c>
      <c r="S202" s="86" t="e">
        <f t="shared" ca="1" si="1542"/>
        <v>#NAME?</v>
      </c>
      <c r="T202" s="86" t="e">
        <f t="shared" ca="1" si="1542"/>
        <v>#NAME?</v>
      </c>
      <c r="U202" s="86" t="e">
        <f t="shared" ca="1" si="1542"/>
        <v>#NAME?</v>
      </c>
      <c r="V202" s="86" t="e">
        <f t="shared" ca="1" si="1542"/>
        <v>#NAME?</v>
      </c>
      <c r="W202" s="86" t="e">
        <f t="shared" ca="1" si="1542"/>
        <v>#NAME?</v>
      </c>
      <c r="X202" s="86" t="e">
        <f t="shared" ca="1" si="1542"/>
        <v>#NAME?</v>
      </c>
      <c r="Y202" s="86" t="e">
        <f t="shared" ca="1" si="1542"/>
        <v>#NAME?</v>
      </c>
      <c r="Z202" s="86" t="e">
        <f ca="1">Z24/Y24-1</f>
        <v>#NAME?</v>
      </c>
      <c r="AA202" s="86" t="e">
        <f ca="1">AA24/Z24-1</f>
        <v>#NAME?</v>
      </c>
      <c r="AB202" s="87" t="e">
        <f t="shared" ref="AA202:AE202" ca="1" si="1543">AB24/AA24-1</f>
        <v>#NAME?</v>
      </c>
      <c r="AC202" s="87" t="e">
        <f t="shared" ca="1" si="1543"/>
        <v>#NAME?</v>
      </c>
      <c r="AD202" s="87" t="e">
        <f t="shared" ca="1" si="1543"/>
        <v>#NAME?</v>
      </c>
      <c r="AE202" s="87" t="e">
        <f t="shared" ca="1" si="1543"/>
        <v>#NAME?</v>
      </c>
      <c r="AN202" s="86" t="e">
        <f t="shared" ref="AN202:CI202" ca="1" si="1544">+(AN24+AM24)/(AJ24+AI24)-1</f>
        <v>#NAME?</v>
      </c>
      <c r="AO202" s="86" t="e">
        <f t="shared" ca="1" si="1544"/>
        <v>#NAME?</v>
      </c>
      <c r="AP202" s="86" t="e">
        <f t="shared" ca="1" si="1544"/>
        <v>#NAME?</v>
      </c>
      <c r="AQ202" s="86" t="e">
        <f t="shared" ca="1" si="1544"/>
        <v>#NAME?</v>
      </c>
      <c r="AR202" s="86" t="e">
        <f t="shared" ca="1" si="1544"/>
        <v>#NAME?</v>
      </c>
      <c r="AS202" s="86" t="e">
        <f t="shared" ca="1" si="1544"/>
        <v>#NAME?</v>
      </c>
      <c r="AT202" s="86" t="e">
        <f t="shared" ca="1" si="1544"/>
        <v>#NAME?</v>
      </c>
      <c r="AU202" s="86" t="e">
        <f t="shared" ca="1" si="1544"/>
        <v>#NAME?</v>
      </c>
      <c r="AV202" s="86" t="e">
        <f t="shared" ca="1" si="1544"/>
        <v>#NAME?</v>
      </c>
      <c r="AW202" s="86" t="e">
        <f t="shared" ca="1" si="1544"/>
        <v>#NAME?</v>
      </c>
      <c r="AX202" s="86" t="e">
        <f t="shared" ca="1" si="1544"/>
        <v>#NAME?</v>
      </c>
      <c r="AY202" s="86" t="e">
        <f t="shared" ca="1" si="1544"/>
        <v>#NAME?</v>
      </c>
      <c r="AZ202" s="86" t="e">
        <f t="shared" ca="1" si="1544"/>
        <v>#NAME?</v>
      </c>
      <c r="BA202" s="86" t="e">
        <f t="shared" ca="1" si="1544"/>
        <v>#NAME?</v>
      </c>
      <c r="BB202" s="86" t="e">
        <f t="shared" ca="1" si="1544"/>
        <v>#NAME?</v>
      </c>
      <c r="BC202" s="86" t="e">
        <f t="shared" ca="1" si="1544"/>
        <v>#NAME?</v>
      </c>
      <c r="BD202" s="86" t="e">
        <f t="shared" ca="1" si="1544"/>
        <v>#NAME?</v>
      </c>
      <c r="BE202" s="86" t="e">
        <f t="shared" ca="1" si="1544"/>
        <v>#NAME?</v>
      </c>
      <c r="BF202" s="86" t="e">
        <f t="shared" ca="1" si="1544"/>
        <v>#NAME?</v>
      </c>
      <c r="BG202" s="86" t="e">
        <f t="shared" ca="1" si="1544"/>
        <v>#NAME?</v>
      </c>
      <c r="BH202" s="86" t="e">
        <f t="shared" ca="1" si="1544"/>
        <v>#NAME?</v>
      </c>
      <c r="BI202" s="86" t="e">
        <f t="shared" ca="1" si="1544"/>
        <v>#NAME?</v>
      </c>
      <c r="BJ202" s="86" t="e">
        <f t="shared" ca="1" si="1544"/>
        <v>#NAME?</v>
      </c>
      <c r="BK202" s="86" t="e">
        <f t="shared" ca="1" si="1544"/>
        <v>#NAME?</v>
      </c>
      <c r="BL202" s="86" t="e">
        <f t="shared" ca="1" si="1544"/>
        <v>#NAME?</v>
      </c>
      <c r="BM202" s="86" t="e">
        <f t="shared" ca="1" si="1544"/>
        <v>#NAME?</v>
      </c>
      <c r="BN202" s="86" t="e">
        <f t="shared" ca="1" si="1544"/>
        <v>#NAME?</v>
      </c>
      <c r="BO202" s="86" t="e">
        <f t="shared" ca="1" si="1544"/>
        <v>#NAME?</v>
      </c>
      <c r="BP202" s="86" t="e">
        <f t="shared" ca="1" si="1544"/>
        <v>#NAME?</v>
      </c>
      <c r="BQ202" s="86" t="e">
        <f t="shared" ca="1" si="1544"/>
        <v>#NAME?</v>
      </c>
      <c r="BR202" s="86" t="e">
        <f t="shared" ca="1" si="1544"/>
        <v>#NAME?</v>
      </c>
      <c r="BS202" s="86" t="e">
        <f t="shared" ca="1" si="1544"/>
        <v>#NAME?</v>
      </c>
      <c r="BT202" s="86" t="e">
        <f t="shared" ca="1" si="1544"/>
        <v>#NAME?</v>
      </c>
      <c r="BU202" s="86" t="e">
        <f t="shared" ca="1" si="1544"/>
        <v>#NAME?</v>
      </c>
      <c r="BV202" s="86" t="e">
        <f t="shared" ca="1" si="1544"/>
        <v>#NAME?</v>
      </c>
      <c r="BW202" s="86" t="e">
        <f t="shared" ca="1" si="1544"/>
        <v>#NAME?</v>
      </c>
      <c r="BX202" s="86" t="e">
        <f t="shared" ca="1" si="1544"/>
        <v>#NAME?</v>
      </c>
      <c r="BY202" s="86" t="e">
        <f t="shared" ca="1" si="1544"/>
        <v>#NAME?</v>
      </c>
      <c r="BZ202" s="86" t="e">
        <f t="shared" ca="1" si="1544"/>
        <v>#NAME?</v>
      </c>
      <c r="CA202" s="86" t="e">
        <f t="shared" ca="1" si="1544"/>
        <v>#NAME?</v>
      </c>
      <c r="CB202" s="86" t="e">
        <f t="shared" ca="1" si="1544"/>
        <v>#NAME?</v>
      </c>
      <c r="CC202" s="86" t="e">
        <f t="shared" ca="1" si="1544"/>
        <v>#NAME?</v>
      </c>
      <c r="CD202" s="86" t="e">
        <f t="shared" ca="1" si="1544"/>
        <v>#NAME?</v>
      </c>
      <c r="CE202" s="86" t="e">
        <f t="shared" ca="1" si="1544"/>
        <v>#NAME?</v>
      </c>
      <c r="CF202" s="86" t="e">
        <f t="shared" ca="1" si="1544"/>
        <v>#NAME?</v>
      </c>
      <c r="CG202" s="86" t="e">
        <f t="shared" ca="1" si="1544"/>
        <v>#NAME?</v>
      </c>
      <c r="CH202" s="86" t="e">
        <f t="shared" ca="1" si="1544"/>
        <v>#NAME?</v>
      </c>
      <c r="CI202" s="86" t="e">
        <f t="shared" ca="1" si="1544"/>
        <v>#NAME?</v>
      </c>
      <c r="CJ202" s="86" t="e">
        <f ca="1">+(CJ24+CI24)/(CF24+CE24)-1</f>
        <v>#NAME?</v>
      </c>
      <c r="CL202" s="86" t="e">
        <f ca="1">+(CL24+CK24)/(CH24+CG24)-1</f>
        <v>#NAME?</v>
      </c>
      <c r="CM202" s="87"/>
      <c r="CN202" s="87"/>
      <c r="CO202" s="87"/>
      <c r="CP202" s="87"/>
      <c r="CQ202" s="87"/>
      <c r="CR202" s="87"/>
      <c r="CS202" s="87"/>
      <c r="CT202" s="87"/>
      <c r="CU202" s="87"/>
      <c r="CV202" s="87"/>
      <c r="CW202" s="87"/>
      <c r="CX202" s="87"/>
      <c r="CY202" s="87"/>
      <c r="CZ202" s="87"/>
      <c r="DA202" s="87"/>
      <c r="DB202" s="87"/>
      <c r="DE202" s="141"/>
      <c r="DF202" s="86">
        <v>0.10223389436891184</v>
      </c>
    </row>
    <row r="203" spans="1:110" s="86" customFormat="1" x14ac:dyDescent="0.2">
      <c r="A203" s="86" t="s">
        <v>441</v>
      </c>
      <c r="C203" s="86" t="e">
        <f t="shared" ref="C203" ca="1" si="1545">C200/B200-1</f>
        <v>#NAME?</v>
      </c>
      <c r="D203" s="86" t="e">
        <f t="shared" ref="D203" ca="1" si="1546">D200/C200-1</f>
        <v>#NAME?</v>
      </c>
      <c r="E203" s="86" t="e">
        <f ca="1">E200/D200-1</f>
        <v>#NAME?</v>
      </c>
      <c r="F203" s="86" t="e">
        <f t="shared" ref="F203" ca="1" si="1547">F200/E200-1</f>
        <v>#NAME?</v>
      </c>
      <c r="G203" s="86" t="e">
        <f t="shared" ref="G203" ca="1" si="1548">G200/F200-1</f>
        <v>#NAME?</v>
      </c>
      <c r="H203" s="86" t="e">
        <f t="shared" ref="H203" ca="1" si="1549">H200/G200-1</f>
        <v>#NAME?</v>
      </c>
      <c r="I203" s="86" t="e">
        <f t="shared" ref="I203" ca="1" si="1550">I200/H200-1</f>
        <v>#NAME?</v>
      </c>
      <c r="J203" s="86" t="e">
        <f t="shared" ref="J203" ca="1" si="1551">J200/I200-1</f>
        <v>#NAME?</v>
      </c>
      <c r="K203" s="86" t="e">
        <f ca="1">K200/J200-1</f>
        <v>#NAME?</v>
      </c>
      <c r="L203" s="86" t="e">
        <f t="shared" ref="L203" ca="1" si="1552">L200/K200-1</f>
        <v>#NAME?</v>
      </c>
      <c r="M203" s="86" t="e">
        <f t="shared" ref="M203" ca="1" si="1553">M200/L200-1</f>
        <v>#NAME?</v>
      </c>
      <c r="N203" s="86" t="e">
        <f t="shared" ref="N203" ca="1" si="1554">N200/M200-1</f>
        <v>#NAME?</v>
      </c>
      <c r="O203" s="86" t="e">
        <f t="shared" ref="O203" ca="1" si="1555">O200/N200-1</f>
        <v>#NAME?</v>
      </c>
      <c r="P203" s="86" t="e">
        <f t="shared" ref="P203" ca="1" si="1556">P200/O200-1</f>
        <v>#NAME?</v>
      </c>
      <c r="Q203" s="86" t="e">
        <f t="shared" ref="Q203" ca="1" si="1557">Q200/P200-1</f>
        <v>#NAME?</v>
      </c>
      <c r="R203" s="86" t="e">
        <f t="shared" ref="R203" ca="1" si="1558">R200/Q200-1</f>
        <v>#NAME?</v>
      </c>
      <c r="S203" s="86" t="e">
        <f t="shared" ref="S203" ca="1" si="1559">S200/R200-1</f>
        <v>#NAME?</v>
      </c>
      <c r="T203" s="86" t="e">
        <f t="shared" ref="T203" ca="1" si="1560">T200/S200-1</f>
        <v>#NAME?</v>
      </c>
      <c r="U203" s="86" t="e">
        <f t="shared" ref="U203" ca="1" si="1561">U200/T200-1</f>
        <v>#NAME?</v>
      </c>
      <c r="V203" s="86" t="e">
        <f t="shared" ref="V203" ca="1" si="1562">V200/U200-1</f>
        <v>#NAME?</v>
      </c>
      <c r="W203" s="86" t="e">
        <f t="shared" ref="W203:AA203" ca="1" si="1563">W200/V200-1</f>
        <v>#NAME?</v>
      </c>
      <c r="X203" s="86" t="e">
        <f t="shared" ca="1" si="1563"/>
        <v>#NAME?</v>
      </c>
      <c r="Y203" s="86" t="e">
        <f t="shared" ca="1" si="1563"/>
        <v>#NAME?</v>
      </c>
      <c r="Z203" s="86" t="e">
        <f t="shared" ca="1" si="1563"/>
        <v>#NAME?</v>
      </c>
      <c r="AA203" s="86" t="e">
        <f t="shared" ca="1" si="1563"/>
        <v>#NAME?</v>
      </c>
      <c r="AB203" s="87" t="e">
        <f t="shared" ref="AB203" ca="1" si="1564">AB200/AA200-1</f>
        <v>#NAME?</v>
      </c>
      <c r="AC203" s="87" t="e">
        <f t="shared" ref="AC203" ca="1" si="1565">AC200/AB200-1</f>
        <v>#NAME?</v>
      </c>
      <c r="AD203" s="87" t="e">
        <f t="shared" ref="AD203" ca="1" si="1566">AD200/AC200-1</f>
        <v>#NAME?</v>
      </c>
      <c r="AE203" s="87" t="e">
        <f t="shared" ref="AE203" ca="1" si="1567">AE200/AD200-1</f>
        <v>#NAME?</v>
      </c>
      <c r="AN203" s="86" t="e">
        <f t="shared" ref="AN203:CI203" ca="1" si="1568">+AN200/AJ200-1</f>
        <v>#NAME?</v>
      </c>
      <c r="AO203" s="86" t="e">
        <f t="shared" ca="1" si="1568"/>
        <v>#NAME?</v>
      </c>
      <c r="AP203" s="86" t="e">
        <f t="shared" ca="1" si="1568"/>
        <v>#NAME?</v>
      </c>
      <c r="AQ203" s="86" t="e">
        <f t="shared" ca="1" si="1568"/>
        <v>#NAME?</v>
      </c>
      <c r="AR203" s="86" t="e">
        <f t="shared" ca="1" si="1568"/>
        <v>#NAME?</v>
      </c>
      <c r="AS203" s="86" t="e">
        <f t="shared" ca="1" si="1568"/>
        <v>#NAME?</v>
      </c>
      <c r="AT203" s="86" t="e">
        <f t="shared" ca="1" si="1568"/>
        <v>#NAME?</v>
      </c>
      <c r="AU203" s="86" t="e">
        <f t="shared" ca="1" si="1568"/>
        <v>#NAME?</v>
      </c>
      <c r="AV203" s="86" t="e">
        <f t="shared" ca="1" si="1568"/>
        <v>#NAME?</v>
      </c>
      <c r="AW203" s="86" t="e">
        <f t="shared" ca="1" si="1568"/>
        <v>#NAME?</v>
      </c>
      <c r="AX203" s="86" t="e">
        <f t="shared" ca="1" si="1568"/>
        <v>#NAME?</v>
      </c>
      <c r="AY203" s="86" t="e">
        <f t="shared" ca="1" si="1568"/>
        <v>#NAME?</v>
      </c>
      <c r="AZ203" s="86" t="e">
        <f t="shared" ca="1" si="1568"/>
        <v>#NAME?</v>
      </c>
      <c r="BA203" s="86" t="e">
        <f t="shared" ca="1" si="1568"/>
        <v>#NAME?</v>
      </c>
      <c r="BB203" s="86" t="e">
        <f t="shared" ca="1" si="1568"/>
        <v>#NAME?</v>
      </c>
      <c r="BC203" s="86" t="e">
        <f t="shared" ca="1" si="1568"/>
        <v>#NAME?</v>
      </c>
      <c r="BD203" s="86" t="e">
        <f t="shared" ca="1" si="1568"/>
        <v>#NAME?</v>
      </c>
      <c r="BE203" s="86" t="e">
        <f t="shared" ca="1" si="1568"/>
        <v>#NAME?</v>
      </c>
      <c r="BF203" s="86" t="e">
        <f t="shared" ca="1" si="1568"/>
        <v>#NAME?</v>
      </c>
      <c r="BG203" s="86" t="e">
        <f t="shared" ca="1" si="1568"/>
        <v>#NAME?</v>
      </c>
      <c r="BH203" s="86" t="e">
        <f t="shared" ca="1" si="1568"/>
        <v>#NAME?</v>
      </c>
      <c r="BI203" s="86" t="e">
        <f t="shared" ca="1" si="1568"/>
        <v>#NAME?</v>
      </c>
      <c r="BJ203" s="86" t="e">
        <f t="shared" ca="1" si="1568"/>
        <v>#NAME?</v>
      </c>
      <c r="BK203" s="86" t="e">
        <f t="shared" ca="1" si="1568"/>
        <v>#NAME?</v>
      </c>
      <c r="BL203" s="86" t="e">
        <f t="shared" ca="1" si="1568"/>
        <v>#NAME?</v>
      </c>
      <c r="BM203" s="86" t="e">
        <f t="shared" ca="1" si="1568"/>
        <v>#NAME?</v>
      </c>
      <c r="BN203" s="86" t="e">
        <f t="shared" ca="1" si="1568"/>
        <v>#NAME?</v>
      </c>
      <c r="BO203" s="86" t="e">
        <f t="shared" ca="1" si="1568"/>
        <v>#NAME?</v>
      </c>
      <c r="BP203" s="86" t="e">
        <f t="shared" ca="1" si="1568"/>
        <v>#NAME?</v>
      </c>
      <c r="BQ203" s="86" t="e">
        <f t="shared" ca="1" si="1568"/>
        <v>#NAME?</v>
      </c>
      <c r="BR203" s="86" t="e">
        <f t="shared" ca="1" si="1568"/>
        <v>#NAME?</v>
      </c>
      <c r="BS203" s="86" t="e">
        <f t="shared" ca="1" si="1568"/>
        <v>#NAME?</v>
      </c>
      <c r="BT203" s="86" t="e">
        <f t="shared" ca="1" si="1568"/>
        <v>#NAME?</v>
      </c>
      <c r="BU203" s="86" t="e">
        <f t="shared" ca="1" si="1568"/>
        <v>#NAME?</v>
      </c>
      <c r="BV203" s="86" t="e">
        <f t="shared" ca="1" si="1568"/>
        <v>#NAME?</v>
      </c>
      <c r="BW203" s="86" t="e">
        <f t="shared" ca="1" si="1568"/>
        <v>#NAME?</v>
      </c>
      <c r="BX203" s="86" t="e">
        <f t="shared" ca="1" si="1568"/>
        <v>#NAME?</v>
      </c>
      <c r="BY203" s="86" t="e">
        <f t="shared" ca="1" si="1568"/>
        <v>#NAME?</v>
      </c>
      <c r="BZ203" s="86" t="e">
        <f t="shared" ca="1" si="1568"/>
        <v>#NAME?</v>
      </c>
      <c r="CA203" s="86" t="e">
        <f t="shared" ca="1" si="1568"/>
        <v>#NAME?</v>
      </c>
      <c r="CB203" s="86" t="e">
        <f t="shared" ca="1" si="1568"/>
        <v>#NAME?</v>
      </c>
      <c r="CC203" s="86" t="e">
        <f t="shared" ca="1" si="1568"/>
        <v>#NAME?</v>
      </c>
      <c r="CD203" s="86" t="e">
        <f t="shared" ca="1" si="1568"/>
        <v>#NAME?</v>
      </c>
      <c r="CE203" s="86" t="e">
        <f t="shared" ca="1" si="1568"/>
        <v>#NAME?</v>
      </c>
      <c r="CF203" s="86" t="e">
        <f t="shared" ca="1" si="1568"/>
        <v>#NAME?</v>
      </c>
      <c r="CG203" s="86" t="e">
        <f t="shared" ca="1" si="1568"/>
        <v>#NAME?</v>
      </c>
      <c r="CH203" s="86" t="e">
        <f t="shared" ca="1" si="1568"/>
        <v>#NAME?</v>
      </c>
      <c r="CI203" s="86" t="e">
        <f t="shared" ca="1" si="1568"/>
        <v>#NAME?</v>
      </c>
      <c r="CJ203" s="86" t="e">
        <f ca="1">+CJ200/CF200-1</f>
        <v>#NAME?</v>
      </c>
      <c r="CL203" s="86" t="e">
        <f ca="1">+CL200/CH200-1</f>
        <v>#NAME?</v>
      </c>
      <c r="CM203" s="87"/>
      <c r="CN203" s="87"/>
      <c r="CO203" s="87"/>
      <c r="CP203" s="87"/>
      <c r="CQ203" s="87"/>
      <c r="CR203" s="87"/>
      <c r="CS203" s="87"/>
      <c r="CT203" s="87"/>
      <c r="CU203" s="87"/>
      <c r="CV203" s="87"/>
      <c r="CW203" s="87"/>
      <c r="CX203" s="87"/>
      <c r="CY203" s="87"/>
      <c r="CZ203" s="87"/>
      <c r="DA203" s="87"/>
      <c r="DB203" s="87"/>
      <c r="DE203" s="141"/>
      <c r="DF203" s="86">
        <v>0.46016371383938326</v>
      </c>
    </row>
    <row r="204" spans="1:110" s="103" customFormat="1" x14ac:dyDescent="0.2">
      <c r="A204" s="147" t="s">
        <v>87</v>
      </c>
      <c r="C204" s="103" t="e">
        <f ca="1">IF(C203&gt;C202,"RF",0)</f>
        <v>#NAME?</v>
      </c>
      <c r="D204" s="103" t="e">
        <f ca="1">IF(D203&gt;D202,"RF",0)</f>
        <v>#NAME?</v>
      </c>
      <c r="E204" s="103" t="e">
        <f t="shared" ref="E204:U204" ca="1" si="1569">IF(E203&gt;E202,"RF",0)</f>
        <v>#NAME?</v>
      </c>
      <c r="F204" s="103" t="e">
        <f t="shared" ca="1" si="1569"/>
        <v>#NAME?</v>
      </c>
      <c r="G204" s="103" t="e">
        <f t="shared" ca="1" si="1569"/>
        <v>#NAME?</v>
      </c>
      <c r="H204" s="103" t="e">
        <f t="shared" ca="1" si="1569"/>
        <v>#NAME?</v>
      </c>
      <c r="I204" s="103" t="e">
        <f t="shared" ca="1" si="1569"/>
        <v>#NAME?</v>
      </c>
      <c r="J204" s="103" t="e">
        <f t="shared" ca="1" si="1569"/>
        <v>#NAME?</v>
      </c>
      <c r="K204" s="103" t="e">
        <f t="shared" ca="1" si="1569"/>
        <v>#NAME?</v>
      </c>
      <c r="L204" s="103" t="e">
        <f t="shared" ca="1" si="1569"/>
        <v>#NAME?</v>
      </c>
      <c r="M204" s="103" t="e">
        <f t="shared" ca="1" si="1569"/>
        <v>#NAME?</v>
      </c>
      <c r="N204" s="103" t="e">
        <f t="shared" ca="1" si="1569"/>
        <v>#NAME?</v>
      </c>
      <c r="O204" s="103" t="e">
        <f t="shared" ca="1" si="1569"/>
        <v>#NAME?</v>
      </c>
      <c r="P204" s="103" t="e">
        <f t="shared" ca="1" si="1569"/>
        <v>#NAME?</v>
      </c>
      <c r="Q204" s="103" t="e">
        <f t="shared" ca="1" si="1569"/>
        <v>#NAME?</v>
      </c>
      <c r="R204" s="103" t="e">
        <f t="shared" ca="1" si="1569"/>
        <v>#NAME?</v>
      </c>
      <c r="S204" s="103" t="e">
        <f t="shared" ca="1" si="1569"/>
        <v>#NAME?</v>
      </c>
      <c r="T204" s="103" t="e">
        <f t="shared" ca="1" si="1569"/>
        <v>#NAME?</v>
      </c>
      <c r="U204" s="103" t="e">
        <f t="shared" ca="1" si="1569"/>
        <v>#NAME?</v>
      </c>
      <c r="V204" s="103" t="e">
        <f ca="1">IF(V203&gt;V202,"RF",0)</f>
        <v>#NAME?</v>
      </c>
      <c r="W204" s="103" t="e">
        <f t="shared" ref="W204" ca="1" si="1570">IF(W203&gt;W202,"RF",0)</f>
        <v>#NAME?</v>
      </c>
      <c r="X204" s="103" t="e">
        <f t="shared" ref="X204:Y204" ca="1" si="1571">IF(X203&gt;X202,"RF",0)</f>
        <v>#NAME?</v>
      </c>
      <c r="Y204" s="103" t="e">
        <f t="shared" ca="1" si="1571"/>
        <v>#NAME?</v>
      </c>
      <c r="Z204" s="103" t="e">
        <f t="shared" ref="Z204:AA204" ca="1" si="1572">IF(Z203&gt;Z202,"RF",0)</f>
        <v>#NAME?</v>
      </c>
      <c r="AA204" s="103" t="e">
        <f t="shared" ca="1" si="1572"/>
        <v>#NAME?</v>
      </c>
      <c r="AB204" s="73" t="e">
        <f t="shared" ref="AA204:AD204" ca="1" si="1573">IF(AB203&gt;AB202,"RF",0)</f>
        <v>#NAME?</v>
      </c>
      <c r="AC204" s="73" t="e">
        <f t="shared" ca="1" si="1573"/>
        <v>#NAME?</v>
      </c>
      <c r="AD204" s="73" t="e">
        <f t="shared" ca="1" si="1573"/>
        <v>#NAME?</v>
      </c>
      <c r="AE204" s="73" t="e">
        <f t="shared" ref="AE204" ca="1" si="1574">IF(AE203&gt;AE202,"RF",0)</f>
        <v>#NAME?</v>
      </c>
      <c r="CM204" s="73"/>
      <c r="CN204" s="73"/>
      <c r="CO204" s="73"/>
      <c r="CP204" s="73"/>
      <c r="CQ204" s="73"/>
      <c r="CR204" s="73"/>
      <c r="CS204" s="73"/>
      <c r="CT204" s="73"/>
      <c r="CU204" s="73"/>
      <c r="CV204" s="73"/>
      <c r="CW204" s="73"/>
      <c r="CX204" s="73"/>
      <c r="CY204" s="73"/>
      <c r="CZ204" s="73"/>
      <c r="DA204" s="73"/>
      <c r="DB204" s="73"/>
      <c r="DE204" s="142"/>
      <c r="DF204" s="103" t="s">
        <v>532</v>
      </c>
    </row>
    <row r="205" spans="1:110" x14ac:dyDescent="0.2">
      <c r="A205" s="153" t="s">
        <v>494</v>
      </c>
      <c r="AA205" s="2"/>
    </row>
    <row r="206" spans="1:110" x14ac:dyDescent="0.2">
      <c r="A206" s="152" t="s">
        <v>495</v>
      </c>
      <c r="AA206" s="2"/>
    </row>
    <row r="207" spans="1:110" s="23" customFormat="1" x14ac:dyDescent="0.2">
      <c r="A207" s="23" t="s">
        <v>22</v>
      </c>
      <c r="C207" s="23" t="e">
        <f t="shared" ref="C207:AE207" ca="1" si="1575">C62</f>
        <v>#NAME?</v>
      </c>
      <c r="D207" s="23" t="e">
        <f t="shared" ca="1" si="1575"/>
        <v>#NAME?</v>
      </c>
      <c r="E207" s="23" t="e">
        <f t="shared" ca="1" si="1575"/>
        <v>#NAME?</v>
      </c>
      <c r="F207" s="23" t="e">
        <f t="shared" ca="1" si="1575"/>
        <v>#NAME?</v>
      </c>
      <c r="G207" s="23" t="e">
        <f t="shared" ca="1" si="1575"/>
        <v>#NAME?</v>
      </c>
      <c r="H207" s="23" t="e">
        <f t="shared" ca="1" si="1575"/>
        <v>#NAME?</v>
      </c>
      <c r="I207" s="23" t="e">
        <f t="shared" ca="1" si="1575"/>
        <v>#NAME?</v>
      </c>
      <c r="J207" s="23" t="e">
        <f t="shared" ca="1" si="1575"/>
        <v>#NAME?</v>
      </c>
      <c r="K207" s="23" t="e">
        <f t="shared" ca="1" si="1575"/>
        <v>#NAME?</v>
      </c>
      <c r="L207" s="23" t="e">
        <f t="shared" ca="1" si="1575"/>
        <v>#NAME?</v>
      </c>
      <c r="M207" s="23" t="e">
        <f t="shared" ca="1" si="1575"/>
        <v>#NAME?</v>
      </c>
      <c r="N207" s="23" t="e">
        <f t="shared" ca="1" si="1575"/>
        <v>#NAME?</v>
      </c>
      <c r="O207" s="23" t="e">
        <f t="shared" ca="1" si="1575"/>
        <v>#NAME?</v>
      </c>
      <c r="P207" s="23" t="e">
        <f t="shared" ca="1" si="1575"/>
        <v>#NAME?</v>
      </c>
      <c r="Q207" s="23" t="e">
        <f t="shared" ca="1" si="1575"/>
        <v>#NAME?</v>
      </c>
      <c r="R207" s="23" t="e">
        <f t="shared" ca="1" si="1575"/>
        <v>#NAME?</v>
      </c>
      <c r="S207" s="23" t="e">
        <f t="shared" ca="1" si="1575"/>
        <v>#NAME?</v>
      </c>
      <c r="T207" s="23" t="e">
        <f t="shared" ca="1" si="1575"/>
        <v>#NAME?</v>
      </c>
      <c r="U207" s="23" t="e">
        <f t="shared" ca="1" si="1575"/>
        <v>#NAME?</v>
      </c>
      <c r="V207" s="23" t="e">
        <f t="shared" ca="1" si="1575"/>
        <v>#NAME?</v>
      </c>
      <c r="W207" s="23" t="e">
        <f t="shared" ca="1" si="1575"/>
        <v>#NAME?</v>
      </c>
      <c r="X207" s="23" t="e">
        <f t="shared" ca="1" si="1575"/>
        <v>#NAME?</v>
      </c>
      <c r="Y207" s="23" t="e">
        <f t="shared" ca="1" si="1575"/>
        <v>#NAME?</v>
      </c>
      <c r="Z207" s="23" t="e">
        <f t="shared" ca="1" si="1575"/>
        <v>#NAME?</v>
      </c>
      <c r="AA207" s="23" t="e">
        <f t="shared" ref="AA207" ca="1" si="1576">AA62</f>
        <v>#NAME?</v>
      </c>
      <c r="AB207" s="24" t="e">
        <f t="shared" ca="1" si="1575"/>
        <v>#NAME?</v>
      </c>
      <c r="AC207" s="24" t="e">
        <f t="shared" ca="1" si="1575"/>
        <v>#NAME?</v>
      </c>
      <c r="AD207" s="24" t="e">
        <f t="shared" ca="1" si="1575"/>
        <v>#NAME?</v>
      </c>
      <c r="AE207" s="24" t="e">
        <f t="shared" ca="1" si="1575"/>
        <v>#NAME?</v>
      </c>
      <c r="AI207" s="23" t="e">
        <f t="shared" ref="AI207:BN207" ca="1" si="1577">AI62</f>
        <v>#NAME?</v>
      </c>
      <c r="AJ207" s="23" t="e">
        <f t="shared" ca="1" si="1577"/>
        <v>#NAME?</v>
      </c>
      <c r="AK207" s="23" t="e">
        <f t="shared" ca="1" si="1577"/>
        <v>#NAME?</v>
      </c>
      <c r="AL207" s="23" t="e">
        <f t="shared" ca="1" si="1577"/>
        <v>#NAME?</v>
      </c>
      <c r="AM207" s="23" t="e">
        <f t="shared" ca="1" si="1577"/>
        <v>#NAME?</v>
      </c>
      <c r="AN207" s="23" t="e">
        <f t="shared" ca="1" si="1577"/>
        <v>#NAME?</v>
      </c>
      <c r="AO207" s="23" t="e">
        <f t="shared" ca="1" si="1577"/>
        <v>#NAME?</v>
      </c>
      <c r="AP207" s="23" t="e">
        <f t="shared" ca="1" si="1577"/>
        <v>#NAME?</v>
      </c>
      <c r="AQ207" s="23" t="e">
        <f t="shared" ca="1" si="1577"/>
        <v>#NAME?</v>
      </c>
      <c r="AR207" s="23" t="e">
        <f t="shared" ca="1" si="1577"/>
        <v>#NAME?</v>
      </c>
      <c r="AS207" s="23" t="e">
        <f t="shared" ca="1" si="1577"/>
        <v>#NAME?</v>
      </c>
      <c r="AT207" s="23" t="e">
        <f t="shared" ca="1" si="1577"/>
        <v>#NAME?</v>
      </c>
      <c r="AU207" s="23" t="e">
        <f t="shared" ca="1" si="1577"/>
        <v>#NAME?</v>
      </c>
      <c r="AV207" s="23" t="e">
        <f t="shared" ca="1" si="1577"/>
        <v>#NAME?</v>
      </c>
      <c r="AW207" s="23" t="e">
        <f t="shared" ca="1" si="1577"/>
        <v>#NAME?</v>
      </c>
      <c r="AX207" s="23" t="e">
        <f t="shared" ca="1" si="1577"/>
        <v>#NAME?</v>
      </c>
      <c r="AY207" s="23" t="e">
        <f t="shared" ca="1" si="1577"/>
        <v>#NAME?</v>
      </c>
      <c r="AZ207" s="23" t="e">
        <f t="shared" ca="1" si="1577"/>
        <v>#NAME?</v>
      </c>
      <c r="BA207" s="23" t="e">
        <f t="shared" ca="1" si="1577"/>
        <v>#NAME?</v>
      </c>
      <c r="BB207" s="23" t="e">
        <f t="shared" ca="1" si="1577"/>
        <v>#NAME?</v>
      </c>
      <c r="BC207" s="23" t="e">
        <f t="shared" ca="1" si="1577"/>
        <v>#NAME?</v>
      </c>
      <c r="BD207" s="23" t="e">
        <f t="shared" ca="1" si="1577"/>
        <v>#NAME?</v>
      </c>
      <c r="BE207" s="23" t="e">
        <f t="shared" ca="1" si="1577"/>
        <v>#NAME?</v>
      </c>
      <c r="BF207" s="23" t="e">
        <f t="shared" ca="1" si="1577"/>
        <v>#NAME?</v>
      </c>
      <c r="BG207" s="23" t="e">
        <f t="shared" ca="1" si="1577"/>
        <v>#NAME?</v>
      </c>
      <c r="BH207" s="23" t="e">
        <f t="shared" ca="1" si="1577"/>
        <v>#NAME?</v>
      </c>
      <c r="BI207" s="23" t="e">
        <f t="shared" ca="1" si="1577"/>
        <v>#NAME?</v>
      </c>
      <c r="BJ207" s="23" t="e">
        <f t="shared" ca="1" si="1577"/>
        <v>#NAME?</v>
      </c>
      <c r="BK207" s="23" t="e">
        <f t="shared" ca="1" si="1577"/>
        <v>#NAME?</v>
      </c>
      <c r="BL207" s="23" t="e">
        <f t="shared" ca="1" si="1577"/>
        <v>#NAME?</v>
      </c>
      <c r="BM207" s="23" t="e">
        <f t="shared" ca="1" si="1577"/>
        <v>#NAME?</v>
      </c>
      <c r="BN207" s="23" t="e">
        <f t="shared" ca="1" si="1577"/>
        <v>#NAME?</v>
      </c>
      <c r="BO207" s="23" t="e">
        <f t="shared" ref="BO207:CT207" ca="1" si="1578">BO62</f>
        <v>#NAME?</v>
      </c>
      <c r="BP207" s="23" t="e">
        <f t="shared" ca="1" si="1578"/>
        <v>#NAME?</v>
      </c>
      <c r="BQ207" s="23" t="e">
        <f t="shared" ca="1" si="1578"/>
        <v>#NAME?</v>
      </c>
      <c r="BR207" s="23" t="e">
        <f t="shared" ca="1" si="1578"/>
        <v>#NAME?</v>
      </c>
      <c r="BS207" s="23" t="e">
        <f t="shared" ca="1" si="1578"/>
        <v>#NAME?</v>
      </c>
      <c r="BT207" s="23" t="e">
        <f t="shared" ca="1" si="1578"/>
        <v>#NAME?</v>
      </c>
      <c r="BU207" s="23" t="e">
        <f t="shared" ca="1" si="1578"/>
        <v>#NAME?</v>
      </c>
      <c r="BV207" s="23" t="e">
        <f t="shared" ca="1" si="1578"/>
        <v>#NAME?</v>
      </c>
      <c r="BW207" s="23" t="e">
        <f t="shared" ca="1" si="1578"/>
        <v>#NAME?</v>
      </c>
      <c r="BX207" s="23" t="e">
        <f t="shared" ca="1" si="1578"/>
        <v>#NAME?</v>
      </c>
      <c r="BY207" s="23" t="e">
        <f t="shared" ca="1" si="1578"/>
        <v>#NAME?</v>
      </c>
      <c r="BZ207" s="23" t="e">
        <f t="shared" ca="1" si="1578"/>
        <v>#NAME?</v>
      </c>
      <c r="CA207" s="23" t="e">
        <f t="shared" ca="1" si="1578"/>
        <v>#NAME?</v>
      </c>
      <c r="CB207" s="23" t="e">
        <f t="shared" ca="1" si="1578"/>
        <v>#NAME?</v>
      </c>
      <c r="CC207" s="23" t="e">
        <f t="shared" ca="1" si="1578"/>
        <v>#NAME?</v>
      </c>
      <c r="CD207" s="23" t="e">
        <f t="shared" ca="1" si="1578"/>
        <v>#NAME?</v>
      </c>
      <c r="CE207" s="23" t="e">
        <f t="shared" ca="1" si="1578"/>
        <v>#NAME?</v>
      </c>
      <c r="CF207" s="23" t="e">
        <f t="shared" ca="1" si="1578"/>
        <v>#NAME?</v>
      </c>
      <c r="CG207" s="23" t="e">
        <f t="shared" ca="1" si="1578"/>
        <v>#NAME?</v>
      </c>
      <c r="CH207" s="23" t="e">
        <f t="shared" ca="1" si="1578"/>
        <v>#NAME?</v>
      </c>
      <c r="CI207" s="23" t="e">
        <f t="shared" ca="1" si="1578"/>
        <v>#NAME?</v>
      </c>
      <c r="CJ207" s="23" t="e">
        <f t="shared" ca="1" si="1578"/>
        <v>#NAME?</v>
      </c>
      <c r="CK207" s="23" t="e">
        <f t="shared" ca="1" si="1578"/>
        <v>#NAME?</v>
      </c>
      <c r="CL207" s="23" t="e">
        <f t="shared" ref="CL207" ca="1" si="1579">CL62</f>
        <v>#NAME?</v>
      </c>
      <c r="CM207" s="24" t="e">
        <f t="shared" ca="1" si="1578"/>
        <v>#NAME?</v>
      </c>
      <c r="CN207" s="24" t="e">
        <f t="shared" ca="1" si="1578"/>
        <v>#NAME?</v>
      </c>
      <c r="CO207" s="24" t="e">
        <f t="shared" ca="1" si="1578"/>
        <v>#NAME?</v>
      </c>
      <c r="CP207" s="24" t="e">
        <f t="shared" ca="1" si="1578"/>
        <v>#NAME?</v>
      </c>
      <c r="CQ207" s="24" t="e">
        <f t="shared" ca="1" si="1578"/>
        <v>#NAME?</v>
      </c>
      <c r="CR207" s="24" t="e">
        <f t="shared" ca="1" si="1578"/>
        <v>#NAME?</v>
      </c>
      <c r="CS207" s="24" t="e">
        <f t="shared" ca="1" si="1578"/>
        <v>#NAME?</v>
      </c>
      <c r="CT207" s="24" t="e">
        <f t="shared" ca="1" si="1578"/>
        <v>#NAME?</v>
      </c>
      <c r="CU207" s="24" t="e">
        <f t="shared" ref="CU207:DB207" ca="1" si="1580">CU62</f>
        <v>#NAME?</v>
      </c>
      <c r="CV207" s="24" t="e">
        <f t="shared" ca="1" si="1580"/>
        <v>#NAME?</v>
      </c>
      <c r="CW207" s="24" t="e">
        <f t="shared" ca="1" si="1580"/>
        <v>#NAME?</v>
      </c>
      <c r="CX207" s="24" t="e">
        <f t="shared" ca="1" si="1580"/>
        <v>#NAME?</v>
      </c>
      <c r="CY207" s="24" t="e">
        <f t="shared" ca="1" si="1580"/>
        <v>#NAME?</v>
      </c>
      <c r="CZ207" s="24" t="e">
        <f t="shared" ca="1" si="1580"/>
        <v>#NAME?</v>
      </c>
      <c r="DA207" s="24" t="e">
        <f t="shared" ca="1" si="1580"/>
        <v>#NAME?</v>
      </c>
      <c r="DB207" s="24" t="e">
        <f t="shared" ca="1" si="1580"/>
        <v>#NAME?</v>
      </c>
      <c r="DE207" s="123"/>
      <c r="DF207" s="23">
        <v>129.27400000000003</v>
      </c>
    </row>
    <row r="208" spans="1:110" s="23" customFormat="1" x14ac:dyDescent="0.2">
      <c r="A208" s="23" t="s">
        <v>88</v>
      </c>
      <c r="C208" s="23" t="e">
        <f t="shared" ref="C208:AE208" ca="1" si="1581">C46</f>
        <v>#NAME?</v>
      </c>
      <c r="D208" s="23" t="e">
        <f t="shared" ca="1" si="1581"/>
        <v>#NAME?</v>
      </c>
      <c r="E208" s="23" t="e">
        <f t="shared" ca="1" si="1581"/>
        <v>#NAME?</v>
      </c>
      <c r="F208" s="23" t="e">
        <f t="shared" ca="1" si="1581"/>
        <v>#NAME?</v>
      </c>
      <c r="G208" s="23" t="e">
        <f t="shared" ca="1" si="1581"/>
        <v>#NAME?</v>
      </c>
      <c r="H208" s="23" t="e">
        <f t="shared" ca="1" si="1581"/>
        <v>#NAME?</v>
      </c>
      <c r="I208" s="23" t="e">
        <f t="shared" ca="1" si="1581"/>
        <v>#NAME?</v>
      </c>
      <c r="J208" s="23" t="e">
        <f t="shared" ca="1" si="1581"/>
        <v>#NAME?</v>
      </c>
      <c r="K208" s="23" t="e">
        <f t="shared" ca="1" si="1581"/>
        <v>#NAME?</v>
      </c>
      <c r="L208" s="23" t="e">
        <f t="shared" ca="1" si="1581"/>
        <v>#NAME?</v>
      </c>
      <c r="M208" s="23" t="e">
        <f t="shared" ca="1" si="1581"/>
        <v>#NAME?</v>
      </c>
      <c r="N208" s="23" t="e">
        <f t="shared" ca="1" si="1581"/>
        <v>#NAME?</v>
      </c>
      <c r="O208" s="23" t="e">
        <f t="shared" ca="1" si="1581"/>
        <v>#NAME?</v>
      </c>
      <c r="P208" s="23" t="e">
        <f t="shared" ca="1" si="1581"/>
        <v>#NAME?</v>
      </c>
      <c r="Q208" s="23" t="e">
        <f t="shared" ca="1" si="1581"/>
        <v>#NAME?</v>
      </c>
      <c r="R208" s="23" t="e">
        <f t="shared" ca="1" si="1581"/>
        <v>#NAME?</v>
      </c>
      <c r="S208" s="23" t="e">
        <f t="shared" ca="1" si="1581"/>
        <v>#NAME?</v>
      </c>
      <c r="T208" s="23" t="e">
        <f t="shared" ca="1" si="1581"/>
        <v>#NAME?</v>
      </c>
      <c r="U208" s="23" t="e">
        <f t="shared" ca="1" si="1581"/>
        <v>#NAME?</v>
      </c>
      <c r="V208" s="23" t="e">
        <f t="shared" ca="1" si="1581"/>
        <v>#NAME?</v>
      </c>
      <c r="W208" s="23" t="e">
        <f t="shared" ca="1" si="1581"/>
        <v>#NAME?</v>
      </c>
      <c r="X208" s="23" t="e">
        <f t="shared" ca="1" si="1581"/>
        <v>#NAME?</v>
      </c>
      <c r="Y208" s="23" t="e">
        <f t="shared" ca="1" si="1581"/>
        <v>#NAME?</v>
      </c>
      <c r="Z208" s="23" t="e">
        <f t="shared" ca="1" si="1581"/>
        <v>#NAME?</v>
      </c>
      <c r="AA208" s="23" t="e">
        <f t="shared" ref="AA208" ca="1" si="1582">AA46</f>
        <v>#NAME?</v>
      </c>
      <c r="AB208" s="24" t="e">
        <f t="shared" ca="1" si="1581"/>
        <v>#NAME?</v>
      </c>
      <c r="AC208" s="24" t="e">
        <f t="shared" ca="1" si="1581"/>
        <v>#NAME?</v>
      </c>
      <c r="AD208" s="24" t="e">
        <f t="shared" ca="1" si="1581"/>
        <v>#NAME?</v>
      </c>
      <c r="AE208" s="24" t="e">
        <f t="shared" ca="1" si="1581"/>
        <v>#NAME?</v>
      </c>
      <c r="AI208" s="23" t="e">
        <f t="shared" ref="AI208:BN208" ca="1" si="1583">AI46</f>
        <v>#NAME?</v>
      </c>
      <c r="AJ208" s="23" t="e">
        <f t="shared" ca="1" si="1583"/>
        <v>#NAME?</v>
      </c>
      <c r="AK208" s="23" t="e">
        <f t="shared" ca="1" si="1583"/>
        <v>#NAME?</v>
      </c>
      <c r="AL208" s="23" t="e">
        <f t="shared" ca="1" si="1583"/>
        <v>#NAME?</v>
      </c>
      <c r="AM208" s="23" t="e">
        <f t="shared" ca="1" si="1583"/>
        <v>#NAME?</v>
      </c>
      <c r="AN208" s="23" t="e">
        <f t="shared" ca="1" si="1583"/>
        <v>#NAME?</v>
      </c>
      <c r="AO208" s="23" t="e">
        <f t="shared" ca="1" si="1583"/>
        <v>#NAME?</v>
      </c>
      <c r="AP208" s="23" t="e">
        <f t="shared" ca="1" si="1583"/>
        <v>#NAME?</v>
      </c>
      <c r="AQ208" s="23" t="e">
        <f t="shared" ca="1" si="1583"/>
        <v>#NAME?</v>
      </c>
      <c r="AR208" s="23" t="e">
        <f t="shared" ca="1" si="1583"/>
        <v>#NAME?</v>
      </c>
      <c r="AS208" s="23" t="e">
        <f t="shared" ca="1" si="1583"/>
        <v>#NAME?</v>
      </c>
      <c r="AT208" s="23" t="e">
        <f t="shared" ca="1" si="1583"/>
        <v>#NAME?</v>
      </c>
      <c r="AU208" s="23" t="e">
        <f t="shared" ca="1" si="1583"/>
        <v>#NAME?</v>
      </c>
      <c r="AV208" s="23" t="e">
        <f t="shared" ca="1" si="1583"/>
        <v>#NAME?</v>
      </c>
      <c r="AW208" s="23" t="e">
        <f t="shared" ca="1" si="1583"/>
        <v>#NAME?</v>
      </c>
      <c r="AX208" s="23" t="e">
        <f t="shared" ca="1" si="1583"/>
        <v>#NAME?</v>
      </c>
      <c r="AY208" s="23" t="e">
        <f t="shared" ca="1" si="1583"/>
        <v>#NAME?</v>
      </c>
      <c r="AZ208" s="23" t="e">
        <f t="shared" ca="1" si="1583"/>
        <v>#NAME?</v>
      </c>
      <c r="BA208" s="23" t="e">
        <f t="shared" ca="1" si="1583"/>
        <v>#NAME?</v>
      </c>
      <c r="BB208" s="23" t="e">
        <f t="shared" ca="1" si="1583"/>
        <v>#NAME?</v>
      </c>
      <c r="BC208" s="23" t="e">
        <f t="shared" ca="1" si="1583"/>
        <v>#NAME?</v>
      </c>
      <c r="BD208" s="23" t="e">
        <f t="shared" ca="1" si="1583"/>
        <v>#NAME?</v>
      </c>
      <c r="BE208" s="23" t="e">
        <f t="shared" ca="1" si="1583"/>
        <v>#NAME?</v>
      </c>
      <c r="BF208" s="23" t="e">
        <f t="shared" ca="1" si="1583"/>
        <v>#NAME?</v>
      </c>
      <c r="BG208" s="23" t="e">
        <f t="shared" ca="1" si="1583"/>
        <v>#NAME?</v>
      </c>
      <c r="BH208" s="23" t="e">
        <f t="shared" ca="1" si="1583"/>
        <v>#NAME?</v>
      </c>
      <c r="BI208" s="23" t="e">
        <f t="shared" ca="1" si="1583"/>
        <v>#NAME?</v>
      </c>
      <c r="BJ208" s="23" t="e">
        <f t="shared" ca="1" si="1583"/>
        <v>#NAME?</v>
      </c>
      <c r="BK208" s="23" t="e">
        <f t="shared" ca="1" si="1583"/>
        <v>#NAME?</v>
      </c>
      <c r="BL208" s="23" t="e">
        <f t="shared" ca="1" si="1583"/>
        <v>#NAME?</v>
      </c>
      <c r="BM208" s="23" t="e">
        <f t="shared" ca="1" si="1583"/>
        <v>#NAME?</v>
      </c>
      <c r="BN208" s="23" t="e">
        <f t="shared" ca="1" si="1583"/>
        <v>#NAME?</v>
      </c>
      <c r="BO208" s="23" t="e">
        <f t="shared" ref="BO208:CT208" ca="1" si="1584">BO46</f>
        <v>#NAME?</v>
      </c>
      <c r="BP208" s="23" t="e">
        <f t="shared" ca="1" si="1584"/>
        <v>#NAME?</v>
      </c>
      <c r="BQ208" s="23" t="e">
        <f t="shared" ca="1" si="1584"/>
        <v>#NAME?</v>
      </c>
      <c r="BR208" s="23" t="e">
        <f t="shared" ca="1" si="1584"/>
        <v>#NAME?</v>
      </c>
      <c r="BS208" s="23" t="e">
        <f t="shared" ca="1" si="1584"/>
        <v>#NAME?</v>
      </c>
      <c r="BT208" s="23" t="e">
        <f t="shared" ca="1" si="1584"/>
        <v>#NAME?</v>
      </c>
      <c r="BU208" s="23" t="e">
        <f t="shared" ca="1" si="1584"/>
        <v>#NAME?</v>
      </c>
      <c r="BV208" s="23" t="e">
        <f t="shared" ca="1" si="1584"/>
        <v>#NAME?</v>
      </c>
      <c r="BW208" s="23" t="e">
        <f t="shared" ca="1" si="1584"/>
        <v>#NAME?</v>
      </c>
      <c r="BX208" s="23" t="e">
        <f t="shared" ca="1" si="1584"/>
        <v>#NAME?</v>
      </c>
      <c r="BY208" s="23" t="e">
        <f t="shared" ca="1" si="1584"/>
        <v>#NAME?</v>
      </c>
      <c r="BZ208" s="23" t="e">
        <f t="shared" ca="1" si="1584"/>
        <v>#NAME?</v>
      </c>
      <c r="CA208" s="23" t="e">
        <f t="shared" ca="1" si="1584"/>
        <v>#NAME?</v>
      </c>
      <c r="CB208" s="23" t="e">
        <f t="shared" ca="1" si="1584"/>
        <v>#NAME?</v>
      </c>
      <c r="CC208" s="23" t="e">
        <f t="shared" ca="1" si="1584"/>
        <v>#NAME?</v>
      </c>
      <c r="CD208" s="23" t="e">
        <f t="shared" ca="1" si="1584"/>
        <v>#NAME?</v>
      </c>
      <c r="CE208" s="23" t="e">
        <f t="shared" ca="1" si="1584"/>
        <v>#NAME?</v>
      </c>
      <c r="CF208" s="23" t="e">
        <f t="shared" ca="1" si="1584"/>
        <v>#NAME?</v>
      </c>
      <c r="CG208" s="23" t="e">
        <f t="shared" ca="1" si="1584"/>
        <v>#NAME?</v>
      </c>
      <c r="CH208" s="23">
        <f t="shared" si="1584"/>
        <v>8.5</v>
      </c>
      <c r="CI208" s="23" t="e">
        <f t="shared" ca="1" si="1584"/>
        <v>#NAME?</v>
      </c>
      <c r="CJ208" s="23" t="e">
        <f t="shared" ca="1" si="1584"/>
        <v>#NAME?</v>
      </c>
      <c r="CK208" s="23" t="e">
        <f t="shared" ca="1" si="1584"/>
        <v>#NAME?</v>
      </c>
      <c r="CL208" s="23" t="e">
        <f t="shared" ref="CL208" ca="1" si="1585">CL46</f>
        <v>#NAME?</v>
      </c>
      <c r="CM208" s="24" t="e">
        <f t="shared" ca="1" si="1584"/>
        <v>#NAME?</v>
      </c>
      <c r="CN208" s="24" t="e">
        <f t="shared" ca="1" si="1584"/>
        <v>#NAME?</v>
      </c>
      <c r="CO208" s="24" t="e">
        <f t="shared" ca="1" si="1584"/>
        <v>#NAME?</v>
      </c>
      <c r="CP208" s="24" t="e">
        <f t="shared" ca="1" si="1584"/>
        <v>#NAME?</v>
      </c>
      <c r="CQ208" s="24" t="e">
        <f t="shared" ca="1" si="1584"/>
        <v>#NAME?</v>
      </c>
      <c r="CR208" s="24" t="e">
        <f t="shared" ca="1" si="1584"/>
        <v>#NAME?</v>
      </c>
      <c r="CS208" s="24" t="e">
        <f t="shared" ca="1" si="1584"/>
        <v>#NAME?</v>
      </c>
      <c r="CT208" s="24" t="e">
        <f t="shared" ca="1" si="1584"/>
        <v>#NAME?</v>
      </c>
      <c r="CU208" s="24" t="e">
        <f t="shared" ref="CU208:DB208" ca="1" si="1586">CU46</f>
        <v>#NAME?</v>
      </c>
      <c r="CV208" s="24" t="e">
        <f t="shared" ca="1" si="1586"/>
        <v>#NAME?</v>
      </c>
      <c r="CW208" s="24" t="e">
        <f t="shared" ca="1" si="1586"/>
        <v>#NAME?</v>
      </c>
      <c r="CX208" s="24" t="e">
        <f t="shared" ca="1" si="1586"/>
        <v>#NAME?</v>
      </c>
      <c r="CY208" s="24" t="e">
        <f t="shared" ca="1" si="1586"/>
        <v>#NAME?</v>
      </c>
      <c r="CZ208" s="24" t="e">
        <f t="shared" ca="1" si="1586"/>
        <v>#NAME?</v>
      </c>
      <c r="DA208" s="24" t="e">
        <f t="shared" ca="1" si="1586"/>
        <v>#NAME?</v>
      </c>
      <c r="DB208" s="24" t="e">
        <f t="shared" ca="1" si="1586"/>
        <v>#NAME?</v>
      </c>
      <c r="DE208" s="123"/>
      <c r="DF208" s="23">
        <v>26.137</v>
      </c>
    </row>
    <row r="209" spans="1:110" s="22" customFormat="1" x14ac:dyDescent="0.2">
      <c r="A209" s="22" t="s">
        <v>89</v>
      </c>
      <c r="C209" s="22" t="e">
        <f t="shared" ref="C209:W209" ca="1" si="1587">C207+C208</f>
        <v>#NAME?</v>
      </c>
      <c r="D209" s="22" t="e">
        <f t="shared" ca="1" si="1587"/>
        <v>#NAME?</v>
      </c>
      <c r="E209" s="22" t="e">
        <f t="shared" ca="1" si="1587"/>
        <v>#NAME?</v>
      </c>
      <c r="F209" s="22" t="e">
        <f t="shared" ca="1" si="1587"/>
        <v>#NAME?</v>
      </c>
      <c r="G209" s="22" t="e">
        <f t="shared" ca="1" si="1587"/>
        <v>#NAME?</v>
      </c>
      <c r="H209" s="22" t="e">
        <f t="shared" ca="1" si="1587"/>
        <v>#NAME?</v>
      </c>
      <c r="I209" s="22" t="e">
        <f t="shared" ca="1" si="1587"/>
        <v>#NAME?</v>
      </c>
      <c r="J209" s="22" t="e">
        <f t="shared" ca="1" si="1587"/>
        <v>#NAME?</v>
      </c>
      <c r="K209" s="22" t="e">
        <f t="shared" ca="1" si="1587"/>
        <v>#NAME?</v>
      </c>
      <c r="L209" s="22" t="e">
        <f t="shared" ca="1" si="1587"/>
        <v>#NAME?</v>
      </c>
      <c r="M209" s="22" t="e">
        <f t="shared" ca="1" si="1587"/>
        <v>#NAME?</v>
      </c>
      <c r="N209" s="22" t="e">
        <f t="shared" ca="1" si="1587"/>
        <v>#NAME?</v>
      </c>
      <c r="O209" s="22" t="e">
        <f t="shared" ca="1" si="1587"/>
        <v>#NAME?</v>
      </c>
      <c r="P209" s="22" t="e">
        <f t="shared" ca="1" si="1587"/>
        <v>#NAME?</v>
      </c>
      <c r="Q209" s="22" t="e">
        <f t="shared" ca="1" si="1587"/>
        <v>#NAME?</v>
      </c>
      <c r="R209" s="22" t="e">
        <f t="shared" ca="1" si="1587"/>
        <v>#NAME?</v>
      </c>
      <c r="S209" s="22" t="e">
        <f t="shared" ca="1" si="1587"/>
        <v>#NAME?</v>
      </c>
      <c r="T209" s="22" t="e">
        <f t="shared" ca="1" si="1587"/>
        <v>#NAME?</v>
      </c>
      <c r="U209" s="22" t="e">
        <f t="shared" ca="1" si="1587"/>
        <v>#NAME?</v>
      </c>
      <c r="V209" s="22" t="e">
        <f t="shared" ca="1" si="1587"/>
        <v>#NAME?</v>
      </c>
      <c r="W209" s="22" t="e">
        <f t="shared" ca="1" si="1587"/>
        <v>#NAME?</v>
      </c>
      <c r="X209" s="22" t="e">
        <f t="shared" ref="X209:Y209" ca="1" si="1588">X207+X208</f>
        <v>#NAME?</v>
      </c>
      <c r="Y209" s="22" t="e">
        <f t="shared" ca="1" si="1588"/>
        <v>#NAME?</v>
      </c>
      <c r="Z209" s="22" t="e">
        <f t="shared" ref="Z209:AA209" ca="1" si="1589">Z207+Z208</f>
        <v>#NAME?</v>
      </c>
      <c r="AA209" s="22" t="e">
        <f t="shared" ca="1" si="1589"/>
        <v>#NAME?</v>
      </c>
      <c r="AB209" s="21" t="e">
        <f t="shared" ref="AA209:AD209" ca="1" si="1590">AB207+AB208</f>
        <v>#NAME?</v>
      </c>
      <c r="AC209" s="21" t="e">
        <f t="shared" ca="1" si="1590"/>
        <v>#NAME?</v>
      </c>
      <c r="AD209" s="21" t="e">
        <f t="shared" ca="1" si="1590"/>
        <v>#NAME?</v>
      </c>
      <c r="AE209" s="21" t="e">
        <f t="shared" ref="AE209" ca="1" si="1591">AE207+AE208</f>
        <v>#NAME?</v>
      </c>
      <c r="AI209" s="22" t="e">
        <f t="shared" ref="AI209" ca="1" si="1592">AI207+AI208</f>
        <v>#NAME?</v>
      </c>
      <c r="AJ209" s="22" t="e">
        <f t="shared" ref="AJ209:AL209" ca="1" si="1593">AJ207+AJ208</f>
        <v>#NAME?</v>
      </c>
      <c r="AK209" s="22" t="e">
        <f t="shared" ca="1" si="1593"/>
        <v>#NAME?</v>
      </c>
      <c r="AL209" s="22" t="e">
        <f t="shared" ca="1" si="1593"/>
        <v>#NAME?</v>
      </c>
      <c r="AM209" s="22" t="e">
        <f t="shared" ref="AM209" ca="1" si="1594">AM207+AM208</f>
        <v>#NAME?</v>
      </c>
      <c r="AN209" s="22" t="e">
        <f t="shared" ref="AN209:CD209" ca="1" si="1595">AN207+AN208</f>
        <v>#NAME?</v>
      </c>
      <c r="AO209" s="22" t="e">
        <f t="shared" ca="1" si="1595"/>
        <v>#NAME?</v>
      </c>
      <c r="AP209" s="22" t="e">
        <f t="shared" ca="1" si="1595"/>
        <v>#NAME?</v>
      </c>
      <c r="AQ209" s="22" t="e">
        <f t="shared" ca="1" si="1595"/>
        <v>#NAME?</v>
      </c>
      <c r="AR209" s="22" t="e">
        <f t="shared" ca="1" si="1595"/>
        <v>#NAME?</v>
      </c>
      <c r="AS209" s="22" t="e">
        <f t="shared" ca="1" si="1595"/>
        <v>#NAME?</v>
      </c>
      <c r="AT209" s="22" t="e">
        <f t="shared" ca="1" si="1595"/>
        <v>#NAME?</v>
      </c>
      <c r="AU209" s="22" t="e">
        <f t="shared" ca="1" si="1595"/>
        <v>#NAME?</v>
      </c>
      <c r="AV209" s="22" t="e">
        <f t="shared" ca="1" si="1595"/>
        <v>#NAME?</v>
      </c>
      <c r="AW209" s="22" t="e">
        <f t="shared" ca="1" si="1595"/>
        <v>#NAME?</v>
      </c>
      <c r="AX209" s="22" t="e">
        <f t="shared" ca="1" si="1595"/>
        <v>#NAME?</v>
      </c>
      <c r="AY209" s="22" t="e">
        <f t="shared" ca="1" si="1595"/>
        <v>#NAME?</v>
      </c>
      <c r="AZ209" s="22" t="e">
        <f t="shared" ca="1" si="1595"/>
        <v>#NAME?</v>
      </c>
      <c r="BA209" s="22" t="e">
        <f t="shared" ca="1" si="1595"/>
        <v>#NAME?</v>
      </c>
      <c r="BB209" s="22" t="e">
        <f t="shared" ca="1" si="1595"/>
        <v>#NAME?</v>
      </c>
      <c r="BC209" s="22" t="e">
        <f t="shared" ca="1" si="1595"/>
        <v>#NAME?</v>
      </c>
      <c r="BD209" s="22" t="e">
        <f t="shared" ca="1" si="1595"/>
        <v>#NAME?</v>
      </c>
      <c r="BE209" s="22" t="e">
        <f t="shared" ca="1" si="1595"/>
        <v>#NAME?</v>
      </c>
      <c r="BF209" s="22" t="e">
        <f t="shared" ca="1" si="1595"/>
        <v>#NAME?</v>
      </c>
      <c r="BG209" s="22" t="e">
        <f t="shared" ca="1" si="1595"/>
        <v>#NAME?</v>
      </c>
      <c r="BH209" s="22" t="e">
        <f t="shared" ca="1" si="1595"/>
        <v>#NAME?</v>
      </c>
      <c r="BI209" s="22" t="e">
        <f t="shared" ca="1" si="1595"/>
        <v>#NAME?</v>
      </c>
      <c r="BJ209" s="22" t="e">
        <f t="shared" ca="1" si="1595"/>
        <v>#NAME?</v>
      </c>
      <c r="BK209" s="22" t="e">
        <f t="shared" ca="1" si="1595"/>
        <v>#NAME?</v>
      </c>
      <c r="BL209" s="22" t="e">
        <f t="shared" ca="1" si="1595"/>
        <v>#NAME?</v>
      </c>
      <c r="BM209" s="22" t="e">
        <f t="shared" ca="1" si="1595"/>
        <v>#NAME?</v>
      </c>
      <c r="BN209" s="22" t="e">
        <f t="shared" ca="1" si="1595"/>
        <v>#NAME?</v>
      </c>
      <c r="BO209" s="22" t="e">
        <f t="shared" ca="1" si="1595"/>
        <v>#NAME?</v>
      </c>
      <c r="BP209" s="22" t="e">
        <f t="shared" ca="1" si="1595"/>
        <v>#NAME?</v>
      </c>
      <c r="BQ209" s="22" t="e">
        <f t="shared" ca="1" si="1595"/>
        <v>#NAME?</v>
      </c>
      <c r="BR209" s="22" t="e">
        <f t="shared" ca="1" si="1595"/>
        <v>#NAME?</v>
      </c>
      <c r="BS209" s="22" t="e">
        <f t="shared" ca="1" si="1595"/>
        <v>#NAME?</v>
      </c>
      <c r="BT209" s="22" t="e">
        <f t="shared" ca="1" si="1595"/>
        <v>#NAME?</v>
      </c>
      <c r="BU209" s="22" t="e">
        <f t="shared" ca="1" si="1595"/>
        <v>#NAME?</v>
      </c>
      <c r="BV209" s="22" t="e">
        <f t="shared" ca="1" si="1595"/>
        <v>#NAME?</v>
      </c>
      <c r="BW209" s="22" t="e">
        <f t="shared" ca="1" si="1595"/>
        <v>#NAME?</v>
      </c>
      <c r="BX209" s="22" t="e">
        <f t="shared" ca="1" si="1595"/>
        <v>#NAME?</v>
      </c>
      <c r="BY209" s="22" t="e">
        <f t="shared" ca="1" si="1595"/>
        <v>#NAME?</v>
      </c>
      <c r="BZ209" s="22" t="e">
        <f t="shared" ca="1" si="1595"/>
        <v>#NAME?</v>
      </c>
      <c r="CA209" s="22" t="e">
        <f t="shared" ca="1" si="1595"/>
        <v>#NAME?</v>
      </c>
      <c r="CB209" s="22" t="e">
        <f t="shared" ca="1" si="1595"/>
        <v>#NAME?</v>
      </c>
      <c r="CC209" s="22" t="e">
        <f t="shared" ca="1" si="1595"/>
        <v>#NAME?</v>
      </c>
      <c r="CD209" s="22" t="e">
        <f t="shared" ca="1" si="1595"/>
        <v>#NAME?</v>
      </c>
      <c r="CE209" s="22" t="e">
        <f t="shared" ref="CE209:CF209" ca="1" si="1596">CE207+CE208</f>
        <v>#NAME?</v>
      </c>
      <c r="CF209" s="22" t="e">
        <f t="shared" ca="1" si="1596"/>
        <v>#NAME?</v>
      </c>
      <c r="CG209" s="22" t="e">
        <f t="shared" ref="CG209:CH209" ca="1" si="1597">CG207+CG208</f>
        <v>#NAME?</v>
      </c>
      <c r="CH209" s="22" t="e">
        <f t="shared" ca="1" si="1597"/>
        <v>#NAME?</v>
      </c>
      <c r="CI209" s="22" t="e">
        <f t="shared" ref="CI209:CJ209" ca="1" si="1598">CI207+CI208</f>
        <v>#NAME?</v>
      </c>
      <c r="CJ209" s="22" t="e">
        <f t="shared" ca="1" si="1598"/>
        <v>#NAME?</v>
      </c>
      <c r="CK209" s="22" t="e">
        <f t="shared" ref="CK209:DB209" ca="1" si="1599">CK207+CK208</f>
        <v>#NAME?</v>
      </c>
      <c r="CL209" s="22" t="e">
        <f t="shared" ca="1" si="1599"/>
        <v>#NAME?</v>
      </c>
      <c r="CM209" s="21" t="e">
        <f t="shared" ca="1" si="1599"/>
        <v>#NAME?</v>
      </c>
      <c r="CN209" s="21" t="e">
        <f t="shared" ca="1" si="1599"/>
        <v>#NAME?</v>
      </c>
      <c r="CO209" s="21" t="e">
        <f t="shared" ca="1" si="1599"/>
        <v>#NAME?</v>
      </c>
      <c r="CP209" s="21" t="e">
        <f t="shared" ca="1" si="1599"/>
        <v>#NAME?</v>
      </c>
      <c r="CQ209" s="21" t="e">
        <f t="shared" ca="1" si="1599"/>
        <v>#NAME?</v>
      </c>
      <c r="CR209" s="21" t="e">
        <f t="shared" ca="1" si="1599"/>
        <v>#NAME?</v>
      </c>
      <c r="CS209" s="21" t="e">
        <f t="shared" ca="1" si="1599"/>
        <v>#NAME?</v>
      </c>
      <c r="CT209" s="21" t="e">
        <f t="shared" ca="1" si="1599"/>
        <v>#NAME?</v>
      </c>
      <c r="CU209" s="21" t="e">
        <f t="shared" ca="1" si="1599"/>
        <v>#NAME?</v>
      </c>
      <c r="CV209" s="21" t="e">
        <f t="shared" ca="1" si="1599"/>
        <v>#NAME?</v>
      </c>
      <c r="CW209" s="21" t="e">
        <f t="shared" ca="1" si="1599"/>
        <v>#NAME?</v>
      </c>
      <c r="CX209" s="21" t="e">
        <f t="shared" ca="1" si="1599"/>
        <v>#NAME?</v>
      </c>
      <c r="CY209" s="21" t="e">
        <f t="shared" ca="1" si="1599"/>
        <v>#NAME?</v>
      </c>
      <c r="CZ209" s="21" t="e">
        <f t="shared" ca="1" si="1599"/>
        <v>#NAME?</v>
      </c>
      <c r="DA209" s="21" t="e">
        <f t="shared" ca="1" si="1599"/>
        <v>#NAME?</v>
      </c>
      <c r="DB209" s="21" t="e">
        <f t="shared" ca="1" si="1599"/>
        <v>#NAME?</v>
      </c>
      <c r="DE209" s="126"/>
      <c r="DF209" s="22">
        <v>155.41100000000003</v>
      </c>
    </row>
    <row r="210" spans="1:110" s="23" customFormat="1" x14ac:dyDescent="0.2">
      <c r="A210" s="23" t="s">
        <v>65</v>
      </c>
      <c r="C210" s="23" t="e">
        <f t="shared" ref="C210:AA210" ca="1" si="1600">B162-C162+B177+B178-C177-C178</f>
        <v>#NAME?</v>
      </c>
      <c r="D210" s="23" t="e">
        <f t="shared" ca="1" si="1600"/>
        <v>#NAME?</v>
      </c>
      <c r="E210" s="23" t="e">
        <f ca="1">D162-E162+D177+D178-E177-E178</f>
        <v>#NAME?</v>
      </c>
      <c r="F210" s="23" t="e">
        <f t="shared" ca="1" si="1600"/>
        <v>#NAME?</v>
      </c>
      <c r="G210" s="23" t="e">
        <f t="shared" ca="1" si="1600"/>
        <v>#NAME?</v>
      </c>
      <c r="H210" s="23" t="e">
        <f t="shared" ca="1" si="1600"/>
        <v>#NAME?</v>
      </c>
      <c r="I210" s="23" t="e">
        <f t="shared" ca="1" si="1600"/>
        <v>#NAME?</v>
      </c>
      <c r="J210" s="23" t="e">
        <f ca="1">I162-J162+I177+I178-J177-J178</f>
        <v>#NAME?</v>
      </c>
      <c r="K210" s="23" t="e">
        <f ca="1">J162-K162+J177+J178-K177-K178</f>
        <v>#NAME?</v>
      </c>
      <c r="L210" s="23" t="e">
        <f t="shared" ca="1" si="1600"/>
        <v>#NAME?</v>
      </c>
      <c r="M210" s="23" t="e">
        <f t="shared" ca="1" si="1600"/>
        <v>#NAME?</v>
      </c>
      <c r="N210" s="23" t="e">
        <f t="shared" ca="1" si="1600"/>
        <v>#NAME?</v>
      </c>
      <c r="O210" s="23" t="e">
        <f t="shared" ca="1" si="1600"/>
        <v>#NAME?</v>
      </c>
      <c r="P210" s="23" t="e">
        <f t="shared" ca="1" si="1600"/>
        <v>#NAME?</v>
      </c>
      <c r="Q210" s="23" t="e">
        <f t="shared" ca="1" si="1600"/>
        <v>#NAME?</v>
      </c>
      <c r="R210" s="23" t="e">
        <f t="shared" ca="1" si="1600"/>
        <v>#NAME?</v>
      </c>
      <c r="S210" s="23" t="e">
        <f t="shared" ca="1" si="1600"/>
        <v>#NAME?</v>
      </c>
      <c r="T210" s="23" t="e">
        <f t="shared" ca="1" si="1600"/>
        <v>#NAME?</v>
      </c>
      <c r="U210" s="23" t="e">
        <f t="shared" ca="1" si="1600"/>
        <v>#NAME?</v>
      </c>
      <c r="V210" s="23" t="e">
        <f t="shared" ca="1" si="1600"/>
        <v>#NAME?</v>
      </c>
      <c r="W210" s="23" t="e">
        <f t="shared" ca="1" si="1600"/>
        <v>#NAME?</v>
      </c>
      <c r="X210" s="23" t="e">
        <f t="shared" ca="1" si="1600"/>
        <v>#NAME?</v>
      </c>
      <c r="Y210" s="23" t="e">
        <f t="shared" ca="1" si="1600"/>
        <v>#NAME?</v>
      </c>
      <c r="Z210" s="23" t="e">
        <f t="shared" ca="1" si="1600"/>
        <v>#NAME?</v>
      </c>
      <c r="AA210" s="23" t="e">
        <f t="shared" ca="1" si="1600"/>
        <v>#NAME?</v>
      </c>
      <c r="AB210" s="24" t="e">
        <f t="shared" ref="AB210" ca="1" si="1601">AA162-AB162+AA177+AA178-AB177-AB178</f>
        <v>#NAME?</v>
      </c>
      <c r="AC210" s="24" t="e">
        <f t="shared" ref="AC210" ca="1" si="1602">AB162-AC162+AB177+AB178-AC177-AC178</f>
        <v>#NAME?</v>
      </c>
      <c r="AD210" s="24" t="e">
        <f t="shared" ref="AD210" ca="1" si="1603">AC162-AD162+AC177+AC178-AD177-AD178</f>
        <v>#NAME?</v>
      </c>
      <c r="AE210" s="24" t="e">
        <f t="shared" ref="AE210" ca="1" si="1604">AD162-AE162+AD177+AD178-AE177-AE178</f>
        <v>#NAME?</v>
      </c>
      <c r="AI210" s="23" t="e">
        <f ca="1">AH162-AI162+AH177+AH178-AI177-AJ178</f>
        <v>#NAME?</v>
      </c>
      <c r="AJ210" s="23" t="e">
        <f t="shared" ref="AJ210:AL210" ca="1" si="1605">AI162-AJ162+AI177+AI178-AJ177-AK178</f>
        <v>#NAME?</v>
      </c>
      <c r="AK210" s="23" t="e">
        <f t="shared" ca="1" si="1605"/>
        <v>#NAME?</v>
      </c>
      <c r="AL210" s="23" t="e">
        <f t="shared" ca="1" si="1605"/>
        <v>#NAME?</v>
      </c>
      <c r="AM210" s="23" t="e">
        <f t="shared" ref="AM210" ca="1" si="1606">AL162-AM162+AL177+AL178-AM177-AM178</f>
        <v>#NAME?</v>
      </c>
      <c r="AN210" s="23" t="e">
        <f t="shared" ref="AN210" ca="1" si="1607">AM162-AN162+AM177+AM178-AN177-AN178</f>
        <v>#NAME?</v>
      </c>
      <c r="AO210" s="23" t="e">
        <f t="shared" ref="AO210" ca="1" si="1608">AN162-AO162+AN177+AN178-AO177-AO178</f>
        <v>#NAME?</v>
      </c>
      <c r="AP210" s="23" t="e">
        <f t="shared" ref="AP210" ca="1" si="1609">AO162-AP162+AO177+AO178-AP177-AP178</f>
        <v>#NAME?</v>
      </c>
      <c r="AQ210" s="23" t="e">
        <f t="shared" ref="AQ210" ca="1" si="1610">AP162-AQ162+AP177+AP178-AQ177-AQ178</f>
        <v>#NAME?</v>
      </c>
      <c r="AR210" s="23" t="e">
        <f t="shared" ref="AR210" ca="1" si="1611">AQ162-AR162+AQ177+AQ178-AR177-AR178</f>
        <v>#NAME?</v>
      </c>
      <c r="AS210" s="23" t="e">
        <f t="shared" ref="AS210" ca="1" si="1612">AR162-AS162+AR177+AR178-AS177-AS178</f>
        <v>#NAME?</v>
      </c>
      <c r="AT210" s="23" t="e">
        <f t="shared" ref="AT210" ca="1" si="1613">AS162-AT162+AS177+AS178-AT177-AT178</f>
        <v>#NAME?</v>
      </c>
      <c r="AU210" s="23" t="e">
        <f t="shared" ref="AU210" ca="1" si="1614">AT162-AU162+AT177+AT178-AU177-AU178</f>
        <v>#NAME?</v>
      </c>
      <c r="AV210" s="23" t="e">
        <f t="shared" ref="AV210" ca="1" si="1615">AU162-AV162+AU177+AU178-AV177-AV178</f>
        <v>#NAME?</v>
      </c>
      <c r="AW210" s="23" t="e">
        <f t="shared" ref="AW210" ca="1" si="1616">AV162-AW162+AV177+AV178-AW177-AW178</f>
        <v>#NAME?</v>
      </c>
      <c r="AX210" s="23" t="e">
        <f t="shared" ref="AX210" ca="1" si="1617">AW162-AX162+AW177+AW178-AX177-AX178</f>
        <v>#NAME?</v>
      </c>
      <c r="AY210" s="23" t="e">
        <f t="shared" ref="AY210" ca="1" si="1618">AX162-AY162+AX177+AX178-AY177-AY178</f>
        <v>#NAME?</v>
      </c>
      <c r="AZ210" s="23" t="e">
        <f t="shared" ref="AZ210" ca="1" si="1619">AY162-AZ162+AY177+AY178-AZ177-AZ178</f>
        <v>#NAME?</v>
      </c>
      <c r="BA210" s="23" t="e">
        <f t="shared" ref="BA210" ca="1" si="1620">AZ162-BA162+AZ177+AZ178-BA177-BA178</f>
        <v>#NAME?</v>
      </c>
      <c r="BB210" s="23" t="e">
        <f t="shared" ref="BB210" ca="1" si="1621">BA162-BB162+BA177+BA178-BB177-BB178</f>
        <v>#NAME?</v>
      </c>
      <c r="BC210" s="23" t="e">
        <f t="shared" ref="BC210" ca="1" si="1622">BB162-BC162+BB177+BB178-BC177-BC178</f>
        <v>#NAME?</v>
      </c>
      <c r="BD210" s="23" t="e">
        <f t="shared" ref="BD210" ca="1" si="1623">BC162-BD162+BC177+BC178-BD177-BD178</f>
        <v>#NAME?</v>
      </c>
      <c r="BE210" s="23" t="e">
        <f t="shared" ref="BE210" ca="1" si="1624">BD162-BE162+BD177+BD178-BE177-BE178</f>
        <v>#NAME?</v>
      </c>
      <c r="BF210" s="23" t="e">
        <f t="shared" ref="BF210" ca="1" si="1625">BE162-BF162+BE177+BE178-BF177-BF178</f>
        <v>#NAME?</v>
      </c>
      <c r="BG210" s="23" t="e">
        <f t="shared" ref="BG210" ca="1" si="1626">BF162-BG162+BF177+BF178-BG177-BG178</f>
        <v>#NAME?</v>
      </c>
      <c r="BH210" s="23" t="e">
        <f t="shared" ref="BH210" ca="1" si="1627">BG162-BH162+BG177+BG178-BH177-BH178</f>
        <v>#NAME?</v>
      </c>
      <c r="BI210" s="23" t="e">
        <f t="shared" ref="BI210" ca="1" si="1628">BH162-BI162+BH177+BH178-BI177-BI178</f>
        <v>#NAME?</v>
      </c>
      <c r="BJ210" s="23" t="e">
        <f t="shared" ref="BJ210" ca="1" si="1629">BI162-BJ162+BI177+BI178-BJ177-BJ178</f>
        <v>#NAME?</v>
      </c>
      <c r="BK210" s="23" t="e">
        <f t="shared" ref="BK210" ca="1" si="1630">BJ162-BK162+BJ177+BJ178-BK177-BK178</f>
        <v>#NAME?</v>
      </c>
      <c r="BL210" s="23" t="e">
        <f t="shared" ref="BL210" ca="1" si="1631">BK162-BL162+BK177+BK178-BL177-BL178</f>
        <v>#NAME?</v>
      </c>
      <c r="BM210" s="23" t="e">
        <f t="shared" ref="BM210" ca="1" si="1632">BL162-BM162+BL177+BL178-BM177-BM178</f>
        <v>#NAME?</v>
      </c>
      <c r="BN210" s="23" t="e">
        <f t="shared" ref="BN210" ca="1" si="1633">BM162-BN162+BM177+BM178-BN177-BN178</f>
        <v>#NAME?</v>
      </c>
      <c r="BO210" s="23" t="e">
        <f t="shared" ref="BO210" ca="1" si="1634">BN162-BO162+BN177+BN178-BO177-BO178</f>
        <v>#NAME?</v>
      </c>
      <c r="BP210" s="23" t="e">
        <f t="shared" ref="BP210" ca="1" si="1635">BO162-BP162+BO177+BO178-BP177-BP178</f>
        <v>#NAME?</v>
      </c>
      <c r="BQ210" s="23" t="e">
        <f t="shared" ref="BQ210" ca="1" si="1636">BP162-BQ162+BP177+BP178-BQ177-BQ178</f>
        <v>#NAME?</v>
      </c>
      <c r="BR210" s="23" t="e">
        <f t="shared" ref="BR210" ca="1" si="1637">BQ162-BR162+BQ177+BQ178-BR177-BR178</f>
        <v>#NAME?</v>
      </c>
      <c r="BS210" s="23" t="e">
        <f t="shared" ref="BS210" ca="1" si="1638">BR162-BS162+BR177+BR178-BS177-BS178</f>
        <v>#NAME?</v>
      </c>
      <c r="BT210" s="23" t="e">
        <f t="shared" ref="BT210" ca="1" si="1639">BS162-BT162+BS177+BS178-BT177-BT178</f>
        <v>#NAME?</v>
      </c>
      <c r="BU210" s="23" t="e">
        <f t="shared" ref="BU210" ca="1" si="1640">BT162-BU162+BT177+BT178-BU177-BU178</f>
        <v>#NAME?</v>
      </c>
      <c r="BV210" s="23" t="e">
        <f t="shared" ref="BV210" ca="1" si="1641">BU162-BV162+BU177+BU178-BV177-BV178</f>
        <v>#NAME?</v>
      </c>
      <c r="BW210" s="23" t="e">
        <f t="shared" ref="BW210" ca="1" si="1642">BV162-BW162+BV177+BV178-BW177-BW178</f>
        <v>#NAME?</v>
      </c>
      <c r="BX210" s="23" t="e">
        <f t="shared" ref="BX210" ca="1" si="1643">BW162-BX162+BW177+BW178-BX177-BX178</f>
        <v>#NAME?</v>
      </c>
      <c r="BY210" s="23" t="e">
        <f t="shared" ref="BY210" ca="1" si="1644">BX162-BY162+BX177+BX178-BY177-BY178</f>
        <v>#NAME?</v>
      </c>
      <c r="BZ210" s="23" t="e">
        <f t="shared" ref="BZ210" ca="1" si="1645">BY162-BZ162+BY177+BY178-BZ177-BZ178</f>
        <v>#NAME?</v>
      </c>
      <c r="CA210" s="23" t="e">
        <f t="shared" ref="CA210" ca="1" si="1646">BZ162-CA162+BZ177+BZ178-CA177-CA178</f>
        <v>#NAME?</v>
      </c>
      <c r="CB210" s="23" t="e">
        <f t="shared" ref="CB210" ca="1" si="1647">CA162-CB162+CA177+CA178-CB177-CB178</f>
        <v>#NAME?</v>
      </c>
      <c r="CC210" s="23" t="e">
        <f t="shared" ref="CC210" ca="1" si="1648">CB162-CC162+CB177+CB178-CC177-CC178</f>
        <v>#NAME?</v>
      </c>
      <c r="CD210" s="23" t="e">
        <f t="shared" ref="CD210" ca="1" si="1649">CC162-CD162+CC177+CC178-CD177-CD178</f>
        <v>#NAME?</v>
      </c>
      <c r="CE210" s="23" t="e">
        <f t="shared" ref="CE210" ca="1" si="1650">CD162-CE162+CD177+CD178-CE177-CE178</f>
        <v>#NAME?</v>
      </c>
      <c r="CF210" s="23" t="e">
        <f t="shared" ref="CF210" ca="1" si="1651">CE162-CF162+CE177+CE178-CF177-CF178</f>
        <v>#NAME?</v>
      </c>
      <c r="CG210" s="23" t="e">
        <f t="shared" ref="CG210" ca="1" si="1652">CF162-CG162+CF177+CF178-CG177-CG178</f>
        <v>#NAME?</v>
      </c>
      <c r="CH210" s="23" t="e">
        <f t="shared" ref="CH210:CL210" ca="1" si="1653">CG162-CH162+CG177+CG178-CH177-CH178</f>
        <v>#NAME?</v>
      </c>
      <c r="CI210" s="23" t="e">
        <f t="shared" ca="1" si="1653"/>
        <v>#NAME?</v>
      </c>
      <c r="CJ210" s="23" t="e">
        <f t="shared" ca="1" si="1653"/>
        <v>#NAME?</v>
      </c>
      <c r="CK210" s="23" t="e">
        <f t="shared" ref="CK210" ca="1" si="1654">CJ162-CK162+CJ177+CJ178-CK177-CK178</f>
        <v>#NAME?</v>
      </c>
      <c r="CL210" s="23" t="e">
        <f t="shared" ca="1" si="1653"/>
        <v>#NAME?</v>
      </c>
      <c r="CM210" s="24" t="e">
        <f t="shared" ref="CM210" ca="1" si="1655">CL162-CM162+CL177+CL178-CM177-CM178</f>
        <v>#NAME?</v>
      </c>
      <c r="CN210" s="24" t="e">
        <f t="shared" ref="CN210" ca="1" si="1656">CM162-CN162+CM177+CM178-CN177-CN178</f>
        <v>#NAME?</v>
      </c>
      <c r="CO210" s="24" t="e">
        <f t="shared" ref="CO210" ca="1" si="1657">CN162-CO162+CN177+CN178-CO177-CO178</f>
        <v>#NAME?</v>
      </c>
      <c r="CP210" s="24" t="e">
        <f t="shared" ref="CP210" ca="1" si="1658">CO162-CP162+CO177+CO178-CP177-CP178</f>
        <v>#NAME?</v>
      </c>
      <c r="CQ210" s="24" t="e">
        <f t="shared" ref="CQ210" ca="1" si="1659">CP162-CQ162+CP177+CP178-CQ177-CQ178</f>
        <v>#NAME?</v>
      </c>
      <c r="CR210" s="24" t="e">
        <f t="shared" ref="CR210" ca="1" si="1660">CQ162-CR162+CQ177+CQ178-CR177-CR178</f>
        <v>#NAME?</v>
      </c>
      <c r="CS210" s="24" t="e">
        <f t="shared" ref="CS210" ca="1" si="1661">CR162-CS162+CR177+CR178-CS177-CS178</f>
        <v>#NAME?</v>
      </c>
      <c r="CT210" s="24" t="e">
        <f t="shared" ref="CT210" ca="1" si="1662">CS162-CT162+CS177+CS178-CT177-CT178</f>
        <v>#NAME?</v>
      </c>
      <c r="CU210" s="24" t="e">
        <f t="shared" ref="CU210" ca="1" si="1663">CT162-CU162+CT177+CT178-CU177-CU178</f>
        <v>#NAME?</v>
      </c>
      <c r="CV210" s="24" t="e">
        <f t="shared" ref="CV210" ca="1" si="1664">CU162-CV162+CU177+CU178-CV177-CV178</f>
        <v>#NAME?</v>
      </c>
      <c r="CW210" s="24" t="e">
        <f t="shared" ref="CW210" ca="1" si="1665">CV162-CW162+CV177+CV178-CW177-CW178</f>
        <v>#NAME?</v>
      </c>
      <c r="CX210" s="24" t="e">
        <f t="shared" ref="CX210" ca="1" si="1666">CW162-CX162+CW177+CW178-CX177-CX178</f>
        <v>#NAME?</v>
      </c>
      <c r="CY210" s="24" t="e">
        <f t="shared" ref="CY210" ca="1" si="1667">CX162-CY162+CX177+CX178-CY177-CY178</f>
        <v>#NAME?</v>
      </c>
      <c r="CZ210" s="24" t="e">
        <f t="shared" ref="CZ210" ca="1" si="1668">CY162-CZ162+CY177+CY178-CZ177-CZ178</f>
        <v>#NAME?</v>
      </c>
      <c r="DA210" s="24" t="e">
        <f t="shared" ref="DA210" ca="1" si="1669">CZ162-DA162+CZ177+CZ178-DA177-DA178</f>
        <v>#NAME?</v>
      </c>
      <c r="DB210" s="24" t="e">
        <f t="shared" ref="DB210" ca="1" si="1670">DA162-DB162+DA177+DA178-DB177-DB178</f>
        <v>#NAME?</v>
      </c>
      <c r="DE210" s="123"/>
      <c r="DF210" s="23">
        <v>-2421.3679999999999</v>
      </c>
    </row>
    <row r="211" spans="1:110" s="23" customFormat="1" x14ac:dyDescent="0.2">
      <c r="A211" s="23" t="s">
        <v>73</v>
      </c>
      <c r="C211" s="23" t="e">
        <f t="shared" ref="C211:AA211" ca="1" si="1671">B170-C170</f>
        <v>#NAME?</v>
      </c>
      <c r="D211" s="23" t="e">
        <f t="shared" ca="1" si="1671"/>
        <v>#NAME?</v>
      </c>
      <c r="E211" s="23" t="e">
        <f ca="1">D170-E170</f>
        <v>#NAME?</v>
      </c>
      <c r="F211" s="23" t="e">
        <f t="shared" ca="1" si="1671"/>
        <v>#NAME?</v>
      </c>
      <c r="G211" s="23" t="e">
        <f t="shared" ca="1" si="1671"/>
        <v>#NAME?</v>
      </c>
      <c r="H211" s="23" t="e">
        <f t="shared" ca="1" si="1671"/>
        <v>#NAME?</v>
      </c>
      <c r="I211" s="23" t="e">
        <f t="shared" ca="1" si="1671"/>
        <v>#NAME?</v>
      </c>
      <c r="J211" s="23" t="e">
        <f ca="1">I170-J170</f>
        <v>#NAME?</v>
      </c>
      <c r="K211" s="23" t="e">
        <f ca="1">J170-K170</f>
        <v>#NAME?</v>
      </c>
      <c r="L211" s="23" t="e">
        <f t="shared" ca="1" si="1671"/>
        <v>#NAME?</v>
      </c>
      <c r="M211" s="23" t="e">
        <f t="shared" ca="1" si="1671"/>
        <v>#NAME?</v>
      </c>
      <c r="N211" s="23" t="e">
        <f t="shared" ca="1" si="1671"/>
        <v>#NAME?</v>
      </c>
      <c r="O211" s="23" t="e">
        <f t="shared" ca="1" si="1671"/>
        <v>#NAME?</v>
      </c>
      <c r="P211" s="23" t="e">
        <f t="shared" ca="1" si="1671"/>
        <v>#NAME?</v>
      </c>
      <c r="Q211" s="23" t="e">
        <f t="shared" ca="1" si="1671"/>
        <v>#NAME?</v>
      </c>
      <c r="R211" s="23" t="e">
        <f t="shared" ca="1" si="1671"/>
        <v>#NAME?</v>
      </c>
      <c r="S211" s="23" t="e">
        <f t="shared" ca="1" si="1671"/>
        <v>#NAME?</v>
      </c>
      <c r="T211" s="23" t="e">
        <f t="shared" ca="1" si="1671"/>
        <v>#NAME?</v>
      </c>
      <c r="U211" s="23" t="e">
        <f t="shared" ca="1" si="1671"/>
        <v>#NAME?</v>
      </c>
      <c r="V211" s="23" t="e">
        <f t="shared" ca="1" si="1671"/>
        <v>#NAME?</v>
      </c>
      <c r="W211" s="23" t="e">
        <f t="shared" ca="1" si="1671"/>
        <v>#NAME?</v>
      </c>
      <c r="X211" s="23" t="e">
        <f t="shared" ca="1" si="1671"/>
        <v>#NAME?</v>
      </c>
      <c r="Y211" s="23" t="e">
        <f t="shared" ca="1" si="1671"/>
        <v>#NAME?</v>
      </c>
      <c r="Z211" s="23" t="e">
        <f t="shared" ca="1" si="1671"/>
        <v>#NAME?</v>
      </c>
      <c r="AA211" s="23" t="e">
        <f t="shared" ca="1" si="1671"/>
        <v>#NAME?</v>
      </c>
      <c r="AB211" s="24" t="e">
        <f t="shared" ref="AB211" ca="1" si="1672">AA170-AB170</f>
        <v>#NAME?</v>
      </c>
      <c r="AC211" s="24" t="e">
        <f t="shared" ref="AC211" ca="1" si="1673">AB170-AC170</f>
        <v>#NAME?</v>
      </c>
      <c r="AD211" s="24" t="e">
        <f t="shared" ref="AD211" ca="1" si="1674">AC170-AD170</f>
        <v>#NAME?</v>
      </c>
      <c r="AE211" s="24" t="e">
        <f t="shared" ref="AE211" ca="1" si="1675">AD170-AE170</f>
        <v>#NAME?</v>
      </c>
      <c r="AI211" s="23">
        <f t="shared" ref="AI211" si="1676">AH170-AI170</f>
        <v>0</v>
      </c>
      <c r="AJ211" s="23" t="e">
        <f t="shared" ref="AJ211" ca="1" si="1677">AI170-AJ170</f>
        <v>#NAME?</v>
      </c>
      <c r="AK211" s="23" t="e">
        <f t="shared" ref="AK211" ca="1" si="1678">AJ170-AK170</f>
        <v>#NAME?</v>
      </c>
      <c r="AL211" s="23" t="e">
        <f t="shared" ref="AL211" ca="1" si="1679">AK170-AL170</f>
        <v>#NAME?</v>
      </c>
      <c r="AM211" s="23" t="e">
        <f t="shared" ref="AM211" ca="1" si="1680">AL170-AM170</f>
        <v>#NAME?</v>
      </c>
      <c r="AN211" s="23" t="e">
        <f t="shared" ref="AN211" ca="1" si="1681">AM170-AN170</f>
        <v>#NAME?</v>
      </c>
      <c r="AO211" s="23" t="e">
        <f t="shared" ref="AO211" ca="1" si="1682">AN170-AO170</f>
        <v>#NAME?</v>
      </c>
      <c r="AP211" s="23" t="e">
        <f t="shared" ref="AP211" ca="1" si="1683">AO170-AP170</f>
        <v>#NAME?</v>
      </c>
      <c r="AQ211" s="23" t="e">
        <f t="shared" ref="AQ211" ca="1" si="1684">AP170-AQ170</f>
        <v>#NAME?</v>
      </c>
      <c r="AR211" s="23" t="e">
        <f t="shared" ref="AR211" ca="1" si="1685">AQ170-AR170</f>
        <v>#NAME?</v>
      </c>
      <c r="AS211" s="23" t="e">
        <f t="shared" ref="AS211" ca="1" si="1686">AR170-AS170</f>
        <v>#NAME?</v>
      </c>
      <c r="AT211" s="23" t="e">
        <f t="shared" ref="AT211" ca="1" si="1687">AS170-AT170</f>
        <v>#NAME?</v>
      </c>
      <c r="AU211" s="23" t="e">
        <f t="shared" ref="AU211" ca="1" si="1688">AT170-AU170</f>
        <v>#NAME?</v>
      </c>
      <c r="AV211" s="23" t="e">
        <f t="shared" ref="AV211" ca="1" si="1689">AU170-AV170</f>
        <v>#NAME?</v>
      </c>
      <c r="AW211" s="23" t="e">
        <f t="shared" ref="AW211" ca="1" si="1690">AV170-AW170</f>
        <v>#NAME?</v>
      </c>
      <c r="AX211" s="23" t="e">
        <f t="shared" ref="AX211" ca="1" si="1691">AW170-AX170</f>
        <v>#NAME?</v>
      </c>
      <c r="AY211" s="23" t="e">
        <f t="shared" ref="AY211" ca="1" si="1692">AX170-AY170</f>
        <v>#NAME?</v>
      </c>
      <c r="AZ211" s="23" t="e">
        <f t="shared" ref="AZ211" ca="1" si="1693">AY170-AZ170</f>
        <v>#NAME?</v>
      </c>
      <c r="BA211" s="23" t="e">
        <f t="shared" ref="BA211" ca="1" si="1694">AZ170-BA170</f>
        <v>#NAME?</v>
      </c>
      <c r="BB211" s="23" t="e">
        <f t="shared" ref="BB211" ca="1" si="1695">BA170-BB170</f>
        <v>#NAME?</v>
      </c>
      <c r="BC211" s="23" t="e">
        <f t="shared" ref="BC211" ca="1" si="1696">BB170-BC170</f>
        <v>#NAME?</v>
      </c>
      <c r="BD211" s="23" t="e">
        <f t="shared" ref="BD211" ca="1" si="1697">BC170-BD170</f>
        <v>#NAME?</v>
      </c>
      <c r="BE211" s="23" t="e">
        <f t="shared" ref="BE211" ca="1" si="1698">BD170-BE170</f>
        <v>#NAME?</v>
      </c>
      <c r="BF211" s="23" t="e">
        <f t="shared" ref="BF211" ca="1" si="1699">BE170-BF170</f>
        <v>#NAME?</v>
      </c>
      <c r="BG211" s="23" t="e">
        <f t="shared" ref="BG211" ca="1" si="1700">BF170-BG170</f>
        <v>#NAME?</v>
      </c>
      <c r="BH211" s="23" t="e">
        <f t="shared" ref="BH211" ca="1" si="1701">BG170-BH170</f>
        <v>#NAME?</v>
      </c>
      <c r="BI211" s="23" t="e">
        <f t="shared" ref="BI211" ca="1" si="1702">BH170-BI170</f>
        <v>#NAME?</v>
      </c>
      <c r="BJ211" s="23" t="e">
        <f t="shared" ref="BJ211" ca="1" si="1703">BI170-BJ170</f>
        <v>#NAME?</v>
      </c>
      <c r="BK211" s="23" t="e">
        <f t="shared" ref="BK211" ca="1" si="1704">BJ170-BK170</f>
        <v>#NAME?</v>
      </c>
      <c r="BL211" s="23" t="e">
        <f t="shared" ref="BL211" ca="1" si="1705">BK170-BL170</f>
        <v>#NAME?</v>
      </c>
      <c r="BM211" s="23" t="e">
        <f t="shared" ref="BM211" ca="1" si="1706">BL170-BM170</f>
        <v>#NAME?</v>
      </c>
      <c r="BN211" s="23" t="e">
        <f t="shared" ref="BN211" ca="1" si="1707">BM170-BN170</f>
        <v>#NAME?</v>
      </c>
      <c r="BO211" s="23" t="e">
        <f t="shared" ref="BO211" ca="1" si="1708">BN170-BO170</f>
        <v>#NAME?</v>
      </c>
      <c r="BP211" s="23" t="e">
        <f t="shared" ref="BP211" ca="1" si="1709">BO170-BP170</f>
        <v>#NAME?</v>
      </c>
      <c r="BQ211" s="23" t="e">
        <f t="shared" ref="BQ211" ca="1" si="1710">BP170-BQ170</f>
        <v>#NAME?</v>
      </c>
      <c r="BR211" s="23" t="e">
        <f t="shared" ref="BR211" ca="1" si="1711">BQ170-BR170</f>
        <v>#NAME?</v>
      </c>
      <c r="BS211" s="23" t="e">
        <f t="shared" ref="BS211" ca="1" si="1712">BR170-BS170</f>
        <v>#NAME?</v>
      </c>
      <c r="BT211" s="23" t="e">
        <f t="shared" ref="BT211" ca="1" si="1713">BS170-BT170</f>
        <v>#NAME?</v>
      </c>
      <c r="BU211" s="23" t="e">
        <f t="shared" ref="BU211" ca="1" si="1714">BT170-BU170</f>
        <v>#NAME?</v>
      </c>
      <c r="BV211" s="23" t="e">
        <f t="shared" ref="BV211" ca="1" si="1715">BU170-BV170</f>
        <v>#NAME?</v>
      </c>
      <c r="BW211" s="23" t="e">
        <f t="shared" ref="BW211" ca="1" si="1716">BV170-BW170</f>
        <v>#NAME?</v>
      </c>
      <c r="BX211" s="23" t="e">
        <f t="shared" ref="BX211" ca="1" si="1717">BW170-BX170</f>
        <v>#NAME?</v>
      </c>
      <c r="BY211" s="23" t="e">
        <f t="shared" ref="BY211" ca="1" si="1718">BX170-BY170</f>
        <v>#NAME?</v>
      </c>
      <c r="BZ211" s="23" t="e">
        <f t="shared" ref="BZ211" ca="1" si="1719">BY170-BZ170</f>
        <v>#NAME?</v>
      </c>
      <c r="CA211" s="23" t="e">
        <f t="shared" ref="CA211" ca="1" si="1720">BZ170-CA170</f>
        <v>#NAME?</v>
      </c>
      <c r="CB211" s="23" t="e">
        <f t="shared" ref="CB211" ca="1" si="1721">CA170-CB170</f>
        <v>#NAME?</v>
      </c>
      <c r="CC211" s="23" t="e">
        <f t="shared" ref="CC211" ca="1" si="1722">CB170-CC170</f>
        <v>#NAME?</v>
      </c>
      <c r="CD211" s="23" t="e">
        <f t="shared" ref="CD211" ca="1" si="1723">CC170-CD170</f>
        <v>#NAME?</v>
      </c>
      <c r="CE211" s="23" t="e">
        <f t="shared" ref="CE211" ca="1" si="1724">CD170-CE170</f>
        <v>#NAME?</v>
      </c>
      <c r="CF211" s="23" t="e">
        <f t="shared" ref="CF211" ca="1" si="1725">CE170-CF170</f>
        <v>#NAME?</v>
      </c>
      <c r="CG211" s="23" t="e">
        <f t="shared" ref="CG211" ca="1" si="1726">CF170-CG170</f>
        <v>#NAME?</v>
      </c>
      <c r="CH211" s="23" t="e">
        <f t="shared" ref="CH211:CL211" ca="1" si="1727">CG170-CH170</f>
        <v>#NAME?</v>
      </c>
      <c r="CI211" s="23" t="e">
        <f t="shared" ca="1" si="1727"/>
        <v>#NAME?</v>
      </c>
      <c r="CJ211" s="23" t="e">
        <f t="shared" ca="1" si="1727"/>
        <v>#NAME?</v>
      </c>
      <c r="CK211" s="23" t="e">
        <f t="shared" ref="CK211" ca="1" si="1728">CJ170-CK170</f>
        <v>#NAME?</v>
      </c>
      <c r="CL211" s="23" t="e">
        <f t="shared" ca="1" si="1727"/>
        <v>#NAME?</v>
      </c>
      <c r="CM211" s="24" t="e">
        <f t="shared" ref="CM211" ca="1" si="1729">CL170-CM170</f>
        <v>#NAME?</v>
      </c>
      <c r="CN211" s="24" t="e">
        <f t="shared" ref="CN211" ca="1" si="1730">CM170-CN170</f>
        <v>#NAME?</v>
      </c>
      <c r="CO211" s="24" t="e">
        <f t="shared" ref="CO211" ca="1" si="1731">CN170-CO170</f>
        <v>#NAME?</v>
      </c>
      <c r="CP211" s="24" t="e">
        <f t="shared" ref="CP211" ca="1" si="1732">CO170-CP170</f>
        <v>#NAME?</v>
      </c>
      <c r="CQ211" s="24" t="e">
        <f t="shared" ref="CQ211" ca="1" si="1733">CP170-CQ170</f>
        <v>#NAME?</v>
      </c>
      <c r="CR211" s="24" t="e">
        <f t="shared" ref="CR211" ca="1" si="1734">CQ170-CR170</f>
        <v>#NAME?</v>
      </c>
      <c r="CS211" s="24" t="e">
        <f t="shared" ref="CS211" ca="1" si="1735">CR170-CS170</f>
        <v>#NAME?</v>
      </c>
      <c r="CT211" s="24" t="e">
        <f t="shared" ref="CT211" ca="1" si="1736">CS170-CT170</f>
        <v>#NAME?</v>
      </c>
      <c r="CU211" s="24" t="e">
        <f t="shared" ref="CU211" ca="1" si="1737">CT170-CU170</f>
        <v>#NAME?</v>
      </c>
      <c r="CV211" s="24" t="e">
        <f t="shared" ref="CV211" ca="1" si="1738">CU170-CV170</f>
        <v>#NAME?</v>
      </c>
      <c r="CW211" s="24" t="e">
        <f t="shared" ref="CW211" ca="1" si="1739">CV170-CW170</f>
        <v>#NAME?</v>
      </c>
      <c r="CX211" s="24" t="e">
        <f t="shared" ref="CX211" ca="1" si="1740">CW170-CX170</f>
        <v>#NAME?</v>
      </c>
      <c r="CY211" s="24" t="e">
        <f t="shared" ref="CY211" ca="1" si="1741">CX170-CY170</f>
        <v>#NAME?</v>
      </c>
      <c r="CZ211" s="24" t="e">
        <f t="shared" ref="CZ211" ca="1" si="1742">CY170-CZ170</f>
        <v>#NAME?</v>
      </c>
      <c r="DA211" s="24" t="e">
        <f t="shared" ref="DA211" ca="1" si="1743">CZ170-DA170</f>
        <v>#NAME?</v>
      </c>
      <c r="DB211" s="24" t="e">
        <f t="shared" ref="DB211" ca="1" si="1744">DA170-DB170</f>
        <v>#NAME?</v>
      </c>
      <c r="DE211" s="123"/>
      <c r="DF211" s="23">
        <v>-2972.8709999999992</v>
      </c>
    </row>
    <row r="212" spans="1:110" s="22" customFormat="1" x14ac:dyDescent="0.2">
      <c r="A212" s="22" t="s">
        <v>90</v>
      </c>
      <c r="C212" s="22" t="e">
        <f t="shared" ref="C212:W212" ca="1" si="1745">C210-C211</f>
        <v>#NAME?</v>
      </c>
      <c r="D212" s="22" t="e">
        <f t="shared" ca="1" si="1745"/>
        <v>#NAME?</v>
      </c>
      <c r="E212" s="22" t="e">
        <f t="shared" ca="1" si="1745"/>
        <v>#NAME?</v>
      </c>
      <c r="F212" s="22" t="e">
        <f t="shared" ca="1" si="1745"/>
        <v>#NAME?</v>
      </c>
      <c r="G212" s="22" t="e">
        <f t="shared" ca="1" si="1745"/>
        <v>#NAME?</v>
      </c>
      <c r="H212" s="22" t="e">
        <f t="shared" ca="1" si="1745"/>
        <v>#NAME?</v>
      </c>
      <c r="I212" s="22" t="e">
        <f t="shared" ca="1" si="1745"/>
        <v>#NAME?</v>
      </c>
      <c r="J212" s="22" t="e">
        <f ca="1">J210-J211</f>
        <v>#NAME?</v>
      </c>
      <c r="K212" s="22" t="e">
        <f t="shared" ca="1" si="1745"/>
        <v>#NAME?</v>
      </c>
      <c r="L212" s="22" t="e">
        <f t="shared" ca="1" si="1745"/>
        <v>#NAME?</v>
      </c>
      <c r="M212" s="22" t="e">
        <f t="shared" ca="1" si="1745"/>
        <v>#NAME?</v>
      </c>
      <c r="N212" s="22" t="e">
        <f t="shared" ca="1" si="1745"/>
        <v>#NAME?</v>
      </c>
      <c r="O212" s="22" t="e">
        <f t="shared" ca="1" si="1745"/>
        <v>#NAME?</v>
      </c>
      <c r="P212" s="22" t="e">
        <f t="shared" ca="1" si="1745"/>
        <v>#NAME?</v>
      </c>
      <c r="Q212" s="22" t="e">
        <f t="shared" ca="1" si="1745"/>
        <v>#NAME?</v>
      </c>
      <c r="R212" s="22" t="e">
        <f t="shared" ca="1" si="1745"/>
        <v>#NAME?</v>
      </c>
      <c r="S212" s="22" t="e">
        <f t="shared" ca="1" si="1745"/>
        <v>#NAME?</v>
      </c>
      <c r="T212" s="22" t="e">
        <f t="shared" ca="1" si="1745"/>
        <v>#NAME?</v>
      </c>
      <c r="U212" s="22" t="e">
        <f t="shared" ca="1" si="1745"/>
        <v>#NAME?</v>
      </c>
      <c r="V212" s="22" t="e">
        <f t="shared" ca="1" si="1745"/>
        <v>#NAME?</v>
      </c>
      <c r="W212" s="22" t="e">
        <f t="shared" ca="1" si="1745"/>
        <v>#NAME?</v>
      </c>
      <c r="X212" s="22" t="e">
        <f t="shared" ref="X212:Y212" ca="1" si="1746">X210-X211</f>
        <v>#NAME?</v>
      </c>
      <c r="Y212" s="22" t="e">
        <f t="shared" ca="1" si="1746"/>
        <v>#NAME?</v>
      </c>
      <c r="Z212" s="22" t="e">
        <f t="shared" ref="Z212:AA212" ca="1" si="1747">Z210-Z211</f>
        <v>#NAME?</v>
      </c>
      <c r="AA212" s="22" t="e">
        <f t="shared" ca="1" si="1747"/>
        <v>#NAME?</v>
      </c>
      <c r="AB212" s="21" t="e">
        <f t="shared" ref="AA212:AD212" ca="1" si="1748">AB210-AB211</f>
        <v>#NAME?</v>
      </c>
      <c r="AC212" s="21" t="e">
        <f t="shared" ca="1" si="1748"/>
        <v>#NAME?</v>
      </c>
      <c r="AD212" s="21" t="e">
        <f t="shared" ca="1" si="1748"/>
        <v>#NAME?</v>
      </c>
      <c r="AE212" s="21" t="e">
        <f t="shared" ref="AE212" ca="1" si="1749">AE210-AE211</f>
        <v>#NAME?</v>
      </c>
      <c r="AI212" s="22" t="e">
        <f t="shared" ref="AI212" ca="1" si="1750">AI210-AI211</f>
        <v>#NAME?</v>
      </c>
      <c r="AJ212" s="22" t="e">
        <f t="shared" ref="AJ212:AL212" ca="1" si="1751">AJ210-AJ211</f>
        <v>#NAME?</v>
      </c>
      <c r="AK212" s="22" t="e">
        <f t="shared" ca="1" si="1751"/>
        <v>#NAME?</v>
      </c>
      <c r="AL212" s="22" t="e">
        <f t="shared" ca="1" si="1751"/>
        <v>#NAME?</v>
      </c>
      <c r="AM212" s="22" t="e">
        <f t="shared" ref="AM212" ca="1" si="1752">AM210-AM211</f>
        <v>#NAME?</v>
      </c>
      <c r="AN212" s="22" t="e">
        <f t="shared" ref="AN212:CD212" ca="1" si="1753">AN210-AN211</f>
        <v>#NAME?</v>
      </c>
      <c r="AO212" s="22" t="e">
        <f t="shared" ca="1" si="1753"/>
        <v>#NAME?</v>
      </c>
      <c r="AP212" s="22" t="e">
        <f t="shared" ca="1" si="1753"/>
        <v>#NAME?</v>
      </c>
      <c r="AQ212" s="22" t="e">
        <f t="shared" ca="1" si="1753"/>
        <v>#NAME?</v>
      </c>
      <c r="AR212" s="22" t="e">
        <f t="shared" ca="1" si="1753"/>
        <v>#NAME?</v>
      </c>
      <c r="AS212" s="22" t="e">
        <f t="shared" ca="1" si="1753"/>
        <v>#NAME?</v>
      </c>
      <c r="AT212" s="22" t="e">
        <f t="shared" ca="1" si="1753"/>
        <v>#NAME?</v>
      </c>
      <c r="AU212" s="22" t="e">
        <f t="shared" ca="1" si="1753"/>
        <v>#NAME?</v>
      </c>
      <c r="AV212" s="22" t="e">
        <f t="shared" ca="1" si="1753"/>
        <v>#NAME?</v>
      </c>
      <c r="AW212" s="22" t="e">
        <f t="shared" ca="1" si="1753"/>
        <v>#NAME?</v>
      </c>
      <c r="AX212" s="22" t="e">
        <f t="shared" ca="1" si="1753"/>
        <v>#NAME?</v>
      </c>
      <c r="AY212" s="22" t="e">
        <f t="shared" ca="1" si="1753"/>
        <v>#NAME?</v>
      </c>
      <c r="AZ212" s="22" t="e">
        <f t="shared" ca="1" si="1753"/>
        <v>#NAME?</v>
      </c>
      <c r="BA212" s="22" t="e">
        <f t="shared" ca="1" si="1753"/>
        <v>#NAME?</v>
      </c>
      <c r="BB212" s="22" t="e">
        <f t="shared" ca="1" si="1753"/>
        <v>#NAME?</v>
      </c>
      <c r="BC212" s="22" t="e">
        <f t="shared" ca="1" si="1753"/>
        <v>#NAME?</v>
      </c>
      <c r="BD212" s="22" t="e">
        <f t="shared" ca="1" si="1753"/>
        <v>#NAME?</v>
      </c>
      <c r="BE212" s="22" t="e">
        <f t="shared" ca="1" si="1753"/>
        <v>#NAME?</v>
      </c>
      <c r="BF212" s="22" t="e">
        <f t="shared" ca="1" si="1753"/>
        <v>#NAME?</v>
      </c>
      <c r="BG212" s="22" t="e">
        <f t="shared" ca="1" si="1753"/>
        <v>#NAME?</v>
      </c>
      <c r="BH212" s="22" t="e">
        <f t="shared" ca="1" si="1753"/>
        <v>#NAME?</v>
      </c>
      <c r="BI212" s="22" t="e">
        <f t="shared" ca="1" si="1753"/>
        <v>#NAME?</v>
      </c>
      <c r="BJ212" s="22" t="e">
        <f t="shared" ca="1" si="1753"/>
        <v>#NAME?</v>
      </c>
      <c r="BK212" s="22" t="e">
        <f t="shared" ca="1" si="1753"/>
        <v>#NAME?</v>
      </c>
      <c r="BL212" s="22" t="e">
        <f t="shared" ca="1" si="1753"/>
        <v>#NAME?</v>
      </c>
      <c r="BM212" s="22" t="e">
        <f t="shared" ca="1" si="1753"/>
        <v>#NAME?</v>
      </c>
      <c r="BN212" s="22" t="e">
        <f t="shared" ca="1" si="1753"/>
        <v>#NAME?</v>
      </c>
      <c r="BO212" s="22" t="e">
        <f t="shared" ca="1" si="1753"/>
        <v>#NAME?</v>
      </c>
      <c r="BP212" s="22" t="e">
        <f t="shared" ca="1" si="1753"/>
        <v>#NAME?</v>
      </c>
      <c r="BQ212" s="22" t="e">
        <f t="shared" ca="1" si="1753"/>
        <v>#NAME?</v>
      </c>
      <c r="BR212" s="22" t="e">
        <f t="shared" ca="1" si="1753"/>
        <v>#NAME?</v>
      </c>
      <c r="BS212" s="22" t="e">
        <f t="shared" ca="1" si="1753"/>
        <v>#NAME?</v>
      </c>
      <c r="BT212" s="22" t="e">
        <f t="shared" ca="1" si="1753"/>
        <v>#NAME?</v>
      </c>
      <c r="BU212" s="22" t="e">
        <f t="shared" ca="1" si="1753"/>
        <v>#NAME?</v>
      </c>
      <c r="BV212" s="22" t="e">
        <f t="shared" ca="1" si="1753"/>
        <v>#NAME?</v>
      </c>
      <c r="BW212" s="22" t="e">
        <f t="shared" ca="1" si="1753"/>
        <v>#NAME?</v>
      </c>
      <c r="BX212" s="22" t="e">
        <f t="shared" ca="1" si="1753"/>
        <v>#NAME?</v>
      </c>
      <c r="BY212" s="22" t="e">
        <f t="shared" ca="1" si="1753"/>
        <v>#NAME?</v>
      </c>
      <c r="BZ212" s="22" t="e">
        <f t="shared" ca="1" si="1753"/>
        <v>#NAME?</v>
      </c>
      <c r="CA212" s="22" t="e">
        <f t="shared" ca="1" si="1753"/>
        <v>#NAME?</v>
      </c>
      <c r="CB212" s="22" t="e">
        <f t="shared" ca="1" si="1753"/>
        <v>#NAME?</v>
      </c>
      <c r="CC212" s="22" t="e">
        <f t="shared" ca="1" si="1753"/>
        <v>#NAME?</v>
      </c>
      <c r="CD212" s="22" t="e">
        <f t="shared" ca="1" si="1753"/>
        <v>#NAME?</v>
      </c>
      <c r="CE212" s="22" t="e">
        <f t="shared" ref="CE212:CF212" ca="1" si="1754">CE210-CE211</f>
        <v>#NAME?</v>
      </c>
      <c r="CF212" s="22" t="e">
        <f t="shared" ca="1" si="1754"/>
        <v>#NAME?</v>
      </c>
      <c r="CG212" s="22" t="e">
        <f t="shared" ref="CG212:CH212" ca="1" si="1755">CG210-CG211</f>
        <v>#NAME?</v>
      </c>
      <c r="CH212" s="22" t="e">
        <f t="shared" ca="1" si="1755"/>
        <v>#NAME?</v>
      </c>
      <c r="CI212" s="22" t="e">
        <f t="shared" ref="CI212:CJ212" ca="1" si="1756">CI210-CI211</f>
        <v>#NAME?</v>
      </c>
      <c r="CJ212" s="22" t="e">
        <f t="shared" ca="1" si="1756"/>
        <v>#NAME?</v>
      </c>
      <c r="CK212" s="22" t="e">
        <f t="shared" ref="CK212:DB212" ca="1" si="1757">CK210-CK211</f>
        <v>#NAME?</v>
      </c>
      <c r="CL212" s="22" t="e">
        <f t="shared" ca="1" si="1757"/>
        <v>#NAME?</v>
      </c>
      <c r="CM212" s="21" t="e">
        <f t="shared" ca="1" si="1757"/>
        <v>#NAME?</v>
      </c>
      <c r="CN212" s="21" t="e">
        <f t="shared" ca="1" si="1757"/>
        <v>#NAME?</v>
      </c>
      <c r="CO212" s="21" t="e">
        <f t="shared" ca="1" si="1757"/>
        <v>#NAME?</v>
      </c>
      <c r="CP212" s="21" t="e">
        <f t="shared" ca="1" si="1757"/>
        <v>#NAME?</v>
      </c>
      <c r="CQ212" s="21" t="e">
        <f t="shared" ca="1" si="1757"/>
        <v>#NAME?</v>
      </c>
      <c r="CR212" s="21" t="e">
        <f t="shared" ca="1" si="1757"/>
        <v>#NAME?</v>
      </c>
      <c r="CS212" s="21" t="e">
        <f t="shared" ca="1" si="1757"/>
        <v>#NAME?</v>
      </c>
      <c r="CT212" s="21" t="e">
        <f t="shared" ca="1" si="1757"/>
        <v>#NAME?</v>
      </c>
      <c r="CU212" s="21" t="e">
        <f t="shared" ca="1" si="1757"/>
        <v>#NAME?</v>
      </c>
      <c r="CV212" s="21" t="e">
        <f t="shared" ca="1" si="1757"/>
        <v>#NAME?</v>
      </c>
      <c r="CW212" s="21" t="e">
        <f t="shared" ca="1" si="1757"/>
        <v>#NAME?</v>
      </c>
      <c r="CX212" s="21" t="e">
        <f t="shared" ca="1" si="1757"/>
        <v>#NAME?</v>
      </c>
      <c r="CY212" s="21" t="e">
        <f t="shared" ca="1" si="1757"/>
        <v>#NAME?</v>
      </c>
      <c r="CZ212" s="21" t="e">
        <f t="shared" ca="1" si="1757"/>
        <v>#NAME?</v>
      </c>
      <c r="DA212" s="21" t="e">
        <f t="shared" ca="1" si="1757"/>
        <v>#NAME?</v>
      </c>
      <c r="DB212" s="21" t="e">
        <f t="shared" ca="1" si="1757"/>
        <v>#NAME?</v>
      </c>
      <c r="DE212" s="126"/>
      <c r="DF212" s="22">
        <v>551.50299999999925</v>
      </c>
    </row>
    <row r="213" spans="1:110" s="22" customFormat="1" x14ac:dyDescent="0.2">
      <c r="A213" s="22" t="s">
        <v>91</v>
      </c>
      <c r="C213" s="22" t="e">
        <f t="shared" ref="C213:W213" ca="1" si="1758">C209+C212</f>
        <v>#NAME?</v>
      </c>
      <c r="D213" s="22" t="e">
        <f ca="1">D209+D212</f>
        <v>#NAME?</v>
      </c>
      <c r="E213" s="22" t="e">
        <f t="shared" ca="1" si="1758"/>
        <v>#NAME?</v>
      </c>
      <c r="F213" s="22" t="e">
        <f t="shared" ca="1" si="1758"/>
        <v>#NAME?</v>
      </c>
      <c r="G213" s="22" t="e">
        <f t="shared" ca="1" si="1758"/>
        <v>#NAME?</v>
      </c>
      <c r="H213" s="22" t="e">
        <f t="shared" ca="1" si="1758"/>
        <v>#NAME?</v>
      </c>
      <c r="I213" s="22" t="e">
        <f t="shared" ca="1" si="1758"/>
        <v>#NAME?</v>
      </c>
      <c r="J213" s="22" t="e">
        <f ca="1">J209+J212</f>
        <v>#NAME?</v>
      </c>
      <c r="K213" s="22" t="e">
        <f t="shared" ca="1" si="1758"/>
        <v>#NAME?</v>
      </c>
      <c r="L213" s="22" t="e">
        <f t="shared" ca="1" si="1758"/>
        <v>#NAME?</v>
      </c>
      <c r="M213" s="22" t="e">
        <f t="shared" ca="1" si="1758"/>
        <v>#NAME?</v>
      </c>
      <c r="N213" s="22" t="e">
        <f t="shared" ca="1" si="1758"/>
        <v>#NAME?</v>
      </c>
      <c r="O213" s="22" t="e">
        <f t="shared" ca="1" si="1758"/>
        <v>#NAME?</v>
      </c>
      <c r="P213" s="22" t="e">
        <f t="shared" ca="1" si="1758"/>
        <v>#NAME?</v>
      </c>
      <c r="Q213" s="22" t="e">
        <f t="shared" ca="1" si="1758"/>
        <v>#NAME?</v>
      </c>
      <c r="R213" s="22" t="e">
        <f t="shared" ca="1" si="1758"/>
        <v>#NAME?</v>
      </c>
      <c r="S213" s="22" t="e">
        <f t="shared" ca="1" si="1758"/>
        <v>#NAME?</v>
      </c>
      <c r="T213" s="22" t="e">
        <f t="shared" ca="1" si="1758"/>
        <v>#NAME?</v>
      </c>
      <c r="U213" s="22" t="e">
        <f t="shared" ca="1" si="1758"/>
        <v>#NAME?</v>
      </c>
      <c r="V213" s="22" t="e">
        <f t="shared" ca="1" si="1758"/>
        <v>#NAME?</v>
      </c>
      <c r="W213" s="22" t="e">
        <f t="shared" ca="1" si="1758"/>
        <v>#NAME?</v>
      </c>
      <c r="X213" s="22" t="e">
        <f t="shared" ref="X213:Y213" ca="1" si="1759">X209+X212</f>
        <v>#NAME?</v>
      </c>
      <c r="Y213" s="22" t="e">
        <f t="shared" ca="1" si="1759"/>
        <v>#NAME?</v>
      </c>
      <c r="Z213" s="22" t="e">
        <f t="shared" ref="Z213:AA213" ca="1" si="1760">Z209+Z212</f>
        <v>#NAME?</v>
      </c>
      <c r="AA213" s="22" t="e">
        <f t="shared" ca="1" si="1760"/>
        <v>#NAME?</v>
      </c>
      <c r="AB213" s="21" t="e">
        <f t="shared" ref="AA213:AD213" ca="1" si="1761">AB209+AB212</f>
        <v>#NAME?</v>
      </c>
      <c r="AC213" s="21" t="e">
        <f t="shared" ca="1" si="1761"/>
        <v>#NAME?</v>
      </c>
      <c r="AD213" s="21" t="e">
        <f t="shared" ca="1" si="1761"/>
        <v>#NAME?</v>
      </c>
      <c r="AE213" s="21" t="e">
        <f t="shared" ref="AE213" ca="1" si="1762">AE209+AE212</f>
        <v>#NAME?</v>
      </c>
      <c r="AI213" s="22" t="e">
        <f t="shared" ref="AI213" ca="1" si="1763">AI209+AI212</f>
        <v>#NAME?</v>
      </c>
      <c r="AJ213" s="22" t="e">
        <f t="shared" ref="AJ213:AL213" ca="1" si="1764">AJ209+AJ212</f>
        <v>#NAME?</v>
      </c>
      <c r="AK213" s="22" t="e">
        <f t="shared" ca="1" si="1764"/>
        <v>#NAME?</v>
      </c>
      <c r="AL213" s="22" t="e">
        <f t="shared" ca="1" si="1764"/>
        <v>#NAME?</v>
      </c>
      <c r="AM213" s="22" t="e">
        <f t="shared" ref="AM213" ca="1" si="1765">AM209+AM212</f>
        <v>#NAME?</v>
      </c>
      <c r="AN213" s="22" t="e">
        <f t="shared" ref="AN213:CD213" ca="1" si="1766">AN209+AN212</f>
        <v>#NAME?</v>
      </c>
      <c r="AO213" s="22" t="e">
        <f t="shared" ca="1" si="1766"/>
        <v>#NAME?</v>
      </c>
      <c r="AP213" s="22" t="e">
        <f t="shared" ca="1" si="1766"/>
        <v>#NAME?</v>
      </c>
      <c r="AQ213" s="22" t="e">
        <f t="shared" ca="1" si="1766"/>
        <v>#NAME?</v>
      </c>
      <c r="AR213" s="22" t="e">
        <f t="shared" ca="1" si="1766"/>
        <v>#NAME?</v>
      </c>
      <c r="AS213" s="22" t="e">
        <f t="shared" ca="1" si="1766"/>
        <v>#NAME?</v>
      </c>
      <c r="AT213" s="22" t="e">
        <f t="shared" ca="1" si="1766"/>
        <v>#NAME?</v>
      </c>
      <c r="AU213" s="22" t="e">
        <f t="shared" ca="1" si="1766"/>
        <v>#NAME?</v>
      </c>
      <c r="AV213" s="22" t="e">
        <f t="shared" ca="1" si="1766"/>
        <v>#NAME?</v>
      </c>
      <c r="AW213" s="22" t="e">
        <f t="shared" ca="1" si="1766"/>
        <v>#NAME?</v>
      </c>
      <c r="AX213" s="22" t="e">
        <f t="shared" ca="1" si="1766"/>
        <v>#NAME?</v>
      </c>
      <c r="AY213" s="22" t="e">
        <f t="shared" ca="1" si="1766"/>
        <v>#NAME?</v>
      </c>
      <c r="AZ213" s="22" t="e">
        <f t="shared" ca="1" si="1766"/>
        <v>#NAME?</v>
      </c>
      <c r="BA213" s="22" t="e">
        <f t="shared" ca="1" si="1766"/>
        <v>#NAME?</v>
      </c>
      <c r="BB213" s="22" t="e">
        <f t="shared" ca="1" si="1766"/>
        <v>#NAME?</v>
      </c>
      <c r="BC213" s="22" t="e">
        <f t="shared" ca="1" si="1766"/>
        <v>#NAME?</v>
      </c>
      <c r="BD213" s="22" t="e">
        <f t="shared" ca="1" si="1766"/>
        <v>#NAME?</v>
      </c>
      <c r="BE213" s="22" t="e">
        <f t="shared" ca="1" si="1766"/>
        <v>#NAME?</v>
      </c>
      <c r="BF213" s="22" t="e">
        <f t="shared" ca="1" si="1766"/>
        <v>#NAME?</v>
      </c>
      <c r="BG213" s="22" t="e">
        <f t="shared" ca="1" si="1766"/>
        <v>#NAME?</v>
      </c>
      <c r="BH213" s="22" t="e">
        <f t="shared" ca="1" si="1766"/>
        <v>#NAME?</v>
      </c>
      <c r="BI213" s="22" t="e">
        <f t="shared" ca="1" si="1766"/>
        <v>#NAME?</v>
      </c>
      <c r="BJ213" s="22" t="e">
        <f t="shared" ca="1" si="1766"/>
        <v>#NAME?</v>
      </c>
      <c r="BK213" s="22" t="e">
        <f t="shared" ca="1" si="1766"/>
        <v>#NAME?</v>
      </c>
      <c r="BL213" s="22" t="e">
        <f t="shared" ca="1" si="1766"/>
        <v>#NAME?</v>
      </c>
      <c r="BM213" s="22" t="e">
        <f t="shared" ca="1" si="1766"/>
        <v>#NAME?</v>
      </c>
      <c r="BN213" s="22" t="e">
        <f t="shared" ca="1" si="1766"/>
        <v>#NAME?</v>
      </c>
      <c r="BO213" s="22" t="e">
        <f t="shared" ca="1" si="1766"/>
        <v>#NAME?</v>
      </c>
      <c r="BP213" s="22" t="e">
        <f t="shared" ca="1" si="1766"/>
        <v>#NAME?</v>
      </c>
      <c r="BQ213" s="22" t="e">
        <f t="shared" ca="1" si="1766"/>
        <v>#NAME?</v>
      </c>
      <c r="BR213" s="22" t="e">
        <f t="shared" ca="1" si="1766"/>
        <v>#NAME?</v>
      </c>
      <c r="BS213" s="22" t="e">
        <f t="shared" ca="1" si="1766"/>
        <v>#NAME?</v>
      </c>
      <c r="BT213" s="22" t="e">
        <f t="shared" ca="1" si="1766"/>
        <v>#NAME?</v>
      </c>
      <c r="BU213" s="22" t="e">
        <f t="shared" ca="1" si="1766"/>
        <v>#NAME?</v>
      </c>
      <c r="BV213" s="22" t="e">
        <f t="shared" ca="1" si="1766"/>
        <v>#NAME?</v>
      </c>
      <c r="BW213" s="22" t="e">
        <f t="shared" ca="1" si="1766"/>
        <v>#NAME?</v>
      </c>
      <c r="BX213" s="22" t="e">
        <f t="shared" ca="1" si="1766"/>
        <v>#NAME?</v>
      </c>
      <c r="BY213" s="22" t="e">
        <f t="shared" ca="1" si="1766"/>
        <v>#NAME?</v>
      </c>
      <c r="BZ213" s="22" t="e">
        <f t="shared" ca="1" si="1766"/>
        <v>#NAME?</v>
      </c>
      <c r="CA213" s="22" t="e">
        <f t="shared" ca="1" si="1766"/>
        <v>#NAME?</v>
      </c>
      <c r="CB213" s="22" t="e">
        <f t="shared" ca="1" si="1766"/>
        <v>#NAME?</v>
      </c>
      <c r="CC213" s="22" t="e">
        <f t="shared" ca="1" si="1766"/>
        <v>#NAME?</v>
      </c>
      <c r="CD213" s="22" t="e">
        <f t="shared" ca="1" si="1766"/>
        <v>#NAME?</v>
      </c>
      <c r="CE213" s="22" t="e">
        <f t="shared" ref="CE213:CF213" ca="1" si="1767">CE209+CE212</f>
        <v>#NAME?</v>
      </c>
      <c r="CF213" s="22" t="e">
        <f t="shared" ca="1" si="1767"/>
        <v>#NAME?</v>
      </c>
      <c r="CG213" s="22" t="e">
        <f t="shared" ref="CG213:CH213" ca="1" si="1768">CG209+CG212</f>
        <v>#NAME?</v>
      </c>
      <c r="CH213" s="22" t="e">
        <f t="shared" ca="1" si="1768"/>
        <v>#NAME?</v>
      </c>
      <c r="CI213" s="22" t="e">
        <f t="shared" ref="CI213:CJ213" ca="1" si="1769">CI209+CI212</f>
        <v>#NAME?</v>
      </c>
      <c r="CJ213" s="22" t="e">
        <f t="shared" ca="1" si="1769"/>
        <v>#NAME?</v>
      </c>
      <c r="CK213" s="22" t="e">
        <f t="shared" ref="CK213:DB213" ca="1" si="1770">CK209+CK212</f>
        <v>#NAME?</v>
      </c>
      <c r="CL213" s="22" t="e">
        <f t="shared" ca="1" si="1770"/>
        <v>#NAME?</v>
      </c>
      <c r="CM213" s="21" t="e">
        <f t="shared" ca="1" si="1770"/>
        <v>#NAME?</v>
      </c>
      <c r="CN213" s="21" t="e">
        <f t="shared" ca="1" si="1770"/>
        <v>#NAME?</v>
      </c>
      <c r="CO213" s="21" t="e">
        <f t="shared" ca="1" si="1770"/>
        <v>#NAME?</v>
      </c>
      <c r="CP213" s="21" t="e">
        <f t="shared" ca="1" si="1770"/>
        <v>#NAME?</v>
      </c>
      <c r="CQ213" s="21" t="e">
        <f t="shared" ca="1" si="1770"/>
        <v>#NAME?</v>
      </c>
      <c r="CR213" s="21" t="e">
        <f t="shared" ca="1" si="1770"/>
        <v>#NAME?</v>
      </c>
      <c r="CS213" s="21" t="e">
        <f t="shared" ca="1" si="1770"/>
        <v>#NAME?</v>
      </c>
      <c r="CT213" s="21" t="e">
        <f t="shared" ca="1" si="1770"/>
        <v>#NAME?</v>
      </c>
      <c r="CU213" s="21" t="e">
        <f t="shared" ca="1" si="1770"/>
        <v>#NAME?</v>
      </c>
      <c r="CV213" s="21" t="e">
        <f t="shared" ca="1" si="1770"/>
        <v>#NAME?</v>
      </c>
      <c r="CW213" s="21" t="e">
        <f t="shared" ca="1" si="1770"/>
        <v>#NAME?</v>
      </c>
      <c r="CX213" s="21" t="e">
        <f t="shared" ca="1" si="1770"/>
        <v>#NAME?</v>
      </c>
      <c r="CY213" s="21" t="e">
        <f t="shared" ca="1" si="1770"/>
        <v>#NAME?</v>
      </c>
      <c r="CZ213" s="21" t="e">
        <f t="shared" ca="1" si="1770"/>
        <v>#NAME?</v>
      </c>
      <c r="DA213" s="21" t="e">
        <f t="shared" ca="1" si="1770"/>
        <v>#NAME?</v>
      </c>
      <c r="DB213" s="21" t="e">
        <f t="shared" ca="1" si="1770"/>
        <v>#NAME?</v>
      </c>
      <c r="DE213" s="126"/>
      <c r="DF213" s="22">
        <v>706.91399999999931</v>
      </c>
    </row>
    <row r="214" spans="1:110" s="23" customFormat="1" x14ac:dyDescent="0.2">
      <c r="AB214" s="24"/>
      <c r="AC214" s="24"/>
      <c r="AD214" s="24"/>
      <c r="AE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E214" s="123"/>
    </row>
    <row r="215" spans="1:110" s="22" customFormat="1" x14ac:dyDescent="0.2">
      <c r="A215" s="22" t="s">
        <v>92</v>
      </c>
      <c r="C215" s="22" t="e">
        <f t="shared" ref="C215:W215" ca="1" si="1771">C216+C217</f>
        <v>#NAME?</v>
      </c>
      <c r="D215" s="22" t="e">
        <f ca="1">D216+D217</f>
        <v>#NAME?</v>
      </c>
      <c r="E215" s="22" t="e">
        <f t="shared" ca="1" si="1771"/>
        <v>#NAME?</v>
      </c>
      <c r="F215" s="22" t="e">
        <f t="shared" ca="1" si="1771"/>
        <v>#NAME?</v>
      </c>
      <c r="G215" s="22" t="e">
        <f t="shared" ca="1" si="1771"/>
        <v>#NAME?</v>
      </c>
      <c r="H215" s="22" t="e">
        <f t="shared" ca="1" si="1771"/>
        <v>#NAME?</v>
      </c>
      <c r="I215" s="22" t="e">
        <f t="shared" ca="1" si="1771"/>
        <v>#NAME?</v>
      </c>
      <c r="J215" s="22" t="e">
        <f t="shared" ca="1" si="1771"/>
        <v>#NAME?</v>
      </c>
      <c r="K215" s="22" t="e">
        <f t="shared" ca="1" si="1771"/>
        <v>#NAME?</v>
      </c>
      <c r="L215" s="22" t="e">
        <f t="shared" ca="1" si="1771"/>
        <v>#NAME?</v>
      </c>
      <c r="M215" s="22" t="e">
        <f t="shared" ca="1" si="1771"/>
        <v>#NAME?</v>
      </c>
      <c r="N215" s="22" t="e">
        <f t="shared" ca="1" si="1771"/>
        <v>#NAME?</v>
      </c>
      <c r="O215" s="22" t="e">
        <f t="shared" ca="1" si="1771"/>
        <v>#NAME?</v>
      </c>
      <c r="P215" s="22" t="e">
        <f t="shared" ca="1" si="1771"/>
        <v>#NAME?</v>
      </c>
      <c r="Q215" s="22" t="e">
        <f t="shared" ca="1" si="1771"/>
        <v>#NAME?</v>
      </c>
      <c r="R215" s="22" t="e">
        <f t="shared" ca="1" si="1771"/>
        <v>#NAME?</v>
      </c>
      <c r="S215" s="22" t="e">
        <f t="shared" ca="1" si="1771"/>
        <v>#NAME?</v>
      </c>
      <c r="T215" s="22" t="e">
        <f t="shared" ca="1" si="1771"/>
        <v>#NAME?</v>
      </c>
      <c r="U215" s="22" t="e">
        <f t="shared" ca="1" si="1771"/>
        <v>#NAME?</v>
      </c>
      <c r="V215" s="22" t="e">
        <f t="shared" ca="1" si="1771"/>
        <v>#NAME?</v>
      </c>
      <c r="W215" s="22" t="e">
        <f t="shared" ca="1" si="1771"/>
        <v>#NAME?</v>
      </c>
      <c r="X215" s="22" t="e">
        <f t="shared" ref="X215:Y215" ca="1" si="1772">X216+X217</f>
        <v>#NAME?</v>
      </c>
      <c r="Y215" s="22" t="e">
        <f t="shared" ca="1" si="1772"/>
        <v>#NAME?</v>
      </c>
      <c r="Z215" s="22" t="e">
        <f t="shared" ref="Z215:AA215" ca="1" si="1773">Z216+Z217</f>
        <v>#NAME?</v>
      </c>
      <c r="AA215" s="22" t="e">
        <f t="shared" ca="1" si="1773"/>
        <v>#NAME?</v>
      </c>
      <c r="AB215" s="21" t="e">
        <f t="shared" ref="AA215:AD215" ca="1" si="1774">AB216+AB217</f>
        <v>#NAME?</v>
      </c>
      <c r="AC215" s="21" t="e">
        <f t="shared" ca="1" si="1774"/>
        <v>#NAME?</v>
      </c>
      <c r="AD215" s="21" t="e">
        <f t="shared" ca="1" si="1774"/>
        <v>#NAME?</v>
      </c>
      <c r="AE215" s="21" t="e">
        <f t="shared" ref="AE215" ca="1" si="1775">AE216+AE217</f>
        <v>#NAME?</v>
      </c>
      <c r="AI215" s="22" t="e">
        <f t="shared" ref="AI215" ca="1" si="1776">AI216+AI217</f>
        <v>#NAME?</v>
      </c>
      <c r="AJ215" s="22" t="e">
        <f t="shared" ref="AJ215:AL215" ca="1" si="1777">AJ216+AJ217</f>
        <v>#NAME?</v>
      </c>
      <c r="AK215" s="22" t="e">
        <f t="shared" ca="1" si="1777"/>
        <v>#NAME?</v>
      </c>
      <c r="AL215" s="22" t="e">
        <f t="shared" ca="1" si="1777"/>
        <v>#NAME?</v>
      </c>
      <c r="AM215" s="22" t="e">
        <f t="shared" ref="AM215" ca="1" si="1778">AM216+AM217</f>
        <v>#NAME?</v>
      </c>
      <c r="AN215" s="22" t="e">
        <f t="shared" ref="AN215:CD215" ca="1" si="1779">AN216+AN217</f>
        <v>#NAME?</v>
      </c>
      <c r="AO215" s="22" t="e">
        <f t="shared" ca="1" si="1779"/>
        <v>#NAME?</v>
      </c>
      <c r="AP215" s="22" t="e">
        <f t="shared" ca="1" si="1779"/>
        <v>#NAME?</v>
      </c>
      <c r="AQ215" s="22" t="e">
        <f t="shared" ca="1" si="1779"/>
        <v>#NAME?</v>
      </c>
      <c r="AR215" s="22" t="e">
        <f t="shared" ca="1" si="1779"/>
        <v>#NAME?</v>
      </c>
      <c r="AS215" s="22" t="e">
        <f t="shared" ca="1" si="1779"/>
        <v>#NAME?</v>
      </c>
      <c r="AT215" s="22" t="e">
        <f t="shared" ca="1" si="1779"/>
        <v>#NAME?</v>
      </c>
      <c r="AU215" s="22" t="e">
        <f t="shared" ca="1" si="1779"/>
        <v>#NAME?</v>
      </c>
      <c r="AV215" s="22" t="e">
        <f t="shared" ca="1" si="1779"/>
        <v>#NAME?</v>
      </c>
      <c r="AW215" s="22" t="e">
        <f t="shared" ca="1" si="1779"/>
        <v>#NAME?</v>
      </c>
      <c r="AX215" s="22" t="e">
        <f t="shared" ca="1" si="1779"/>
        <v>#NAME?</v>
      </c>
      <c r="AY215" s="22" t="e">
        <f t="shared" ca="1" si="1779"/>
        <v>#NAME?</v>
      </c>
      <c r="AZ215" s="22" t="e">
        <f t="shared" ca="1" si="1779"/>
        <v>#NAME?</v>
      </c>
      <c r="BA215" s="22" t="e">
        <f t="shared" ca="1" si="1779"/>
        <v>#NAME?</v>
      </c>
      <c r="BB215" s="22" t="e">
        <f t="shared" ca="1" si="1779"/>
        <v>#NAME?</v>
      </c>
      <c r="BC215" s="22" t="e">
        <f t="shared" ca="1" si="1779"/>
        <v>#NAME?</v>
      </c>
      <c r="BD215" s="22" t="e">
        <f t="shared" ca="1" si="1779"/>
        <v>#NAME?</v>
      </c>
      <c r="BE215" s="22" t="e">
        <f t="shared" ca="1" si="1779"/>
        <v>#NAME?</v>
      </c>
      <c r="BF215" s="22" t="e">
        <f t="shared" ca="1" si="1779"/>
        <v>#NAME?</v>
      </c>
      <c r="BG215" s="22" t="e">
        <f t="shared" ca="1" si="1779"/>
        <v>#NAME?</v>
      </c>
      <c r="BH215" s="22" t="e">
        <f t="shared" ca="1" si="1779"/>
        <v>#NAME?</v>
      </c>
      <c r="BI215" s="22" t="e">
        <f t="shared" ca="1" si="1779"/>
        <v>#NAME?</v>
      </c>
      <c r="BJ215" s="22" t="e">
        <f t="shared" ca="1" si="1779"/>
        <v>#NAME?</v>
      </c>
      <c r="BK215" s="22" t="e">
        <f t="shared" ca="1" si="1779"/>
        <v>#NAME?</v>
      </c>
      <c r="BL215" s="22" t="e">
        <f t="shared" ca="1" si="1779"/>
        <v>#NAME?</v>
      </c>
      <c r="BM215" s="22" t="e">
        <f t="shared" ca="1" si="1779"/>
        <v>#NAME?</v>
      </c>
      <c r="BN215" s="22" t="e">
        <f t="shared" ca="1" si="1779"/>
        <v>#NAME?</v>
      </c>
      <c r="BO215" s="22" t="e">
        <f t="shared" ca="1" si="1779"/>
        <v>#NAME?</v>
      </c>
      <c r="BP215" s="22" t="e">
        <f t="shared" ca="1" si="1779"/>
        <v>#NAME?</v>
      </c>
      <c r="BQ215" s="22" t="e">
        <f t="shared" ca="1" si="1779"/>
        <v>#NAME?</v>
      </c>
      <c r="BR215" s="22" t="e">
        <f t="shared" ca="1" si="1779"/>
        <v>#NAME?</v>
      </c>
      <c r="BS215" s="22" t="e">
        <f t="shared" ca="1" si="1779"/>
        <v>#NAME?</v>
      </c>
      <c r="BT215" s="22" t="e">
        <f t="shared" ca="1" si="1779"/>
        <v>#NAME?</v>
      </c>
      <c r="BU215" s="22" t="e">
        <f t="shared" ca="1" si="1779"/>
        <v>#NAME?</v>
      </c>
      <c r="BV215" s="22" t="e">
        <f t="shared" ca="1" si="1779"/>
        <v>#NAME?</v>
      </c>
      <c r="BW215" s="22" t="e">
        <f t="shared" ca="1" si="1779"/>
        <v>#NAME?</v>
      </c>
      <c r="BX215" s="22" t="e">
        <f t="shared" ca="1" si="1779"/>
        <v>#NAME?</v>
      </c>
      <c r="BY215" s="22" t="e">
        <f t="shared" ca="1" si="1779"/>
        <v>#NAME?</v>
      </c>
      <c r="BZ215" s="22" t="e">
        <f t="shared" ca="1" si="1779"/>
        <v>#NAME?</v>
      </c>
      <c r="CA215" s="22" t="e">
        <f t="shared" ca="1" si="1779"/>
        <v>#NAME?</v>
      </c>
      <c r="CB215" s="22" t="e">
        <f t="shared" ca="1" si="1779"/>
        <v>#NAME?</v>
      </c>
      <c r="CC215" s="22" t="e">
        <f t="shared" ca="1" si="1779"/>
        <v>#NAME?</v>
      </c>
      <c r="CD215" s="22" t="e">
        <f t="shared" ca="1" si="1779"/>
        <v>#NAME?</v>
      </c>
      <c r="CE215" s="22" t="e">
        <f t="shared" ref="CE215:CF215" ca="1" si="1780">CE216+CE217</f>
        <v>#NAME?</v>
      </c>
      <c r="CF215" s="22" t="e">
        <f t="shared" ca="1" si="1780"/>
        <v>#NAME?</v>
      </c>
      <c r="CG215" s="22" t="e">
        <f t="shared" ref="CG215:CH215" ca="1" si="1781">CG216+CG217</f>
        <v>#NAME?</v>
      </c>
      <c r="CH215" s="22" t="e">
        <f t="shared" ca="1" si="1781"/>
        <v>#NAME?</v>
      </c>
      <c r="CI215" s="22" t="e">
        <f t="shared" ref="CI215:CJ215" ca="1" si="1782">CI216+CI217</f>
        <v>#NAME?</v>
      </c>
      <c r="CJ215" s="22" t="e">
        <f t="shared" ca="1" si="1782"/>
        <v>#NAME?</v>
      </c>
      <c r="CK215" s="22" t="e">
        <f t="shared" ref="CK215:DB215" ca="1" si="1783">CK216+CK217</f>
        <v>#NAME?</v>
      </c>
      <c r="CL215" s="22" t="e">
        <f t="shared" ca="1" si="1783"/>
        <v>#NAME?</v>
      </c>
      <c r="CM215" s="21" t="e">
        <f t="shared" ca="1" si="1783"/>
        <v>#NAME?</v>
      </c>
      <c r="CN215" s="21" t="e">
        <f t="shared" ca="1" si="1783"/>
        <v>#NAME?</v>
      </c>
      <c r="CO215" s="21" t="e">
        <f t="shared" ca="1" si="1783"/>
        <v>#NAME?</v>
      </c>
      <c r="CP215" s="21" t="e">
        <f t="shared" ca="1" si="1783"/>
        <v>#NAME?</v>
      </c>
      <c r="CQ215" s="21" t="e">
        <f t="shared" ca="1" si="1783"/>
        <v>#NAME?</v>
      </c>
      <c r="CR215" s="21" t="e">
        <f t="shared" ca="1" si="1783"/>
        <v>#NAME?</v>
      </c>
      <c r="CS215" s="21" t="e">
        <f t="shared" ca="1" si="1783"/>
        <v>#NAME?</v>
      </c>
      <c r="CT215" s="21" t="e">
        <f t="shared" ca="1" si="1783"/>
        <v>#NAME?</v>
      </c>
      <c r="CU215" s="21" t="e">
        <f t="shared" ca="1" si="1783"/>
        <v>#NAME?</v>
      </c>
      <c r="CV215" s="21" t="e">
        <f t="shared" ca="1" si="1783"/>
        <v>#NAME?</v>
      </c>
      <c r="CW215" s="21" t="e">
        <f t="shared" ca="1" si="1783"/>
        <v>#NAME?</v>
      </c>
      <c r="CX215" s="21" t="e">
        <f t="shared" ca="1" si="1783"/>
        <v>#NAME?</v>
      </c>
      <c r="CY215" s="21" t="e">
        <f t="shared" ca="1" si="1783"/>
        <v>#NAME?</v>
      </c>
      <c r="CZ215" s="21" t="e">
        <f t="shared" ca="1" si="1783"/>
        <v>#NAME?</v>
      </c>
      <c r="DA215" s="21" t="e">
        <f t="shared" ca="1" si="1783"/>
        <v>#NAME?</v>
      </c>
      <c r="DB215" s="21" t="e">
        <f t="shared" ca="1" si="1783"/>
        <v>#NAME?</v>
      </c>
      <c r="DE215" s="126"/>
      <c r="DF215" s="22">
        <v>2.2330000000000041</v>
      </c>
    </row>
    <row r="216" spans="1:110" s="23" customFormat="1" x14ac:dyDescent="0.2">
      <c r="A216" s="23" t="s">
        <v>93</v>
      </c>
      <c r="C216" s="23" t="e">
        <f t="shared" ref="C216:AA216" ca="1" si="1784">B154-C154</f>
        <v>#NAME?</v>
      </c>
      <c r="D216" s="23" t="e">
        <f t="shared" ca="1" si="1784"/>
        <v>#NAME?</v>
      </c>
      <c r="E216" s="23" t="e">
        <f ca="1">D154-E154</f>
        <v>#NAME?</v>
      </c>
      <c r="F216" s="23" t="e">
        <f t="shared" ca="1" si="1784"/>
        <v>#NAME?</v>
      </c>
      <c r="G216" s="23" t="e">
        <f t="shared" ca="1" si="1784"/>
        <v>#NAME?</v>
      </c>
      <c r="H216" s="23" t="e">
        <f t="shared" ca="1" si="1784"/>
        <v>#NAME?</v>
      </c>
      <c r="I216" s="23" t="e">
        <f t="shared" ca="1" si="1784"/>
        <v>#NAME?</v>
      </c>
      <c r="J216" s="23" t="e">
        <f ca="1">I154-J154</f>
        <v>#NAME?</v>
      </c>
      <c r="K216" s="23" t="e">
        <f ca="1">J154-K154</f>
        <v>#NAME?</v>
      </c>
      <c r="L216" s="23" t="e">
        <f t="shared" ca="1" si="1784"/>
        <v>#NAME?</v>
      </c>
      <c r="M216" s="23" t="e">
        <f t="shared" ca="1" si="1784"/>
        <v>#NAME?</v>
      </c>
      <c r="N216" s="23" t="e">
        <f t="shared" ca="1" si="1784"/>
        <v>#NAME?</v>
      </c>
      <c r="O216" s="23" t="e">
        <f t="shared" ca="1" si="1784"/>
        <v>#NAME?</v>
      </c>
      <c r="P216" s="23" t="e">
        <f t="shared" ca="1" si="1784"/>
        <v>#NAME?</v>
      </c>
      <c r="Q216" s="23" t="e">
        <f t="shared" ca="1" si="1784"/>
        <v>#NAME?</v>
      </c>
      <c r="R216" s="23" t="e">
        <f t="shared" ca="1" si="1784"/>
        <v>#NAME?</v>
      </c>
      <c r="S216" s="23" t="e">
        <f t="shared" ca="1" si="1784"/>
        <v>#NAME?</v>
      </c>
      <c r="T216" s="23" t="e">
        <f t="shared" ca="1" si="1784"/>
        <v>#NAME?</v>
      </c>
      <c r="U216" s="23" t="e">
        <f t="shared" ca="1" si="1784"/>
        <v>#NAME?</v>
      </c>
      <c r="V216" s="23" t="e">
        <f t="shared" ca="1" si="1784"/>
        <v>#NAME?</v>
      </c>
      <c r="W216" s="23" t="e">
        <f t="shared" ca="1" si="1784"/>
        <v>#NAME?</v>
      </c>
      <c r="X216" s="23" t="e">
        <f t="shared" ca="1" si="1784"/>
        <v>#NAME?</v>
      </c>
      <c r="Y216" s="23" t="e">
        <f t="shared" ca="1" si="1784"/>
        <v>#NAME?</v>
      </c>
      <c r="Z216" s="23" t="e">
        <f t="shared" ca="1" si="1784"/>
        <v>#NAME?</v>
      </c>
      <c r="AA216" s="23" t="e">
        <f t="shared" ca="1" si="1784"/>
        <v>#NAME?</v>
      </c>
      <c r="AB216" s="24" t="e">
        <f t="shared" ref="AB216" ca="1" si="1785">AA154-AB154</f>
        <v>#NAME?</v>
      </c>
      <c r="AC216" s="24" t="e">
        <f t="shared" ref="AC216" ca="1" si="1786">AB154-AC154</f>
        <v>#NAME?</v>
      </c>
      <c r="AD216" s="24" t="e">
        <f t="shared" ref="AD216" ca="1" si="1787">AC154-AD154</f>
        <v>#NAME?</v>
      </c>
      <c r="AE216" s="24" t="e">
        <f t="shared" ref="AE216" ca="1" si="1788">AD154-AE154</f>
        <v>#NAME?</v>
      </c>
      <c r="AI216" s="23">
        <f t="shared" ref="AI216" si="1789">AH154-AI154</f>
        <v>0</v>
      </c>
      <c r="AJ216" s="23" t="e">
        <f t="shared" ref="AJ216" ca="1" si="1790">AI154-AJ154</f>
        <v>#NAME?</v>
      </c>
      <c r="AK216" s="23" t="e">
        <f t="shared" ref="AK216" ca="1" si="1791">AJ154-AK154</f>
        <v>#NAME?</v>
      </c>
      <c r="AL216" s="23" t="e">
        <f t="shared" ref="AL216" ca="1" si="1792">AK154-AL154</f>
        <v>#NAME?</v>
      </c>
      <c r="AM216" s="23" t="e">
        <f t="shared" ref="AM216" ca="1" si="1793">AL154-AM154</f>
        <v>#NAME?</v>
      </c>
      <c r="AN216" s="23" t="e">
        <f t="shared" ref="AN216" ca="1" si="1794">AM154-AN154</f>
        <v>#NAME?</v>
      </c>
      <c r="AO216" s="23" t="e">
        <f t="shared" ref="AO216" ca="1" si="1795">AN154-AO154</f>
        <v>#NAME?</v>
      </c>
      <c r="AP216" s="23" t="e">
        <f t="shared" ref="AP216" ca="1" si="1796">AO154-AP154</f>
        <v>#NAME?</v>
      </c>
      <c r="AQ216" s="23" t="e">
        <f t="shared" ref="AQ216" ca="1" si="1797">AP154-AQ154</f>
        <v>#NAME?</v>
      </c>
      <c r="AR216" s="23" t="e">
        <f t="shared" ref="AR216" ca="1" si="1798">AQ154-AR154</f>
        <v>#NAME?</v>
      </c>
      <c r="AS216" s="23" t="e">
        <f t="shared" ref="AS216" ca="1" si="1799">AR154-AS154</f>
        <v>#NAME?</v>
      </c>
      <c r="AT216" s="23" t="e">
        <f t="shared" ref="AT216" ca="1" si="1800">AS154-AT154</f>
        <v>#NAME?</v>
      </c>
      <c r="AU216" s="23" t="e">
        <f t="shared" ref="AU216" ca="1" si="1801">AT154-AU154</f>
        <v>#NAME?</v>
      </c>
      <c r="AV216" s="23" t="e">
        <f t="shared" ref="AV216" ca="1" si="1802">AU154-AV154</f>
        <v>#NAME?</v>
      </c>
      <c r="AW216" s="23" t="e">
        <f t="shared" ref="AW216" ca="1" si="1803">AV154-AW154</f>
        <v>#NAME?</v>
      </c>
      <c r="AX216" s="23" t="e">
        <f t="shared" ref="AX216" ca="1" si="1804">AW154-AX154</f>
        <v>#NAME?</v>
      </c>
      <c r="AY216" s="23" t="e">
        <f t="shared" ref="AY216" ca="1" si="1805">AX154-AY154</f>
        <v>#NAME?</v>
      </c>
      <c r="AZ216" s="23" t="e">
        <f t="shared" ref="AZ216" ca="1" si="1806">AY154-AZ154</f>
        <v>#NAME?</v>
      </c>
      <c r="BA216" s="23" t="e">
        <f t="shared" ref="BA216" ca="1" si="1807">AZ154-BA154</f>
        <v>#NAME?</v>
      </c>
      <c r="BB216" s="23" t="e">
        <f t="shared" ref="BB216" ca="1" si="1808">BA154-BB154</f>
        <v>#NAME?</v>
      </c>
      <c r="BC216" s="23" t="e">
        <f t="shared" ref="BC216" ca="1" si="1809">BB154-BC154</f>
        <v>#NAME?</v>
      </c>
      <c r="BD216" s="23" t="e">
        <f t="shared" ref="BD216" ca="1" si="1810">BC154-BD154</f>
        <v>#NAME?</v>
      </c>
      <c r="BE216" s="23" t="e">
        <f t="shared" ref="BE216" ca="1" si="1811">BD154-BE154</f>
        <v>#NAME?</v>
      </c>
      <c r="BF216" s="23" t="e">
        <f t="shared" ref="BF216" ca="1" si="1812">BE154-BF154</f>
        <v>#NAME?</v>
      </c>
      <c r="BG216" s="23" t="e">
        <f t="shared" ref="BG216" ca="1" si="1813">BF154-BG154</f>
        <v>#NAME?</v>
      </c>
      <c r="BH216" s="23" t="e">
        <f t="shared" ref="BH216" ca="1" si="1814">BG154-BH154</f>
        <v>#NAME?</v>
      </c>
      <c r="BI216" s="23" t="e">
        <f t="shared" ref="BI216" ca="1" si="1815">BH154-BI154</f>
        <v>#NAME?</v>
      </c>
      <c r="BJ216" s="23" t="e">
        <f t="shared" ref="BJ216" ca="1" si="1816">BI154-BJ154</f>
        <v>#NAME?</v>
      </c>
      <c r="BK216" s="23" t="e">
        <f t="shared" ref="BK216" ca="1" si="1817">BJ154-BK154</f>
        <v>#NAME?</v>
      </c>
      <c r="BL216" s="23" t="e">
        <f t="shared" ref="BL216" ca="1" si="1818">BK154-BL154</f>
        <v>#NAME?</v>
      </c>
      <c r="BM216" s="23" t="e">
        <f t="shared" ref="BM216" ca="1" si="1819">BL154-BM154</f>
        <v>#NAME?</v>
      </c>
      <c r="BN216" s="23" t="e">
        <f t="shared" ref="BN216" ca="1" si="1820">BM154-BN154</f>
        <v>#NAME?</v>
      </c>
      <c r="BO216" s="23" t="e">
        <f t="shared" ref="BO216" ca="1" si="1821">BN154-BO154</f>
        <v>#NAME?</v>
      </c>
      <c r="BP216" s="23" t="e">
        <f t="shared" ref="BP216" ca="1" si="1822">BO154-BP154</f>
        <v>#NAME?</v>
      </c>
      <c r="BQ216" s="23" t="e">
        <f t="shared" ref="BQ216" ca="1" si="1823">BP154-BQ154</f>
        <v>#NAME?</v>
      </c>
      <c r="BR216" s="23" t="e">
        <f t="shared" ref="BR216" ca="1" si="1824">BQ154-BR154</f>
        <v>#NAME?</v>
      </c>
      <c r="BS216" s="23" t="e">
        <f t="shared" ref="BS216" ca="1" si="1825">BR154-BS154</f>
        <v>#NAME?</v>
      </c>
      <c r="BT216" s="23" t="e">
        <f t="shared" ref="BT216" ca="1" si="1826">BS154-BT154</f>
        <v>#NAME?</v>
      </c>
      <c r="BU216" s="23" t="e">
        <f t="shared" ref="BU216" ca="1" si="1827">BT154-BU154</f>
        <v>#NAME?</v>
      </c>
      <c r="BV216" s="23" t="e">
        <f t="shared" ref="BV216" ca="1" si="1828">BU154-BV154</f>
        <v>#NAME?</v>
      </c>
      <c r="BW216" s="23" t="e">
        <f t="shared" ref="BW216" ca="1" si="1829">BV154-BW154</f>
        <v>#NAME?</v>
      </c>
      <c r="BX216" s="23" t="e">
        <f t="shared" ref="BX216" ca="1" si="1830">BW154-BX154</f>
        <v>#NAME?</v>
      </c>
      <c r="BY216" s="23" t="e">
        <f t="shared" ref="BY216" ca="1" si="1831">BX154-BY154</f>
        <v>#NAME?</v>
      </c>
      <c r="BZ216" s="23" t="e">
        <f t="shared" ref="BZ216" ca="1" si="1832">BY154-BZ154</f>
        <v>#NAME?</v>
      </c>
      <c r="CA216" s="23" t="e">
        <f t="shared" ref="CA216" ca="1" si="1833">BZ154-CA154</f>
        <v>#NAME?</v>
      </c>
      <c r="CB216" s="23" t="e">
        <f t="shared" ref="CB216" ca="1" si="1834">CA154-CB154</f>
        <v>#NAME?</v>
      </c>
      <c r="CC216" s="23" t="e">
        <f t="shared" ref="CC216" ca="1" si="1835">CB154-CC154</f>
        <v>#NAME?</v>
      </c>
      <c r="CD216" s="23" t="e">
        <f t="shared" ref="CD216" ca="1" si="1836">CC154-CD154</f>
        <v>#NAME?</v>
      </c>
      <c r="CE216" s="23" t="e">
        <f t="shared" ref="CE216" ca="1" si="1837">CD154-CE154</f>
        <v>#NAME?</v>
      </c>
      <c r="CF216" s="23" t="e">
        <f t="shared" ref="CF216" ca="1" si="1838">CE154-CF154</f>
        <v>#NAME?</v>
      </c>
      <c r="CG216" s="23" t="e">
        <f t="shared" ref="CG216" ca="1" si="1839">CF154-CG154</f>
        <v>#NAME?</v>
      </c>
      <c r="CH216" s="23" t="e">
        <f t="shared" ref="CH216:CL216" ca="1" si="1840">CG154-CH154</f>
        <v>#NAME?</v>
      </c>
      <c r="CI216" s="23" t="e">
        <f t="shared" ca="1" si="1840"/>
        <v>#NAME?</v>
      </c>
      <c r="CJ216" s="23" t="e">
        <f t="shared" ca="1" si="1840"/>
        <v>#NAME?</v>
      </c>
      <c r="CK216" s="23" t="e">
        <f t="shared" ref="CK216" ca="1" si="1841">CJ154-CK154</f>
        <v>#NAME?</v>
      </c>
      <c r="CL216" s="23" t="e">
        <f t="shared" ca="1" si="1840"/>
        <v>#NAME?</v>
      </c>
      <c r="CM216" s="24" t="e">
        <f t="shared" ref="CM216" ca="1" si="1842">CL154-CM154</f>
        <v>#NAME?</v>
      </c>
      <c r="CN216" s="24" t="e">
        <f t="shared" ref="CN216" ca="1" si="1843">CM154-CN154</f>
        <v>#NAME?</v>
      </c>
      <c r="CO216" s="24" t="e">
        <f t="shared" ref="CO216" ca="1" si="1844">CN154-CO154</f>
        <v>#NAME?</v>
      </c>
      <c r="CP216" s="24" t="e">
        <f t="shared" ref="CP216" ca="1" si="1845">CO154-CP154</f>
        <v>#NAME?</v>
      </c>
      <c r="CQ216" s="24" t="e">
        <f t="shared" ref="CQ216" ca="1" si="1846">CP154-CQ154</f>
        <v>#NAME?</v>
      </c>
      <c r="CR216" s="24" t="e">
        <f t="shared" ref="CR216" ca="1" si="1847">CQ154-CR154</f>
        <v>#NAME?</v>
      </c>
      <c r="CS216" s="24" t="e">
        <f t="shared" ref="CS216" ca="1" si="1848">CR154-CS154</f>
        <v>#NAME?</v>
      </c>
      <c r="CT216" s="24" t="e">
        <f t="shared" ref="CT216" ca="1" si="1849">CS154-CT154</f>
        <v>#NAME?</v>
      </c>
      <c r="CU216" s="24" t="e">
        <f t="shared" ref="CU216" ca="1" si="1850">CT154-CU154</f>
        <v>#NAME?</v>
      </c>
      <c r="CV216" s="24" t="e">
        <f t="shared" ref="CV216" ca="1" si="1851">CU154-CV154</f>
        <v>#NAME?</v>
      </c>
      <c r="CW216" s="24" t="e">
        <f t="shared" ref="CW216" ca="1" si="1852">CV154-CW154</f>
        <v>#NAME?</v>
      </c>
      <c r="CX216" s="24" t="e">
        <f t="shared" ref="CX216" ca="1" si="1853">CW154-CX154</f>
        <v>#NAME?</v>
      </c>
      <c r="CY216" s="24" t="e">
        <f t="shared" ref="CY216" ca="1" si="1854">CX154-CY154</f>
        <v>#NAME?</v>
      </c>
      <c r="CZ216" s="24" t="e">
        <f t="shared" ref="CZ216" ca="1" si="1855">CY154-CZ154</f>
        <v>#NAME?</v>
      </c>
      <c r="DA216" s="24" t="e">
        <f t="shared" ref="DA216" ca="1" si="1856">CZ154-DA154</f>
        <v>#NAME?</v>
      </c>
      <c r="DB216" s="24" t="e">
        <f t="shared" ref="DB216" ca="1" si="1857">DA154-DB154</f>
        <v>#NAME?</v>
      </c>
      <c r="DE216" s="123"/>
      <c r="DF216" s="23">
        <v>0</v>
      </c>
    </row>
    <row r="217" spans="1:110" s="23" customFormat="1" x14ac:dyDescent="0.2">
      <c r="A217" s="23" t="s">
        <v>94</v>
      </c>
      <c r="C217" s="23" t="e">
        <f t="shared" ref="C217:AE217" ca="1" si="1858">B152-C46-C152</f>
        <v>#NAME?</v>
      </c>
      <c r="D217" s="23" t="e">
        <f t="shared" ca="1" si="1858"/>
        <v>#NAME?</v>
      </c>
      <c r="E217" s="23" t="e">
        <f t="shared" ca="1" si="1858"/>
        <v>#NAME?</v>
      </c>
      <c r="F217" s="23" t="e">
        <f t="shared" ca="1" si="1858"/>
        <v>#NAME?</v>
      </c>
      <c r="G217" s="23" t="e">
        <f t="shared" ca="1" si="1858"/>
        <v>#NAME?</v>
      </c>
      <c r="H217" s="23" t="e">
        <f t="shared" ca="1" si="1858"/>
        <v>#NAME?</v>
      </c>
      <c r="I217" s="23" t="e">
        <f t="shared" ca="1" si="1858"/>
        <v>#NAME?</v>
      </c>
      <c r="J217" s="23" t="e">
        <f t="shared" ca="1" si="1858"/>
        <v>#NAME?</v>
      </c>
      <c r="K217" s="23" t="e">
        <f t="shared" ca="1" si="1858"/>
        <v>#NAME?</v>
      </c>
      <c r="L217" s="23" t="e">
        <f t="shared" ca="1" si="1858"/>
        <v>#NAME?</v>
      </c>
      <c r="M217" s="23" t="e">
        <f t="shared" ca="1" si="1858"/>
        <v>#NAME?</v>
      </c>
      <c r="N217" s="23" t="e">
        <f t="shared" ca="1" si="1858"/>
        <v>#NAME?</v>
      </c>
      <c r="O217" s="23" t="e">
        <f t="shared" ca="1" si="1858"/>
        <v>#NAME?</v>
      </c>
      <c r="P217" s="23" t="e">
        <f t="shared" ca="1" si="1858"/>
        <v>#NAME?</v>
      </c>
      <c r="Q217" s="23" t="e">
        <f t="shared" ca="1" si="1858"/>
        <v>#NAME?</v>
      </c>
      <c r="R217" s="23" t="e">
        <f t="shared" ca="1" si="1858"/>
        <v>#NAME?</v>
      </c>
      <c r="S217" s="23" t="e">
        <f t="shared" ca="1" si="1858"/>
        <v>#NAME?</v>
      </c>
      <c r="T217" s="23" t="e">
        <f t="shared" ca="1" si="1858"/>
        <v>#NAME?</v>
      </c>
      <c r="U217" s="23" t="e">
        <f t="shared" ca="1" si="1858"/>
        <v>#NAME?</v>
      </c>
      <c r="V217" s="23" t="e">
        <f t="shared" ca="1" si="1858"/>
        <v>#NAME?</v>
      </c>
      <c r="W217" s="23" t="e">
        <f t="shared" ca="1" si="1858"/>
        <v>#NAME?</v>
      </c>
      <c r="X217" s="23" t="e">
        <f t="shared" ca="1" si="1858"/>
        <v>#NAME?</v>
      </c>
      <c r="Y217" s="23" t="e">
        <f t="shared" ca="1" si="1858"/>
        <v>#NAME?</v>
      </c>
      <c r="Z217" s="23" t="e">
        <f t="shared" ca="1" si="1858"/>
        <v>#NAME?</v>
      </c>
      <c r="AA217" s="23" t="e">
        <f t="shared" ca="1" si="1858"/>
        <v>#NAME?</v>
      </c>
      <c r="AB217" s="24" t="e">
        <f t="shared" ca="1" si="1858"/>
        <v>#NAME?</v>
      </c>
      <c r="AC217" s="24" t="e">
        <f t="shared" ca="1" si="1858"/>
        <v>#NAME?</v>
      </c>
      <c r="AD217" s="24" t="e">
        <f t="shared" ca="1" si="1858"/>
        <v>#NAME?</v>
      </c>
      <c r="AE217" s="24" t="e">
        <f t="shared" ca="1" si="1858"/>
        <v>#NAME?</v>
      </c>
      <c r="AI217" s="23" t="e">
        <f t="shared" ref="AI217:BN217" ca="1" si="1859">AH152-AI46-AI152</f>
        <v>#NAME?</v>
      </c>
      <c r="AJ217" s="23" t="e">
        <f t="shared" ca="1" si="1859"/>
        <v>#NAME?</v>
      </c>
      <c r="AK217" s="23" t="e">
        <f t="shared" ca="1" si="1859"/>
        <v>#NAME?</v>
      </c>
      <c r="AL217" s="23" t="e">
        <f t="shared" ca="1" si="1859"/>
        <v>#NAME?</v>
      </c>
      <c r="AM217" s="23" t="e">
        <f t="shared" ca="1" si="1859"/>
        <v>#NAME?</v>
      </c>
      <c r="AN217" s="23" t="e">
        <f t="shared" ca="1" si="1859"/>
        <v>#NAME?</v>
      </c>
      <c r="AO217" s="23" t="e">
        <f t="shared" ca="1" si="1859"/>
        <v>#NAME?</v>
      </c>
      <c r="AP217" s="23" t="e">
        <f t="shared" ca="1" si="1859"/>
        <v>#NAME?</v>
      </c>
      <c r="AQ217" s="23" t="e">
        <f t="shared" ca="1" si="1859"/>
        <v>#NAME?</v>
      </c>
      <c r="AR217" s="23" t="e">
        <f t="shared" ca="1" si="1859"/>
        <v>#NAME?</v>
      </c>
      <c r="AS217" s="23" t="e">
        <f t="shared" ca="1" si="1859"/>
        <v>#NAME?</v>
      </c>
      <c r="AT217" s="23" t="e">
        <f t="shared" ca="1" si="1859"/>
        <v>#NAME?</v>
      </c>
      <c r="AU217" s="23" t="e">
        <f t="shared" ca="1" si="1859"/>
        <v>#NAME?</v>
      </c>
      <c r="AV217" s="23" t="e">
        <f t="shared" ca="1" si="1859"/>
        <v>#NAME?</v>
      </c>
      <c r="AW217" s="23" t="e">
        <f t="shared" ca="1" si="1859"/>
        <v>#NAME?</v>
      </c>
      <c r="AX217" s="23" t="e">
        <f t="shared" ca="1" si="1859"/>
        <v>#NAME?</v>
      </c>
      <c r="AY217" s="23" t="e">
        <f t="shared" ca="1" si="1859"/>
        <v>#NAME?</v>
      </c>
      <c r="AZ217" s="23" t="e">
        <f t="shared" ca="1" si="1859"/>
        <v>#NAME?</v>
      </c>
      <c r="BA217" s="23" t="e">
        <f t="shared" ca="1" si="1859"/>
        <v>#NAME?</v>
      </c>
      <c r="BB217" s="23" t="e">
        <f t="shared" ca="1" si="1859"/>
        <v>#NAME?</v>
      </c>
      <c r="BC217" s="23" t="e">
        <f t="shared" ca="1" si="1859"/>
        <v>#NAME?</v>
      </c>
      <c r="BD217" s="23" t="e">
        <f t="shared" ca="1" si="1859"/>
        <v>#NAME?</v>
      </c>
      <c r="BE217" s="23" t="e">
        <f t="shared" ca="1" si="1859"/>
        <v>#NAME?</v>
      </c>
      <c r="BF217" s="23" t="e">
        <f t="shared" ca="1" si="1859"/>
        <v>#NAME?</v>
      </c>
      <c r="BG217" s="23" t="e">
        <f t="shared" ca="1" si="1859"/>
        <v>#NAME?</v>
      </c>
      <c r="BH217" s="23" t="e">
        <f t="shared" ca="1" si="1859"/>
        <v>#NAME?</v>
      </c>
      <c r="BI217" s="23" t="e">
        <f t="shared" ca="1" si="1859"/>
        <v>#NAME?</v>
      </c>
      <c r="BJ217" s="23" t="e">
        <f t="shared" ca="1" si="1859"/>
        <v>#NAME?</v>
      </c>
      <c r="BK217" s="23" t="e">
        <f t="shared" ca="1" si="1859"/>
        <v>#NAME?</v>
      </c>
      <c r="BL217" s="23" t="e">
        <f t="shared" ca="1" si="1859"/>
        <v>#NAME?</v>
      </c>
      <c r="BM217" s="23" t="e">
        <f t="shared" ca="1" si="1859"/>
        <v>#NAME?</v>
      </c>
      <c r="BN217" s="23" t="e">
        <f t="shared" ca="1" si="1859"/>
        <v>#NAME?</v>
      </c>
      <c r="BO217" s="23" t="e">
        <f t="shared" ref="BO217:CT217" ca="1" si="1860">BN152-BO46-BO152</f>
        <v>#NAME?</v>
      </c>
      <c r="BP217" s="23" t="e">
        <f t="shared" ca="1" si="1860"/>
        <v>#NAME?</v>
      </c>
      <c r="BQ217" s="23" t="e">
        <f t="shared" ca="1" si="1860"/>
        <v>#NAME?</v>
      </c>
      <c r="BR217" s="23" t="e">
        <f t="shared" ca="1" si="1860"/>
        <v>#NAME?</v>
      </c>
      <c r="BS217" s="23" t="e">
        <f t="shared" ca="1" si="1860"/>
        <v>#NAME?</v>
      </c>
      <c r="BT217" s="23" t="e">
        <f t="shared" ca="1" si="1860"/>
        <v>#NAME?</v>
      </c>
      <c r="BU217" s="23" t="e">
        <f t="shared" ca="1" si="1860"/>
        <v>#NAME?</v>
      </c>
      <c r="BV217" s="23" t="e">
        <f t="shared" ca="1" si="1860"/>
        <v>#NAME?</v>
      </c>
      <c r="BW217" s="23" t="e">
        <f t="shared" ca="1" si="1860"/>
        <v>#NAME?</v>
      </c>
      <c r="BX217" s="23" t="e">
        <f t="shared" ca="1" si="1860"/>
        <v>#NAME?</v>
      </c>
      <c r="BY217" s="23" t="e">
        <f t="shared" ca="1" si="1860"/>
        <v>#NAME?</v>
      </c>
      <c r="BZ217" s="23" t="e">
        <f t="shared" ca="1" si="1860"/>
        <v>#NAME?</v>
      </c>
      <c r="CA217" s="23" t="e">
        <f t="shared" ca="1" si="1860"/>
        <v>#NAME?</v>
      </c>
      <c r="CB217" s="23" t="e">
        <f t="shared" ca="1" si="1860"/>
        <v>#NAME?</v>
      </c>
      <c r="CC217" s="23" t="e">
        <f t="shared" ca="1" si="1860"/>
        <v>#NAME?</v>
      </c>
      <c r="CD217" s="23" t="e">
        <f t="shared" ca="1" si="1860"/>
        <v>#NAME?</v>
      </c>
      <c r="CE217" s="23" t="e">
        <f t="shared" ca="1" si="1860"/>
        <v>#NAME?</v>
      </c>
      <c r="CF217" s="23" t="e">
        <f t="shared" ca="1" si="1860"/>
        <v>#NAME?</v>
      </c>
      <c r="CG217" s="23" t="e">
        <f t="shared" ca="1" si="1860"/>
        <v>#NAME?</v>
      </c>
      <c r="CH217" s="23" t="e">
        <f t="shared" ca="1" si="1860"/>
        <v>#NAME?</v>
      </c>
      <c r="CI217" s="23" t="e">
        <f t="shared" ca="1" si="1860"/>
        <v>#NAME?</v>
      </c>
      <c r="CJ217" s="23" t="e">
        <f t="shared" ca="1" si="1860"/>
        <v>#NAME?</v>
      </c>
      <c r="CK217" s="23" t="e">
        <f t="shared" ca="1" si="1860"/>
        <v>#NAME?</v>
      </c>
      <c r="CL217" s="23" t="e">
        <f t="shared" ca="1" si="1860"/>
        <v>#NAME?</v>
      </c>
      <c r="CM217" s="24" t="e">
        <f t="shared" ca="1" si="1860"/>
        <v>#NAME?</v>
      </c>
      <c r="CN217" s="24" t="e">
        <f t="shared" ca="1" si="1860"/>
        <v>#NAME?</v>
      </c>
      <c r="CO217" s="24" t="e">
        <f t="shared" ca="1" si="1860"/>
        <v>#NAME?</v>
      </c>
      <c r="CP217" s="24" t="e">
        <f t="shared" ca="1" si="1860"/>
        <v>#NAME?</v>
      </c>
      <c r="CQ217" s="24" t="e">
        <f t="shared" ca="1" si="1860"/>
        <v>#NAME?</v>
      </c>
      <c r="CR217" s="24" t="e">
        <f t="shared" ca="1" si="1860"/>
        <v>#NAME?</v>
      </c>
      <c r="CS217" s="24" t="e">
        <f t="shared" ca="1" si="1860"/>
        <v>#NAME?</v>
      </c>
      <c r="CT217" s="24" t="e">
        <f t="shared" ca="1" si="1860"/>
        <v>#NAME?</v>
      </c>
      <c r="CU217" s="24" t="e">
        <f t="shared" ref="CU217:DB217" ca="1" si="1861">CT152-CU46-CU152</f>
        <v>#NAME?</v>
      </c>
      <c r="CV217" s="24" t="e">
        <f t="shared" ca="1" si="1861"/>
        <v>#NAME?</v>
      </c>
      <c r="CW217" s="24" t="e">
        <f t="shared" ca="1" si="1861"/>
        <v>#NAME?</v>
      </c>
      <c r="CX217" s="24" t="e">
        <f t="shared" ca="1" si="1861"/>
        <v>#NAME?</v>
      </c>
      <c r="CY217" s="24" t="e">
        <f t="shared" ca="1" si="1861"/>
        <v>#NAME?</v>
      </c>
      <c r="CZ217" s="24" t="e">
        <f t="shared" ca="1" si="1861"/>
        <v>#NAME?</v>
      </c>
      <c r="DA217" s="24" t="e">
        <f t="shared" ca="1" si="1861"/>
        <v>#NAME?</v>
      </c>
      <c r="DB217" s="24" t="e">
        <f t="shared" ca="1" si="1861"/>
        <v>#NAME?</v>
      </c>
      <c r="DE217" s="123"/>
      <c r="DF217" s="23">
        <v>2.2330000000000041</v>
      </c>
    </row>
    <row r="218" spans="1:110" s="23" customFormat="1" x14ac:dyDescent="0.2">
      <c r="AB218" s="24"/>
      <c r="AC218" s="24"/>
      <c r="AD218" s="24"/>
      <c r="AE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E218" s="123"/>
    </row>
    <row r="219" spans="1:110" s="22" customFormat="1" x14ac:dyDescent="0.2">
      <c r="A219" s="22" t="s">
        <v>95</v>
      </c>
      <c r="C219" s="22" t="e">
        <f t="shared" ref="C219:W219" ca="1" si="1862">C220+C221</f>
        <v>#NAME?</v>
      </c>
      <c r="D219" s="22" t="e">
        <f t="shared" ca="1" si="1862"/>
        <v>#NAME?</v>
      </c>
      <c r="E219" s="22" t="e">
        <f t="shared" ca="1" si="1862"/>
        <v>#NAME?</v>
      </c>
      <c r="F219" s="22" t="e">
        <f t="shared" ca="1" si="1862"/>
        <v>#NAME?</v>
      </c>
      <c r="G219" s="22" t="e">
        <f t="shared" ca="1" si="1862"/>
        <v>#NAME?</v>
      </c>
      <c r="H219" s="22" t="e">
        <f t="shared" ca="1" si="1862"/>
        <v>#NAME?</v>
      </c>
      <c r="I219" s="22" t="e">
        <f t="shared" ca="1" si="1862"/>
        <v>#NAME?</v>
      </c>
      <c r="J219" s="22" t="e">
        <f t="shared" ca="1" si="1862"/>
        <v>#NAME?</v>
      </c>
      <c r="K219" s="22" t="e">
        <f t="shared" ca="1" si="1862"/>
        <v>#NAME?</v>
      </c>
      <c r="L219" s="22" t="e">
        <f t="shared" ca="1" si="1862"/>
        <v>#NAME?</v>
      </c>
      <c r="M219" s="22" t="e">
        <f t="shared" ca="1" si="1862"/>
        <v>#NAME?</v>
      </c>
      <c r="N219" s="22" t="e">
        <f t="shared" ca="1" si="1862"/>
        <v>#NAME?</v>
      </c>
      <c r="O219" s="22" t="e">
        <f t="shared" ca="1" si="1862"/>
        <v>#NAME?</v>
      </c>
      <c r="P219" s="22" t="e">
        <f t="shared" ca="1" si="1862"/>
        <v>#NAME?</v>
      </c>
      <c r="Q219" s="22" t="e">
        <f t="shared" ca="1" si="1862"/>
        <v>#NAME?</v>
      </c>
      <c r="R219" s="22" t="e">
        <f t="shared" ca="1" si="1862"/>
        <v>#NAME?</v>
      </c>
      <c r="S219" s="22" t="e">
        <f t="shared" ca="1" si="1862"/>
        <v>#NAME?</v>
      </c>
      <c r="T219" s="22" t="e">
        <f t="shared" ca="1" si="1862"/>
        <v>#NAME?</v>
      </c>
      <c r="U219" s="22" t="e">
        <f t="shared" ca="1" si="1862"/>
        <v>#NAME?</v>
      </c>
      <c r="V219" s="22" t="e">
        <f t="shared" ca="1" si="1862"/>
        <v>#NAME?</v>
      </c>
      <c r="W219" s="22" t="e">
        <f t="shared" ca="1" si="1862"/>
        <v>#NAME?</v>
      </c>
      <c r="X219" s="22" t="e">
        <f t="shared" ref="X219:Y219" ca="1" si="1863">X220+X221</f>
        <v>#NAME?</v>
      </c>
      <c r="Y219" s="22" t="e">
        <f t="shared" ca="1" si="1863"/>
        <v>#NAME?</v>
      </c>
      <c r="Z219" s="22" t="e">
        <f t="shared" ref="Z219:AA219" ca="1" si="1864">Z220+Z221</f>
        <v>#NAME?</v>
      </c>
      <c r="AA219" s="22" t="e">
        <f t="shared" ca="1" si="1864"/>
        <v>#NAME?</v>
      </c>
      <c r="AB219" s="21" t="e">
        <f t="shared" ref="AA219:AD219" ca="1" si="1865">AB220+AB221</f>
        <v>#NAME?</v>
      </c>
      <c r="AC219" s="21" t="e">
        <f t="shared" ca="1" si="1865"/>
        <v>#NAME?</v>
      </c>
      <c r="AD219" s="21" t="e">
        <f t="shared" ca="1" si="1865"/>
        <v>#NAME?</v>
      </c>
      <c r="AE219" s="21" t="e">
        <f t="shared" ref="AE219" ca="1" si="1866">AE220+AE221</f>
        <v>#NAME?</v>
      </c>
      <c r="AI219" s="22" t="e">
        <f t="shared" ref="AI219" ca="1" si="1867">AI220+AI221</f>
        <v>#NAME?</v>
      </c>
      <c r="AJ219" s="22" t="e">
        <f t="shared" ref="AJ219:AL219" ca="1" si="1868">AJ220+AJ221</f>
        <v>#NAME?</v>
      </c>
      <c r="AK219" s="22" t="e">
        <f t="shared" ca="1" si="1868"/>
        <v>#NAME?</v>
      </c>
      <c r="AL219" s="22" t="e">
        <f t="shared" ca="1" si="1868"/>
        <v>#NAME?</v>
      </c>
      <c r="AM219" s="22" t="e">
        <f t="shared" ref="AM219" ca="1" si="1869">AM220+AM221</f>
        <v>#NAME?</v>
      </c>
      <c r="AN219" s="22" t="e">
        <f t="shared" ref="AN219:CD219" ca="1" si="1870">AN220+AN221</f>
        <v>#NAME?</v>
      </c>
      <c r="AO219" s="22" t="e">
        <f t="shared" ca="1" si="1870"/>
        <v>#NAME?</v>
      </c>
      <c r="AP219" s="22" t="e">
        <f t="shared" ca="1" si="1870"/>
        <v>#NAME?</v>
      </c>
      <c r="AQ219" s="22" t="e">
        <f t="shared" ca="1" si="1870"/>
        <v>#NAME?</v>
      </c>
      <c r="AR219" s="22" t="e">
        <f t="shared" ca="1" si="1870"/>
        <v>#NAME?</v>
      </c>
      <c r="AS219" s="22" t="e">
        <f t="shared" ca="1" si="1870"/>
        <v>#NAME?</v>
      </c>
      <c r="AT219" s="22" t="e">
        <f t="shared" ca="1" si="1870"/>
        <v>#NAME?</v>
      </c>
      <c r="AU219" s="22" t="e">
        <f t="shared" ca="1" si="1870"/>
        <v>#NAME?</v>
      </c>
      <c r="AV219" s="22" t="e">
        <f t="shared" ca="1" si="1870"/>
        <v>#NAME?</v>
      </c>
      <c r="AW219" s="22" t="e">
        <f t="shared" ca="1" si="1870"/>
        <v>#NAME?</v>
      </c>
      <c r="AX219" s="22" t="e">
        <f t="shared" ca="1" si="1870"/>
        <v>#NAME?</v>
      </c>
      <c r="AY219" s="22" t="e">
        <f t="shared" ca="1" si="1870"/>
        <v>#NAME?</v>
      </c>
      <c r="AZ219" s="22" t="e">
        <f t="shared" ca="1" si="1870"/>
        <v>#NAME?</v>
      </c>
      <c r="BA219" s="22" t="e">
        <f t="shared" ca="1" si="1870"/>
        <v>#NAME?</v>
      </c>
      <c r="BB219" s="22" t="e">
        <f t="shared" ca="1" si="1870"/>
        <v>#NAME?</v>
      </c>
      <c r="BC219" s="22" t="e">
        <f t="shared" ca="1" si="1870"/>
        <v>#NAME?</v>
      </c>
      <c r="BD219" s="22" t="e">
        <f t="shared" ca="1" si="1870"/>
        <v>#NAME?</v>
      </c>
      <c r="BE219" s="22" t="e">
        <f t="shared" ca="1" si="1870"/>
        <v>#NAME?</v>
      </c>
      <c r="BF219" s="22" t="e">
        <f t="shared" ca="1" si="1870"/>
        <v>#NAME?</v>
      </c>
      <c r="BG219" s="22" t="e">
        <f t="shared" ca="1" si="1870"/>
        <v>#NAME?</v>
      </c>
      <c r="BH219" s="22" t="e">
        <f t="shared" ca="1" si="1870"/>
        <v>#NAME?</v>
      </c>
      <c r="BI219" s="22" t="e">
        <f t="shared" ca="1" si="1870"/>
        <v>#NAME?</v>
      </c>
      <c r="BJ219" s="22" t="e">
        <f t="shared" ca="1" si="1870"/>
        <v>#NAME?</v>
      </c>
      <c r="BK219" s="22" t="e">
        <f t="shared" ca="1" si="1870"/>
        <v>#NAME?</v>
      </c>
      <c r="BL219" s="22" t="e">
        <f t="shared" ca="1" si="1870"/>
        <v>#NAME?</v>
      </c>
      <c r="BM219" s="22" t="e">
        <f t="shared" ca="1" si="1870"/>
        <v>#NAME?</v>
      </c>
      <c r="BN219" s="22" t="e">
        <f t="shared" ca="1" si="1870"/>
        <v>#NAME?</v>
      </c>
      <c r="BO219" s="22" t="e">
        <f t="shared" ca="1" si="1870"/>
        <v>#NAME?</v>
      </c>
      <c r="BP219" s="22" t="e">
        <f t="shared" ca="1" si="1870"/>
        <v>#NAME?</v>
      </c>
      <c r="BQ219" s="22" t="e">
        <f t="shared" ca="1" si="1870"/>
        <v>#NAME?</v>
      </c>
      <c r="BR219" s="22" t="e">
        <f t="shared" ca="1" si="1870"/>
        <v>#NAME?</v>
      </c>
      <c r="BS219" s="22" t="e">
        <f t="shared" ca="1" si="1870"/>
        <v>#NAME?</v>
      </c>
      <c r="BT219" s="22" t="e">
        <f t="shared" ca="1" si="1870"/>
        <v>#NAME?</v>
      </c>
      <c r="BU219" s="22" t="e">
        <f t="shared" ca="1" si="1870"/>
        <v>#NAME?</v>
      </c>
      <c r="BV219" s="22" t="e">
        <f t="shared" ca="1" si="1870"/>
        <v>#NAME?</v>
      </c>
      <c r="BW219" s="22" t="e">
        <f t="shared" ca="1" si="1870"/>
        <v>#NAME?</v>
      </c>
      <c r="BX219" s="22" t="e">
        <f t="shared" ca="1" si="1870"/>
        <v>#NAME?</v>
      </c>
      <c r="BY219" s="22" t="e">
        <f t="shared" ca="1" si="1870"/>
        <v>#NAME?</v>
      </c>
      <c r="BZ219" s="22" t="e">
        <f t="shared" ca="1" si="1870"/>
        <v>#NAME?</v>
      </c>
      <c r="CA219" s="22" t="e">
        <f t="shared" ca="1" si="1870"/>
        <v>#NAME?</v>
      </c>
      <c r="CB219" s="22" t="e">
        <f t="shared" ca="1" si="1870"/>
        <v>#NAME?</v>
      </c>
      <c r="CC219" s="22" t="e">
        <f t="shared" ca="1" si="1870"/>
        <v>#NAME?</v>
      </c>
      <c r="CD219" s="22" t="e">
        <f t="shared" ca="1" si="1870"/>
        <v>#NAME?</v>
      </c>
      <c r="CE219" s="22" t="e">
        <f t="shared" ref="CE219:CF219" ca="1" si="1871">CE220+CE221</f>
        <v>#NAME?</v>
      </c>
      <c r="CF219" s="22" t="e">
        <f t="shared" ca="1" si="1871"/>
        <v>#NAME?</v>
      </c>
      <c r="CG219" s="22" t="e">
        <f t="shared" ref="CG219:CH219" ca="1" si="1872">CG220+CG221</f>
        <v>#NAME?</v>
      </c>
      <c r="CH219" s="22" t="e">
        <f t="shared" ca="1" si="1872"/>
        <v>#NAME?</v>
      </c>
      <c r="CI219" s="22" t="e">
        <f t="shared" ref="CI219:CJ219" ca="1" si="1873">CI220+CI221</f>
        <v>#NAME?</v>
      </c>
      <c r="CJ219" s="22" t="e">
        <f t="shared" ca="1" si="1873"/>
        <v>#NAME?</v>
      </c>
      <c r="CK219" s="22" t="e">
        <f t="shared" ref="CK219:DB219" ca="1" si="1874">CK220+CK221</f>
        <v>#NAME?</v>
      </c>
      <c r="CL219" s="22" t="e">
        <f t="shared" ca="1" si="1874"/>
        <v>#NAME?</v>
      </c>
      <c r="CM219" s="21" t="e">
        <f t="shared" ca="1" si="1874"/>
        <v>#NAME?</v>
      </c>
      <c r="CN219" s="21" t="e">
        <f t="shared" ca="1" si="1874"/>
        <v>#NAME?</v>
      </c>
      <c r="CO219" s="21" t="e">
        <f t="shared" ca="1" si="1874"/>
        <v>#NAME?</v>
      </c>
      <c r="CP219" s="21" t="e">
        <f t="shared" ca="1" si="1874"/>
        <v>#NAME?</v>
      </c>
      <c r="CQ219" s="21" t="e">
        <f t="shared" ca="1" si="1874"/>
        <v>#NAME?</v>
      </c>
      <c r="CR219" s="21" t="e">
        <f t="shared" ca="1" si="1874"/>
        <v>#NAME?</v>
      </c>
      <c r="CS219" s="21" t="e">
        <f t="shared" ca="1" si="1874"/>
        <v>#NAME?</v>
      </c>
      <c r="CT219" s="21" t="e">
        <f t="shared" ca="1" si="1874"/>
        <v>#NAME?</v>
      </c>
      <c r="CU219" s="21" t="e">
        <f t="shared" ca="1" si="1874"/>
        <v>#NAME?</v>
      </c>
      <c r="CV219" s="21" t="e">
        <f t="shared" ca="1" si="1874"/>
        <v>#NAME?</v>
      </c>
      <c r="CW219" s="21" t="e">
        <f t="shared" ca="1" si="1874"/>
        <v>#NAME?</v>
      </c>
      <c r="CX219" s="21" t="e">
        <f t="shared" ca="1" si="1874"/>
        <v>#NAME?</v>
      </c>
      <c r="CY219" s="21" t="e">
        <f t="shared" ca="1" si="1874"/>
        <v>#NAME?</v>
      </c>
      <c r="CZ219" s="21" t="e">
        <f t="shared" ca="1" si="1874"/>
        <v>#NAME?</v>
      </c>
      <c r="DA219" s="21" t="e">
        <f t="shared" ca="1" si="1874"/>
        <v>#NAME?</v>
      </c>
      <c r="DB219" s="21" t="e">
        <f t="shared" ca="1" si="1874"/>
        <v>#NAME?</v>
      </c>
      <c r="DE219" s="126"/>
      <c r="DF219" s="22">
        <v>631.95500000000004</v>
      </c>
    </row>
    <row r="220" spans="1:110" s="23" customFormat="1" x14ac:dyDescent="0.2">
      <c r="A220" s="23" t="s">
        <v>49</v>
      </c>
      <c r="C220" s="23" t="e">
        <f t="shared" ref="C220:AA220" ca="1" si="1875">C142-B142</f>
        <v>#NAME?</v>
      </c>
      <c r="D220" s="23" t="e">
        <f t="shared" ca="1" si="1875"/>
        <v>#NAME?</v>
      </c>
      <c r="E220" s="23" t="e">
        <f ca="1">E142-D142</f>
        <v>#NAME?</v>
      </c>
      <c r="F220" s="23" t="e">
        <f t="shared" ca="1" si="1875"/>
        <v>#NAME?</v>
      </c>
      <c r="G220" s="23" t="e">
        <f t="shared" ca="1" si="1875"/>
        <v>#NAME?</v>
      </c>
      <c r="H220" s="23" t="e">
        <f t="shared" ca="1" si="1875"/>
        <v>#NAME?</v>
      </c>
      <c r="I220" s="23" t="e">
        <f t="shared" ca="1" si="1875"/>
        <v>#NAME?</v>
      </c>
      <c r="J220" s="23" t="e">
        <f ca="1">J142-I142</f>
        <v>#NAME?</v>
      </c>
      <c r="K220" s="23" t="e">
        <f ca="1">K142-J142</f>
        <v>#NAME?</v>
      </c>
      <c r="L220" s="23" t="e">
        <f t="shared" ca="1" si="1875"/>
        <v>#NAME?</v>
      </c>
      <c r="M220" s="23" t="e">
        <f t="shared" ca="1" si="1875"/>
        <v>#NAME?</v>
      </c>
      <c r="N220" s="23" t="e">
        <f t="shared" ca="1" si="1875"/>
        <v>#NAME?</v>
      </c>
      <c r="O220" s="23" t="e">
        <f t="shared" ca="1" si="1875"/>
        <v>#NAME?</v>
      </c>
      <c r="P220" s="23" t="e">
        <f t="shared" ca="1" si="1875"/>
        <v>#NAME?</v>
      </c>
      <c r="Q220" s="23" t="e">
        <f t="shared" ca="1" si="1875"/>
        <v>#NAME?</v>
      </c>
      <c r="R220" s="23" t="e">
        <f t="shared" ca="1" si="1875"/>
        <v>#NAME?</v>
      </c>
      <c r="S220" s="23" t="e">
        <f t="shared" ca="1" si="1875"/>
        <v>#NAME?</v>
      </c>
      <c r="T220" s="23" t="e">
        <f t="shared" ca="1" si="1875"/>
        <v>#NAME?</v>
      </c>
      <c r="U220" s="23" t="e">
        <f t="shared" ca="1" si="1875"/>
        <v>#NAME?</v>
      </c>
      <c r="V220" s="23" t="e">
        <f t="shared" ca="1" si="1875"/>
        <v>#NAME?</v>
      </c>
      <c r="W220" s="23" t="e">
        <f t="shared" ca="1" si="1875"/>
        <v>#NAME?</v>
      </c>
      <c r="X220" s="23" t="e">
        <f t="shared" ca="1" si="1875"/>
        <v>#NAME?</v>
      </c>
      <c r="Y220" s="23" t="e">
        <f t="shared" ca="1" si="1875"/>
        <v>#NAME?</v>
      </c>
      <c r="Z220" s="23" t="e">
        <f t="shared" ca="1" si="1875"/>
        <v>#NAME?</v>
      </c>
      <c r="AA220" s="23" t="e">
        <f t="shared" ca="1" si="1875"/>
        <v>#NAME?</v>
      </c>
      <c r="AB220" s="24" t="e">
        <f t="shared" ref="AB220" ca="1" si="1876">AB142-AA142</f>
        <v>#NAME?</v>
      </c>
      <c r="AC220" s="24" t="e">
        <f t="shared" ref="AC220" ca="1" si="1877">AC142-AB142</f>
        <v>#NAME?</v>
      </c>
      <c r="AD220" s="24" t="e">
        <f t="shared" ref="AD220" ca="1" si="1878">AD142-AC142</f>
        <v>#NAME?</v>
      </c>
      <c r="AE220" s="24" t="e">
        <f t="shared" ref="AE220" ca="1" si="1879">AE142-AD142</f>
        <v>#NAME?</v>
      </c>
      <c r="AI220" s="23">
        <f t="shared" ref="AI220" si="1880">AI142-AH142</f>
        <v>0</v>
      </c>
      <c r="AJ220" s="23" t="e">
        <f t="shared" ref="AJ220" ca="1" si="1881">AJ142-AI142</f>
        <v>#NAME?</v>
      </c>
      <c r="AK220" s="23" t="e">
        <f t="shared" ref="AK220" ca="1" si="1882">AK142-AJ142</f>
        <v>#NAME?</v>
      </c>
      <c r="AL220" s="23" t="e">
        <f t="shared" ref="AL220" ca="1" si="1883">AL142-AK142</f>
        <v>#NAME?</v>
      </c>
      <c r="AM220" s="23" t="e">
        <f t="shared" ref="AM220" ca="1" si="1884">AM142-AL142</f>
        <v>#NAME?</v>
      </c>
      <c r="AN220" s="23" t="e">
        <f t="shared" ref="AN220" ca="1" si="1885">AN142-AM142</f>
        <v>#NAME?</v>
      </c>
      <c r="AO220" s="23" t="e">
        <f t="shared" ref="AO220" ca="1" si="1886">AO142-AN142</f>
        <v>#NAME?</v>
      </c>
      <c r="AP220" s="23" t="e">
        <f t="shared" ref="AP220" ca="1" si="1887">AP142-AO142</f>
        <v>#NAME?</v>
      </c>
      <c r="AQ220" s="23" t="e">
        <f t="shared" ref="AQ220" ca="1" si="1888">AQ142-AP142</f>
        <v>#NAME?</v>
      </c>
      <c r="AR220" s="23" t="e">
        <f t="shared" ref="AR220" ca="1" si="1889">AR142-AQ142</f>
        <v>#NAME?</v>
      </c>
      <c r="AS220" s="23" t="e">
        <f t="shared" ref="AS220" ca="1" si="1890">AS142-AR142</f>
        <v>#NAME?</v>
      </c>
      <c r="AT220" s="23" t="e">
        <f t="shared" ref="AT220" ca="1" si="1891">AT142-AS142</f>
        <v>#NAME?</v>
      </c>
      <c r="AU220" s="23" t="e">
        <f t="shared" ref="AU220" ca="1" si="1892">AU142-AT142</f>
        <v>#NAME?</v>
      </c>
      <c r="AV220" s="23" t="e">
        <f t="shared" ref="AV220" ca="1" si="1893">AV142-AU142</f>
        <v>#NAME?</v>
      </c>
      <c r="AW220" s="23" t="e">
        <f t="shared" ref="AW220" ca="1" si="1894">AW142-AV142</f>
        <v>#NAME?</v>
      </c>
      <c r="AX220" s="23" t="e">
        <f t="shared" ref="AX220" ca="1" si="1895">AX142-AW142</f>
        <v>#NAME?</v>
      </c>
      <c r="AY220" s="23" t="e">
        <f t="shared" ref="AY220" ca="1" si="1896">AY142-AX142</f>
        <v>#NAME?</v>
      </c>
      <c r="AZ220" s="23" t="e">
        <f t="shared" ref="AZ220" ca="1" si="1897">AZ142-AY142</f>
        <v>#NAME?</v>
      </c>
      <c r="BA220" s="23" t="e">
        <f t="shared" ref="BA220" ca="1" si="1898">BA142-AZ142</f>
        <v>#NAME?</v>
      </c>
      <c r="BB220" s="23" t="e">
        <f t="shared" ref="BB220" ca="1" si="1899">BB142-BA142</f>
        <v>#NAME?</v>
      </c>
      <c r="BC220" s="23" t="e">
        <f t="shared" ref="BC220" ca="1" si="1900">BC142-BB142</f>
        <v>#NAME?</v>
      </c>
      <c r="BD220" s="23" t="e">
        <f t="shared" ref="BD220" ca="1" si="1901">BD142-BC142</f>
        <v>#NAME?</v>
      </c>
      <c r="BE220" s="23" t="e">
        <f t="shared" ref="BE220" ca="1" si="1902">BE142-BD142</f>
        <v>#NAME?</v>
      </c>
      <c r="BF220" s="23" t="e">
        <f t="shared" ref="BF220" ca="1" si="1903">BF142-BE142</f>
        <v>#NAME?</v>
      </c>
      <c r="BG220" s="23" t="e">
        <f t="shared" ref="BG220" ca="1" si="1904">BG142-BF142</f>
        <v>#NAME?</v>
      </c>
      <c r="BH220" s="23" t="e">
        <f t="shared" ref="BH220" ca="1" si="1905">BH142-BG142</f>
        <v>#NAME?</v>
      </c>
      <c r="BI220" s="23" t="e">
        <f t="shared" ref="BI220" ca="1" si="1906">BI142-BH142</f>
        <v>#NAME?</v>
      </c>
      <c r="BJ220" s="23" t="e">
        <f t="shared" ref="BJ220" ca="1" si="1907">BJ142-BI142</f>
        <v>#NAME?</v>
      </c>
      <c r="BK220" s="23" t="e">
        <f t="shared" ref="BK220" ca="1" si="1908">BK142-BJ142</f>
        <v>#NAME?</v>
      </c>
      <c r="BL220" s="23" t="e">
        <f t="shared" ref="BL220" ca="1" si="1909">BL142-BK142</f>
        <v>#NAME?</v>
      </c>
      <c r="BM220" s="23" t="e">
        <f t="shared" ref="BM220" ca="1" si="1910">BM142-BL142</f>
        <v>#NAME?</v>
      </c>
      <c r="BN220" s="23" t="e">
        <f t="shared" ref="BN220" ca="1" si="1911">BN142-BM142</f>
        <v>#NAME?</v>
      </c>
      <c r="BO220" s="23" t="e">
        <f t="shared" ref="BO220" ca="1" si="1912">BO142-BN142</f>
        <v>#NAME?</v>
      </c>
      <c r="BP220" s="23" t="e">
        <f t="shared" ref="BP220" ca="1" si="1913">BP142-BO142</f>
        <v>#NAME?</v>
      </c>
      <c r="BQ220" s="23" t="e">
        <f t="shared" ref="BQ220" ca="1" si="1914">BQ142-BP142</f>
        <v>#NAME?</v>
      </c>
      <c r="BR220" s="23" t="e">
        <f t="shared" ref="BR220" ca="1" si="1915">BR142-BQ142</f>
        <v>#NAME?</v>
      </c>
      <c r="BS220" s="23" t="e">
        <f t="shared" ref="BS220" ca="1" si="1916">BS142-BR142</f>
        <v>#NAME?</v>
      </c>
      <c r="BT220" s="23" t="e">
        <f t="shared" ref="BT220" ca="1" si="1917">BT142-BS142</f>
        <v>#NAME?</v>
      </c>
      <c r="BU220" s="23" t="e">
        <f t="shared" ref="BU220" ca="1" si="1918">BU142-BT142</f>
        <v>#NAME?</v>
      </c>
      <c r="BV220" s="23" t="e">
        <f t="shared" ref="BV220" ca="1" si="1919">BV142-BU142</f>
        <v>#NAME?</v>
      </c>
      <c r="BW220" s="23" t="e">
        <f t="shared" ref="BW220" ca="1" si="1920">BW142-BV142</f>
        <v>#NAME?</v>
      </c>
      <c r="BX220" s="23" t="e">
        <f t="shared" ref="BX220" ca="1" si="1921">BX142-BW142</f>
        <v>#NAME?</v>
      </c>
      <c r="BY220" s="23" t="e">
        <f t="shared" ref="BY220" ca="1" si="1922">BY142-BX142</f>
        <v>#NAME?</v>
      </c>
      <c r="BZ220" s="23" t="e">
        <f t="shared" ref="BZ220" ca="1" si="1923">BZ142-BY142</f>
        <v>#NAME?</v>
      </c>
      <c r="CA220" s="23" t="e">
        <f t="shared" ref="CA220" ca="1" si="1924">CA142-BZ142</f>
        <v>#NAME?</v>
      </c>
      <c r="CB220" s="23" t="e">
        <f t="shared" ref="CB220" ca="1" si="1925">CB142-CA142</f>
        <v>#NAME?</v>
      </c>
      <c r="CC220" s="23" t="e">
        <f t="shared" ref="CC220" ca="1" si="1926">CC142-CB142</f>
        <v>#NAME?</v>
      </c>
      <c r="CD220" s="23" t="e">
        <f t="shared" ref="CD220" ca="1" si="1927">CD142-CC142</f>
        <v>#NAME?</v>
      </c>
      <c r="CE220" s="23" t="e">
        <f t="shared" ref="CE220" ca="1" si="1928">CE142-CD142</f>
        <v>#NAME?</v>
      </c>
      <c r="CF220" s="23" t="e">
        <f t="shared" ref="CF220" ca="1" si="1929">CF142-CE142</f>
        <v>#NAME?</v>
      </c>
      <c r="CG220" s="23" t="e">
        <f t="shared" ref="CG220" ca="1" si="1930">CG142-CF142</f>
        <v>#NAME?</v>
      </c>
      <c r="CH220" s="23" t="e">
        <f t="shared" ref="CH220:CL220" ca="1" si="1931">CH142-CG142</f>
        <v>#NAME?</v>
      </c>
      <c r="CI220" s="23" t="e">
        <f t="shared" ca="1" si="1931"/>
        <v>#NAME?</v>
      </c>
      <c r="CJ220" s="23" t="e">
        <f t="shared" ca="1" si="1931"/>
        <v>#NAME?</v>
      </c>
      <c r="CK220" s="23" t="e">
        <f t="shared" ref="CK220" ca="1" si="1932">CK142-CJ142</f>
        <v>#NAME?</v>
      </c>
      <c r="CL220" s="23" t="e">
        <f t="shared" ca="1" si="1931"/>
        <v>#NAME?</v>
      </c>
      <c r="CM220" s="24" t="e">
        <f t="shared" ref="CM220" ca="1" si="1933">CM142-CL142</f>
        <v>#NAME?</v>
      </c>
      <c r="CN220" s="24" t="e">
        <f t="shared" ref="CN220" ca="1" si="1934">CN142-CM142</f>
        <v>#NAME?</v>
      </c>
      <c r="CO220" s="24" t="e">
        <f t="shared" ref="CO220" ca="1" si="1935">CO142-CN142</f>
        <v>#NAME?</v>
      </c>
      <c r="CP220" s="24" t="e">
        <f t="shared" ref="CP220" ca="1" si="1936">CP142-CO142</f>
        <v>#NAME?</v>
      </c>
      <c r="CQ220" s="24" t="e">
        <f t="shared" ref="CQ220" ca="1" si="1937">CQ142-CP142</f>
        <v>#NAME?</v>
      </c>
      <c r="CR220" s="24" t="e">
        <f t="shared" ref="CR220" ca="1" si="1938">CR142-CQ142</f>
        <v>#NAME?</v>
      </c>
      <c r="CS220" s="24" t="e">
        <f t="shared" ref="CS220" ca="1" si="1939">CS142-CR142</f>
        <v>#NAME?</v>
      </c>
      <c r="CT220" s="24" t="e">
        <f t="shared" ref="CT220" ca="1" si="1940">CT142-CS142</f>
        <v>#NAME?</v>
      </c>
      <c r="CU220" s="24" t="e">
        <f t="shared" ref="CU220" ca="1" si="1941">CU142-CT142</f>
        <v>#NAME?</v>
      </c>
      <c r="CV220" s="24" t="e">
        <f t="shared" ref="CV220" ca="1" si="1942">CV142-CU142</f>
        <v>#NAME?</v>
      </c>
      <c r="CW220" s="24" t="e">
        <f t="shared" ref="CW220" ca="1" si="1943">CW142-CV142</f>
        <v>#NAME?</v>
      </c>
      <c r="CX220" s="24" t="e">
        <f t="shared" ref="CX220" ca="1" si="1944">CX142-CW142</f>
        <v>#NAME?</v>
      </c>
      <c r="CY220" s="24" t="e">
        <f t="shared" ref="CY220" ca="1" si="1945">CY142-CX142</f>
        <v>#NAME?</v>
      </c>
      <c r="CZ220" s="24" t="e">
        <f t="shared" ref="CZ220" ca="1" si="1946">CZ142-CY142</f>
        <v>#NAME?</v>
      </c>
      <c r="DA220" s="24" t="e">
        <f t="shared" ref="DA220" ca="1" si="1947">DA142-CZ142</f>
        <v>#NAME?</v>
      </c>
      <c r="DB220" s="24" t="e">
        <f t="shared" ref="DB220" ca="1" si="1948">DB142-DA142</f>
        <v>#NAME?</v>
      </c>
      <c r="DE220" s="123"/>
      <c r="DF220" s="23">
        <v>-83.143000000000029</v>
      </c>
    </row>
    <row r="221" spans="1:110" s="23" customFormat="1" x14ac:dyDescent="0.2">
      <c r="A221" s="23" t="s">
        <v>27</v>
      </c>
      <c r="C221" s="23" t="e">
        <f t="shared" ref="C221:AE221" ca="1" si="1949">C134-C62-B134+C136-B136</f>
        <v>#NAME?</v>
      </c>
      <c r="D221" s="23" t="e">
        <f t="shared" ca="1" si="1949"/>
        <v>#NAME?</v>
      </c>
      <c r="E221" s="23" t="e">
        <f t="shared" ca="1" si="1949"/>
        <v>#NAME?</v>
      </c>
      <c r="F221" s="23" t="e">
        <f t="shared" ca="1" si="1949"/>
        <v>#NAME?</v>
      </c>
      <c r="G221" s="23" t="e">
        <f t="shared" ca="1" si="1949"/>
        <v>#NAME?</v>
      </c>
      <c r="H221" s="23" t="e">
        <f t="shared" ca="1" si="1949"/>
        <v>#NAME?</v>
      </c>
      <c r="I221" s="23" t="e">
        <f t="shared" ca="1" si="1949"/>
        <v>#NAME?</v>
      </c>
      <c r="J221" s="23" t="e">
        <f t="shared" ca="1" si="1949"/>
        <v>#NAME?</v>
      </c>
      <c r="K221" s="23" t="e">
        <f t="shared" ca="1" si="1949"/>
        <v>#NAME?</v>
      </c>
      <c r="L221" s="23" t="e">
        <f t="shared" ca="1" si="1949"/>
        <v>#NAME?</v>
      </c>
      <c r="M221" s="23" t="e">
        <f t="shared" ca="1" si="1949"/>
        <v>#NAME?</v>
      </c>
      <c r="N221" s="23" t="e">
        <f t="shared" ca="1" si="1949"/>
        <v>#NAME?</v>
      </c>
      <c r="O221" s="23" t="e">
        <f t="shared" ca="1" si="1949"/>
        <v>#NAME?</v>
      </c>
      <c r="P221" s="23" t="e">
        <f t="shared" ca="1" si="1949"/>
        <v>#NAME?</v>
      </c>
      <c r="Q221" s="23" t="e">
        <f t="shared" ca="1" si="1949"/>
        <v>#NAME?</v>
      </c>
      <c r="R221" s="23" t="e">
        <f t="shared" ca="1" si="1949"/>
        <v>#NAME?</v>
      </c>
      <c r="S221" s="23" t="e">
        <f t="shared" ca="1" si="1949"/>
        <v>#NAME?</v>
      </c>
      <c r="T221" s="23" t="e">
        <f t="shared" ca="1" si="1949"/>
        <v>#NAME?</v>
      </c>
      <c r="U221" s="23" t="e">
        <f t="shared" ca="1" si="1949"/>
        <v>#NAME?</v>
      </c>
      <c r="V221" s="23" t="e">
        <f t="shared" ca="1" si="1949"/>
        <v>#NAME?</v>
      </c>
      <c r="W221" s="23" t="e">
        <f t="shared" ca="1" si="1949"/>
        <v>#NAME?</v>
      </c>
      <c r="X221" s="23" t="e">
        <f t="shared" ca="1" si="1949"/>
        <v>#NAME?</v>
      </c>
      <c r="Y221" s="23" t="e">
        <f t="shared" ca="1" si="1949"/>
        <v>#NAME?</v>
      </c>
      <c r="Z221" s="23" t="e">
        <f t="shared" ca="1" si="1949"/>
        <v>#NAME?</v>
      </c>
      <c r="AA221" s="23" t="e">
        <f t="shared" ca="1" si="1949"/>
        <v>#NAME?</v>
      </c>
      <c r="AB221" s="24" t="e">
        <f t="shared" ca="1" si="1949"/>
        <v>#NAME?</v>
      </c>
      <c r="AC221" s="24" t="e">
        <f t="shared" ca="1" si="1949"/>
        <v>#NAME?</v>
      </c>
      <c r="AD221" s="24" t="e">
        <f t="shared" ca="1" si="1949"/>
        <v>#NAME?</v>
      </c>
      <c r="AE221" s="24" t="e">
        <f t="shared" ca="1" si="1949"/>
        <v>#NAME?</v>
      </c>
      <c r="AI221" s="23" t="e">
        <f t="shared" ref="AI221:BN221" ca="1" si="1950">AI134-AI62-AH134+AI136-AH136</f>
        <v>#NAME?</v>
      </c>
      <c r="AJ221" s="23" t="e">
        <f t="shared" ca="1" si="1950"/>
        <v>#NAME?</v>
      </c>
      <c r="AK221" s="23" t="e">
        <f t="shared" ca="1" si="1950"/>
        <v>#NAME?</v>
      </c>
      <c r="AL221" s="23" t="e">
        <f t="shared" ca="1" si="1950"/>
        <v>#NAME?</v>
      </c>
      <c r="AM221" s="23" t="e">
        <f t="shared" ca="1" si="1950"/>
        <v>#NAME?</v>
      </c>
      <c r="AN221" s="23" t="e">
        <f t="shared" ca="1" si="1950"/>
        <v>#NAME?</v>
      </c>
      <c r="AO221" s="23" t="e">
        <f t="shared" ca="1" si="1950"/>
        <v>#NAME?</v>
      </c>
      <c r="AP221" s="23" t="e">
        <f t="shared" ca="1" si="1950"/>
        <v>#NAME?</v>
      </c>
      <c r="AQ221" s="23" t="e">
        <f t="shared" ca="1" si="1950"/>
        <v>#NAME?</v>
      </c>
      <c r="AR221" s="23" t="e">
        <f t="shared" ca="1" si="1950"/>
        <v>#NAME?</v>
      </c>
      <c r="AS221" s="23" t="e">
        <f t="shared" ca="1" si="1950"/>
        <v>#NAME?</v>
      </c>
      <c r="AT221" s="23" t="e">
        <f t="shared" ca="1" si="1950"/>
        <v>#NAME?</v>
      </c>
      <c r="AU221" s="23" t="e">
        <f t="shared" ca="1" si="1950"/>
        <v>#NAME?</v>
      </c>
      <c r="AV221" s="23" t="e">
        <f t="shared" ca="1" si="1950"/>
        <v>#NAME?</v>
      </c>
      <c r="AW221" s="23" t="e">
        <f t="shared" ca="1" si="1950"/>
        <v>#NAME?</v>
      </c>
      <c r="AX221" s="23" t="e">
        <f t="shared" ca="1" si="1950"/>
        <v>#NAME?</v>
      </c>
      <c r="AY221" s="23" t="e">
        <f t="shared" ca="1" si="1950"/>
        <v>#NAME?</v>
      </c>
      <c r="AZ221" s="23" t="e">
        <f t="shared" ca="1" si="1950"/>
        <v>#NAME?</v>
      </c>
      <c r="BA221" s="23" t="e">
        <f t="shared" ca="1" si="1950"/>
        <v>#NAME?</v>
      </c>
      <c r="BB221" s="23" t="e">
        <f t="shared" ca="1" si="1950"/>
        <v>#NAME?</v>
      </c>
      <c r="BC221" s="23" t="e">
        <f t="shared" ca="1" si="1950"/>
        <v>#NAME?</v>
      </c>
      <c r="BD221" s="23" t="e">
        <f t="shared" ca="1" si="1950"/>
        <v>#NAME?</v>
      </c>
      <c r="BE221" s="23" t="e">
        <f t="shared" ca="1" si="1950"/>
        <v>#NAME?</v>
      </c>
      <c r="BF221" s="23" t="e">
        <f t="shared" ca="1" si="1950"/>
        <v>#NAME?</v>
      </c>
      <c r="BG221" s="23" t="e">
        <f t="shared" ca="1" si="1950"/>
        <v>#NAME?</v>
      </c>
      <c r="BH221" s="23" t="e">
        <f t="shared" ca="1" si="1950"/>
        <v>#NAME?</v>
      </c>
      <c r="BI221" s="23" t="e">
        <f t="shared" ca="1" si="1950"/>
        <v>#NAME?</v>
      </c>
      <c r="BJ221" s="23" t="e">
        <f t="shared" ca="1" si="1950"/>
        <v>#NAME?</v>
      </c>
      <c r="BK221" s="23" t="e">
        <f t="shared" ca="1" si="1950"/>
        <v>#NAME?</v>
      </c>
      <c r="BL221" s="23" t="e">
        <f t="shared" ca="1" si="1950"/>
        <v>#NAME?</v>
      </c>
      <c r="BM221" s="23" t="e">
        <f t="shared" ca="1" si="1950"/>
        <v>#NAME?</v>
      </c>
      <c r="BN221" s="23" t="e">
        <f t="shared" ca="1" si="1950"/>
        <v>#NAME?</v>
      </c>
      <c r="BO221" s="23" t="e">
        <f t="shared" ref="BO221:CT221" ca="1" si="1951">BO134-BO62-BN134+BO136-BN136</f>
        <v>#NAME?</v>
      </c>
      <c r="BP221" s="23" t="e">
        <f t="shared" ca="1" si="1951"/>
        <v>#NAME?</v>
      </c>
      <c r="BQ221" s="23" t="e">
        <f t="shared" ca="1" si="1951"/>
        <v>#NAME?</v>
      </c>
      <c r="BR221" s="23" t="e">
        <f t="shared" ca="1" si="1951"/>
        <v>#NAME?</v>
      </c>
      <c r="BS221" s="23" t="e">
        <f t="shared" ca="1" si="1951"/>
        <v>#NAME?</v>
      </c>
      <c r="BT221" s="23" t="e">
        <f t="shared" ca="1" si="1951"/>
        <v>#NAME?</v>
      </c>
      <c r="BU221" s="23" t="e">
        <f t="shared" ca="1" si="1951"/>
        <v>#NAME?</v>
      </c>
      <c r="BV221" s="23" t="e">
        <f t="shared" ca="1" si="1951"/>
        <v>#NAME?</v>
      </c>
      <c r="BW221" s="23" t="e">
        <f t="shared" ca="1" si="1951"/>
        <v>#NAME?</v>
      </c>
      <c r="BX221" s="23" t="e">
        <f t="shared" ca="1" si="1951"/>
        <v>#NAME?</v>
      </c>
      <c r="BY221" s="23" t="e">
        <f t="shared" ca="1" si="1951"/>
        <v>#NAME?</v>
      </c>
      <c r="BZ221" s="23" t="e">
        <f t="shared" ca="1" si="1951"/>
        <v>#NAME?</v>
      </c>
      <c r="CA221" s="23" t="e">
        <f t="shared" ca="1" si="1951"/>
        <v>#NAME?</v>
      </c>
      <c r="CB221" s="23" t="e">
        <f t="shared" ca="1" si="1951"/>
        <v>#NAME?</v>
      </c>
      <c r="CC221" s="23" t="e">
        <f t="shared" ca="1" si="1951"/>
        <v>#NAME?</v>
      </c>
      <c r="CD221" s="23" t="e">
        <f t="shared" ca="1" si="1951"/>
        <v>#NAME?</v>
      </c>
      <c r="CE221" s="23" t="e">
        <f t="shared" ca="1" si="1951"/>
        <v>#NAME?</v>
      </c>
      <c r="CF221" s="23" t="e">
        <f t="shared" ca="1" si="1951"/>
        <v>#NAME?</v>
      </c>
      <c r="CG221" s="23" t="e">
        <f t="shared" ca="1" si="1951"/>
        <v>#NAME?</v>
      </c>
      <c r="CH221" s="23" t="e">
        <f t="shared" ca="1" si="1951"/>
        <v>#NAME?</v>
      </c>
      <c r="CI221" s="23" t="e">
        <f t="shared" ca="1" si="1951"/>
        <v>#NAME?</v>
      </c>
      <c r="CJ221" s="23" t="e">
        <f t="shared" ca="1" si="1951"/>
        <v>#NAME?</v>
      </c>
      <c r="CK221" s="23" t="e">
        <f t="shared" ca="1" si="1951"/>
        <v>#NAME?</v>
      </c>
      <c r="CL221" s="23" t="e">
        <f t="shared" ca="1" si="1951"/>
        <v>#NAME?</v>
      </c>
      <c r="CM221" s="24" t="e">
        <f t="shared" ca="1" si="1951"/>
        <v>#NAME?</v>
      </c>
      <c r="CN221" s="24" t="e">
        <f t="shared" ca="1" si="1951"/>
        <v>#NAME?</v>
      </c>
      <c r="CO221" s="24" t="e">
        <f t="shared" ca="1" si="1951"/>
        <v>#NAME?</v>
      </c>
      <c r="CP221" s="24" t="e">
        <f t="shared" ca="1" si="1951"/>
        <v>#NAME?</v>
      </c>
      <c r="CQ221" s="24" t="e">
        <f t="shared" ca="1" si="1951"/>
        <v>#NAME?</v>
      </c>
      <c r="CR221" s="24" t="e">
        <f t="shared" ca="1" si="1951"/>
        <v>#NAME?</v>
      </c>
      <c r="CS221" s="24" t="e">
        <f t="shared" ca="1" si="1951"/>
        <v>#NAME?</v>
      </c>
      <c r="CT221" s="24" t="e">
        <f t="shared" ca="1" si="1951"/>
        <v>#NAME?</v>
      </c>
      <c r="CU221" s="24" t="e">
        <f t="shared" ref="CU221:DB221" ca="1" si="1952">CU134-CU62-CT134+CU136-CT136</f>
        <v>#NAME?</v>
      </c>
      <c r="CV221" s="24" t="e">
        <f t="shared" ca="1" si="1952"/>
        <v>#NAME?</v>
      </c>
      <c r="CW221" s="24" t="e">
        <f t="shared" ca="1" si="1952"/>
        <v>#NAME?</v>
      </c>
      <c r="CX221" s="24" t="e">
        <f t="shared" ca="1" si="1952"/>
        <v>#NAME?</v>
      </c>
      <c r="CY221" s="24" t="e">
        <f t="shared" ca="1" si="1952"/>
        <v>#NAME?</v>
      </c>
      <c r="CZ221" s="24" t="e">
        <f t="shared" ca="1" si="1952"/>
        <v>#NAME?</v>
      </c>
      <c r="DA221" s="24" t="e">
        <f t="shared" ca="1" si="1952"/>
        <v>#NAME?</v>
      </c>
      <c r="DB221" s="24" t="e">
        <f t="shared" ca="1" si="1952"/>
        <v>#NAME?</v>
      </c>
      <c r="DE221" s="123"/>
      <c r="DF221" s="23">
        <v>715.09800000000007</v>
      </c>
    </row>
    <row r="222" spans="1:110" s="23" customFormat="1" x14ac:dyDescent="0.2">
      <c r="AB222" s="24"/>
      <c r="AC222" s="24"/>
      <c r="AD222" s="24"/>
      <c r="AE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E222" s="123"/>
    </row>
    <row r="223" spans="1:110" s="23" customFormat="1" x14ac:dyDescent="0.2">
      <c r="A223" s="23" t="s">
        <v>442</v>
      </c>
      <c r="C223" s="23" t="e">
        <f t="shared" ref="C223" ca="1" si="1953">B175</f>
        <v>#NAME?</v>
      </c>
      <c r="D223" s="23" t="e">
        <f t="shared" ref="D223" ca="1" si="1954">C175</f>
        <v>#NAME?</v>
      </c>
      <c r="E223" s="23" t="e">
        <f ca="1">D175</f>
        <v>#NAME?</v>
      </c>
      <c r="F223" s="23" t="e">
        <f t="shared" ref="F223" ca="1" si="1955">E175</f>
        <v>#NAME?</v>
      </c>
      <c r="G223" s="23" t="e">
        <f t="shared" ref="G223" ca="1" si="1956">F175</f>
        <v>#NAME?</v>
      </c>
      <c r="H223" s="23" t="e">
        <f t="shared" ref="H223" ca="1" si="1957">G175</f>
        <v>#NAME?</v>
      </c>
      <c r="I223" s="23" t="e">
        <f t="shared" ref="I223" ca="1" si="1958">H175</f>
        <v>#NAME?</v>
      </c>
      <c r="J223" s="23" t="e">
        <f ca="1">I175</f>
        <v>#NAME?</v>
      </c>
      <c r="K223" s="23" t="e">
        <f ca="1">J175</f>
        <v>#NAME?</v>
      </c>
      <c r="L223" s="23" t="e">
        <f t="shared" ref="L223" ca="1" si="1959">K175</f>
        <v>#NAME?</v>
      </c>
      <c r="M223" s="23" t="e">
        <f t="shared" ref="M223" ca="1" si="1960">L175</f>
        <v>#NAME?</v>
      </c>
      <c r="N223" s="23" t="e">
        <f t="shared" ref="N223" ca="1" si="1961">M175</f>
        <v>#NAME?</v>
      </c>
      <c r="O223" s="23" t="e">
        <f t="shared" ref="O223" ca="1" si="1962">N175</f>
        <v>#NAME?</v>
      </c>
      <c r="P223" s="23" t="e">
        <f t="shared" ref="P223" ca="1" si="1963">O175</f>
        <v>#NAME?</v>
      </c>
      <c r="Q223" s="23" t="e">
        <f t="shared" ref="Q223" ca="1" si="1964">P175</f>
        <v>#NAME?</v>
      </c>
      <c r="R223" s="23" t="e">
        <f t="shared" ref="R223" ca="1" si="1965">Q175</f>
        <v>#NAME?</v>
      </c>
      <c r="S223" s="23" t="e">
        <f t="shared" ref="S223" ca="1" si="1966">R175</f>
        <v>#NAME?</v>
      </c>
      <c r="T223" s="23" t="e">
        <f t="shared" ref="T223" ca="1" si="1967">S175</f>
        <v>#NAME?</v>
      </c>
      <c r="U223" s="23" t="e">
        <f t="shared" ref="U223" ca="1" si="1968">T175</f>
        <v>#NAME?</v>
      </c>
      <c r="V223" s="23" t="e">
        <f t="shared" ref="V223" ca="1" si="1969">U175</f>
        <v>#NAME?</v>
      </c>
      <c r="W223" s="23" t="e">
        <f t="shared" ref="W223:AA223" ca="1" si="1970">V175</f>
        <v>#NAME?</v>
      </c>
      <c r="X223" s="23" t="e">
        <f t="shared" ca="1" si="1970"/>
        <v>#NAME?</v>
      </c>
      <c r="Y223" s="23" t="e">
        <f t="shared" ca="1" si="1970"/>
        <v>#NAME?</v>
      </c>
      <c r="Z223" s="23" t="e">
        <f t="shared" ca="1" si="1970"/>
        <v>#NAME?</v>
      </c>
      <c r="AA223" s="23" t="e">
        <f t="shared" ca="1" si="1970"/>
        <v>#NAME?</v>
      </c>
      <c r="AB223" s="24" t="e">
        <f t="shared" ref="AB223" ca="1" si="1971">AA175</f>
        <v>#NAME?</v>
      </c>
      <c r="AC223" s="24" t="e">
        <f t="shared" ref="AC223" ca="1" si="1972">AB175</f>
        <v>#NAME?</v>
      </c>
      <c r="AD223" s="24" t="e">
        <f t="shared" ref="AD223" ca="1" si="1973">AC175</f>
        <v>#NAME?</v>
      </c>
      <c r="AE223" s="24" t="e">
        <f t="shared" ref="AE223" ca="1" si="1974">AD175</f>
        <v>#NAME?</v>
      </c>
      <c r="AI223" s="23">
        <f t="shared" ref="AI223" si="1975">AH175</f>
        <v>0</v>
      </c>
      <c r="AJ223" s="23">
        <f t="shared" ref="AJ223" si="1976">AI175</f>
        <v>0</v>
      </c>
      <c r="AK223" s="23" t="e">
        <f t="shared" ref="AK223" ca="1" si="1977">AJ175</f>
        <v>#NAME?</v>
      </c>
      <c r="AL223" s="23" t="e">
        <f t="shared" ref="AL223" ca="1" si="1978">AK175</f>
        <v>#NAME?</v>
      </c>
      <c r="AM223" s="23" t="e">
        <f t="shared" ref="AM223" ca="1" si="1979">AL175</f>
        <v>#NAME?</v>
      </c>
      <c r="AN223" s="23" t="e">
        <f t="shared" ref="AN223" ca="1" si="1980">AM175</f>
        <v>#NAME?</v>
      </c>
      <c r="AO223" s="23" t="e">
        <f t="shared" ref="AO223" ca="1" si="1981">AN175</f>
        <v>#NAME?</v>
      </c>
      <c r="AP223" s="23" t="e">
        <f t="shared" ref="AP223" ca="1" si="1982">AO175</f>
        <v>#NAME?</v>
      </c>
      <c r="AQ223" s="23" t="e">
        <f t="shared" ref="AQ223" ca="1" si="1983">AP175</f>
        <v>#NAME?</v>
      </c>
      <c r="AR223" s="23" t="e">
        <f t="shared" ref="AR223" ca="1" si="1984">AQ175</f>
        <v>#NAME?</v>
      </c>
      <c r="AS223" s="23" t="e">
        <f t="shared" ref="AS223" ca="1" si="1985">AR175</f>
        <v>#NAME?</v>
      </c>
      <c r="AT223" s="23" t="e">
        <f t="shared" ref="AT223" ca="1" si="1986">AS175</f>
        <v>#NAME?</v>
      </c>
      <c r="AU223" s="23" t="e">
        <f t="shared" ref="AU223" ca="1" si="1987">AT175</f>
        <v>#NAME?</v>
      </c>
      <c r="AV223" s="23" t="e">
        <f t="shared" ref="AV223" ca="1" si="1988">AU175</f>
        <v>#NAME?</v>
      </c>
      <c r="AW223" s="23" t="e">
        <f t="shared" ref="AW223" ca="1" si="1989">AV175</f>
        <v>#NAME?</v>
      </c>
      <c r="AX223" s="23" t="e">
        <f t="shared" ref="AX223" ca="1" si="1990">AW175</f>
        <v>#NAME?</v>
      </c>
      <c r="AY223" s="23" t="e">
        <f t="shared" ref="AY223" ca="1" si="1991">AX175</f>
        <v>#NAME?</v>
      </c>
      <c r="AZ223" s="23" t="e">
        <f t="shared" ref="AZ223" ca="1" si="1992">AY175</f>
        <v>#NAME?</v>
      </c>
      <c r="BA223" s="23" t="e">
        <f t="shared" ref="BA223" ca="1" si="1993">AZ175</f>
        <v>#NAME?</v>
      </c>
      <c r="BB223" s="23" t="e">
        <f t="shared" ref="BB223" ca="1" si="1994">BA175</f>
        <v>#NAME?</v>
      </c>
      <c r="BC223" s="23" t="e">
        <f t="shared" ref="BC223" ca="1" si="1995">BB175</f>
        <v>#NAME?</v>
      </c>
      <c r="BD223" s="23" t="e">
        <f t="shared" ref="BD223" ca="1" si="1996">BC175</f>
        <v>#NAME?</v>
      </c>
      <c r="BE223" s="23" t="e">
        <f t="shared" ref="BE223" ca="1" si="1997">BD175</f>
        <v>#NAME?</v>
      </c>
      <c r="BF223" s="23" t="e">
        <f t="shared" ref="BF223" ca="1" si="1998">BE175</f>
        <v>#NAME?</v>
      </c>
      <c r="BG223" s="23" t="e">
        <f t="shared" ref="BG223" ca="1" si="1999">BF175</f>
        <v>#NAME?</v>
      </c>
      <c r="BH223" s="23" t="e">
        <f t="shared" ref="BH223" ca="1" si="2000">BG175</f>
        <v>#NAME?</v>
      </c>
      <c r="BI223" s="23" t="e">
        <f t="shared" ref="BI223" ca="1" si="2001">BH175</f>
        <v>#NAME?</v>
      </c>
      <c r="BJ223" s="23" t="e">
        <f t="shared" ref="BJ223" ca="1" si="2002">BI175</f>
        <v>#NAME?</v>
      </c>
      <c r="BK223" s="23" t="e">
        <f t="shared" ref="BK223" ca="1" si="2003">BJ175</f>
        <v>#NAME?</v>
      </c>
      <c r="BL223" s="23" t="e">
        <f t="shared" ref="BL223" ca="1" si="2004">BK175</f>
        <v>#NAME?</v>
      </c>
      <c r="BM223" s="23" t="e">
        <f t="shared" ref="BM223" ca="1" si="2005">BL175</f>
        <v>#NAME?</v>
      </c>
      <c r="BN223" s="23" t="e">
        <f t="shared" ref="BN223" ca="1" si="2006">BM175</f>
        <v>#NAME?</v>
      </c>
      <c r="BO223" s="23" t="e">
        <f t="shared" ref="BO223" ca="1" si="2007">BN175</f>
        <v>#NAME?</v>
      </c>
      <c r="BP223" s="23" t="e">
        <f t="shared" ref="BP223" ca="1" si="2008">BO175</f>
        <v>#NAME?</v>
      </c>
      <c r="BQ223" s="23" t="e">
        <f t="shared" ref="BQ223" ca="1" si="2009">BP175</f>
        <v>#NAME?</v>
      </c>
      <c r="BR223" s="23" t="e">
        <f t="shared" ref="BR223" ca="1" si="2010">BQ175</f>
        <v>#NAME?</v>
      </c>
      <c r="BS223" s="23" t="e">
        <f t="shared" ref="BS223" ca="1" si="2011">BR175</f>
        <v>#NAME?</v>
      </c>
      <c r="BT223" s="23" t="e">
        <f t="shared" ref="BT223" ca="1" si="2012">BS175</f>
        <v>#NAME?</v>
      </c>
      <c r="BU223" s="23" t="e">
        <f t="shared" ref="BU223" ca="1" si="2013">BT175</f>
        <v>#NAME?</v>
      </c>
      <c r="BV223" s="23" t="e">
        <f t="shared" ref="BV223" ca="1" si="2014">BU175</f>
        <v>#NAME?</v>
      </c>
      <c r="BW223" s="23" t="e">
        <f t="shared" ref="BW223" ca="1" si="2015">BV175</f>
        <v>#NAME?</v>
      </c>
      <c r="BX223" s="23" t="e">
        <f t="shared" ref="BX223" ca="1" si="2016">BW175</f>
        <v>#NAME?</v>
      </c>
      <c r="BY223" s="23" t="e">
        <f t="shared" ref="BY223" ca="1" si="2017">BX175</f>
        <v>#NAME?</v>
      </c>
      <c r="BZ223" s="23" t="e">
        <f t="shared" ref="BZ223" ca="1" si="2018">BY175</f>
        <v>#NAME?</v>
      </c>
      <c r="CA223" s="23" t="e">
        <f t="shared" ref="CA223" ca="1" si="2019">BZ175</f>
        <v>#NAME?</v>
      </c>
      <c r="CB223" s="23" t="e">
        <f t="shared" ref="CB223" ca="1" si="2020">CA175</f>
        <v>#NAME?</v>
      </c>
      <c r="CC223" s="23" t="e">
        <f t="shared" ref="CC223" ca="1" si="2021">CB175</f>
        <v>#NAME?</v>
      </c>
      <c r="CD223" s="23" t="e">
        <f t="shared" ref="CD223" ca="1" si="2022">CC175</f>
        <v>#NAME?</v>
      </c>
      <c r="CE223" s="23" t="e">
        <f t="shared" ref="CE223" ca="1" si="2023">CD175</f>
        <v>#NAME?</v>
      </c>
      <c r="CF223" s="23" t="e">
        <f t="shared" ref="CF223" ca="1" si="2024">CE175</f>
        <v>#NAME?</v>
      </c>
      <c r="CG223" s="23" t="e">
        <f t="shared" ref="CG223" ca="1" si="2025">CF175</f>
        <v>#NAME?</v>
      </c>
      <c r="CH223" s="23" t="e">
        <f t="shared" ref="CH223:CL223" ca="1" si="2026">CG175</f>
        <v>#NAME?</v>
      </c>
      <c r="CI223" s="23" t="e">
        <f t="shared" ca="1" si="2026"/>
        <v>#NAME?</v>
      </c>
      <c r="CJ223" s="23" t="e">
        <f t="shared" ca="1" si="2026"/>
        <v>#NAME?</v>
      </c>
      <c r="CK223" s="23" t="e">
        <f t="shared" ref="CK223" ca="1" si="2027">CJ175</f>
        <v>#NAME?</v>
      </c>
      <c r="CL223" s="23" t="e">
        <f t="shared" ca="1" si="2026"/>
        <v>#NAME?</v>
      </c>
      <c r="CM223" s="24" t="e">
        <f t="shared" ref="CM223" ca="1" si="2028">CL175</f>
        <v>#NAME?</v>
      </c>
      <c r="CN223" s="24" t="e">
        <f t="shared" ref="CN223" ca="1" si="2029">CM175</f>
        <v>#NAME?</v>
      </c>
      <c r="CO223" s="24" t="e">
        <f t="shared" ref="CO223" ca="1" si="2030">CN175</f>
        <v>#NAME?</v>
      </c>
      <c r="CP223" s="24" t="e">
        <f t="shared" ref="CP223" ca="1" si="2031">CO175</f>
        <v>#NAME?</v>
      </c>
      <c r="CQ223" s="24" t="e">
        <f t="shared" ref="CQ223" ca="1" si="2032">CP175</f>
        <v>#NAME?</v>
      </c>
      <c r="CR223" s="24" t="e">
        <f t="shared" ref="CR223" ca="1" si="2033">CQ175</f>
        <v>#NAME?</v>
      </c>
      <c r="CS223" s="24" t="e">
        <f t="shared" ref="CS223" ca="1" si="2034">CR175</f>
        <v>#NAME?</v>
      </c>
      <c r="CT223" s="24" t="e">
        <f t="shared" ref="CT223" ca="1" si="2035">CS175</f>
        <v>#NAME?</v>
      </c>
      <c r="CU223" s="24" t="e">
        <f t="shared" ref="CU223" ca="1" si="2036">CT175</f>
        <v>#NAME?</v>
      </c>
      <c r="CV223" s="24" t="e">
        <f t="shared" ref="CV223" ca="1" si="2037">CU175</f>
        <v>#NAME?</v>
      </c>
      <c r="CW223" s="24" t="e">
        <f t="shared" ref="CW223" ca="1" si="2038">CV175</f>
        <v>#NAME?</v>
      </c>
      <c r="CX223" s="24" t="e">
        <f t="shared" ref="CX223" ca="1" si="2039">CW175</f>
        <v>#NAME?</v>
      </c>
      <c r="CY223" s="24" t="e">
        <f t="shared" ref="CY223" ca="1" si="2040">CX175</f>
        <v>#NAME?</v>
      </c>
      <c r="CZ223" s="24" t="e">
        <f t="shared" ref="CZ223" ca="1" si="2041">CY175</f>
        <v>#NAME?</v>
      </c>
      <c r="DA223" s="24" t="e">
        <f t="shared" ref="DA223" ca="1" si="2042">CZ175</f>
        <v>#NAME?</v>
      </c>
      <c r="DB223" s="24" t="e">
        <f t="shared" ref="DB223" ca="1" si="2043">DA175</f>
        <v>#NAME?</v>
      </c>
      <c r="DE223" s="123"/>
      <c r="DF223" s="23">
        <v>2239.6990000000001</v>
      </c>
    </row>
    <row r="224" spans="1:110" s="23" customFormat="1" x14ac:dyDescent="0.2">
      <c r="A224" s="23" t="s">
        <v>443</v>
      </c>
      <c r="C224" s="23" t="e">
        <f t="shared" ref="C224:W224" ca="1" si="2044">C223+C219+C215+C213</f>
        <v>#NAME?</v>
      </c>
      <c r="D224" s="23" t="e">
        <f t="shared" ca="1" si="2044"/>
        <v>#NAME?</v>
      </c>
      <c r="E224" s="23" t="e">
        <f t="shared" ca="1" si="2044"/>
        <v>#NAME?</v>
      </c>
      <c r="F224" s="23" t="e">
        <f t="shared" ca="1" si="2044"/>
        <v>#NAME?</v>
      </c>
      <c r="G224" s="23" t="e">
        <f t="shared" ca="1" si="2044"/>
        <v>#NAME?</v>
      </c>
      <c r="H224" s="23" t="e">
        <f t="shared" ca="1" si="2044"/>
        <v>#NAME?</v>
      </c>
      <c r="I224" s="23" t="e">
        <f t="shared" ca="1" si="2044"/>
        <v>#NAME?</v>
      </c>
      <c r="J224" s="23" t="e">
        <f ca="1">J223+J219+J215+J213</f>
        <v>#NAME?</v>
      </c>
      <c r="K224" s="23" t="e">
        <f ca="1">K223+K219+K215+K213</f>
        <v>#NAME?</v>
      </c>
      <c r="L224" s="23" t="e">
        <f ca="1">L223+L219+L215+L213</f>
        <v>#NAME?</v>
      </c>
      <c r="M224" s="23" t="e">
        <f ca="1">M223+M219+M215+M213</f>
        <v>#NAME?</v>
      </c>
      <c r="N224" s="23" t="e">
        <f t="shared" ca="1" si="2044"/>
        <v>#NAME?</v>
      </c>
      <c r="O224" s="23" t="e">
        <f t="shared" ca="1" si="2044"/>
        <v>#NAME?</v>
      </c>
      <c r="P224" s="23" t="e">
        <f t="shared" ca="1" si="2044"/>
        <v>#NAME?</v>
      </c>
      <c r="Q224" s="23" t="e">
        <f t="shared" ca="1" si="2044"/>
        <v>#NAME?</v>
      </c>
      <c r="R224" s="23" t="e">
        <f t="shared" ca="1" si="2044"/>
        <v>#NAME?</v>
      </c>
      <c r="S224" s="23" t="e">
        <f t="shared" ca="1" si="2044"/>
        <v>#NAME?</v>
      </c>
      <c r="T224" s="23" t="e">
        <f t="shared" ca="1" si="2044"/>
        <v>#NAME?</v>
      </c>
      <c r="U224" s="23" t="e">
        <f t="shared" ca="1" si="2044"/>
        <v>#NAME?</v>
      </c>
      <c r="V224" s="23" t="e">
        <f t="shared" ca="1" si="2044"/>
        <v>#NAME?</v>
      </c>
      <c r="W224" s="23" t="e">
        <f t="shared" ca="1" si="2044"/>
        <v>#NAME?</v>
      </c>
      <c r="X224" s="23" t="e">
        <f t="shared" ref="X224:Y224" ca="1" si="2045">X223+X219+X215+X213</f>
        <v>#NAME?</v>
      </c>
      <c r="Y224" s="23" t="e">
        <f t="shared" ca="1" si="2045"/>
        <v>#NAME?</v>
      </c>
      <c r="Z224" s="23" t="e">
        <f t="shared" ref="Z224:AA224" ca="1" si="2046">Z223+Z219+Z215+Z213</f>
        <v>#NAME?</v>
      </c>
      <c r="AA224" s="23" t="e">
        <f t="shared" ca="1" si="2046"/>
        <v>#NAME?</v>
      </c>
      <c r="AB224" s="24" t="e">
        <f t="shared" ref="AA224:AD224" ca="1" si="2047">AB223+AB219+AB215+AB213</f>
        <v>#NAME?</v>
      </c>
      <c r="AC224" s="24" t="e">
        <f t="shared" ca="1" si="2047"/>
        <v>#NAME?</v>
      </c>
      <c r="AD224" s="24" t="e">
        <f t="shared" ca="1" si="2047"/>
        <v>#NAME?</v>
      </c>
      <c r="AE224" s="24" t="e">
        <f t="shared" ref="AE224" ca="1" si="2048">AE223+AE219+AE215+AE213</f>
        <v>#NAME?</v>
      </c>
      <c r="AI224" s="23" t="e">
        <f t="shared" ref="AI224" ca="1" si="2049">AI223+AI219+AI215+AI213</f>
        <v>#NAME?</v>
      </c>
      <c r="AJ224" s="23" t="e">
        <f t="shared" ref="AJ224:AL224" ca="1" si="2050">AJ223+AJ219+AJ215+AJ213</f>
        <v>#NAME?</v>
      </c>
      <c r="AK224" s="23" t="e">
        <f t="shared" ca="1" si="2050"/>
        <v>#NAME?</v>
      </c>
      <c r="AL224" s="23" t="e">
        <f t="shared" ca="1" si="2050"/>
        <v>#NAME?</v>
      </c>
      <c r="AM224" s="23" t="e">
        <f t="shared" ref="AM224" ca="1" si="2051">AM223+AM219+AM215+AM213</f>
        <v>#NAME?</v>
      </c>
      <c r="AN224" s="23" t="e">
        <f t="shared" ref="AN224:CD224" ca="1" si="2052">AN223+AN219+AN215+AN213</f>
        <v>#NAME?</v>
      </c>
      <c r="AO224" s="23" t="e">
        <f t="shared" ca="1" si="2052"/>
        <v>#NAME?</v>
      </c>
      <c r="AP224" s="23" t="e">
        <f t="shared" ca="1" si="2052"/>
        <v>#NAME?</v>
      </c>
      <c r="AQ224" s="23" t="e">
        <f t="shared" ca="1" si="2052"/>
        <v>#NAME?</v>
      </c>
      <c r="AR224" s="23" t="e">
        <f t="shared" ca="1" si="2052"/>
        <v>#NAME?</v>
      </c>
      <c r="AS224" s="23" t="e">
        <f t="shared" ca="1" si="2052"/>
        <v>#NAME?</v>
      </c>
      <c r="AT224" s="23" t="e">
        <f t="shared" ca="1" si="2052"/>
        <v>#NAME?</v>
      </c>
      <c r="AU224" s="23" t="e">
        <f t="shared" ca="1" si="2052"/>
        <v>#NAME?</v>
      </c>
      <c r="AV224" s="23" t="e">
        <f t="shared" ca="1" si="2052"/>
        <v>#NAME?</v>
      </c>
      <c r="AW224" s="23" t="e">
        <f t="shared" ca="1" si="2052"/>
        <v>#NAME?</v>
      </c>
      <c r="AX224" s="23" t="e">
        <f t="shared" ca="1" si="2052"/>
        <v>#NAME?</v>
      </c>
      <c r="AY224" s="23" t="e">
        <f t="shared" ca="1" si="2052"/>
        <v>#NAME?</v>
      </c>
      <c r="AZ224" s="23" t="e">
        <f t="shared" ca="1" si="2052"/>
        <v>#NAME?</v>
      </c>
      <c r="BA224" s="23" t="e">
        <f t="shared" ca="1" si="2052"/>
        <v>#NAME?</v>
      </c>
      <c r="BB224" s="23" t="e">
        <f t="shared" ca="1" si="2052"/>
        <v>#NAME?</v>
      </c>
      <c r="BC224" s="23" t="e">
        <f t="shared" ca="1" si="2052"/>
        <v>#NAME?</v>
      </c>
      <c r="BD224" s="23" t="e">
        <f t="shared" ca="1" si="2052"/>
        <v>#NAME?</v>
      </c>
      <c r="BE224" s="23" t="e">
        <f t="shared" ca="1" si="2052"/>
        <v>#NAME?</v>
      </c>
      <c r="BF224" s="23" t="e">
        <f t="shared" ca="1" si="2052"/>
        <v>#NAME?</v>
      </c>
      <c r="BG224" s="23" t="e">
        <f t="shared" ca="1" si="2052"/>
        <v>#NAME?</v>
      </c>
      <c r="BH224" s="23" t="e">
        <f t="shared" ca="1" si="2052"/>
        <v>#NAME?</v>
      </c>
      <c r="BI224" s="23" t="e">
        <f t="shared" ca="1" si="2052"/>
        <v>#NAME?</v>
      </c>
      <c r="BJ224" s="23" t="e">
        <f t="shared" ca="1" si="2052"/>
        <v>#NAME?</v>
      </c>
      <c r="BK224" s="23" t="e">
        <f t="shared" ca="1" si="2052"/>
        <v>#NAME?</v>
      </c>
      <c r="BL224" s="23" t="e">
        <f t="shared" ca="1" si="2052"/>
        <v>#NAME?</v>
      </c>
      <c r="BM224" s="23" t="e">
        <f t="shared" ca="1" si="2052"/>
        <v>#NAME?</v>
      </c>
      <c r="BN224" s="23" t="e">
        <f t="shared" ca="1" si="2052"/>
        <v>#NAME?</v>
      </c>
      <c r="BO224" s="23" t="e">
        <f t="shared" ca="1" si="2052"/>
        <v>#NAME?</v>
      </c>
      <c r="BP224" s="23" t="e">
        <f t="shared" ca="1" si="2052"/>
        <v>#NAME?</v>
      </c>
      <c r="BQ224" s="23" t="e">
        <f t="shared" ca="1" si="2052"/>
        <v>#NAME?</v>
      </c>
      <c r="BR224" s="23" t="e">
        <f t="shared" ca="1" si="2052"/>
        <v>#NAME?</v>
      </c>
      <c r="BS224" s="23" t="e">
        <f t="shared" ca="1" si="2052"/>
        <v>#NAME?</v>
      </c>
      <c r="BT224" s="23" t="e">
        <f t="shared" ca="1" si="2052"/>
        <v>#NAME?</v>
      </c>
      <c r="BU224" s="23" t="e">
        <f t="shared" ca="1" si="2052"/>
        <v>#NAME?</v>
      </c>
      <c r="BV224" s="23" t="e">
        <f t="shared" ca="1" si="2052"/>
        <v>#NAME?</v>
      </c>
      <c r="BW224" s="23" t="e">
        <f t="shared" ca="1" si="2052"/>
        <v>#NAME?</v>
      </c>
      <c r="BX224" s="23" t="e">
        <f t="shared" ca="1" si="2052"/>
        <v>#NAME?</v>
      </c>
      <c r="BY224" s="23" t="e">
        <f t="shared" ca="1" si="2052"/>
        <v>#NAME?</v>
      </c>
      <c r="BZ224" s="23" t="e">
        <f t="shared" ca="1" si="2052"/>
        <v>#NAME?</v>
      </c>
      <c r="CA224" s="23" t="e">
        <f t="shared" ca="1" si="2052"/>
        <v>#NAME?</v>
      </c>
      <c r="CB224" s="23" t="e">
        <f t="shared" ca="1" si="2052"/>
        <v>#NAME?</v>
      </c>
      <c r="CC224" s="23" t="e">
        <f t="shared" ca="1" si="2052"/>
        <v>#NAME?</v>
      </c>
      <c r="CD224" s="23" t="e">
        <f t="shared" ca="1" si="2052"/>
        <v>#NAME?</v>
      </c>
      <c r="CE224" s="23" t="e">
        <f t="shared" ref="CE224:CF224" ca="1" si="2053">CE223+CE219+CE215+CE213</f>
        <v>#NAME?</v>
      </c>
      <c r="CF224" s="23" t="e">
        <f t="shared" ca="1" si="2053"/>
        <v>#NAME?</v>
      </c>
      <c r="CG224" s="23" t="e">
        <f t="shared" ref="CG224:CH224" ca="1" si="2054">CG223+CG219+CG215+CG213</f>
        <v>#NAME?</v>
      </c>
      <c r="CH224" s="23" t="e">
        <f t="shared" ca="1" si="2054"/>
        <v>#NAME?</v>
      </c>
      <c r="CI224" s="23" t="e">
        <f t="shared" ref="CI224:CJ224" ca="1" si="2055">CI223+CI219+CI215+CI213</f>
        <v>#NAME?</v>
      </c>
      <c r="CJ224" s="23" t="e">
        <f t="shared" ca="1" si="2055"/>
        <v>#NAME?</v>
      </c>
      <c r="CK224" s="23" t="e">
        <f t="shared" ref="CK224:DB224" ca="1" si="2056">CK223+CK219+CK215+CK213</f>
        <v>#NAME?</v>
      </c>
      <c r="CL224" s="23" t="e">
        <f t="shared" ca="1" si="2056"/>
        <v>#NAME?</v>
      </c>
      <c r="CM224" s="24" t="e">
        <f t="shared" ca="1" si="2056"/>
        <v>#NAME?</v>
      </c>
      <c r="CN224" s="24" t="e">
        <f t="shared" ca="1" si="2056"/>
        <v>#NAME?</v>
      </c>
      <c r="CO224" s="24" t="e">
        <f t="shared" ca="1" si="2056"/>
        <v>#NAME?</v>
      </c>
      <c r="CP224" s="24" t="e">
        <f t="shared" ca="1" si="2056"/>
        <v>#NAME?</v>
      </c>
      <c r="CQ224" s="24" t="e">
        <f t="shared" ca="1" si="2056"/>
        <v>#NAME?</v>
      </c>
      <c r="CR224" s="24" t="e">
        <f t="shared" ca="1" si="2056"/>
        <v>#NAME?</v>
      </c>
      <c r="CS224" s="24" t="e">
        <f t="shared" ca="1" si="2056"/>
        <v>#NAME?</v>
      </c>
      <c r="CT224" s="24" t="e">
        <f t="shared" ca="1" si="2056"/>
        <v>#NAME?</v>
      </c>
      <c r="CU224" s="24" t="e">
        <f t="shared" ca="1" si="2056"/>
        <v>#NAME?</v>
      </c>
      <c r="CV224" s="24" t="e">
        <f t="shared" ca="1" si="2056"/>
        <v>#NAME?</v>
      </c>
      <c r="CW224" s="24" t="e">
        <f t="shared" ca="1" si="2056"/>
        <v>#NAME?</v>
      </c>
      <c r="CX224" s="24" t="e">
        <f t="shared" ca="1" si="2056"/>
        <v>#NAME?</v>
      </c>
      <c r="CY224" s="24" t="e">
        <f t="shared" ca="1" si="2056"/>
        <v>#NAME?</v>
      </c>
      <c r="CZ224" s="24" t="e">
        <f t="shared" ca="1" si="2056"/>
        <v>#NAME?</v>
      </c>
      <c r="DA224" s="24" t="e">
        <f t="shared" ca="1" si="2056"/>
        <v>#NAME?</v>
      </c>
      <c r="DB224" s="24" t="e">
        <f t="shared" ca="1" si="2056"/>
        <v>#NAME?</v>
      </c>
      <c r="DE224" s="123"/>
      <c r="DF224" s="23">
        <v>3580.8009999999995</v>
      </c>
    </row>
    <row r="225" spans="1:110" s="28" customFormat="1" x14ac:dyDescent="0.2">
      <c r="A225" s="28" t="s">
        <v>444</v>
      </c>
      <c r="C225" s="28" t="e">
        <f t="shared" ref="C225:W225" ca="1" si="2057">C224-C175</f>
        <v>#NAME?</v>
      </c>
      <c r="D225" s="28" t="e">
        <f t="shared" ca="1" si="2057"/>
        <v>#NAME?</v>
      </c>
      <c r="E225" s="28" t="e">
        <f t="shared" ca="1" si="2057"/>
        <v>#NAME?</v>
      </c>
      <c r="F225" s="28" t="e">
        <f t="shared" ca="1" si="2057"/>
        <v>#NAME?</v>
      </c>
      <c r="G225" s="28" t="e">
        <f t="shared" ca="1" si="2057"/>
        <v>#NAME?</v>
      </c>
      <c r="H225" s="28" t="e">
        <f t="shared" ca="1" si="2057"/>
        <v>#NAME?</v>
      </c>
      <c r="I225" s="28" t="e">
        <f t="shared" ca="1" si="2057"/>
        <v>#NAME?</v>
      </c>
      <c r="J225" s="28" t="e">
        <f ca="1">J224-J175</f>
        <v>#NAME?</v>
      </c>
      <c r="K225" s="28" t="e">
        <f t="shared" ca="1" si="2057"/>
        <v>#NAME?</v>
      </c>
      <c r="L225" s="28" t="e">
        <f t="shared" ca="1" si="2057"/>
        <v>#NAME?</v>
      </c>
      <c r="M225" s="28" t="e">
        <f t="shared" ca="1" si="2057"/>
        <v>#NAME?</v>
      </c>
      <c r="N225" s="28" t="e">
        <f t="shared" ca="1" si="2057"/>
        <v>#NAME?</v>
      </c>
      <c r="O225" s="28" t="e">
        <f t="shared" ca="1" si="2057"/>
        <v>#NAME?</v>
      </c>
      <c r="P225" s="28" t="e">
        <f t="shared" ca="1" si="2057"/>
        <v>#NAME?</v>
      </c>
      <c r="Q225" s="28" t="e">
        <f t="shared" ca="1" si="2057"/>
        <v>#NAME?</v>
      </c>
      <c r="R225" s="28" t="e">
        <f t="shared" ca="1" si="2057"/>
        <v>#NAME?</v>
      </c>
      <c r="S225" s="28" t="e">
        <f t="shared" ca="1" si="2057"/>
        <v>#NAME?</v>
      </c>
      <c r="T225" s="28" t="e">
        <f t="shared" ca="1" si="2057"/>
        <v>#NAME?</v>
      </c>
      <c r="U225" s="28" t="e">
        <f t="shared" ca="1" si="2057"/>
        <v>#NAME?</v>
      </c>
      <c r="V225" s="28" t="e">
        <f t="shared" ca="1" si="2057"/>
        <v>#NAME?</v>
      </c>
      <c r="W225" s="28" t="e">
        <f t="shared" ca="1" si="2057"/>
        <v>#NAME?</v>
      </c>
      <c r="X225" s="28" t="e">
        <f t="shared" ref="X225:Y225" ca="1" si="2058">X224-X175</f>
        <v>#NAME?</v>
      </c>
      <c r="Y225" s="28" t="e">
        <f t="shared" ca="1" si="2058"/>
        <v>#NAME?</v>
      </c>
      <c r="Z225" s="28" t="e">
        <f t="shared" ref="Z225:AA225" ca="1" si="2059">Z224-Z175</f>
        <v>#NAME?</v>
      </c>
      <c r="AA225" s="28" t="e">
        <f t="shared" ca="1" si="2059"/>
        <v>#NAME?</v>
      </c>
      <c r="AB225" s="30" t="e">
        <f t="shared" ref="AA225:AD225" ca="1" si="2060">AB224-AB175</f>
        <v>#NAME?</v>
      </c>
      <c r="AC225" s="30" t="e">
        <f t="shared" ca="1" si="2060"/>
        <v>#NAME?</v>
      </c>
      <c r="AD225" s="30" t="e">
        <f t="shared" ca="1" si="2060"/>
        <v>#NAME?</v>
      </c>
      <c r="AE225" s="30" t="e">
        <f t="shared" ref="AE225" ca="1" si="2061">AE224-AE175</f>
        <v>#NAME?</v>
      </c>
      <c r="AI225" s="28" t="e">
        <f t="shared" ref="AI225" ca="1" si="2062">AI224-AI175</f>
        <v>#NAME?</v>
      </c>
      <c r="AJ225" s="28" t="e">
        <f t="shared" ref="AJ225:AL225" ca="1" si="2063">AJ224-AJ175</f>
        <v>#NAME?</v>
      </c>
      <c r="AK225" s="28" t="e">
        <f t="shared" ca="1" si="2063"/>
        <v>#NAME?</v>
      </c>
      <c r="AL225" s="28" t="e">
        <f t="shared" ca="1" si="2063"/>
        <v>#NAME?</v>
      </c>
      <c r="AM225" s="28" t="e">
        <f t="shared" ref="AM225" ca="1" si="2064">AM224-AM175</f>
        <v>#NAME?</v>
      </c>
      <c r="AN225" s="28" t="e">
        <f t="shared" ref="AN225:CD225" ca="1" si="2065">AN224-AN175</f>
        <v>#NAME?</v>
      </c>
      <c r="AO225" s="28" t="e">
        <f t="shared" ca="1" si="2065"/>
        <v>#NAME?</v>
      </c>
      <c r="AP225" s="28" t="e">
        <f t="shared" ca="1" si="2065"/>
        <v>#NAME?</v>
      </c>
      <c r="AQ225" s="28" t="e">
        <f t="shared" ca="1" si="2065"/>
        <v>#NAME?</v>
      </c>
      <c r="AR225" s="28" t="e">
        <f t="shared" ca="1" si="2065"/>
        <v>#NAME?</v>
      </c>
      <c r="AS225" s="28" t="e">
        <f t="shared" ca="1" si="2065"/>
        <v>#NAME?</v>
      </c>
      <c r="AT225" s="28" t="e">
        <f t="shared" ca="1" si="2065"/>
        <v>#NAME?</v>
      </c>
      <c r="AU225" s="28" t="e">
        <f t="shared" ca="1" si="2065"/>
        <v>#NAME?</v>
      </c>
      <c r="AV225" s="28" t="e">
        <f t="shared" ca="1" si="2065"/>
        <v>#NAME?</v>
      </c>
      <c r="AW225" s="28" t="e">
        <f t="shared" ca="1" si="2065"/>
        <v>#NAME?</v>
      </c>
      <c r="AX225" s="28" t="e">
        <f t="shared" ca="1" si="2065"/>
        <v>#NAME?</v>
      </c>
      <c r="AY225" s="28" t="e">
        <f t="shared" ca="1" si="2065"/>
        <v>#NAME?</v>
      </c>
      <c r="AZ225" s="28" t="e">
        <f t="shared" ca="1" si="2065"/>
        <v>#NAME?</v>
      </c>
      <c r="BA225" s="28" t="e">
        <f t="shared" ca="1" si="2065"/>
        <v>#NAME?</v>
      </c>
      <c r="BB225" s="28" t="e">
        <f t="shared" ca="1" si="2065"/>
        <v>#NAME?</v>
      </c>
      <c r="BC225" s="28" t="e">
        <f t="shared" ca="1" si="2065"/>
        <v>#NAME?</v>
      </c>
      <c r="BD225" s="28" t="e">
        <f t="shared" ca="1" si="2065"/>
        <v>#NAME?</v>
      </c>
      <c r="BE225" s="28" t="e">
        <f t="shared" ca="1" si="2065"/>
        <v>#NAME?</v>
      </c>
      <c r="BF225" s="28" t="e">
        <f t="shared" ca="1" si="2065"/>
        <v>#NAME?</v>
      </c>
      <c r="BG225" s="28" t="e">
        <f t="shared" ca="1" si="2065"/>
        <v>#NAME?</v>
      </c>
      <c r="BH225" s="28" t="e">
        <f t="shared" ca="1" si="2065"/>
        <v>#NAME?</v>
      </c>
      <c r="BI225" s="28" t="e">
        <f t="shared" ca="1" si="2065"/>
        <v>#NAME?</v>
      </c>
      <c r="BJ225" s="28" t="e">
        <f t="shared" ca="1" si="2065"/>
        <v>#NAME?</v>
      </c>
      <c r="BK225" s="28" t="e">
        <f t="shared" ca="1" si="2065"/>
        <v>#NAME?</v>
      </c>
      <c r="BL225" s="28" t="e">
        <f t="shared" ca="1" si="2065"/>
        <v>#NAME?</v>
      </c>
      <c r="BM225" s="28" t="e">
        <f t="shared" ca="1" si="2065"/>
        <v>#NAME?</v>
      </c>
      <c r="BN225" s="28" t="e">
        <f t="shared" ca="1" si="2065"/>
        <v>#NAME?</v>
      </c>
      <c r="BO225" s="28" t="e">
        <f t="shared" ca="1" si="2065"/>
        <v>#NAME?</v>
      </c>
      <c r="BP225" s="28" t="e">
        <f t="shared" ca="1" si="2065"/>
        <v>#NAME?</v>
      </c>
      <c r="BQ225" s="28" t="e">
        <f t="shared" ca="1" si="2065"/>
        <v>#NAME?</v>
      </c>
      <c r="BR225" s="28" t="e">
        <f t="shared" ca="1" si="2065"/>
        <v>#NAME?</v>
      </c>
      <c r="BS225" s="28" t="e">
        <f t="shared" ca="1" si="2065"/>
        <v>#NAME?</v>
      </c>
      <c r="BT225" s="28" t="e">
        <f t="shared" ca="1" si="2065"/>
        <v>#NAME?</v>
      </c>
      <c r="BU225" s="28" t="e">
        <f t="shared" ca="1" si="2065"/>
        <v>#NAME?</v>
      </c>
      <c r="BV225" s="28" t="e">
        <f t="shared" ca="1" si="2065"/>
        <v>#NAME?</v>
      </c>
      <c r="BW225" s="28" t="e">
        <f t="shared" ca="1" si="2065"/>
        <v>#NAME?</v>
      </c>
      <c r="BX225" s="28" t="e">
        <f t="shared" ca="1" si="2065"/>
        <v>#NAME?</v>
      </c>
      <c r="BY225" s="28" t="e">
        <f t="shared" ca="1" si="2065"/>
        <v>#NAME?</v>
      </c>
      <c r="BZ225" s="28" t="e">
        <f t="shared" ca="1" si="2065"/>
        <v>#NAME?</v>
      </c>
      <c r="CA225" s="28" t="e">
        <f t="shared" ca="1" si="2065"/>
        <v>#NAME?</v>
      </c>
      <c r="CB225" s="28" t="e">
        <f t="shared" ca="1" si="2065"/>
        <v>#NAME?</v>
      </c>
      <c r="CC225" s="28" t="e">
        <f t="shared" ca="1" si="2065"/>
        <v>#NAME?</v>
      </c>
      <c r="CD225" s="28" t="e">
        <f t="shared" ca="1" si="2065"/>
        <v>#NAME?</v>
      </c>
      <c r="CE225" s="28" t="e">
        <f t="shared" ref="CE225:CF225" ca="1" si="2066">CE224-CE175</f>
        <v>#NAME?</v>
      </c>
      <c r="CF225" s="28" t="e">
        <f t="shared" ca="1" si="2066"/>
        <v>#NAME?</v>
      </c>
      <c r="CG225" s="28" t="e">
        <f t="shared" ref="CG225:CH225" ca="1" si="2067">CG224-CG175</f>
        <v>#NAME?</v>
      </c>
      <c r="CH225" s="28" t="e">
        <f t="shared" ca="1" si="2067"/>
        <v>#NAME?</v>
      </c>
      <c r="CI225" s="28" t="e">
        <f t="shared" ref="CI225:CJ225" ca="1" si="2068">CI224-CI175</f>
        <v>#NAME?</v>
      </c>
      <c r="CJ225" s="28" t="e">
        <f t="shared" ca="1" si="2068"/>
        <v>#NAME?</v>
      </c>
      <c r="CK225" s="28" t="e">
        <f t="shared" ref="CK225:DB225" ca="1" si="2069">CK224-CK175</f>
        <v>#NAME?</v>
      </c>
      <c r="CL225" s="28" t="e">
        <f t="shared" ca="1" si="2069"/>
        <v>#NAME?</v>
      </c>
      <c r="CM225" s="30" t="e">
        <f t="shared" ca="1" si="2069"/>
        <v>#NAME?</v>
      </c>
      <c r="CN225" s="30" t="e">
        <f t="shared" ca="1" si="2069"/>
        <v>#NAME?</v>
      </c>
      <c r="CO225" s="30" t="e">
        <f t="shared" ca="1" si="2069"/>
        <v>#NAME?</v>
      </c>
      <c r="CP225" s="30" t="e">
        <f t="shared" ca="1" si="2069"/>
        <v>#NAME?</v>
      </c>
      <c r="CQ225" s="30" t="e">
        <f t="shared" ca="1" si="2069"/>
        <v>#NAME?</v>
      </c>
      <c r="CR225" s="30" t="e">
        <f t="shared" ca="1" si="2069"/>
        <v>#NAME?</v>
      </c>
      <c r="CS225" s="30" t="e">
        <f t="shared" ca="1" si="2069"/>
        <v>#NAME?</v>
      </c>
      <c r="CT225" s="30" t="e">
        <f t="shared" ca="1" si="2069"/>
        <v>#NAME?</v>
      </c>
      <c r="CU225" s="30" t="e">
        <f t="shared" ca="1" si="2069"/>
        <v>#NAME?</v>
      </c>
      <c r="CV225" s="30" t="e">
        <f t="shared" ca="1" si="2069"/>
        <v>#NAME?</v>
      </c>
      <c r="CW225" s="30" t="e">
        <f t="shared" ca="1" si="2069"/>
        <v>#NAME?</v>
      </c>
      <c r="CX225" s="30" t="e">
        <f t="shared" ca="1" si="2069"/>
        <v>#NAME?</v>
      </c>
      <c r="CY225" s="30" t="e">
        <f t="shared" ca="1" si="2069"/>
        <v>#NAME?</v>
      </c>
      <c r="CZ225" s="30" t="e">
        <f t="shared" ca="1" si="2069"/>
        <v>#NAME?</v>
      </c>
      <c r="DA225" s="30" t="e">
        <f t="shared" ca="1" si="2069"/>
        <v>#NAME?</v>
      </c>
      <c r="DB225" s="30" t="e">
        <f t="shared" ca="1" si="2069"/>
        <v>#NAME?</v>
      </c>
      <c r="DE225" s="139"/>
      <c r="DF225" s="28">
        <v>0</v>
      </c>
    </row>
    <row r="226" spans="1:110" s="23" customFormat="1" x14ac:dyDescent="0.2">
      <c r="AB226" s="24"/>
      <c r="AC226" s="24"/>
      <c r="AD226" s="24"/>
      <c r="AE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E226" s="123"/>
    </row>
    <row r="227" spans="1:110" s="22" customFormat="1" x14ac:dyDescent="0.2">
      <c r="A227" s="22" t="s">
        <v>96</v>
      </c>
      <c r="C227" s="22" t="e">
        <f t="shared" ref="C227:W227" ca="1" si="2070">C213+C215</f>
        <v>#NAME?</v>
      </c>
      <c r="D227" s="22" t="e">
        <f t="shared" ca="1" si="2070"/>
        <v>#NAME?</v>
      </c>
      <c r="E227" s="22" t="e">
        <f t="shared" ca="1" si="2070"/>
        <v>#NAME?</v>
      </c>
      <c r="F227" s="22" t="e">
        <f t="shared" ca="1" si="2070"/>
        <v>#NAME?</v>
      </c>
      <c r="G227" s="22" t="e">
        <f t="shared" ca="1" si="2070"/>
        <v>#NAME?</v>
      </c>
      <c r="H227" s="22" t="e">
        <f t="shared" ca="1" si="2070"/>
        <v>#NAME?</v>
      </c>
      <c r="I227" s="22" t="e">
        <f t="shared" ca="1" si="2070"/>
        <v>#NAME?</v>
      </c>
      <c r="J227" s="22" t="e">
        <f ca="1">J213+J215</f>
        <v>#NAME?</v>
      </c>
      <c r="K227" s="22" t="e">
        <f t="shared" ca="1" si="2070"/>
        <v>#NAME?</v>
      </c>
      <c r="L227" s="22" t="e">
        <f t="shared" ca="1" si="2070"/>
        <v>#NAME?</v>
      </c>
      <c r="M227" s="22" t="e">
        <f t="shared" ca="1" si="2070"/>
        <v>#NAME?</v>
      </c>
      <c r="N227" s="22" t="e">
        <f t="shared" ca="1" si="2070"/>
        <v>#NAME?</v>
      </c>
      <c r="O227" s="22" t="e">
        <f t="shared" ca="1" si="2070"/>
        <v>#NAME?</v>
      </c>
      <c r="P227" s="22" t="e">
        <f t="shared" ca="1" si="2070"/>
        <v>#NAME?</v>
      </c>
      <c r="Q227" s="22" t="e">
        <f t="shared" ca="1" si="2070"/>
        <v>#NAME?</v>
      </c>
      <c r="R227" s="22" t="e">
        <f t="shared" ca="1" si="2070"/>
        <v>#NAME?</v>
      </c>
      <c r="S227" s="22" t="e">
        <f t="shared" ca="1" si="2070"/>
        <v>#NAME?</v>
      </c>
      <c r="T227" s="22" t="e">
        <f t="shared" ca="1" si="2070"/>
        <v>#NAME?</v>
      </c>
      <c r="U227" s="22" t="e">
        <f t="shared" ca="1" si="2070"/>
        <v>#NAME?</v>
      </c>
      <c r="V227" s="22" t="e">
        <f t="shared" ca="1" si="2070"/>
        <v>#NAME?</v>
      </c>
      <c r="W227" s="22" t="e">
        <f t="shared" ca="1" si="2070"/>
        <v>#NAME?</v>
      </c>
      <c r="X227" s="22" t="e">
        <f t="shared" ref="X227:Y227" ca="1" si="2071">X213+X215</f>
        <v>#NAME?</v>
      </c>
      <c r="Y227" s="22" t="e">
        <f t="shared" ca="1" si="2071"/>
        <v>#NAME?</v>
      </c>
      <c r="Z227" s="22" t="e">
        <f t="shared" ref="Z227:AA227" ca="1" si="2072">Z213+Z215</f>
        <v>#NAME?</v>
      </c>
      <c r="AA227" s="22" t="e">
        <f t="shared" ca="1" si="2072"/>
        <v>#NAME?</v>
      </c>
      <c r="AB227" s="21" t="e">
        <f t="shared" ref="AA227:AD227" ca="1" si="2073">AB213+AB215</f>
        <v>#NAME?</v>
      </c>
      <c r="AC227" s="21" t="e">
        <f t="shared" ca="1" si="2073"/>
        <v>#NAME?</v>
      </c>
      <c r="AD227" s="21" t="e">
        <f t="shared" ca="1" si="2073"/>
        <v>#NAME?</v>
      </c>
      <c r="AE227" s="21" t="e">
        <f t="shared" ref="AE227" ca="1" si="2074">AE213+AE215</f>
        <v>#NAME?</v>
      </c>
      <c r="AI227" s="22" t="e">
        <f t="shared" ref="AI227" ca="1" si="2075">AI213+AI215</f>
        <v>#NAME?</v>
      </c>
      <c r="AJ227" s="22" t="e">
        <f t="shared" ref="AJ227:AL227" ca="1" si="2076">AJ213+AJ215</f>
        <v>#NAME?</v>
      </c>
      <c r="AK227" s="22" t="e">
        <f t="shared" ca="1" si="2076"/>
        <v>#NAME?</v>
      </c>
      <c r="AL227" s="22" t="e">
        <f t="shared" ca="1" si="2076"/>
        <v>#NAME?</v>
      </c>
      <c r="AM227" s="22" t="e">
        <f t="shared" ref="AM227" ca="1" si="2077">AM213+AM215</f>
        <v>#NAME?</v>
      </c>
      <c r="AN227" s="22" t="e">
        <f t="shared" ref="AN227:CD227" ca="1" si="2078">AN213+AN215</f>
        <v>#NAME?</v>
      </c>
      <c r="AO227" s="22" t="e">
        <f t="shared" ca="1" si="2078"/>
        <v>#NAME?</v>
      </c>
      <c r="AP227" s="22" t="e">
        <f t="shared" ca="1" si="2078"/>
        <v>#NAME?</v>
      </c>
      <c r="AQ227" s="22" t="e">
        <f t="shared" ca="1" si="2078"/>
        <v>#NAME?</v>
      </c>
      <c r="AR227" s="22" t="e">
        <f t="shared" ca="1" si="2078"/>
        <v>#NAME?</v>
      </c>
      <c r="AS227" s="22" t="e">
        <f t="shared" ca="1" si="2078"/>
        <v>#NAME?</v>
      </c>
      <c r="AT227" s="22" t="e">
        <f t="shared" ca="1" si="2078"/>
        <v>#NAME?</v>
      </c>
      <c r="AU227" s="22" t="e">
        <f t="shared" ca="1" si="2078"/>
        <v>#NAME?</v>
      </c>
      <c r="AV227" s="22" t="e">
        <f t="shared" ca="1" si="2078"/>
        <v>#NAME?</v>
      </c>
      <c r="AW227" s="22" t="e">
        <f t="shared" ca="1" si="2078"/>
        <v>#NAME?</v>
      </c>
      <c r="AX227" s="22" t="e">
        <f t="shared" ca="1" si="2078"/>
        <v>#NAME?</v>
      </c>
      <c r="AY227" s="22" t="e">
        <f t="shared" ca="1" si="2078"/>
        <v>#NAME?</v>
      </c>
      <c r="AZ227" s="22" t="e">
        <f t="shared" ca="1" si="2078"/>
        <v>#NAME?</v>
      </c>
      <c r="BA227" s="22" t="e">
        <f t="shared" ca="1" si="2078"/>
        <v>#NAME?</v>
      </c>
      <c r="BB227" s="22" t="e">
        <f t="shared" ca="1" si="2078"/>
        <v>#NAME?</v>
      </c>
      <c r="BC227" s="22" t="e">
        <f t="shared" ca="1" si="2078"/>
        <v>#NAME?</v>
      </c>
      <c r="BD227" s="22" t="e">
        <f t="shared" ca="1" si="2078"/>
        <v>#NAME?</v>
      </c>
      <c r="BE227" s="22" t="e">
        <f t="shared" ca="1" si="2078"/>
        <v>#NAME?</v>
      </c>
      <c r="BF227" s="22" t="e">
        <f t="shared" ca="1" si="2078"/>
        <v>#NAME?</v>
      </c>
      <c r="BG227" s="22" t="e">
        <f t="shared" ca="1" si="2078"/>
        <v>#NAME?</v>
      </c>
      <c r="BH227" s="22" t="e">
        <f t="shared" ca="1" si="2078"/>
        <v>#NAME?</v>
      </c>
      <c r="BI227" s="22" t="e">
        <f t="shared" ca="1" si="2078"/>
        <v>#NAME?</v>
      </c>
      <c r="BJ227" s="22" t="e">
        <f t="shared" ca="1" si="2078"/>
        <v>#NAME?</v>
      </c>
      <c r="BK227" s="22" t="e">
        <f t="shared" ca="1" si="2078"/>
        <v>#NAME?</v>
      </c>
      <c r="BL227" s="22" t="e">
        <f t="shared" ca="1" si="2078"/>
        <v>#NAME?</v>
      </c>
      <c r="BM227" s="22" t="e">
        <f t="shared" ca="1" si="2078"/>
        <v>#NAME?</v>
      </c>
      <c r="BN227" s="22" t="e">
        <f t="shared" ca="1" si="2078"/>
        <v>#NAME?</v>
      </c>
      <c r="BO227" s="22" t="e">
        <f t="shared" ca="1" si="2078"/>
        <v>#NAME?</v>
      </c>
      <c r="BP227" s="22" t="e">
        <f t="shared" ca="1" si="2078"/>
        <v>#NAME?</v>
      </c>
      <c r="BQ227" s="22" t="e">
        <f t="shared" ca="1" si="2078"/>
        <v>#NAME?</v>
      </c>
      <c r="BR227" s="22" t="e">
        <f t="shared" ca="1" si="2078"/>
        <v>#NAME?</v>
      </c>
      <c r="BS227" s="22" t="e">
        <f t="shared" ca="1" si="2078"/>
        <v>#NAME?</v>
      </c>
      <c r="BT227" s="22" t="e">
        <f t="shared" ca="1" si="2078"/>
        <v>#NAME?</v>
      </c>
      <c r="BU227" s="22" t="e">
        <f t="shared" ca="1" si="2078"/>
        <v>#NAME?</v>
      </c>
      <c r="BV227" s="22" t="e">
        <f t="shared" ca="1" si="2078"/>
        <v>#NAME?</v>
      </c>
      <c r="BW227" s="22" t="e">
        <f t="shared" ca="1" si="2078"/>
        <v>#NAME?</v>
      </c>
      <c r="BX227" s="22" t="e">
        <f t="shared" ca="1" si="2078"/>
        <v>#NAME?</v>
      </c>
      <c r="BY227" s="22" t="e">
        <f t="shared" ca="1" si="2078"/>
        <v>#NAME?</v>
      </c>
      <c r="BZ227" s="22" t="e">
        <f t="shared" ca="1" si="2078"/>
        <v>#NAME?</v>
      </c>
      <c r="CA227" s="22" t="e">
        <f t="shared" ca="1" si="2078"/>
        <v>#NAME?</v>
      </c>
      <c r="CB227" s="22" t="e">
        <f t="shared" ca="1" si="2078"/>
        <v>#NAME?</v>
      </c>
      <c r="CC227" s="22" t="e">
        <f t="shared" ca="1" si="2078"/>
        <v>#NAME?</v>
      </c>
      <c r="CD227" s="22" t="e">
        <f t="shared" ca="1" si="2078"/>
        <v>#NAME?</v>
      </c>
      <c r="CE227" s="22" t="e">
        <f t="shared" ref="CE227:CF227" ca="1" si="2079">CE213+CE215</f>
        <v>#NAME?</v>
      </c>
      <c r="CF227" s="22" t="e">
        <f t="shared" ca="1" si="2079"/>
        <v>#NAME?</v>
      </c>
      <c r="CG227" s="22" t="e">
        <f t="shared" ref="CG227:CH227" ca="1" si="2080">CG213+CG215</f>
        <v>#NAME?</v>
      </c>
      <c r="CH227" s="22" t="e">
        <f t="shared" ca="1" si="2080"/>
        <v>#NAME?</v>
      </c>
      <c r="CI227" s="22" t="e">
        <f t="shared" ref="CI227:CJ227" ca="1" si="2081">CI213+CI215</f>
        <v>#NAME?</v>
      </c>
      <c r="CJ227" s="22" t="e">
        <f t="shared" ca="1" si="2081"/>
        <v>#NAME?</v>
      </c>
      <c r="CK227" s="22" t="e">
        <f t="shared" ref="CK227:DB227" ca="1" si="2082">CK213+CK215</f>
        <v>#NAME?</v>
      </c>
      <c r="CL227" s="22" t="e">
        <f t="shared" ca="1" si="2082"/>
        <v>#NAME?</v>
      </c>
      <c r="CM227" s="21" t="e">
        <f t="shared" ca="1" si="2082"/>
        <v>#NAME?</v>
      </c>
      <c r="CN227" s="21" t="e">
        <f t="shared" ca="1" si="2082"/>
        <v>#NAME?</v>
      </c>
      <c r="CO227" s="21" t="e">
        <f t="shared" ca="1" si="2082"/>
        <v>#NAME?</v>
      </c>
      <c r="CP227" s="21" t="e">
        <f t="shared" ca="1" si="2082"/>
        <v>#NAME?</v>
      </c>
      <c r="CQ227" s="21" t="e">
        <f t="shared" ca="1" si="2082"/>
        <v>#NAME?</v>
      </c>
      <c r="CR227" s="21" t="e">
        <f t="shared" ca="1" si="2082"/>
        <v>#NAME?</v>
      </c>
      <c r="CS227" s="21" t="e">
        <f t="shared" ca="1" si="2082"/>
        <v>#NAME?</v>
      </c>
      <c r="CT227" s="21" t="e">
        <f t="shared" ca="1" si="2082"/>
        <v>#NAME?</v>
      </c>
      <c r="CU227" s="21" t="e">
        <f t="shared" ca="1" si="2082"/>
        <v>#NAME?</v>
      </c>
      <c r="CV227" s="21" t="e">
        <f t="shared" ca="1" si="2082"/>
        <v>#NAME?</v>
      </c>
      <c r="CW227" s="21" t="e">
        <f t="shared" ca="1" si="2082"/>
        <v>#NAME?</v>
      </c>
      <c r="CX227" s="21" t="e">
        <f t="shared" ca="1" si="2082"/>
        <v>#NAME?</v>
      </c>
      <c r="CY227" s="21" t="e">
        <f t="shared" ca="1" si="2082"/>
        <v>#NAME?</v>
      </c>
      <c r="CZ227" s="21" t="e">
        <f t="shared" ca="1" si="2082"/>
        <v>#NAME?</v>
      </c>
      <c r="DA227" s="21" t="e">
        <f t="shared" ca="1" si="2082"/>
        <v>#NAME?</v>
      </c>
      <c r="DB227" s="21" t="e">
        <f t="shared" ca="1" si="2082"/>
        <v>#NAME?</v>
      </c>
      <c r="DE227" s="126"/>
      <c r="DF227" s="22">
        <v>709.14699999999925</v>
      </c>
    </row>
    <row r="228" spans="1:110" x14ac:dyDescent="0.2">
      <c r="A228" s="152" t="s">
        <v>496</v>
      </c>
      <c r="AA228" s="2"/>
    </row>
    <row r="229" spans="1:110" x14ac:dyDescent="0.2">
      <c r="AA229" s="2"/>
    </row>
    <row r="230" spans="1:110" s="7" customFormat="1" hidden="1" outlineLevel="1" x14ac:dyDescent="0.2">
      <c r="A230" s="61" t="s">
        <v>97</v>
      </c>
      <c r="AB230" s="77"/>
      <c r="AC230" s="77"/>
      <c r="AD230" s="77"/>
      <c r="AE230" s="77"/>
      <c r="CM230" s="50"/>
      <c r="CN230" s="50"/>
      <c r="CO230" s="50"/>
      <c r="CP230" s="50"/>
      <c r="CQ230" s="50"/>
      <c r="CR230" s="50"/>
      <c r="CS230" s="50"/>
      <c r="CT230" s="50"/>
      <c r="CU230" s="50"/>
      <c r="CV230" s="50"/>
      <c r="CW230" s="50"/>
      <c r="CX230" s="50"/>
      <c r="CY230" s="50"/>
      <c r="CZ230" s="50"/>
      <c r="DA230" s="50"/>
      <c r="DB230" s="50"/>
      <c r="DE230" s="138"/>
    </row>
    <row r="231" spans="1:110" s="62" customFormat="1" hidden="1" outlineLevel="1" x14ac:dyDescent="0.2">
      <c r="A231" s="62" t="s">
        <v>98</v>
      </c>
      <c r="AB231" s="63"/>
      <c r="AC231" s="63"/>
      <c r="AD231" s="63"/>
      <c r="AE231" s="63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10" s="62" customFormat="1" hidden="1" outlineLevel="1" x14ac:dyDescent="0.2">
      <c r="A232" s="62" t="s">
        <v>99</v>
      </c>
      <c r="AB232" s="63"/>
      <c r="AC232" s="63"/>
      <c r="AD232" s="63"/>
      <c r="AE232" s="63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10" s="62" customFormat="1" hidden="1" outlineLevel="1" x14ac:dyDescent="0.2">
      <c r="A233" s="62" t="s">
        <v>100</v>
      </c>
      <c r="AB233" s="63"/>
      <c r="AC233" s="63"/>
      <c r="AD233" s="63"/>
      <c r="AE233" s="63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62" customFormat="1" hidden="1" outlineLevel="1" x14ac:dyDescent="0.2">
      <c r="AB234" s="63"/>
      <c r="AC234" s="63"/>
      <c r="AD234" s="63"/>
      <c r="AE234" s="63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0" s="62" customFormat="1" hidden="1" outlineLevel="1" x14ac:dyDescent="0.2">
      <c r="AB235" s="63"/>
      <c r="AC235" s="63"/>
      <c r="AD235" s="63"/>
      <c r="AE235" s="63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2" customFormat="1" hidden="1" outlineLevel="1" x14ac:dyDescent="0.2">
      <c r="AB236" s="63"/>
      <c r="AC236" s="63"/>
      <c r="AD236" s="63"/>
      <c r="AE236" s="63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11" customFormat="1" collapsed="1" x14ac:dyDescent="0.2">
      <c r="AB237" s="63"/>
      <c r="AC237" s="63"/>
      <c r="AD237" s="63"/>
      <c r="AE237" s="63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83" customFormat="1" x14ac:dyDescent="0.2">
      <c r="A238" s="82" t="s">
        <v>101</v>
      </c>
      <c r="AB238" s="72"/>
      <c r="AC238" s="72"/>
      <c r="AD238" s="72"/>
      <c r="AE238" s="72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66" customFormat="1" x14ac:dyDescent="0.2">
      <c r="A239" s="66" t="s">
        <v>471</v>
      </c>
      <c r="AB239" s="50"/>
      <c r="AC239" s="50"/>
      <c r="AD239" s="50"/>
      <c r="AE239" s="50"/>
      <c r="AL239" s="66" t="e">
        <f t="shared" ref="AL239:BQ239" ca="1" si="2083">SUM(AI24:AL24)</f>
        <v>#NAME?</v>
      </c>
      <c r="AM239" s="66" t="e">
        <f t="shared" ca="1" si="2083"/>
        <v>#NAME?</v>
      </c>
      <c r="AN239" s="66" t="e">
        <f t="shared" ca="1" si="2083"/>
        <v>#NAME?</v>
      </c>
      <c r="AO239" s="66" t="e">
        <f t="shared" ca="1" si="2083"/>
        <v>#NAME?</v>
      </c>
      <c r="AP239" s="66" t="e">
        <f t="shared" ca="1" si="2083"/>
        <v>#NAME?</v>
      </c>
      <c r="AQ239" s="66" t="e">
        <f t="shared" ca="1" si="2083"/>
        <v>#NAME?</v>
      </c>
      <c r="AR239" s="66" t="e">
        <f t="shared" ca="1" si="2083"/>
        <v>#NAME?</v>
      </c>
      <c r="AS239" s="66" t="e">
        <f t="shared" ca="1" si="2083"/>
        <v>#NAME?</v>
      </c>
      <c r="AT239" s="66" t="e">
        <f t="shared" ca="1" si="2083"/>
        <v>#NAME?</v>
      </c>
      <c r="AU239" s="66" t="e">
        <f t="shared" ca="1" si="2083"/>
        <v>#NAME?</v>
      </c>
      <c r="AV239" s="66" t="e">
        <f t="shared" ca="1" si="2083"/>
        <v>#NAME?</v>
      </c>
      <c r="AW239" s="66" t="e">
        <f t="shared" ca="1" si="2083"/>
        <v>#NAME?</v>
      </c>
      <c r="AX239" s="66" t="e">
        <f t="shared" ca="1" si="2083"/>
        <v>#NAME?</v>
      </c>
      <c r="AY239" s="66" t="e">
        <f t="shared" ca="1" si="2083"/>
        <v>#NAME?</v>
      </c>
      <c r="AZ239" s="66" t="e">
        <f t="shared" ca="1" si="2083"/>
        <v>#NAME?</v>
      </c>
      <c r="BA239" s="66" t="e">
        <f t="shared" ca="1" si="2083"/>
        <v>#NAME?</v>
      </c>
      <c r="BB239" s="66" t="e">
        <f t="shared" ca="1" si="2083"/>
        <v>#NAME?</v>
      </c>
      <c r="BC239" s="66" t="e">
        <f t="shared" ca="1" si="2083"/>
        <v>#NAME?</v>
      </c>
      <c r="BD239" s="66" t="e">
        <f t="shared" ca="1" si="2083"/>
        <v>#NAME?</v>
      </c>
      <c r="BE239" s="66" t="e">
        <f t="shared" ca="1" si="2083"/>
        <v>#NAME?</v>
      </c>
      <c r="BF239" s="66" t="e">
        <f t="shared" ca="1" si="2083"/>
        <v>#NAME?</v>
      </c>
      <c r="BG239" s="66" t="e">
        <f t="shared" ca="1" si="2083"/>
        <v>#NAME?</v>
      </c>
      <c r="BH239" s="66" t="e">
        <f t="shared" ca="1" si="2083"/>
        <v>#NAME?</v>
      </c>
      <c r="BI239" s="66" t="e">
        <f t="shared" ca="1" si="2083"/>
        <v>#NAME?</v>
      </c>
      <c r="BJ239" s="66" t="e">
        <f t="shared" ca="1" si="2083"/>
        <v>#NAME?</v>
      </c>
      <c r="BK239" s="66" t="e">
        <f t="shared" ca="1" si="2083"/>
        <v>#NAME?</v>
      </c>
      <c r="BL239" s="66" t="e">
        <f t="shared" ca="1" si="2083"/>
        <v>#NAME?</v>
      </c>
      <c r="BM239" s="66" t="e">
        <f t="shared" ca="1" si="2083"/>
        <v>#NAME?</v>
      </c>
      <c r="BN239" s="66" t="e">
        <f t="shared" ca="1" si="2083"/>
        <v>#NAME?</v>
      </c>
      <c r="BO239" s="66" t="e">
        <f t="shared" ca="1" si="2083"/>
        <v>#NAME?</v>
      </c>
      <c r="BP239" s="66" t="e">
        <f t="shared" ca="1" si="2083"/>
        <v>#NAME?</v>
      </c>
      <c r="BQ239" s="66" t="e">
        <f t="shared" ca="1" si="2083"/>
        <v>#NAME?</v>
      </c>
      <c r="BR239" s="66" t="e">
        <f t="shared" ref="BR239:CW239" ca="1" si="2084">SUM(BO24:BR24)</f>
        <v>#NAME?</v>
      </c>
      <c r="BS239" s="66" t="e">
        <f t="shared" ca="1" si="2084"/>
        <v>#NAME?</v>
      </c>
      <c r="BT239" s="66" t="e">
        <f t="shared" ca="1" si="2084"/>
        <v>#NAME?</v>
      </c>
      <c r="BU239" s="66" t="e">
        <f t="shared" ca="1" si="2084"/>
        <v>#NAME?</v>
      </c>
      <c r="BV239" s="66" t="e">
        <f t="shared" ca="1" si="2084"/>
        <v>#NAME?</v>
      </c>
      <c r="BW239" s="66" t="e">
        <f t="shared" ca="1" si="2084"/>
        <v>#NAME?</v>
      </c>
      <c r="BX239" s="66" t="e">
        <f t="shared" ca="1" si="2084"/>
        <v>#NAME?</v>
      </c>
      <c r="BY239" s="66" t="e">
        <f t="shared" ca="1" si="2084"/>
        <v>#NAME?</v>
      </c>
      <c r="BZ239" s="66" t="e">
        <f t="shared" ca="1" si="2084"/>
        <v>#NAME?</v>
      </c>
      <c r="CA239" s="66" t="e">
        <f t="shared" ca="1" si="2084"/>
        <v>#NAME?</v>
      </c>
      <c r="CB239" s="66" t="e">
        <f t="shared" ca="1" si="2084"/>
        <v>#NAME?</v>
      </c>
      <c r="CC239" s="66" t="e">
        <f t="shared" ca="1" si="2084"/>
        <v>#NAME?</v>
      </c>
      <c r="CD239" s="66" t="e">
        <f t="shared" ca="1" si="2084"/>
        <v>#NAME?</v>
      </c>
      <c r="CE239" s="66" t="e">
        <f t="shared" ca="1" si="2084"/>
        <v>#NAME?</v>
      </c>
      <c r="CF239" s="66" t="e">
        <f t="shared" ca="1" si="2084"/>
        <v>#NAME?</v>
      </c>
      <c r="CG239" s="66" t="e">
        <f t="shared" ca="1" si="2084"/>
        <v>#NAME?</v>
      </c>
      <c r="CH239" s="66" t="e">
        <f t="shared" ca="1" si="2084"/>
        <v>#NAME?</v>
      </c>
      <c r="CI239" s="66" t="e">
        <f t="shared" ca="1" si="2084"/>
        <v>#NAME?</v>
      </c>
      <c r="CJ239" s="66" t="e">
        <f t="shared" ca="1" si="2084"/>
        <v>#NAME?</v>
      </c>
      <c r="CK239" s="66" t="e">
        <f t="shared" ca="1" si="2084"/>
        <v>#NAME?</v>
      </c>
      <c r="CL239" s="66" t="e">
        <f t="shared" ca="1" si="2084"/>
        <v>#NAME?</v>
      </c>
      <c r="CM239" s="50" t="e">
        <f t="shared" ca="1" si="2084"/>
        <v>#NAME?</v>
      </c>
      <c r="CN239" s="50" t="e">
        <f t="shared" ca="1" si="2084"/>
        <v>#NAME?</v>
      </c>
      <c r="CO239" s="50" t="e">
        <f t="shared" ca="1" si="2084"/>
        <v>#NAME?</v>
      </c>
      <c r="CP239" s="50" t="e">
        <f t="shared" ca="1" si="2084"/>
        <v>#NAME?</v>
      </c>
      <c r="CQ239" s="50" t="e">
        <f t="shared" ca="1" si="2084"/>
        <v>#NAME?</v>
      </c>
      <c r="CR239" s="50" t="e">
        <f t="shared" ca="1" si="2084"/>
        <v>#NAME?</v>
      </c>
      <c r="CS239" s="50" t="e">
        <f t="shared" ca="1" si="2084"/>
        <v>#NAME?</v>
      </c>
      <c r="CT239" s="50" t="e">
        <f t="shared" ca="1" si="2084"/>
        <v>#NAME?</v>
      </c>
      <c r="CU239" s="50" t="e">
        <f t="shared" ca="1" si="2084"/>
        <v>#NAME?</v>
      </c>
      <c r="CV239" s="50" t="e">
        <f t="shared" ca="1" si="2084"/>
        <v>#NAME?</v>
      </c>
      <c r="CW239" s="50" t="e">
        <f t="shared" ca="1" si="2084"/>
        <v>#NAME?</v>
      </c>
      <c r="CX239" s="50" t="e">
        <f t="shared" ref="CX239:DB239" ca="1" si="2085">SUM(CU24:CX24)</f>
        <v>#NAME?</v>
      </c>
      <c r="CY239" s="50" t="e">
        <f t="shared" ca="1" si="2085"/>
        <v>#NAME?</v>
      </c>
      <c r="CZ239" s="50" t="e">
        <f t="shared" ca="1" si="2085"/>
        <v>#NAME?</v>
      </c>
      <c r="DA239" s="50" t="e">
        <f t="shared" ca="1" si="2085"/>
        <v>#NAME?</v>
      </c>
      <c r="DB239" s="50" t="e">
        <f t="shared" ca="1" si="2085"/>
        <v>#NAME?</v>
      </c>
      <c r="DE239" s="138"/>
    </row>
    <row r="240" spans="1:110" s="66" customFormat="1" x14ac:dyDescent="0.2">
      <c r="A240" s="66" t="s">
        <v>472</v>
      </c>
      <c r="AB240" s="50"/>
      <c r="AC240" s="50"/>
      <c r="AD240" s="50"/>
      <c r="AE240" s="50"/>
      <c r="AL240" s="66" t="e">
        <f t="shared" ref="AL240:BQ240" ca="1" si="2086">SUM(AI42:AL42)</f>
        <v>#NAME?</v>
      </c>
      <c r="AM240" s="66" t="e">
        <f t="shared" ca="1" si="2086"/>
        <v>#NAME?</v>
      </c>
      <c r="AN240" s="66" t="e">
        <f t="shared" ca="1" si="2086"/>
        <v>#NAME?</v>
      </c>
      <c r="AO240" s="66" t="e">
        <f t="shared" ca="1" si="2086"/>
        <v>#NAME?</v>
      </c>
      <c r="AP240" s="66" t="e">
        <f t="shared" ca="1" si="2086"/>
        <v>#NAME?</v>
      </c>
      <c r="AQ240" s="66" t="e">
        <f t="shared" ca="1" si="2086"/>
        <v>#NAME?</v>
      </c>
      <c r="AR240" s="66" t="e">
        <f t="shared" ca="1" si="2086"/>
        <v>#NAME?</v>
      </c>
      <c r="AS240" s="66" t="e">
        <f t="shared" ca="1" si="2086"/>
        <v>#NAME?</v>
      </c>
      <c r="AT240" s="66" t="e">
        <f t="shared" ca="1" si="2086"/>
        <v>#NAME?</v>
      </c>
      <c r="AU240" s="66" t="e">
        <f t="shared" ca="1" si="2086"/>
        <v>#NAME?</v>
      </c>
      <c r="AV240" s="66" t="e">
        <f t="shared" ca="1" si="2086"/>
        <v>#NAME?</v>
      </c>
      <c r="AW240" s="66" t="e">
        <f t="shared" ca="1" si="2086"/>
        <v>#NAME?</v>
      </c>
      <c r="AX240" s="66" t="e">
        <f t="shared" ca="1" si="2086"/>
        <v>#NAME?</v>
      </c>
      <c r="AY240" s="66" t="e">
        <f t="shared" ca="1" si="2086"/>
        <v>#NAME?</v>
      </c>
      <c r="AZ240" s="66" t="e">
        <f t="shared" ca="1" si="2086"/>
        <v>#NAME?</v>
      </c>
      <c r="BA240" s="66" t="e">
        <f t="shared" ca="1" si="2086"/>
        <v>#NAME?</v>
      </c>
      <c r="BB240" s="66" t="e">
        <f t="shared" ca="1" si="2086"/>
        <v>#NAME?</v>
      </c>
      <c r="BC240" s="66" t="e">
        <f t="shared" ca="1" si="2086"/>
        <v>#NAME?</v>
      </c>
      <c r="BD240" s="66" t="e">
        <f t="shared" ca="1" si="2086"/>
        <v>#NAME?</v>
      </c>
      <c r="BE240" s="66" t="e">
        <f t="shared" ca="1" si="2086"/>
        <v>#NAME?</v>
      </c>
      <c r="BF240" s="66" t="e">
        <f t="shared" ca="1" si="2086"/>
        <v>#NAME?</v>
      </c>
      <c r="BG240" s="66" t="e">
        <f t="shared" ca="1" si="2086"/>
        <v>#NAME?</v>
      </c>
      <c r="BH240" s="66" t="e">
        <f t="shared" ca="1" si="2086"/>
        <v>#NAME?</v>
      </c>
      <c r="BI240" s="66" t="e">
        <f t="shared" ca="1" si="2086"/>
        <v>#NAME?</v>
      </c>
      <c r="BJ240" s="66" t="e">
        <f t="shared" ca="1" si="2086"/>
        <v>#NAME?</v>
      </c>
      <c r="BK240" s="66" t="e">
        <f t="shared" ca="1" si="2086"/>
        <v>#NAME?</v>
      </c>
      <c r="BL240" s="66" t="e">
        <f t="shared" ca="1" si="2086"/>
        <v>#NAME?</v>
      </c>
      <c r="BM240" s="66" t="e">
        <f t="shared" ca="1" si="2086"/>
        <v>#NAME?</v>
      </c>
      <c r="BN240" s="66" t="e">
        <f t="shared" ca="1" si="2086"/>
        <v>#NAME?</v>
      </c>
      <c r="BO240" s="66" t="e">
        <f t="shared" ca="1" si="2086"/>
        <v>#NAME?</v>
      </c>
      <c r="BP240" s="66" t="e">
        <f t="shared" ca="1" si="2086"/>
        <v>#NAME?</v>
      </c>
      <c r="BQ240" s="66" t="e">
        <f t="shared" ca="1" si="2086"/>
        <v>#NAME?</v>
      </c>
      <c r="BR240" s="66" t="e">
        <f t="shared" ref="BR240:CW240" ca="1" si="2087">SUM(BO42:BR42)</f>
        <v>#NAME?</v>
      </c>
      <c r="BS240" s="66" t="e">
        <f t="shared" ca="1" si="2087"/>
        <v>#NAME?</v>
      </c>
      <c r="BT240" s="66" t="e">
        <f t="shared" ca="1" si="2087"/>
        <v>#NAME?</v>
      </c>
      <c r="BU240" s="66" t="e">
        <f t="shared" ca="1" si="2087"/>
        <v>#NAME?</v>
      </c>
      <c r="BV240" s="66" t="e">
        <f t="shared" ca="1" si="2087"/>
        <v>#NAME?</v>
      </c>
      <c r="BW240" s="66" t="e">
        <f t="shared" ca="1" si="2087"/>
        <v>#NAME?</v>
      </c>
      <c r="BX240" s="66" t="e">
        <f t="shared" ca="1" si="2087"/>
        <v>#NAME?</v>
      </c>
      <c r="BY240" s="66" t="e">
        <f t="shared" ca="1" si="2087"/>
        <v>#NAME?</v>
      </c>
      <c r="BZ240" s="66" t="e">
        <f t="shared" ca="1" si="2087"/>
        <v>#NAME?</v>
      </c>
      <c r="CA240" s="66" t="e">
        <f t="shared" ca="1" si="2087"/>
        <v>#NAME?</v>
      </c>
      <c r="CB240" s="66" t="e">
        <f t="shared" ca="1" si="2087"/>
        <v>#NAME?</v>
      </c>
      <c r="CC240" s="66" t="e">
        <f t="shared" ca="1" si="2087"/>
        <v>#NAME?</v>
      </c>
      <c r="CD240" s="66" t="e">
        <f t="shared" ca="1" si="2087"/>
        <v>#NAME?</v>
      </c>
      <c r="CE240" s="66" t="e">
        <f t="shared" ca="1" si="2087"/>
        <v>#NAME?</v>
      </c>
      <c r="CF240" s="66" t="e">
        <f t="shared" ca="1" si="2087"/>
        <v>#NAME?</v>
      </c>
      <c r="CG240" s="66" t="e">
        <f t="shared" ca="1" si="2087"/>
        <v>#NAME?</v>
      </c>
      <c r="CH240" s="66" t="e">
        <f t="shared" ca="1" si="2087"/>
        <v>#NAME?</v>
      </c>
      <c r="CI240" s="66" t="e">
        <f t="shared" ca="1" si="2087"/>
        <v>#NAME?</v>
      </c>
      <c r="CJ240" s="66" t="e">
        <f t="shared" ca="1" si="2087"/>
        <v>#NAME?</v>
      </c>
      <c r="CK240" s="66" t="e">
        <f t="shared" ca="1" si="2087"/>
        <v>#NAME?</v>
      </c>
      <c r="CL240" s="66" t="e">
        <f t="shared" ca="1" si="2087"/>
        <v>#NAME?</v>
      </c>
      <c r="CM240" s="50" t="e">
        <f t="shared" ca="1" si="2087"/>
        <v>#NAME?</v>
      </c>
      <c r="CN240" s="50" t="e">
        <f t="shared" ca="1" si="2087"/>
        <v>#NAME?</v>
      </c>
      <c r="CO240" s="50" t="e">
        <f t="shared" ca="1" si="2087"/>
        <v>#NAME?</v>
      </c>
      <c r="CP240" s="50" t="e">
        <f t="shared" ca="1" si="2087"/>
        <v>#NAME?</v>
      </c>
      <c r="CQ240" s="50" t="e">
        <f t="shared" ca="1" si="2087"/>
        <v>#NAME?</v>
      </c>
      <c r="CR240" s="50" t="e">
        <f t="shared" ca="1" si="2087"/>
        <v>#NAME?</v>
      </c>
      <c r="CS240" s="50" t="e">
        <f t="shared" ca="1" si="2087"/>
        <v>#NAME?</v>
      </c>
      <c r="CT240" s="50" t="e">
        <f t="shared" ca="1" si="2087"/>
        <v>#NAME?</v>
      </c>
      <c r="CU240" s="50" t="e">
        <f t="shared" ca="1" si="2087"/>
        <v>#NAME?</v>
      </c>
      <c r="CV240" s="50" t="e">
        <f t="shared" ca="1" si="2087"/>
        <v>#NAME?</v>
      </c>
      <c r="CW240" s="50" t="e">
        <f t="shared" ca="1" si="2087"/>
        <v>#NAME?</v>
      </c>
      <c r="CX240" s="50" t="e">
        <f t="shared" ref="CX240:DB240" ca="1" si="2088">SUM(CU42:CX42)</f>
        <v>#NAME?</v>
      </c>
      <c r="CY240" s="50" t="e">
        <f t="shared" ca="1" si="2088"/>
        <v>#NAME?</v>
      </c>
      <c r="CZ240" s="50" t="e">
        <f t="shared" ca="1" si="2088"/>
        <v>#NAME?</v>
      </c>
      <c r="DA240" s="50" t="e">
        <f t="shared" ca="1" si="2088"/>
        <v>#NAME?</v>
      </c>
      <c r="DB240" s="50" t="e">
        <f t="shared" ca="1" si="2088"/>
        <v>#NAME?</v>
      </c>
      <c r="DE240" s="138"/>
    </row>
    <row r="241" spans="1:109" s="66" customFormat="1" x14ac:dyDescent="0.2">
      <c r="A241" s="66" t="s">
        <v>473</v>
      </c>
      <c r="AB241" s="50"/>
      <c r="AC241" s="50"/>
      <c r="AD241" s="50"/>
      <c r="AE241" s="50"/>
      <c r="AL241" s="66" t="e">
        <f t="shared" ref="AL241:BQ241" ca="1" si="2089">SUM(AI55:AL55)</f>
        <v>#NAME?</v>
      </c>
      <c r="AM241" s="66" t="e">
        <f t="shared" ca="1" si="2089"/>
        <v>#NAME?</v>
      </c>
      <c r="AN241" s="66" t="e">
        <f t="shared" ca="1" si="2089"/>
        <v>#NAME?</v>
      </c>
      <c r="AO241" s="66" t="e">
        <f t="shared" ca="1" si="2089"/>
        <v>#NAME?</v>
      </c>
      <c r="AP241" s="66" t="e">
        <f t="shared" ca="1" si="2089"/>
        <v>#NAME?</v>
      </c>
      <c r="AQ241" s="66" t="e">
        <f t="shared" ca="1" si="2089"/>
        <v>#NAME?</v>
      </c>
      <c r="AR241" s="66" t="e">
        <f t="shared" ca="1" si="2089"/>
        <v>#NAME?</v>
      </c>
      <c r="AS241" s="66" t="e">
        <f t="shared" ca="1" si="2089"/>
        <v>#NAME?</v>
      </c>
      <c r="AT241" s="66" t="e">
        <f t="shared" ca="1" si="2089"/>
        <v>#NAME?</v>
      </c>
      <c r="AU241" s="66" t="e">
        <f t="shared" ca="1" si="2089"/>
        <v>#NAME?</v>
      </c>
      <c r="AV241" s="66" t="e">
        <f t="shared" ca="1" si="2089"/>
        <v>#NAME?</v>
      </c>
      <c r="AW241" s="66" t="e">
        <f t="shared" ca="1" si="2089"/>
        <v>#NAME?</v>
      </c>
      <c r="AX241" s="66" t="e">
        <f t="shared" ca="1" si="2089"/>
        <v>#NAME?</v>
      </c>
      <c r="AY241" s="66" t="e">
        <f t="shared" ca="1" si="2089"/>
        <v>#NAME?</v>
      </c>
      <c r="AZ241" s="66" t="e">
        <f t="shared" ca="1" si="2089"/>
        <v>#NAME?</v>
      </c>
      <c r="BA241" s="66" t="e">
        <f t="shared" ca="1" si="2089"/>
        <v>#NAME?</v>
      </c>
      <c r="BB241" s="66" t="e">
        <f t="shared" ca="1" si="2089"/>
        <v>#NAME?</v>
      </c>
      <c r="BC241" s="66" t="e">
        <f t="shared" ca="1" si="2089"/>
        <v>#NAME?</v>
      </c>
      <c r="BD241" s="66" t="e">
        <f t="shared" ca="1" si="2089"/>
        <v>#NAME?</v>
      </c>
      <c r="BE241" s="66" t="e">
        <f t="shared" ca="1" si="2089"/>
        <v>#NAME?</v>
      </c>
      <c r="BF241" s="66" t="e">
        <f t="shared" ca="1" si="2089"/>
        <v>#NAME?</v>
      </c>
      <c r="BG241" s="66" t="e">
        <f t="shared" ca="1" si="2089"/>
        <v>#NAME?</v>
      </c>
      <c r="BH241" s="66" t="e">
        <f t="shared" ca="1" si="2089"/>
        <v>#NAME?</v>
      </c>
      <c r="BI241" s="66" t="e">
        <f t="shared" ca="1" si="2089"/>
        <v>#NAME?</v>
      </c>
      <c r="BJ241" s="66" t="e">
        <f t="shared" ca="1" si="2089"/>
        <v>#NAME?</v>
      </c>
      <c r="BK241" s="66" t="e">
        <f t="shared" ca="1" si="2089"/>
        <v>#NAME?</v>
      </c>
      <c r="BL241" s="66" t="e">
        <f t="shared" ca="1" si="2089"/>
        <v>#NAME?</v>
      </c>
      <c r="BM241" s="66" t="e">
        <f t="shared" ca="1" si="2089"/>
        <v>#NAME?</v>
      </c>
      <c r="BN241" s="66" t="e">
        <f t="shared" ca="1" si="2089"/>
        <v>#NAME?</v>
      </c>
      <c r="BO241" s="66" t="e">
        <f t="shared" ca="1" si="2089"/>
        <v>#NAME?</v>
      </c>
      <c r="BP241" s="66" t="e">
        <f t="shared" ca="1" si="2089"/>
        <v>#NAME?</v>
      </c>
      <c r="BQ241" s="66" t="e">
        <f t="shared" ca="1" si="2089"/>
        <v>#NAME?</v>
      </c>
      <c r="BR241" s="66" t="e">
        <f t="shared" ref="BR241:CW241" ca="1" si="2090">SUM(BO55:BR55)</f>
        <v>#NAME?</v>
      </c>
      <c r="BS241" s="66" t="e">
        <f t="shared" ca="1" si="2090"/>
        <v>#NAME?</v>
      </c>
      <c r="BT241" s="66" t="e">
        <f t="shared" ca="1" si="2090"/>
        <v>#NAME?</v>
      </c>
      <c r="BU241" s="66" t="e">
        <f t="shared" ca="1" si="2090"/>
        <v>#NAME?</v>
      </c>
      <c r="BV241" s="66" t="e">
        <f t="shared" ca="1" si="2090"/>
        <v>#NAME?</v>
      </c>
      <c r="BW241" s="66" t="e">
        <f t="shared" ca="1" si="2090"/>
        <v>#NAME?</v>
      </c>
      <c r="BX241" s="66" t="e">
        <f t="shared" ca="1" si="2090"/>
        <v>#NAME?</v>
      </c>
      <c r="BY241" s="66" t="e">
        <f t="shared" ca="1" si="2090"/>
        <v>#NAME?</v>
      </c>
      <c r="BZ241" s="66" t="e">
        <f t="shared" ca="1" si="2090"/>
        <v>#NAME?</v>
      </c>
      <c r="CA241" s="66" t="e">
        <f t="shared" ca="1" si="2090"/>
        <v>#NAME?</v>
      </c>
      <c r="CB241" s="66" t="e">
        <f t="shared" ca="1" si="2090"/>
        <v>#NAME?</v>
      </c>
      <c r="CC241" s="66" t="e">
        <f t="shared" ca="1" si="2090"/>
        <v>#NAME?</v>
      </c>
      <c r="CD241" s="66" t="e">
        <f t="shared" ca="1" si="2090"/>
        <v>#NAME?</v>
      </c>
      <c r="CE241" s="66" t="e">
        <f t="shared" ca="1" si="2090"/>
        <v>#NAME?</v>
      </c>
      <c r="CF241" s="66" t="e">
        <f t="shared" ca="1" si="2090"/>
        <v>#NAME?</v>
      </c>
      <c r="CG241" s="66" t="e">
        <f t="shared" ca="1" si="2090"/>
        <v>#NAME?</v>
      </c>
      <c r="CH241" s="66" t="e">
        <f t="shared" ca="1" si="2090"/>
        <v>#NAME?</v>
      </c>
      <c r="CI241" s="66" t="e">
        <f t="shared" ca="1" si="2090"/>
        <v>#NAME?</v>
      </c>
      <c r="CJ241" s="66" t="e">
        <f t="shared" ca="1" si="2090"/>
        <v>#NAME?</v>
      </c>
      <c r="CK241" s="66" t="e">
        <f t="shared" ca="1" si="2090"/>
        <v>#NAME?</v>
      </c>
      <c r="CL241" s="66" t="e">
        <f t="shared" ca="1" si="2090"/>
        <v>#NAME?</v>
      </c>
      <c r="CM241" s="50" t="e">
        <f t="shared" ca="1" si="2090"/>
        <v>#NAME?</v>
      </c>
      <c r="CN241" s="50" t="e">
        <f t="shared" ca="1" si="2090"/>
        <v>#NAME?</v>
      </c>
      <c r="CO241" s="50" t="e">
        <f t="shared" ca="1" si="2090"/>
        <v>#NAME?</v>
      </c>
      <c r="CP241" s="50" t="e">
        <f t="shared" ca="1" si="2090"/>
        <v>#NAME?</v>
      </c>
      <c r="CQ241" s="50" t="e">
        <f t="shared" ca="1" si="2090"/>
        <v>#NAME?</v>
      </c>
      <c r="CR241" s="50" t="e">
        <f t="shared" ca="1" si="2090"/>
        <v>#NAME?</v>
      </c>
      <c r="CS241" s="50" t="e">
        <f t="shared" ca="1" si="2090"/>
        <v>#NAME?</v>
      </c>
      <c r="CT241" s="50" t="e">
        <f t="shared" ca="1" si="2090"/>
        <v>#NAME?</v>
      </c>
      <c r="CU241" s="50" t="e">
        <f t="shared" ca="1" si="2090"/>
        <v>#NAME?</v>
      </c>
      <c r="CV241" s="50" t="e">
        <f t="shared" ca="1" si="2090"/>
        <v>#NAME?</v>
      </c>
      <c r="CW241" s="50" t="e">
        <f t="shared" ca="1" si="2090"/>
        <v>#NAME?</v>
      </c>
      <c r="CX241" s="50" t="e">
        <f t="shared" ref="CX241:DB241" ca="1" si="2091">SUM(CU55:CX55)</f>
        <v>#NAME?</v>
      </c>
      <c r="CY241" s="50" t="e">
        <f t="shared" ca="1" si="2091"/>
        <v>#NAME?</v>
      </c>
      <c r="CZ241" s="50" t="e">
        <f t="shared" ca="1" si="2091"/>
        <v>#NAME?</v>
      </c>
      <c r="DA241" s="50" t="e">
        <f t="shared" ca="1" si="2091"/>
        <v>#NAME?</v>
      </c>
      <c r="DB241" s="50" t="e">
        <f t="shared" ca="1" si="2091"/>
        <v>#NAME?</v>
      </c>
      <c r="DE241" s="138"/>
    </row>
    <row r="242" spans="1:109" s="93" customFormat="1" x14ac:dyDescent="0.2">
      <c r="AB242" s="30"/>
      <c r="AC242" s="30"/>
      <c r="AD242" s="30"/>
      <c r="AE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09" s="11" customFormat="1" x14ac:dyDescent="0.2">
      <c r="AB243" s="63"/>
      <c r="AC243" s="63"/>
      <c r="AD243" s="63"/>
      <c r="AE243" s="63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09" s="62" customFormat="1" hidden="1" outlineLevel="1" x14ac:dyDescent="0.2">
      <c r="A244" s="61" t="s">
        <v>339</v>
      </c>
      <c r="AB244" s="63"/>
      <c r="AC244" s="63"/>
      <c r="AD244" s="63"/>
      <c r="AE244" s="63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09" s="64" customFormat="1" hidden="1" outlineLevel="1" x14ac:dyDescent="0.2">
      <c r="A245" s="64" t="s">
        <v>474</v>
      </c>
      <c r="B245" s="64" t="e">
        <f t="shared" ref="B245:Z245" ca="1" si="2092">B22-B251</f>
        <v>#NAME?</v>
      </c>
      <c r="C245" s="64" t="e">
        <f t="shared" ca="1" si="2092"/>
        <v>#NAME?</v>
      </c>
      <c r="D245" s="64" t="e">
        <f t="shared" ca="1" si="2092"/>
        <v>#NAME?</v>
      </c>
      <c r="E245" s="64" t="e">
        <f t="shared" ca="1" si="2092"/>
        <v>#NAME?</v>
      </c>
      <c r="F245" s="64" t="e">
        <f t="shared" ca="1" si="2092"/>
        <v>#NAME?</v>
      </c>
      <c r="G245" s="64" t="e">
        <f t="shared" ca="1" si="2092"/>
        <v>#NAME?</v>
      </c>
      <c r="H245" s="64" t="e">
        <f t="shared" ca="1" si="2092"/>
        <v>#NAME?</v>
      </c>
      <c r="I245" s="64" t="e">
        <f t="shared" ca="1" si="2092"/>
        <v>#NAME?</v>
      </c>
      <c r="J245" s="64" t="e">
        <f t="shared" ca="1" si="2092"/>
        <v>#NAME?</v>
      </c>
      <c r="K245" s="64" t="e">
        <f t="shared" ca="1" si="2092"/>
        <v>#NAME?</v>
      </c>
      <c r="L245" s="64" t="e">
        <f t="shared" ca="1" si="2092"/>
        <v>#NAME?</v>
      </c>
      <c r="M245" s="64" t="e">
        <f t="shared" ca="1" si="2092"/>
        <v>#NAME?</v>
      </c>
      <c r="N245" s="64" t="e">
        <f t="shared" ca="1" si="2092"/>
        <v>#NAME?</v>
      </c>
      <c r="O245" s="64" t="e">
        <f t="shared" ca="1" si="2092"/>
        <v>#NAME?</v>
      </c>
      <c r="P245" s="64" t="e">
        <f t="shared" ca="1" si="2092"/>
        <v>#NAME?</v>
      </c>
      <c r="Q245" s="64" t="e">
        <f t="shared" ca="1" si="2092"/>
        <v>#NAME?</v>
      </c>
      <c r="R245" s="64" t="e">
        <f t="shared" ca="1" si="2092"/>
        <v>#NAME?</v>
      </c>
      <c r="S245" s="64" t="e">
        <f t="shared" ca="1" si="2092"/>
        <v>#NAME?</v>
      </c>
      <c r="T245" s="64" t="e">
        <f t="shared" ca="1" si="2092"/>
        <v>#NAME?</v>
      </c>
      <c r="U245" s="64" t="e">
        <f t="shared" ca="1" si="2092"/>
        <v>#NAME?</v>
      </c>
      <c r="V245" s="64" t="e">
        <f t="shared" ca="1" si="2092"/>
        <v>#NAME?</v>
      </c>
      <c r="W245" s="64" t="e">
        <f t="shared" ca="1" si="2092"/>
        <v>#NAME?</v>
      </c>
      <c r="X245" s="64" t="e">
        <f t="shared" ca="1" si="2092"/>
        <v>#NAME?</v>
      </c>
      <c r="Y245" s="64" t="e">
        <f t="shared" ca="1" si="2092"/>
        <v>#NAME?</v>
      </c>
      <c r="Z245" s="64" t="e">
        <f t="shared" ca="1" si="2092"/>
        <v>#NAME?</v>
      </c>
      <c r="AA245" s="64" t="e">
        <f t="shared" ref="AA245" ca="1" si="2093">AA22-AA251</f>
        <v>#NAME?</v>
      </c>
      <c r="AB245" s="30"/>
      <c r="AC245" s="30"/>
      <c r="AD245" s="30"/>
      <c r="AE245" s="30"/>
      <c r="AI245" s="64" t="e">
        <f t="shared" ref="AI245:BN245" ca="1" si="2094">AI22-AI251</f>
        <v>#NAME?</v>
      </c>
      <c r="AJ245" s="64" t="e">
        <f t="shared" ca="1" si="2094"/>
        <v>#NAME?</v>
      </c>
      <c r="AK245" s="64" t="e">
        <f t="shared" ca="1" si="2094"/>
        <v>#NAME?</v>
      </c>
      <c r="AL245" s="64" t="e">
        <f t="shared" ca="1" si="2094"/>
        <v>#NAME?</v>
      </c>
      <c r="AM245" s="64" t="e">
        <f t="shared" ca="1" si="2094"/>
        <v>#NAME?</v>
      </c>
      <c r="AN245" s="64" t="e">
        <f t="shared" ca="1" si="2094"/>
        <v>#NAME?</v>
      </c>
      <c r="AO245" s="64" t="e">
        <f t="shared" ca="1" si="2094"/>
        <v>#NAME?</v>
      </c>
      <c r="AP245" s="64" t="e">
        <f t="shared" ca="1" si="2094"/>
        <v>#NAME?</v>
      </c>
      <c r="AQ245" s="64" t="e">
        <f t="shared" ca="1" si="2094"/>
        <v>#NAME?</v>
      </c>
      <c r="AR245" s="64" t="e">
        <f t="shared" ca="1" si="2094"/>
        <v>#NAME?</v>
      </c>
      <c r="AS245" s="64" t="e">
        <f t="shared" ca="1" si="2094"/>
        <v>#NAME?</v>
      </c>
      <c r="AT245" s="64" t="e">
        <f t="shared" ca="1" si="2094"/>
        <v>#NAME?</v>
      </c>
      <c r="AU245" s="64" t="e">
        <f t="shared" ca="1" si="2094"/>
        <v>#NAME?</v>
      </c>
      <c r="AV245" s="64" t="e">
        <f t="shared" ca="1" si="2094"/>
        <v>#NAME?</v>
      </c>
      <c r="AW245" s="64" t="e">
        <f t="shared" ca="1" si="2094"/>
        <v>#NAME?</v>
      </c>
      <c r="AX245" s="64" t="e">
        <f t="shared" ca="1" si="2094"/>
        <v>#NAME?</v>
      </c>
      <c r="AY245" s="64" t="e">
        <f t="shared" ca="1" si="2094"/>
        <v>#NAME?</v>
      </c>
      <c r="AZ245" s="64" t="e">
        <f t="shared" ca="1" si="2094"/>
        <v>#NAME?</v>
      </c>
      <c r="BA245" s="64" t="e">
        <f t="shared" ca="1" si="2094"/>
        <v>#NAME?</v>
      </c>
      <c r="BB245" s="64" t="e">
        <f t="shared" ca="1" si="2094"/>
        <v>#NAME?</v>
      </c>
      <c r="BC245" s="64" t="e">
        <f t="shared" ca="1" si="2094"/>
        <v>#NAME?</v>
      </c>
      <c r="BD245" s="64" t="e">
        <f t="shared" ca="1" si="2094"/>
        <v>#NAME?</v>
      </c>
      <c r="BE245" s="64" t="e">
        <f t="shared" ca="1" si="2094"/>
        <v>#NAME?</v>
      </c>
      <c r="BF245" s="64" t="e">
        <f t="shared" ca="1" si="2094"/>
        <v>#NAME?</v>
      </c>
      <c r="BG245" s="64" t="e">
        <f t="shared" ca="1" si="2094"/>
        <v>#NAME?</v>
      </c>
      <c r="BH245" s="64" t="e">
        <f t="shared" ca="1" si="2094"/>
        <v>#NAME?</v>
      </c>
      <c r="BI245" s="64" t="e">
        <f t="shared" ca="1" si="2094"/>
        <v>#NAME?</v>
      </c>
      <c r="BJ245" s="64" t="e">
        <f t="shared" ca="1" si="2094"/>
        <v>#NAME?</v>
      </c>
      <c r="BK245" s="64" t="e">
        <f t="shared" ca="1" si="2094"/>
        <v>#NAME?</v>
      </c>
      <c r="BL245" s="64" t="e">
        <f t="shared" ca="1" si="2094"/>
        <v>#NAME?</v>
      </c>
      <c r="BM245" s="64" t="e">
        <f t="shared" ca="1" si="2094"/>
        <v>#NAME?</v>
      </c>
      <c r="BN245" s="64" t="e">
        <f t="shared" ca="1" si="2094"/>
        <v>#NAME?</v>
      </c>
      <c r="BO245" s="64" t="e">
        <f t="shared" ref="BO245:CT245" ca="1" si="2095">BO22-BO251</f>
        <v>#NAME?</v>
      </c>
      <c r="BP245" s="64" t="e">
        <f t="shared" ca="1" si="2095"/>
        <v>#NAME?</v>
      </c>
      <c r="BQ245" s="64" t="e">
        <f t="shared" ca="1" si="2095"/>
        <v>#NAME?</v>
      </c>
      <c r="BR245" s="64" t="e">
        <f t="shared" ca="1" si="2095"/>
        <v>#NAME?</v>
      </c>
      <c r="BS245" s="64" t="e">
        <f t="shared" ca="1" si="2095"/>
        <v>#NAME?</v>
      </c>
      <c r="BT245" s="64" t="e">
        <f t="shared" ca="1" si="2095"/>
        <v>#NAME?</v>
      </c>
      <c r="BU245" s="64" t="e">
        <f t="shared" ca="1" si="2095"/>
        <v>#NAME?</v>
      </c>
      <c r="BV245" s="64" t="e">
        <f t="shared" ca="1" si="2095"/>
        <v>#NAME?</v>
      </c>
      <c r="BW245" s="64" t="e">
        <f t="shared" ca="1" si="2095"/>
        <v>#NAME?</v>
      </c>
      <c r="BX245" s="64" t="e">
        <f t="shared" ca="1" si="2095"/>
        <v>#NAME?</v>
      </c>
      <c r="BY245" s="64" t="e">
        <f t="shared" ca="1" si="2095"/>
        <v>#NAME?</v>
      </c>
      <c r="BZ245" s="64" t="e">
        <f t="shared" ca="1" si="2095"/>
        <v>#NAME?</v>
      </c>
      <c r="CA245" s="64" t="e">
        <f t="shared" ca="1" si="2095"/>
        <v>#NAME?</v>
      </c>
      <c r="CB245" s="64" t="e">
        <f t="shared" ca="1" si="2095"/>
        <v>#NAME?</v>
      </c>
      <c r="CC245" s="64" t="e">
        <f t="shared" ca="1" si="2095"/>
        <v>#NAME?</v>
      </c>
      <c r="CD245" s="64" t="e">
        <f t="shared" ca="1" si="2095"/>
        <v>#NAME?</v>
      </c>
      <c r="CE245" s="64" t="e">
        <f t="shared" ca="1" si="2095"/>
        <v>#NAME?</v>
      </c>
      <c r="CF245" s="64" t="e">
        <f t="shared" ca="1" si="2095"/>
        <v>#NAME?</v>
      </c>
      <c r="CG245" s="64" t="e">
        <f t="shared" ca="1" si="2095"/>
        <v>#NAME?</v>
      </c>
      <c r="CH245" s="64">
        <f t="shared" si="2095"/>
        <v>199.625</v>
      </c>
      <c r="CI245" s="64" t="e">
        <f t="shared" ca="1" si="2095"/>
        <v>#NAME?</v>
      </c>
      <c r="CJ245" s="64" t="e">
        <f t="shared" ca="1" si="2095"/>
        <v>#NAME?</v>
      </c>
      <c r="CK245" s="64" t="e">
        <f t="shared" ca="1" si="2095"/>
        <v>#NAME?</v>
      </c>
      <c r="CL245" s="64" t="e">
        <f t="shared" ref="CL245" ca="1" si="2096">CL22-CL251</f>
        <v>#NAME?</v>
      </c>
      <c r="CM245" s="30" t="e">
        <f t="shared" ca="1" si="2095"/>
        <v>#NAME?</v>
      </c>
      <c r="CN245" s="30" t="e">
        <f t="shared" ca="1" si="2095"/>
        <v>#NAME?</v>
      </c>
      <c r="CO245" s="30" t="e">
        <f t="shared" ca="1" si="2095"/>
        <v>#NAME?</v>
      </c>
      <c r="CP245" s="30" t="e">
        <f t="shared" ca="1" si="2095"/>
        <v>#NAME?</v>
      </c>
      <c r="CQ245" s="30" t="e">
        <f t="shared" ca="1" si="2095"/>
        <v>#NAME?</v>
      </c>
      <c r="CR245" s="30" t="e">
        <f t="shared" ca="1" si="2095"/>
        <v>#NAME?</v>
      </c>
      <c r="CS245" s="30" t="e">
        <f t="shared" ca="1" si="2095"/>
        <v>#NAME?</v>
      </c>
      <c r="CT245" s="30" t="e">
        <f t="shared" ca="1" si="2095"/>
        <v>#NAME?</v>
      </c>
      <c r="CU245" s="30" t="e">
        <f t="shared" ref="CU245:DB245" ca="1" si="2097">CU22-CU251</f>
        <v>#NAME?</v>
      </c>
      <c r="CV245" s="30" t="e">
        <f t="shared" ca="1" si="2097"/>
        <v>#NAME?</v>
      </c>
      <c r="CW245" s="30" t="e">
        <f t="shared" ca="1" si="2097"/>
        <v>#NAME?</v>
      </c>
      <c r="CX245" s="30" t="e">
        <f t="shared" ca="1" si="2097"/>
        <v>#NAME?</v>
      </c>
      <c r="CY245" s="30" t="e">
        <f t="shared" ca="1" si="2097"/>
        <v>#NAME?</v>
      </c>
      <c r="CZ245" s="30" t="e">
        <f t="shared" ca="1" si="2097"/>
        <v>#NAME?</v>
      </c>
      <c r="DA245" s="30" t="e">
        <f t="shared" ca="1" si="2097"/>
        <v>#NAME?</v>
      </c>
      <c r="DB245" s="30" t="e">
        <f t="shared" ca="1" si="2097"/>
        <v>#NAME?</v>
      </c>
      <c r="DE245" s="139"/>
    </row>
    <row r="246" spans="1:109" s="64" customFormat="1" hidden="1" outlineLevel="1" x14ac:dyDescent="0.2">
      <c r="A246" s="64" t="s">
        <v>475</v>
      </c>
      <c r="B246" s="64" t="e">
        <f t="shared" ref="B246:Z246" ca="1" si="2098">B42-B252</f>
        <v>#NAME?</v>
      </c>
      <c r="C246" s="64" t="e">
        <f t="shared" ca="1" si="2098"/>
        <v>#NAME?</v>
      </c>
      <c r="D246" s="64" t="e">
        <f t="shared" ca="1" si="2098"/>
        <v>#NAME?</v>
      </c>
      <c r="E246" s="64" t="e">
        <f t="shared" ca="1" si="2098"/>
        <v>#NAME?</v>
      </c>
      <c r="F246" s="64" t="e">
        <f t="shared" ca="1" si="2098"/>
        <v>#NAME?</v>
      </c>
      <c r="G246" s="64" t="e">
        <f t="shared" ca="1" si="2098"/>
        <v>#NAME?</v>
      </c>
      <c r="H246" s="64" t="e">
        <f t="shared" ca="1" si="2098"/>
        <v>#NAME?</v>
      </c>
      <c r="I246" s="64" t="e">
        <f t="shared" ca="1" si="2098"/>
        <v>#NAME?</v>
      </c>
      <c r="J246" s="64" t="e">
        <f t="shared" ca="1" si="2098"/>
        <v>#NAME?</v>
      </c>
      <c r="K246" s="64" t="e">
        <f t="shared" ca="1" si="2098"/>
        <v>#NAME?</v>
      </c>
      <c r="L246" s="64" t="e">
        <f t="shared" ca="1" si="2098"/>
        <v>#NAME?</v>
      </c>
      <c r="M246" s="64" t="e">
        <f t="shared" ca="1" si="2098"/>
        <v>#NAME?</v>
      </c>
      <c r="N246" s="64" t="e">
        <f t="shared" ca="1" si="2098"/>
        <v>#NAME?</v>
      </c>
      <c r="O246" s="64" t="e">
        <f t="shared" ca="1" si="2098"/>
        <v>#NAME?</v>
      </c>
      <c r="P246" s="64" t="e">
        <f t="shared" ca="1" si="2098"/>
        <v>#NAME?</v>
      </c>
      <c r="Q246" s="64" t="e">
        <f t="shared" ca="1" si="2098"/>
        <v>#NAME?</v>
      </c>
      <c r="R246" s="64" t="e">
        <f t="shared" ca="1" si="2098"/>
        <v>#NAME?</v>
      </c>
      <c r="S246" s="64" t="e">
        <f t="shared" ca="1" si="2098"/>
        <v>#NAME?</v>
      </c>
      <c r="T246" s="64" t="e">
        <f t="shared" ca="1" si="2098"/>
        <v>#NAME?</v>
      </c>
      <c r="U246" s="64" t="e">
        <f t="shared" ca="1" si="2098"/>
        <v>#NAME?</v>
      </c>
      <c r="V246" s="64" t="e">
        <f t="shared" ca="1" si="2098"/>
        <v>#NAME?</v>
      </c>
      <c r="W246" s="64" t="e">
        <f t="shared" ca="1" si="2098"/>
        <v>#NAME?</v>
      </c>
      <c r="X246" s="64" t="e">
        <f t="shared" ca="1" si="2098"/>
        <v>#NAME?</v>
      </c>
      <c r="Y246" s="64" t="e">
        <f t="shared" ca="1" si="2098"/>
        <v>#NAME?</v>
      </c>
      <c r="Z246" s="64" t="e">
        <f t="shared" ca="1" si="2098"/>
        <v>#NAME?</v>
      </c>
      <c r="AA246" s="64" t="e">
        <f t="shared" ref="AA246" ca="1" si="2099">AA42-AA252</f>
        <v>#NAME?</v>
      </c>
      <c r="AB246" s="30"/>
      <c r="AC246" s="30"/>
      <c r="AD246" s="30"/>
      <c r="AE246" s="30"/>
      <c r="AI246" s="64" t="e">
        <f t="shared" ref="AI246:BN246" ca="1" si="2100">AI42-AI252</f>
        <v>#NAME?</v>
      </c>
      <c r="AJ246" s="64" t="e">
        <f t="shared" ca="1" si="2100"/>
        <v>#NAME?</v>
      </c>
      <c r="AK246" s="64" t="e">
        <f t="shared" ca="1" si="2100"/>
        <v>#NAME?</v>
      </c>
      <c r="AL246" s="64" t="e">
        <f t="shared" ca="1" si="2100"/>
        <v>#NAME?</v>
      </c>
      <c r="AM246" s="64" t="e">
        <f t="shared" ca="1" si="2100"/>
        <v>#NAME?</v>
      </c>
      <c r="AN246" s="64" t="e">
        <f t="shared" ca="1" si="2100"/>
        <v>#NAME?</v>
      </c>
      <c r="AO246" s="64" t="e">
        <f t="shared" ca="1" si="2100"/>
        <v>#NAME?</v>
      </c>
      <c r="AP246" s="64" t="e">
        <f t="shared" ca="1" si="2100"/>
        <v>#NAME?</v>
      </c>
      <c r="AQ246" s="64" t="e">
        <f t="shared" ca="1" si="2100"/>
        <v>#NAME?</v>
      </c>
      <c r="AR246" s="64" t="e">
        <f t="shared" ca="1" si="2100"/>
        <v>#NAME?</v>
      </c>
      <c r="AS246" s="64" t="e">
        <f t="shared" ca="1" si="2100"/>
        <v>#NAME?</v>
      </c>
      <c r="AT246" s="64" t="e">
        <f t="shared" ca="1" si="2100"/>
        <v>#NAME?</v>
      </c>
      <c r="AU246" s="64" t="e">
        <f t="shared" ca="1" si="2100"/>
        <v>#NAME?</v>
      </c>
      <c r="AV246" s="64" t="e">
        <f t="shared" ca="1" si="2100"/>
        <v>#NAME?</v>
      </c>
      <c r="AW246" s="64" t="e">
        <f t="shared" ca="1" si="2100"/>
        <v>#NAME?</v>
      </c>
      <c r="AX246" s="64" t="e">
        <f t="shared" ca="1" si="2100"/>
        <v>#NAME?</v>
      </c>
      <c r="AY246" s="64" t="e">
        <f t="shared" ca="1" si="2100"/>
        <v>#NAME?</v>
      </c>
      <c r="AZ246" s="64" t="e">
        <f t="shared" ca="1" si="2100"/>
        <v>#NAME?</v>
      </c>
      <c r="BA246" s="64" t="e">
        <f t="shared" ca="1" si="2100"/>
        <v>#NAME?</v>
      </c>
      <c r="BB246" s="64" t="e">
        <f t="shared" ca="1" si="2100"/>
        <v>#NAME?</v>
      </c>
      <c r="BC246" s="64" t="e">
        <f t="shared" ca="1" si="2100"/>
        <v>#NAME?</v>
      </c>
      <c r="BD246" s="64" t="e">
        <f t="shared" ca="1" si="2100"/>
        <v>#NAME?</v>
      </c>
      <c r="BE246" s="64" t="e">
        <f t="shared" ca="1" si="2100"/>
        <v>#NAME?</v>
      </c>
      <c r="BF246" s="64" t="e">
        <f t="shared" ca="1" si="2100"/>
        <v>#NAME?</v>
      </c>
      <c r="BG246" s="64" t="e">
        <f t="shared" ca="1" si="2100"/>
        <v>#NAME?</v>
      </c>
      <c r="BH246" s="64" t="e">
        <f t="shared" ca="1" si="2100"/>
        <v>#NAME?</v>
      </c>
      <c r="BI246" s="64" t="e">
        <f t="shared" ca="1" si="2100"/>
        <v>#NAME?</v>
      </c>
      <c r="BJ246" s="64" t="e">
        <f t="shared" ca="1" si="2100"/>
        <v>#NAME?</v>
      </c>
      <c r="BK246" s="64" t="e">
        <f t="shared" ca="1" si="2100"/>
        <v>#NAME?</v>
      </c>
      <c r="BL246" s="64" t="e">
        <f t="shared" ca="1" si="2100"/>
        <v>#NAME?</v>
      </c>
      <c r="BM246" s="64" t="e">
        <f t="shared" ca="1" si="2100"/>
        <v>#NAME?</v>
      </c>
      <c r="BN246" s="64" t="e">
        <f t="shared" ca="1" si="2100"/>
        <v>#NAME?</v>
      </c>
      <c r="BO246" s="64" t="e">
        <f t="shared" ref="BO246:CT246" ca="1" si="2101">BO42-BO252</f>
        <v>#NAME?</v>
      </c>
      <c r="BP246" s="64" t="e">
        <f t="shared" ca="1" si="2101"/>
        <v>#NAME?</v>
      </c>
      <c r="BQ246" s="64" t="e">
        <f t="shared" ca="1" si="2101"/>
        <v>#NAME?</v>
      </c>
      <c r="BR246" s="64" t="e">
        <f t="shared" ca="1" si="2101"/>
        <v>#NAME?</v>
      </c>
      <c r="BS246" s="64" t="e">
        <f t="shared" ca="1" si="2101"/>
        <v>#NAME?</v>
      </c>
      <c r="BT246" s="64" t="e">
        <f t="shared" ca="1" si="2101"/>
        <v>#NAME?</v>
      </c>
      <c r="BU246" s="64" t="e">
        <f t="shared" ca="1" si="2101"/>
        <v>#NAME?</v>
      </c>
      <c r="BV246" s="64" t="e">
        <f t="shared" ca="1" si="2101"/>
        <v>#NAME?</v>
      </c>
      <c r="BW246" s="64" t="e">
        <f t="shared" ca="1" si="2101"/>
        <v>#NAME?</v>
      </c>
      <c r="BX246" s="64" t="e">
        <f t="shared" ca="1" si="2101"/>
        <v>#NAME?</v>
      </c>
      <c r="BY246" s="64" t="e">
        <f t="shared" ca="1" si="2101"/>
        <v>#NAME?</v>
      </c>
      <c r="BZ246" s="64" t="e">
        <f t="shared" ca="1" si="2101"/>
        <v>#NAME?</v>
      </c>
      <c r="CA246" s="64" t="e">
        <f t="shared" ca="1" si="2101"/>
        <v>#NAME?</v>
      </c>
      <c r="CB246" s="64" t="e">
        <f t="shared" ca="1" si="2101"/>
        <v>#NAME?</v>
      </c>
      <c r="CC246" s="64" t="e">
        <f t="shared" ca="1" si="2101"/>
        <v>#NAME?</v>
      </c>
      <c r="CD246" s="64" t="e">
        <f t="shared" ca="1" si="2101"/>
        <v>#NAME?</v>
      </c>
      <c r="CE246" s="64" t="e">
        <f t="shared" ca="1" si="2101"/>
        <v>#NAME?</v>
      </c>
      <c r="CF246" s="64" t="e">
        <f t="shared" ca="1" si="2101"/>
        <v>#NAME?</v>
      </c>
      <c r="CG246" s="64" t="e">
        <f t="shared" ca="1" si="2101"/>
        <v>#NAME?</v>
      </c>
      <c r="CH246" s="64" t="e">
        <f t="shared" ca="1" si="2101"/>
        <v>#NAME?</v>
      </c>
      <c r="CI246" s="64" t="e">
        <f t="shared" ca="1" si="2101"/>
        <v>#NAME?</v>
      </c>
      <c r="CJ246" s="64" t="e">
        <f t="shared" ca="1" si="2101"/>
        <v>#NAME?</v>
      </c>
      <c r="CK246" s="64" t="e">
        <f t="shared" ca="1" si="2101"/>
        <v>#NAME?</v>
      </c>
      <c r="CL246" s="64" t="e">
        <f t="shared" ref="CL246" ca="1" si="2102">CL42-CL252</f>
        <v>#NAME?</v>
      </c>
      <c r="CM246" s="30" t="e">
        <f t="shared" ca="1" si="2101"/>
        <v>#NAME?</v>
      </c>
      <c r="CN246" s="30" t="e">
        <f t="shared" ca="1" si="2101"/>
        <v>#NAME?</v>
      </c>
      <c r="CO246" s="30" t="e">
        <f t="shared" ca="1" si="2101"/>
        <v>#NAME?</v>
      </c>
      <c r="CP246" s="30" t="e">
        <f t="shared" ca="1" si="2101"/>
        <v>#NAME?</v>
      </c>
      <c r="CQ246" s="30" t="e">
        <f t="shared" ca="1" si="2101"/>
        <v>#NAME?</v>
      </c>
      <c r="CR246" s="30" t="e">
        <f t="shared" ca="1" si="2101"/>
        <v>#NAME?</v>
      </c>
      <c r="CS246" s="30" t="e">
        <f t="shared" ca="1" si="2101"/>
        <v>#NAME?</v>
      </c>
      <c r="CT246" s="30" t="e">
        <f t="shared" ca="1" si="2101"/>
        <v>#NAME?</v>
      </c>
      <c r="CU246" s="30" t="e">
        <f t="shared" ref="CU246:DB246" ca="1" si="2103">CU42-CU252</f>
        <v>#NAME?</v>
      </c>
      <c r="CV246" s="30" t="e">
        <f t="shared" ca="1" si="2103"/>
        <v>#NAME?</v>
      </c>
      <c r="CW246" s="30" t="e">
        <f t="shared" ca="1" si="2103"/>
        <v>#NAME?</v>
      </c>
      <c r="CX246" s="30" t="e">
        <f t="shared" ca="1" si="2103"/>
        <v>#NAME?</v>
      </c>
      <c r="CY246" s="30" t="e">
        <f t="shared" ca="1" si="2103"/>
        <v>#NAME?</v>
      </c>
      <c r="CZ246" s="30" t="e">
        <f t="shared" ca="1" si="2103"/>
        <v>#NAME?</v>
      </c>
      <c r="DA246" s="30" t="e">
        <f t="shared" ca="1" si="2103"/>
        <v>#NAME?</v>
      </c>
      <c r="DB246" s="30" t="e">
        <f t="shared" ca="1" si="2103"/>
        <v>#NAME?</v>
      </c>
      <c r="DE246" s="139"/>
    </row>
    <row r="247" spans="1:109" s="89" customFormat="1" hidden="1" outlineLevel="1" x14ac:dyDescent="0.2">
      <c r="A247" s="86" t="s">
        <v>476</v>
      </c>
      <c r="B247" s="86" t="e">
        <f ca="1">+B246/B245</f>
        <v>#NAME?</v>
      </c>
      <c r="C247" s="86" t="e">
        <f t="shared" ref="C247" ca="1" si="2104">+C246/C245</f>
        <v>#NAME?</v>
      </c>
      <c r="D247" s="86" t="e">
        <f t="shared" ref="D247" ca="1" si="2105">+D246/D245</f>
        <v>#NAME?</v>
      </c>
      <c r="E247" s="86" t="e">
        <f t="shared" ref="E247" ca="1" si="2106">+E246/E245</f>
        <v>#NAME?</v>
      </c>
      <c r="F247" s="86" t="e">
        <f t="shared" ref="F247" ca="1" si="2107">+F246/F245</f>
        <v>#NAME?</v>
      </c>
      <c r="G247" s="86" t="e">
        <f t="shared" ref="G247" ca="1" si="2108">+G246/G245</f>
        <v>#NAME?</v>
      </c>
      <c r="H247" s="86" t="e">
        <f t="shared" ref="H247" ca="1" si="2109">+H246/H245</f>
        <v>#NAME?</v>
      </c>
      <c r="I247" s="86" t="e">
        <f t="shared" ref="I247" ca="1" si="2110">+I246/I245</f>
        <v>#NAME?</v>
      </c>
      <c r="J247" s="86" t="e">
        <f t="shared" ref="J247" ca="1" si="2111">+J246/J245</f>
        <v>#NAME?</v>
      </c>
      <c r="K247" s="86" t="e">
        <f t="shared" ref="K247" ca="1" si="2112">+K246/K245</f>
        <v>#NAME?</v>
      </c>
      <c r="L247" s="86" t="e">
        <f t="shared" ref="L247" ca="1" si="2113">+L246/L245</f>
        <v>#NAME?</v>
      </c>
      <c r="M247" s="86" t="e">
        <f t="shared" ref="M247" ca="1" si="2114">+M246/M245</f>
        <v>#NAME?</v>
      </c>
      <c r="N247" s="86" t="e">
        <f t="shared" ref="N247" ca="1" si="2115">+N246/N245</f>
        <v>#NAME?</v>
      </c>
      <c r="O247" s="86" t="e">
        <f t="shared" ref="O247" ca="1" si="2116">+O246/O245</f>
        <v>#NAME?</v>
      </c>
      <c r="P247" s="86" t="e">
        <f t="shared" ref="P247" ca="1" si="2117">+P246/P245</f>
        <v>#NAME?</v>
      </c>
      <c r="Q247" s="86" t="e">
        <f t="shared" ref="Q247" ca="1" si="2118">+Q246/Q245</f>
        <v>#NAME?</v>
      </c>
      <c r="R247" s="86" t="e">
        <f t="shared" ref="R247" ca="1" si="2119">+R246/R245</f>
        <v>#NAME?</v>
      </c>
      <c r="S247" s="86" t="e">
        <f t="shared" ref="S247" ca="1" si="2120">+S246/S245</f>
        <v>#NAME?</v>
      </c>
      <c r="T247" s="86" t="e">
        <f t="shared" ref="T247" ca="1" si="2121">+T246/T245</f>
        <v>#NAME?</v>
      </c>
      <c r="U247" s="86" t="e">
        <f t="shared" ref="U247" ca="1" si="2122">+U246/U245</f>
        <v>#NAME?</v>
      </c>
      <c r="V247" s="86" t="e">
        <f t="shared" ref="V247" ca="1" si="2123">+V246/V245</f>
        <v>#NAME?</v>
      </c>
      <c r="W247" s="86" t="e">
        <f t="shared" ref="W247" ca="1" si="2124">+W246/W245</f>
        <v>#NAME?</v>
      </c>
      <c r="X247" s="86" t="e">
        <f t="shared" ref="X247:Y247" ca="1" si="2125">+X246/X245</f>
        <v>#NAME?</v>
      </c>
      <c r="Y247" s="86" t="e">
        <f t="shared" ca="1" si="2125"/>
        <v>#NAME?</v>
      </c>
      <c r="Z247" s="86" t="e">
        <f t="shared" ref="Z247:AA247" ca="1" si="2126">+Z246/Z245</f>
        <v>#NAME?</v>
      </c>
      <c r="AA247" s="86" t="e">
        <f t="shared" ca="1" si="2126"/>
        <v>#NAME?</v>
      </c>
      <c r="AB247" s="87"/>
      <c r="AC247" s="87"/>
      <c r="AD247" s="87"/>
      <c r="AE247" s="87"/>
      <c r="AF247" s="86"/>
      <c r="AG247" s="86"/>
      <c r="AH247" s="86"/>
      <c r="AI247" s="86" t="e">
        <f t="shared" ref="AI247" ca="1" si="2127">+AI246/AI245</f>
        <v>#NAME?</v>
      </c>
      <c r="AJ247" s="86" t="e">
        <f t="shared" ref="AJ247" ca="1" si="2128">+AJ246/AJ245</f>
        <v>#NAME?</v>
      </c>
      <c r="AK247" s="86" t="e">
        <f t="shared" ref="AK247" ca="1" si="2129">+AK246/AK245</f>
        <v>#NAME?</v>
      </c>
      <c r="AL247" s="86" t="e">
        <f t="shared" ref="AL247" ca="1" si="2130">+AL246/AL245</f>
        <v>#NAME?</v>
      </c>
      <c r="AM247" s="86" t="e">
        <f t="shared" ref="AM247" ca="1" si="2131">+AM246/AM245</f>
        <v>#NAME?</v>
      </c>
      <c r="AN247" s="86" t="e">
        <f t="shared" ref="AN247" ca="1" si="2132">+AN246/AN245</f>
        <v>#NAME?</v>
      </c>
      <c r="AO247" s="86" t="e">
        <f t="shared" ref="AO247" ca="1" si="2133">+AO246/AO245</f>
        <v>#NAME?</v>
      </c>
      <c r="AP247" s="86" t="e">
        <f t="shared" ref="AP247" ca="1" si="2134">+AP246/AP245</f>
        <v>#NAME?</v>
      </c>
      <c r="AQ247" s="86" t="e">
        <f t="shared" ref="AQ247" ca="1" si="2135">+AQ246/AQ245</f>
        <v>#NAME?</v>
      </c>
      <c r="AR247" s="86" t="e">
        <f t="shared" ref="AR247" ca="1" si="2136">+AR246/AR245</f>
        <v>#NAME?</v>
      </c>
      <c r="AS247" s="86" t="e">
        <f t="shared" ref="AS247" ca="1" si="2137">+AS246/AS245</f>
        <v>#NAME?</v>
      </c>
      <c r="AT247" s="86" t="e">
        <f t="shared" ref="AT247" ca="1" si="2138">+AT246/AT245</f>
        <v>#NAME?</v>
      </c>
      <c r="AU247" s="86" t="e">
        <f t="shared" ref="AU247" ca="1" si="2139">+AU246/AU245</f>
        <v>#NAME?</v>
      </c>
      <c r="AV247" s="86" t="e">
        <f t="shared" ref="AV247" ca="1" si="2140">+AV246/AV245</f>
        <v>#NAME?</v>
      </c>
      <c r="AW247" s="86" t="e">
        <f t="shared" ref="AW247" ca="1" si="2141">+AW246/AW245</f>
        <v>#NAME?</v>
      </c>
      <c r="AX247" s="86" t="e">
        <f t="shared" ref="AX247" ca="1" si="2142">+AX246/AX245</f>
        <v>#NAME?</v>
      </c>
      <c r="AY247" s="86" t="e">
        <f t="shared" ref="AY247" ca="1" si="2143">+AY246/AY245</f>
        <v>#NAME?</v>
      </c>
      <c r="AZ247" s="86" t="e">
        <f t="shared" ref="AZ247" ca="1" si="2144">+AZ246/AZ245</f>
        <v>#NAME?</v>
      </c>
      <c r="BA247" s="86" t="e">
        <f t="shared" ref="BA247" ca="1" si="2145">+BA246/BA245</f>
        <v>#NAME?</v>
      </c>
      <c r="BB247" s="86" t="e">
        <f t="shared" ref="BB247" ca="1" si="2146">+BB246/BB245</f>
        <v>#NAME?</v>
      </c>
      <c r="BC247" s="86" t="e">
        <f t="shared" ref="BC247" ca="1" si="2147">+BC246/BC245</f>
        <v>#NAME?</v>
      </c>
      <c r="BD247" s="86" t="e">
        <f t="shared" ref="BD247" ca="1" si="2148">+BD246/BD245</f>
        <v>#NAME?</v>
      </c>
      <c r="BE247" s="86" t="e">
        <f t="shared" ref="BE247" ca="1" si="2149">+BE246/BE245</f>
        <v>#NAME?</v>
      </c>
      <c r="BF247" s="86" t="e">
        <f t="shared" ref="BF247" ca="1" si="2150">+BF246/BF245</f>
        <v>#NAME?</v>
      </c>
      <c r="BG247" s="86" t="e">
        <f t="shared" ref="BG247" ca="1" si="2151">+BG246/BG245</f>
        <v>#NAME?</v>
      </c>
      <c r="BH247" s="86" t="e">
        <f t="shared" ref="BH247" ca="1" si="2152">+BH246/BH245</f>
        <v>#NAME?</v>
      </c>
      <c r="BI247" s="86" t="e">
        <f t="shared" ref="BI247" ca="1" si="2153">+BI246/BI245</f>
        <v>#NAME?</v>
      </c>
      <c r="BJ247" s="86" t="e">
        <f t="shared" ref="BJ247" ca="1" si="2154">+BJ246/BJ245</f>
        <v>#NAME?</v>
      </c>
      <c r="BK247" s="86" t="e">
        <f t="shared" ref="BK247" ca="1" si="2155">+BK246/BK245</f>
        <v>#NAME?</v>
      </c>
      <c r="BL247" s="86" t="e">
        <f t="shared" ref="BL247" ca="1" si="2156">+BL246/BL245</f>
        <v>#NAME?</v>
      </c>
      <c r="BM247" s="86" t="e">
        <f t="shared" ref="BM247" ca="1" si="2157">+BM246/BM245</f>
        <v>#NAME?</v>
      </c>
      <c r="BN247" s="86" t="e">
        <f t="shared" ref="BN247" ca="1" si="2158">+BN246/BN245</f>
        <v>#NAME?</v>
      </c>
      <c r="BO247" s="86" t="e">
        <f t="shared" ref="BO247" ca="1" si="2159">+BO246/BO245</f>
        <v>#NAME?</v>
      </c>
      <c r="BP247" s="86" t="e">
        <f t="shared" ref="BP247" ca="1" si="2160">+BP246/BP245</f>
        <v>#NAME?</v>
      </c>
      <c r="BQ247" s="86" t="e">
        <f t="shared" ref="BQ247" ca="1" si="2161">+BQ246/BQ245</f>
        <v>#NAME?</v>
      </c>
      <c r="BR247" s="86" t="e">
        <f t="shared" ref="BR247" ca="1" si="2162">+BR246/BR245</f>
        <v>#NAME?</v>
      </c>
      <c r="BS247" s="86" t="e">
        <f t="shared" ref="BS247" ca="1" si="2163">+BS246/BS245</f>
        <v>#NAME?</v>
      </c>
      <c r="BT247" s="86" t="e">
        <f t="shared" ref="BT247" ca="1" si="2164">+BT246/BT245</f>
        <v>#NAME?</v>
      </c>
      <c r="BU247" s="86" t="e">
        <f t="shared" ref="BU247" ca="1" si="2165">+BU246/BU245</f>
        <v>#NAME?</v>
      </c>
      <c r="BV247" s="86" t="e">
        <f t="shared" ref="BV247" ca="1" si="2166">+BV246/BV245</f>
        <v>#NAME?</v>
      </c>
      <c r="BW247" s="86" t="e">
        <f t="shared" ref="BW247" ca="1" si="2167">+BW246/BW245</f>
        <v>#NAME?</v>
      </c>
      <c r="BX247" s="86" t="e">
        <f t="shared" ref="BX247" ca="1" si="2168">+BX246/BX245</f>
        <v>#NAME?</v>
      </c>
      <c r="BY247" s="86" t="e">
        <f t="shared" ref="BY247" ca="1" si="2169">+BY246/BY245</f>
        <v>#NAME?</v>
      </c>
      <c r="BZ247" s="86" t="e">
        <f t="shared" ref="BZ247" ca="1" si="2170">+BZ246/BZ245</f>
        <v>#NAME?</v>
      </c>
      <c r="CA247" s="86" t="e">
        <f t="shared" ref="CA247" ca="1" si="2171">+CA246/CA245</f>
        <v>#NAME?</v>
      </c>
      <c r="CB247" s="86" t="e">
        <f t="shared" ref="CB247:CC247" ca="1" si="2172">+CB246/CB245</f>
        <v>#NAME?</v>
      </c>
      <c r="CC247" s="86" t="e">
        <f t="shared" ca="1" si="2172"/>
        <v>#NAME?</v>
      </c>
      <c r="CD247" s="86" t="e">
        <f t="shared" ref="CD247" ca="1" si="2173">+CD246/CD245</f>
        <v>#NAME?</v>
      </c>
      <c r="CE247" s="86" t="e">
        <f t="shared" ref="CE247:CF247" ca="1" si="2174">+CE246/CE245</f>
        <v>#NAME?</v>
      </c>
      <c r="CF247" s="86" t="e">
        <f t="shared" ca="1" si="2174"/>
        <v>#NAME?</v>
      </c>
      <c r="CG247" s="86" t="e">
        <f t="shared" ref="CG247:CH247" ca="1" si="2175">+CG246/CG245</f>
        <v>#NAME?</v>
      </c>
      <c r="CH247" s="86" t="e">
        <f t="shared" ca="1" si="2175"/>
        <v>#NAME?</v>
      </c>
      <c r="CI247" s="86" t="e">
        <f t="shared" ref="CI247:CJ247" ca="1" si="2176">+CI246/CI245</f>
        <v>#NAME?</v>
      </c>
      <c r="CJ247" s="86" t="e">
        <f t="shared" ca="1" si="2176"/>
        <v>#NAME?</v>
      </c>
      <c r="CK247" s="86" t="e">
        <f t="shared" ref="CK247:DB247" ca="1" si="2177">+CK246/CK245</f>
        <v>#NAME?</v>
      </c>
      <c r="CL247" s="86" t="e">
        <f t="shared" ca="1" si="2177"/>
        <v>#NAME?</v>
      </c>
      <c r="CM247" s="47" t="e">
        <f t="shared" ca="1" si="2177"/>
        <v>#NAME?</v>
      </c>
      <c r="CN247" s="47" t="e">
        <f t="shared" ca="1" si="2177"/>
        <v>#NAME?</v>
      </c>
      <c r="CO247" s="47" t="e">
        <f t="shared" ca="1" si="2177"/>
        <v>#NAME?</v>
      </c>
      <c r="CP247" s="47" t="e">
        <f t="shared" ca="1" si="2177"/>
        <v>#NAME?</v>
      </c>
      <c r="CQ247" s="47" t="e">
        <f t="shared" ca="1" si="2177"/>
        <v>#NAME?</v>
      </c>
      <c r="CR247" s="47" t="e">
        <f t="shared" ca="1" si="2177"/>
        <v>#NAME?</v>
      </c>
      <c r="CS247" s="47" t="e">
        <f t="shared" ca="1" si="2177"/>
        <v>#NAME?</v>
      </c>
      <c r="CT247" s="47" t="e">
        <f t="shared" ca="1" si="2177"/>
        <v>#NAME?</v>
      </c>
      <c r="CU247" s="47" t="e">
        <f t="shared" ca="1" si="2177"/>
        <v>#NAME?</v>
      </c>
      <c r="CV247" s="47" t="e">
        <f t="shared" ca="1" si="2177"/>
        <v>#NAME?</v>
      </c>
      <c r="CW247" s="47" t="e">
        <f t="shared" ca="1" si="2177"/>
        <v>#NAME?</v>
      </c>
      <c r="CX247" s="47" t="e">
        <f t="shared" ca="1" si="2177"/>
        <v>#NAME?</v>
      </c>
      <c r="CY247" s="47" t="e">
        <f t="shared" ca="1" si="2177"/>
        <v>#NAME?</v>
      </c>
      <c r="CZ247" s="47" t="e">
        <f t="shared" ca="1" si="2177"/>
        <v>#NAME?</v>
      </c>
      <c r="DA247" s="47" t="e">
        <f t="shared" ca="1" si="2177"/>
        <v>#NAME?</v>
      </c>
      <c r="DB247" s="47" t="e">
        <f t="shared" ca="1" si="2177"/>
        <v>#NAME?</v>
      </c>
      <c r="DE247" s="130"/>
    </row>
    <row r="248" spans="1:109" s="64" customFormat="1" hidden="1" outlineLevel="1" x14ac:dyDescent="0.2">
      <c r="A248" s="64" t="s">
        <v>477</v>
      </c>
      <c r="B248" s="64" t="e">
        <f t="shared" ref="B248:Z248" ca="1" si="2178">B55-B254</f>
        <v>#NAME?</v>
      </c>
      <c r="C248" s="64" t="e">
        <f t="shared" ca="1" si="2178"/>
        <v>#NAME?</v>
      </c>
      <c r="D248" s="64" t="e">
        <f t="shared" ca="1" si="2178"/>
        <v>#NAME?</v>
      </c>
      <c r="E248" s="64" t="e">
        <f t="shared" ca="1" si="2178"/>
        <v>#NAME?</v>
      </c>
      <c r="F248" s="64" t="e">
        <f t="shared" ca="1" si="2178"/>
        <v>#NAME?</v>
      </c>
      <c r="G248" s="64" t="e">
        <f t="shared" ca="1" si="2178"/>
        <v>#NAME?</v>
      </c>
      <c r="H248" s="64" t="e">
        <f t="shared" ca="1" si="2178"/>
        <v>#NAME?</v>
      </c>
      <c r="I248" s="64" t="e">
        <f t="shared" ca="1" si="2178"/>
        <v>#NAME?</v>
      </c>
      <c r="J248" s="64" t="e">
        <f t="shared" ca="1" si="2178"/>
        <v>#NAME?</v>
      </c>
      <c r="K248" s="64" t="e">
        <f t="shared" ca="1" si="2178"/>
        <v>#NAME?</v>
      </c>
      <c r="L248" s="64" t="e">
        <f t="shared" ca="1" si="2178"/>
        <v>#NAME?</v>
      </c>
      <c r="M248" s="64" t="e">
        <f t="shared" ca="1" si="2178"/>
        <v>#NAME?</v>
      </c>
      <c r="N248" s="64" t="e">
        <f t="shared" ca="1" si="2178"/>
        <v>#NAME?</v>
      </c>
      <c r="O248" s="64" t="e">
        <f t="shared" ca="1" si="2178"/>
        <v>#NAME?</v>
      </c>
      <c r="P248" s="64" t="e">
        <f t="shared" ca="1" si="2178"/>
        <v>#NAME?</v>
      </c>
      <c r="Q248" s="64" t="e">
        <f t="shared" ca="1" si="2178"/>
        <v>#NAME?</v>
      </c>
      <c r="R248" s="64" t="e">
        <f t="shared" ca="1" si="2178"/>
        <v>#NAME?</v>
      </c>
      <c r="S248" s="64" t="e">
        <f t="shared" ca="1" si="2178"/>
        <v>#NAME?</v>
      </c>
      <c r="T248" s="64" t="e">
        <f t="shared" ca="1" si="2178"/>
        <v>#NAME?</v>
      </c>
      <c r="U248" s="64" t="e">
        <f t="shared" ca="1" si="2178"/>
        <v>#NAME?</v>
      </c>
      <c r="V248" s="64" t="e">
        <f t="shared" ca="1" si="2178"/>
        <v>#NAME?</v>
      </c>
      <c r="W248" s="64" t="e">
        <f t="shared" ca="1" si="2178"/>
        <v>#NAME?</v>
      </c>
      <c r="X248" s="64" t="e">
        <f t="shared" ca="1" si="2178"/>
        <v>#NAME?</v>
      </c>
      <c r="Y248" s="64" t="e">
        <f t="shared" ca="1" si="2178"/>
        <v>#NAME?</v>
      </c>
      <c r="Z248" s="64" t="e">
        <f t="shared" ca="1" si="2178"/>
        <v>#NAME?</v>
      </c>
      <c r="AA248" s="64" t="e">
        <f t="shared" ref="AA248" ca="1" si="2179">AA55-AA254</f>
        <v>#NAME?</v>
      </c>
      <c r="AB248" s="30"/>
      <c r="AC248" s="30"/>
      <c r="AD248" s="30"/>
      <c r="AE248" s="30"/>
      <c r="AI248" s="64" t="e">
        <f t="shared" ref="AI248:BN248" ca="1" si="2180">AI55-AI254</f>
        <v>#NAME?</v>
      </c>
      <c r="AJ248" s="64" t="e">
        <f t="shared" ca="1" si="2180"/>
        <v>#NAME?</v>
      </c>
      <c r="AK248" s="64" t="e">
        <f t="shared" ca="1" si="2180"/>
        <v>#NAME?</v>
      </c>
      <c r="AL248" s="64" t="e">
        <f t="shared" ca="1" si="2180"/>
        <v>#NAME?</v>
      </c>
      <c r="AM248" s="64" t="e">
        <f t="shared" ca="1" si="2180"/>
        <v>#NAME?</v>
      </c>
      <c r="AN248" s="64" t="e">
        <f t="shared" ca="1" si="2180"/>
        <v>#NAME?</v>
      </c>
      <c r="AO248" s="64" t="e">
        <f t="shared" ca="1" si="2180"/>
        <v>#NAME?</v>
      </c>
      <c r="AP248" s="64" t="e">
        <f t="shared" ca="1" si="2180"/>
        <v>#NAME?</v>
      </c>
      <c r="AQ248" s="64" t="e">
        <f t="shared" ca="1" si="2180"/>
        <v>#NAME?</v>
      </c>
      <c r="AR248" s="64" t="e">
        <f t="shared" ca="1" si="2180"/>
        <v>#NAME?</v>
      </c>
      <c r="AS248" s="64" t="e">
        <f t="shared" ca="1" si="2180"/>
        <v>#NAME?</v>
      </c>
      <c r="AT248" s="64" t="e">
        <f t="shared" ca="1" si="2180"/>
        <v>#NAME?</v>
      </c>
      <c r="AU248" s="64" t="e">
        <f t="shared" ca="1" si="2180"/>
        <v>#NAME?</v>
      </c>
      <c r="AV248" s="64" t="e">
        <f t="shared" ca="1" si="2180"/>
        <v>#NAME?</v>
      </c>
      <c r="AW248" s="64" t="e">
        <f t="shared" ca="1" si="2180"/>
        <v>#NAME?</v>
      </c>
      <c r="AX248" s="64" t="e">
        <f t="shared" ca="1" si="2180"/>
        <v>#NAME?</v>
      </c>
      <c r="AY248" s="64" t="e">
        <f t="shared" ca="1" si="2180"/>
        <v>#NAME?</v>
      </c>
      <c r="AZ248" s="64" t="e">
        <f t="shared" ca="1" si="2180"/>
        <v>#NAME?</v>
      </c>
      <c r="BA248" s="64" t="e">
        <f t="shared" ca="1" si="2180"/>
        <v>#NAME?</v>
      </c>
      <c r="BB248" s="64" t="e">
        <f t="shared" ca="1" si="2180"/>
        <v>#NAME?</v>
      </c>
      <c r="BC248" s="64" t="e">
        <f t="shared" ca="1" si="2180"/>
        <v>#NAME?</v>
      </c>
      <c r="BD248" s="64" t="e">
        <f t="shared" ca="1" si="2180"/>
        <v>#NAME?</v>
      </c>
      <c r="BE248" s="64" t="e">
        <f t="shared" ca="1" si="2180"/>
        <v>#NAME?</v>
      </c>
      <c r="BF248" s="64" t="e">
        <f t="shared" ca="1" si="2180"/>
        <v>#NAME?</v>
      </c>
      <c r="BG248" s="64" t="e">
        <f t="shared" ca="1" si="2180"/>
        <v>#NAME?</v>
      </c>
      <c r="BH248" s="64" t="e">
        <f t="shared" ca="1" si="2180"/>
        <v>#NAME?</v>
      </c>
      <c r="BI248" s="64" t="e">
        <f t="shared" ca="1" si="2180"/>
        <v>#NAME?</v>
      </c>
      <c r="BJ248" s="64" t="e">
        <f t="shared" ca="1" si="2180"/>
        <v>#NAME?</v>
      </c>
      <c r="BK248" s="64" t="e">
        <f t="shared" ca="1" si="2180"/>
        <v>#NAME?</v>
      </c>
      <c r="BL248" s="64" t="e">
        <f t="shared" ca="1" si="2180"/>
        <v>#NAME?</v>
      </c>
      <c r="BM248" s="64" t="e">
        <f t="shared" ca="1" si="2180"/>
        <v>#NAME?</v>
      </c>
      <c r="BN248" s="64" t="e">
        <f t="shared" ca="1" si="2180"/>
        <v>#NAME?</v>
      </c>
      <c r="BO248" s="64" t="e">
        <f t="shared" ref="BO248:CT248" ca="1" si="2181">BO55-BO254</f>
        <v>#NAME?</v>
      </c>
      <c r="BP248" s="64" t="e">
        <f t="shared" ca="1" si="2181"/>
        <v>#NAME?</v>
      </c>
      <c r="BQ248" s="64" t="e">
        <f t="shared" ca="1" si="2181"/>
        <v>#NAME?</v>
      </c>
      <c r="BR248" s="64" t="e">
        <f t="shared" ca="1" si="2181"/>
        <v>#NAME?</v>
      </c>
      <c r="BS248" s="64" t="e">
        <f t="shared" ca="1" si="2181"/>
        <v>#NAME?</v>
      </c>
      <c r="BT248" s="64" t="e">
        <f t="shared" ca="1" si="2181"/>
        <v>#NAME?</v>
      </c>
      <c r="BU248" s="64" t="e">
        <f t="shared" ca="1" si="2181"/>
        <v>#NAME?</v>
      </c>
      <c r="BV248" s="64" t="e">
        <f t="shared" ca="1" si="2181"/>
        <v>#NAME?</v>
      </c>
      <c r="BW248" s="64" t="e">
        <f t="shared" ca="1" si="2181"/>
        <v>#NAME?</v>
      </c>
      <c r="BX248" s="64" t="e">
        <f t="shared" ca="1" si="2181"/>
        <v>#NAME?</v>
      </c>
      <c r="BY248" s="64" t="e">
        <f t="shared" ca="1" si="2181"/>
        <v>#NAME?</v>
      </c>
      <c r="BZ248" s="64" t="e">
        <f t="shared" ca="1" si="2181"/>
        <v>#NAME?</v>
      </c>
      <c r="CA248" s="64" t="e">
        <f t="shared" ca="1" si="2181"/>
        <v>#NAME?</v>
      </c>
      <c r="CB248" s="64" t="e">
        <f t="shared" ca="1" si="2181"/>
        <v>#NAME?</v>
      </c>
      <c r="CC248" s="64" t="e">
        <f t="shared" ca="1" si="2181"/>
        <v>#NAME?</v>
      </c>
      <c r="CD248" s="64" t="e">
        <f t="shared" ca="1" si="2181"/>
        <v>#NAME?</v>
      </c>
      <c r="CE248" s="64" t="e">
        <f t="shared" ca="1" si="2181"/>
        <v>#NAME?</v>
      </c>
      <c r="CF248" s="64" t="e">
        <f t="shared" ca="1" si="2181"/>
        <v>#NAME?</v>
      </c>
      <c r="CG248" s="64" t="e">
        <f t="shared" ca="1" si="2181"/>
        <v>#NAME?</v>
      </c>
      <c r="CH248" s="64" t="e">
        <f t="shared" ca="1" si="2181"/>
        <v>#NAME?</v>
      </c>
      <c r="CI248" s="64" t="e">
        <f t="shared" ca="1" si="2181"/>
        <v>#NAME?</v>
      </c>
      <c r="CJ248" s="64" t="e">
        <f t="shared" ca="1" si="2181"/>
        <v>#NAME?</v>
      </c>
      <c r="CK248" s="64" t="e">
        <f t="shared" ca="1" si="2181"/>
        <v>#NAME?</v>
      </c>
      <c r="CL248" s="64" t="e">
        <f t="shared" ref="CL248" ca="1" si="2182">CL55-CL254</f>
        <v>#NAME?</v>
      </c>
      <c r="CM248" s="30" t="e">
        <f t="shared" ca="1" si="2181"/>
        <v>#NAME?</v>
      </c>
      <c r="CN248" s="30" t="e">
        <f t="shared" ca="1" si="2181"/>
        <v>#NAME?</v>
      </c>
      <c r="CO248" s="30" t="e">
        <f t="shared" ca="1" si="2181"/>
        <v>#NAME?</v>
      </c>
      <c r="CP248" s="30" t="e">
        <f t="shared" ca="1" si="2181"/>
        <v>#NAME?</v>
      </c>
      <c r="CQ248" s="30" t="e">
        <f t="shared" ca="1" si="2181"/>
        <v>#NAME?</v>
      </c>
      <c r="CR248" s="30" t="e">
        <f t="shared" ca="1" si="2181"/>
        <v>#NAME?</v>
      </c>
      <c r="CS248" s="30" t="e">
        <f t="shared" ca="1" si="2181"/>
        <v>#NAME?</v>
      </c>
      <c r="CT248" s="30" t="e">
        <f t="shared" ca="1" si="2181"/>
        <v>#NAME?</v>
      </c>
      <c r="CU248" s="30" t="e">
        <f t="shared" ref="CU248:DB248" ca="1" si="2183">CU55-CU254</f>
        <v>#NAME?</v>
      </c>
      <c r="CV248" s="30" t="e">
        <f t="shared" ca="1" si="2183"/>
        <v>#NAME?</v>
      </c>
      <c r="CW248" s="30" t="e">
        <f t="shared" ca="1" si="2183"/>
        <v>#NAME?</v>
      </c>
      <c r="CX248" s="30" t="e">
        <f t="shared" ca="1" si="2183"/>
        <v>#NAME?</v>
      </c>
      <c r="CY248" s="30" t="e">
        <f t="shared" ca="1" si="2183"/>
        <v>#NAME?</v>
      </c>
      <c r="CZ248" s="30" t="e">
        <f t="shared" ca="1" si="2183"/>
        <v>#NAME?</v>
      </c>
      <c r="DA248" s="30" t="e">
        <f t="shared" ca="1" si="2183"/>
        <v>#NAME?</v>
      </c>
      <c r="DB248" s="30" t="e">
        <f t="shared" ca="1" si="2183"/>
        <v>#NAME?</v>
      </c>
      <c r="DE248" s="139"/>
    </row>
    <row r="249" spans="1:109" s="64" customFormat="1" hidden="1" outlineLevel="1" x14ac:dyDescent="0.2">
      <c r="AB249" s="30"/>
      <c r="AC249" s="30"/>
      <c r="AD249" s="30"/>
      <c r="AE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09" s="64" customFormat="1" hidden="1" outlineLevel="1" x14ac:dyDescent="0.2">
      <c r="A250" s="65" t="s">
        <v>352</v>
      </c>
      <c r="AB250" s="30"/>
      <c r="AC250" s="30"/>
      <c r="AD250" s="30"/>
      <c r="AE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09" s="64" customFormat="1" hidden="1" outlineLevel="1" x14ac:dyDescent="0.2">
      <c r="A251" s="64" t="s">
        <v>478</v>
      </c>
      <c r="AB251" s="30"/>
      <c r="AC251" s="30"/>
      <c r="AD251" s="30"/>
      <c r="AE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09" s="64" customFormat="1" hidden="1" outlineLevel="1" x14ac:dyDescent="0.2">
      <c r="A252" s="64" t="s">
        <v>479</v>
      </c>
      <c r="AB252" s="30"/>
      <c r="AC252" s="30"/>
      <c r="AD252" s="30"/>
      <c r="AE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09" s="89" customFormat="1" hidden="1" outlineLevel="1" x14ac:dyDescent="0.2">
      <c r="A253" s="86" t="s">
        <v>480</v>
      </c>
      <c r="B253" s="86" t="e">
        <f>+B252/B251</f>
        <v>#DIV/0!</v>
      </c>
      <c r="C253" s="86" t="e">
        <f t="shared" ref="C253:X253" si="2184">+C252/C251</f>
        <v>#DIV/0!</v>
      </c>
      <c r="D253" s="86" t="e">
        <f t="shared" si="2184"/>
        <v>#DIV/0!</v>
      </c>
      <c r="E253" s="86" t="e">
        <f t="shared" si="2184"/>
        <v>#DIV/0!</v>
      </c>
      <c r="F253" s="86" t="e">
        <f t="shared" si="2184"/>
        <v>#DIV/0!</v>
      </c>
      <c r="G253" s="86" t="e">
        <f t="shared" si="2184"/>
        <v>#DIV/0!</v>
      </c>
      <c r="H253" s="86" t="e">
        <f t="shared" si="2184"/>
        <v>#DIV/0!</v>
      </c>
      <c r="I253" s="86" t="e">
        <f t="shared" si="2184"/>
        <v>#DIV/0!</v>
      </c>
      <c r="J253" s="86" t="e">
        <f t="shared" si="2184"/>
        <v>#DIV/0!</v>
      </c>
      <c r="K253" s="86" t="e">
        <f t="shared" si="2184"/>
        <v>#DIV/0!</v>
      </c>
      <c r="L253" s="86" t="e">
        <f t="shared" si="2184"/>
        <v>#DIV/0!</v>
      </c>
      <c r="M253" s="86" t="e">
        <f t="shared" si="2184"/>
        <v>#DIV/0!</v>
      </c>
      <c r="N253" s="86" t="e">
        <f t="shared" si="2184"/>
        <v>#DIV/0!</v>
      </c>
      <c r="O253" s="86" t="e">
        <f t="shared" si="2184"/>
        <v>#DIV/0!</v>
      </c>
      <c r="P253" s="86" t="e">
        <f t="shared" si="2184"/>
        <v>#DIV/0!</v>
      </c>
      <c r="Q253" s="86" t="e">
        <f t="shared" si="2184"/>
        <v>#DIV/0!</v>
      </c>
      <c r="R253" s="86" t="e">
        <f t="shared" si="2184"/>
        <v>#DIV/0!</v>
      </c>
      <c r="S253" s="86" t="e">
        <f t="shared" si="2184"/>
        <v>#DIV/0!</v>
      </c>
      <c r="T253" s="86" t="e">
        <f t="shared" si="2184"/>
        <v>#DIV/0!</v>
      </c>
      <c r="U253" s="86" t="e">
        <f t="shared" si="2184"/>
        <v>#DIV/0!</v>
      </c>
      <c r="V253" s="86" t="e">
        <f t="shared" si="2184"/>
        <v>#DIV/0!</v>
      </c>
      <c r="W253" s="86" t="e">
        <f t="shared" si="2184"/>
        <v>#DIV/0!</v>
      </c>
      <c r="X253" s="86" t="e">
        <f t="shared" si="2184"/>
        <v>#DIV/0!</v>
      </c>
      <c r="Y253" s="86" t="e">
        <f t="shared" ref="Y253:Z253" si="2185">+Y252/Y251</f>
        <v>#DIV/0!</v>
      </c>
      <c r="Z253" s="86" t="e">
        <f t="shared" si="2185"/>
        <v>#DIV/0!</v>
      </c>
      <c r="AA253" s="86" t="e">
        <f t="shared" ref="AA253" si="2186">+AA252/AA251</f>
        <v>#DIV/0!</v>
      </c>
      <c r="AB253" s="87"/>
      <c r="AC253" s="87"/>
      <c r="AD253" s="87"/>
      <c r="AE253" s="87"/>
      <c r="AF253" s="86"/>
      <c r="AG253" s="86"/>
      <c r="AH253" s="86"/>
      <c r="AI253" s="86" t="e">
        <f t="shared" ref="AI253" si="2187">+AI252/AI251</f>
        <v>#DIV/0!</v>
      </c>
      <c r="AJ253" s="86" t="e">
        <f t="shared" ref="AJ253" si="2188">+AJ252/AJ251</f>
        <v>#DIV/0!</v>
      </c>
      <c r="AK253" s="86" t="e">
        <f t="shared" ref="AK253" si="2189">+AK252/AK251</f>
        <v>#DIV/0!</v>
      </c>
      <c r="AL253" s="86" t="e">
        <f t="shared" ref="AL253" si="2190">+AL252/AL251</f>
        <v>#DIV/0!</v>
      </c>
      <c r="AM253" s="86" t="e">
        <f t="shared" ref="AM253" si="2191">+AM252/AM251</f>
        <v>#DIV/0!</v>
      </c>
      <c r="AN253" s="86" t="e">
        <f t="shared" ref="AN253" si="2192">+AN252/AN251</f>
        <v>#DIV/0!</v>
      </c>
      <c r="AO253" s="86" t="e">
        <f t="shared" ref="AO253" si="2193">+AO252/AO251</f>
        <v>#DIV/0!</v>
      </c>
      <c r="AP253" s="86" t="e">
        <f t="shared" ref="AP253" si="2194">+AP252/AP251</f>
        <v>#DIV/0!</v>
      </c>
      <c r="AQ253" s="86" t="e">
        <f t="shared" ref="AQ253" si="2195">+AQ252/AQ251</f>
        <v>#DIV/0!</v>
      </c>
      <c r="AR253" s="86" t="e">
        <f t="shared" ref="AR253" si="2196">+AR252/AR251</f>
        <v>#DIV/0!</v>
      </c>
      <c r="AS253" s="86" t="e">
        <f t="shared" ref="AS253" si="2197">+AS252/AS251</f>
        <v>#DIV/0!</v>
      </c>
      <c r="AT253" s="86" t="e">
        <f t="shared" ref="AT253" si="2198">+AT252/AT251</f>
        <v>#DIV/0!</v>
      </c>
      <c r="AU253" s="86" t="e">
        <f t="shared" ref="AU253" si="2199">+AU252/AU251</f>
        <v>#DIV/0!</v>
      </c>
      <c r="AV253" s="86" t="e">
        <f t="shared" ref="AV253" si="2200">+AV252/AV251</f>
        <v>#DIV/0!</v>
      </c>
      <c r="AW253" s="86" t="e">
        <f t="shared" ref="AW253" si="2201">+AW252/AW251</f>
        <v>#DIV/0!</v>
      </c>
      <c r="AX253" s="86" t="e">
        <f t="shared" ref="AX253" si="2202">+AX252/AX251</f>
        <v>#DIV/0!</v>
      </c>
      <c r="AY253" s="86" t="e">
        <f t="shared" ref="AY253" si="2203">+AY252/AY251</f>
        <v>#DIV/0!</v>
      </c>
      <c r="AZ253" s="86" t="e">
        <f t="shared" ref="AZ253" si="2204">+AZ252/AZ251</f>
        <v>#DIV/0!</v>
      </c>
      <c r="BA253" s="86" t="e">
        <f t="shared" ref="BA253" si="2205">+BA252/BA251</f>
        <v>#DIV/0!</v>
      </c>
      <c r="BB253" s="86" t="e">
        <f t="shared" ref="BB253" si="2206">+BB252/BB251</f>
        <v>#DIV/0!</v>
      </c>
      <c r="BC253" s="86" t="e">
        <f t="shared" ref="BC253" si="2207">+BC252/BC251</f>
        <v>#DIV/0!</v>
      </c>
      <c r="BD253" s="86" t="e">
        <f t="shared" ref="BD253" si="2208">+BD252/BD251</f>
        <v>#DIV/0!</v>
      </c>
      <c r="BE253" s="86" t="e">
        <f t="shared" ref="BE253" si="2209">+BE252/BE251</f>
        <v>#DIV/0!</v>
      </c>
      <c r="BF253" s="86" t="e">
        <f t="shared" ref="BF253" si="2210">+BF252/BF251</f>
        <v>#DIV/0!</v>
      </c>
      <c r="BG253" s="86" t="e">
        <f t="shared" ref="BG253" si="2211">+BG252/BG251</f>
        <v>#DIV/0!</v>
      </c>
      <c r="BH253" s="86" t="e">
        <f t="shared" ref="BH253" si="2212">+BH252/BH251</f>
        <v>#DIV/0!</v>
      </c>
      <c r="BI253" s="86" t="e">
        <f t="shared" ref="BI253" si="2213">+BI252/BI251</f>
        <v>#DIV/0!</v>
      </c>
      <c r="BJ253" s="86" t="e">
        <f t="shared" ref="BJ253" si="2214">+BJ252/BJ251</f>
        <v>#DIV/0!</v>
      </c>
      <c r="BK253" s="86" t="e">
        <f t="shared" ref="BK253" si="2215">+BK252/BK251</f>
        <v>#DIV/0!</v>
      </c>
      <c r="BL253" s="86" t="e">
        <f t="shared" ref="BL253" si="2216">+BL252/BL251</f>
        <v>#DIV/0!</v>
      </c>
      <c r="BM253" s="86" t="e">
        <f t="shared" ref="BM253" si="2217">+BM252/BM251</f>
        <v>#DIV/0!</v>
      </c>
      <c r="BN253" s="86" t="e">
        <f t="shared" ref="BN253" si="2218">+BN252/BN251</f>
        <v>#DIV/0!</v>
      </c>
      <c r="BO253" s="86" t="e">
        <f t="shared" ref="BO253" si="2219">+BO252/BO251</f>
        <v>#DIV/0!</v>
      </c>
      <c r="BP253" s="86" t="e">
        <f t="shared" ref="BP253" si="2220">+BP252/BP251</f>
        <v>#DIV/0!</v>
      </c>
      <c r="BQ253" s="86" t="e">
        <f t="shared" ref="BQ253" si="2221">+BQ252/BQ251</f>
        <v>#DIV/0!</v>
      </c>
      <c r="BR253" s="86" t="e">
        <f t="shared" ref="BR253" si="2222">+BR252/BR251</f>
        <v>#DIV/0!</v>
      </c>
      <c r="BS253" s="86" t="e">
        <f t="shared" ref="BS253" si="2223">+BS252/BS251</f>
        <v>#DIV/0!</v>
      </c>
      <c r="BT253" s="86" t="e">
        <f t="shared" ref="BT253" si="2224">+BT252/BT251</f>
        <v>#DIV/0!</v>
      </c>
      <c r="BU253" s="86" t="e">
        <f t="shared" ref="BU253" si="2225">+BU252/BU251</f>
        <v>#DIV/0!</v>
      </c>
      <c r="BV253" s="86" t="e">
        <f t="shared" ref="BV253" si="2226">+BV252/BV251</f>
        <v>#DIV/0!</v>
      </c>
      <c r="BW253" s="86" t="e">
        <f t="shared" ref="BW253" si="2227">+BW252/BW251</f>
        <v>#DIV/0!</v>
      </c>
      <c r="BX253" s="86" t="e">
        <f t="shared" ref="BX253" si="2228">+BX252/BX251</f>
        <v>#DIV/0!</v>
      </c>
      <c r="BY253" s="86" t="e">
        <f t="shared" ref="BY253" si="2229">+BY252/BY251</f>
        <v>#DIV/0!</v>
      </c>
      <c r="BZ253" s="86" t="e">
        <f t="shared" ref="BZ253" si="2230">+BZ252/BZ251</f>
        <v>#DIV/0!</v>
      </c>
      <c r="CA253" s="86" t="e">
        <f t="shared" ref="CA253" si="2231">+CA252/CA251</f>
        <v>#DIV/0!</v>
      </c>
      <c r="CB253" s="86" t="e">
        <f t="shared" ref="CB253:CC253" si="2232">+CB252/CB251</f>
        <v>#DIV/0!</v>
      </c>
      <c r="CC253" s="86" t="e">
        <f t="shared" si="2232"/>
        <v>#DIV/0!</v>
      </c>
      <c r="CD253" s="86" t="e">
        <f t="shared" ref="CD253" si="2233">+CD252/CD251</f>
        <v>#DIV/0!</v>
      </c>
      <c r="CE253" s="86" t="e">
        <f t="shared" ref="CE253:CF253" si="2234">+CE252/CE251</f>
        <v>#DIV/0!</v>
      </c>
      <c r="CF253" s="86" t="e">
        <f t="shared" si="2234"/>
        <v>#DIV/0!</v>
      </c>
      <c r="CG253" s="86" t="e">
        <f t="shared" ref="CG253:CH253" si="2235">+CG252/CG251</f>
        <v>#DIV/0!</v>
      </c>
      <c r="CH253" s="86" t="e">
        <f t="shared" si="2235"/>
        <v>#DIV/0!</v>
      </c>
      <c r="CI253" s="86" t="e">
        <f t="shared" ref="CI253:CJ253" si="2236">+CI252/CI251</f>
        <v>#DIV/0!</v>
      </c>
      <c r="CJ253" s="86" t="e">
        <f t="shared" si="2236"/>
        <v>#DIV/0!</v>
      </c>
      <c r="CK253" s="86" t="e">
        <f t="shared" ref="CK253:DB253" si="2237">+CK252/CK251</f>
        <v>#DIV/0!</v>
      </c>
      <c r="CL253" s="86" t="e">
        <f t="shared" si="2237"/>
        <v>#DIV/0!</v>
      </c>
      <c r="CM253" s="47" t="e">
        <f t="shared" si="2237"/>
        <v>#DIV/0!</v>
      </c>
      <c r="CN253" s="47" t="e">
        <f t="shared" si="2237"/>
        <v>#DIV/0!</v>
      </c>
      <c r="CO253" s="47" t="e">
        <f t="shared" si="2237"/>
        <v>#DIV/0!</v>
      </c>
      <c r="CP253" s="47" t="e">
        <f t="shared" si="2237"/>
        <v>#DIV/0!</v>
      </c>
      <c r="CQ253" s="47" t="e">
        <f t="shared" si="2237"/>
        <v>#DIV/0!</v>
      </c>
      <c r="CR253" s="47" t="e">
        <f t="shared" si="2237"/>
        <v>#DIV/0!</v>
      </c>
      <c r="CS253" s="47" t="e">
        <f t="shared" si="2237"/>
        <v>#DIV/0!</v>
      </c>
      <c r="CT253" s="47" t="e">
        <f t="shared" si="2237"/>
        <v>#DIV/0!</v>
      </c>
      <c r="CU253" s="47" t="e">
        <f t="shared" si="2237"/>
        <v>#DIV/0!</v>
      </c>
      <c r="CV253" s="47" t="e">
        <f t="shared" si="2237"/>
        <v>#DIV/0!</v>
      </c>
      <c r="CW253" s="47" t="e">
        <f t="shared" si="2237"/>
        <v>#DIV/0!</v>
      </c>
      <c r="CX253" s="47" t="e">
        <f t="shared" si="2237"/>
        <v>#DIV/0!</v>
      </c>
      <c r="CY253" s="47" t="e">
        <f t="shared" si="2237"/>
        <v>#DIV/0!</v>
      </c>
      <c r="CZ253" s="47" t="e">
        <f t="shared" si="2237"/>
        <v>#DIV/0!</v>
      </c>
      <c r="DA253" s="47" t="e">
        <f t="shared" si="2237"/>
        <v>#DIV/0!</v>
      </c>
      <c r="DB253" s="47" t="e">
        <f t="shared" si="2237"/>
        <v>#DIV/0!</v>
      </c>
      <c r="DE253" s="130"/>
    </row>
    <row r="254" spans="1:109" s="64" customFormat="1" hidden="1" outlineLevel="1" x14ac:dyDescent="0.2">
      <c r="A254" s="64" t="s">
        <v>481</v>
      </c>
      <c r="AB254" s="30"/>
      <c r="AC254" s="30"/>
      <c r="AD254" s="30"/>
      <c r="AE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09" s="62" customFormat="1" hidden="1" outlineLevel="1" x14ac:dyDescent="0.2">
      <c r="AB255" s="63"/>
      <c r="AC255" s="63"/>
      <c r="AD255" s="63"/>
      <c r="AE255" s="63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09" s="11" customFormat="1" collapsed="1" x14ac:dyDescent="0.2">
      <c r="AB256" s="63"/>
      <c r="AC256" s="63"/>
      <c r="AD256" s="63"/>
      <c r="AE256" s="63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62" customFormat="1" x14ac:dyDescent="0.2">
      <c r="A257" s="154" t="s">
        <v>497</v>
      </c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63"/>
      <c r="AC257" s="63"/>
      <c r="AD257" s="63"/>
      <c r="AE257" s="63"/>
      <c r="AL257" s="180"/>
      <c r="CF257" s="180"/>
      <c r="CG257" s="180"/>
      <c r="CH257" s="180"/>
      <c r="CI257" s="180"/>
      <c r="CJ257" s="180"/>
      <c r="CK257" s="180"/>
      <c r="CL257" s="18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</row>
    <row r="258" spans="1:110" s="84" customFormat="1" x14ac:dyDescent="0.2">
      <c r="A258" s="84" t="s">
        <v>512</v>
      </c>
      <c r="B258" s="84" t="e">
        <f ca="1">B22/B179</f>
        <v>#NAME?</v>
      </c>
      <c r="C258" s="84" t="e">
        <f ca="1">C22/C179</f>
        <v>#NAME?</v>
      </c>
      <c r="D258" s="84" t="e">
        <f ca="1">D22/D179</f>
        <v>#NAME?</v>
      </c>
      <c r="E258" s="84" t="e">
        <f t="shared" ref="E258:Y258" ca="1" si="2238">E24/(E175+E162+E152)</f>
        <v>#NAME?</v>
      </c>
      <c r="F258" s="84" t="e">
        <f t="shared" ca="1" si="2238"/>
        <v>#NAME?</v>
      </c>
      <c r="G258" s="84" t="e">
        <f t="shared" ca="1" si="2238"/>
        <v>#NAME?</v>
      </c>
      <c r="H258" s="84" t="e">
        <f t="shared" ca="1" si="2238"/>
        <v>#NAME?</v>
      </c>
      <c r="I258" s="84" t="e">
        <f t="shared" ca="1" si="2238"/>
        <v>#NAME?</v>
      </c>
      <c r="J258" s="84" t="e">
        <f t="shared" ca="1" si="2238"/>
        <v>#NAME?</v>
      </c>
      <c r="K258" s="84" t="e">
        <f t="shared" ca="1" si="2238"/>
        <v>#NAME?</v>
      </c>
      <c r="L258" s="84" t="e">
        <f t="shared" ca="1" si="2238"/>
        <v>#NAME?</v>
      </c>
      <c r="M258" s="84" t="e">
        <f t="shared" ca="1" si="2238"/>
        <v>#NAME?</v>
      </c>
      <c r="N258" s="84" t="e">
        <f t="shared" ca="1" si="2238"/>
        <v>#NAME?</v>
      </c>
      <c r="O258" s="84" t="e">
        <f t="shared" ca="1" si="2238"/>
        <v>#NAME?</v>
      </c>
      <c r="P258" s="84" t="e">
        <f t="shared" ca="1" si="2238"/>
        <v>#NAME?</v>
      </c>
      <c r="Q258" s="84" t="e">
        <f t="shared" ca="1" si="2238"/>
        <v>#NAME?</v>
      </c>
      <c r="R258" s="84" t="e">
        <f t="shared" ca="1" si="2238"/>
        <v>#NAME?</v>
      </c>
      <c r="S258" s="84" t="e">
        <f t="shared" ca="1" si="2238"/>
        <v>#NAME?</v>
      </c>
      <c r="T258" s="84" t="e">
        <f t="shared" ca="1" si="2238"/>
        <v>#NAME?</v>
      </c>
      <c r="U258" s="84" t="e">
        <f t="shared" ca="1" si="2238"/>
        <v>#NAME?</v>
      </c>
      <c r="V258" s="84" t="e">
        <f t="shared" ca="1" si="2238"/>
        <v>#NAME?</v>
      </c>
      <c r="W258" s="84" t="e">
        <f t="shared" ca="1" si="2238"/>
        <v>#NAME?</v>
      </c>
      <c r="X258" s="84" t="e">
        <f t="shared" ca="1" si="2238"/>
        <v>#NAME?</v>
      </c>
      <c r="Y258" s="84" t="e">
        <f t="shared" ca="1" si="2238"/>
        <v>#NAME?</v>
      </c>
      <c r="Z258" s="84" t="e">
        <f ca="1">Z24/(Z175+Z162+Z152)</f>
        <v>#NAME?</v>
      </c>
      <c r="AA258" s="84" t="e">
        <f ca="1">AA24/(AA175+AA162+AA152)</f>
        <v>#NAME?</v>
      </c>
      <c r="AB258" s="50" t="e">
        <f t="shared" ref="AA258:AE258" ca="1" si="2239">AB24/(AB175+AB162+AB152)</f>
        <v>#NAME?</v>
      </c>
      <c r="AC258" s="50" t="e">
        <f t="shared" ca="1" si="2239"/>
        <v>#NAME?</v>
      </c>
      <c r="AD258" s="50" t="e">
        <f t="shared" ca="1" si="2239"/>
        <v>#NAME?</v>
      </c>
      <c r="AE258" s="50" t="e">
        <f t="shared" ca="1" si="2239"/>
        <v>#NAME?</v>
      </c>
      <c r="AL258" s="84" t="e">
        <f ca="1">SUM(AI24:AL24)/(AL175+AL162+AL152)</f>
        <v>#NAME?</v>
      </c>
      <c r="AM258" s="84" t="e">
        <f t="shared" ref="AM258:CL258" ca="1" si="2240">SUM(AJ24:AM24)/(AM175+AM162+AM152)</f>
        <v>#NAME?</v>
      </c>
      <c r="AN258" s="84" t="e">
        <f t="shared" ca="1" si="2240"/>
        <v>#NAME?</v>
      </c>
      <c r="AO258" s="84" t="e">
        <f t="shared" ca="1" si="2240"/>
        <v>#NAME?</v>
      </c>
      <c r="AP258" s="84" t="e">
        <f t="shared" ca="1" si="2240"/>
        <v>#NAME?</v>
      </c>
      <c r="AQ258" s="84" t="e">
        <f t="shared" ca="1" si="2240"/>
        <v>#NAME?</v>
      </c>
      <c r="AR258" s="84" t="e">
        <f t="shared" ca="1" si="2240"/>
        <v>#NAME?</v>
      </c>
      <c r="AS258" s="84" t="e">
        <f t="shared" ca="1" si="2240"/>
        <v>#NAME?</v>
      </c>
      <c r="AT258" s="84" t="e">
        <f t="shared" ca="1" si="2240"/>
        <v>#NAME?</v>
      </c>
      <c r="AU258" s="84" t="e">
        <f t="shared" ca="1" si="2240"/>
        <v>#NAME?</v>
      </c>
      <c r="AV258" s="84" t="e">
        <f t="shared" ca="1" si="2240"/>
        <v>#NAME?</v>
      </c>
      <c r="AW258" s="84" t="e">
        <f t="shared" ca="1" si="2240"/>
        <v>#NAME?</v>
      </c>
      <c r="AX258" s="84" t="e">
        <f t="shared" ca="1" si="2240"/>
        <v>#NAME?</v>
      </c>
      <c r="AY258" s="84" t="e">
        <f t="shared" ca="1" si="2240"/>
        <v>#NAME?</v>
      </c>
      <c r="AZ258" s="84" t="e">
        <f t="shared" ca="1" si="2240"/>
        <v>#NAME?</v>
      </c>
      <c r="BA258" s="84" t="e">
        <f t="shared" ca="1" si="2240"/>
        <v>#NAME?</v>
      </c>
      <c r="BB258" s="84" t="e">
        <f t="shared" ca="1" si="2240"/>
        <v>#NAME?</v>
      </c>
      <c r="BC258" s="84" t="e">
        <f t="shared" ca="1" si="2240"/>
        <v>#NAME?</v>
      </c>
      <c r="BD258" s="84" t="e">
        <f t="shared" ca="1" si="2240"/>
        <v>#NAME?</v>
      </c>
      <c r="BE258" s="84" t="e">
        <f t="shared" ca="1" si="2240"/>
        <v>#NAME?</v>
      </c>
      <c r="BF258" s="84" t="e">
        <f t="shared" ca="1" si="2240"/>
        <v>#NAME?</v>
      </c>
      <c r="BG258" s="84" t="e">
        <f t="shared" ca="1" si="2240"/>
        <v>#NAME?</v>
      </c>
      <c r="BH258" s="84" t="e">
        <f t="shared" ca="1" si="2240"/>
        <v>#NAME?</v>
      </c>
      <c r="BI258" s="84" t="e">
        <f t="shared" ca="1" si="2240"/>
        <v>#NAME?</v>
      </c>
      <c r="BJ258" s="84" t="e">
        <f t="shared" ca="1" si="2240"/>
        <v>#NAME?</v>
      </c>
      <c r="BK258" s="84" t="e">
        <f t="shared" ca="1" si="2240"/>
        <v>#NAME?</v>
      </c>
      <c r="BL258" s="84" t="e">
        <f t="shared" ca="1" si="2240"/>
        <v>#NAME?</v>
      </c>
      <c r="BM258" s="84" t="e">
        <f t="shared" ca="1" si="2240"/>
        <v>#NAME?</v>
      </c>
      <c r="BN258" s="84" t="e">
        <f t="shared" ca="1" si="2240"/>
        <v>#NAME?</v>
      </c>
      <c r="BO258" s="84" t="e">
        <f t="shared" ca="1" si="2240"/>
        <v>#NAME?</v>
      </c>
      <c r="BP258" s="84" t="e">
        <f t="shared" ca="1" si="2240"/>
        <v>#NAME?</v>
      </c>
      <c r="BQ258" s="84" t="e">
        <f t="shared" ca="1" si="2240"/>
        <v>#NAME?</v>
      </c>
      <c r="BR258" s="84" t="e">
        <f t="shared" ca="1" si="2240"/>
        <v>#NAME?</v>
      </c>
      <c r="BS258" s="84" t="e">
        <f t="shared" ca="1" si="2240"/>
        <v>#NAME?</v>
      </c>
      <c r="BT258" s="84" t="e">
        <f t="shared" ca="1" si="2240"/>
        <v>#NAME?</v>
      </c>
      <c r="BU258" s="84" t="e">
        <f t="shared" ca="1" si="2240"/>
        <v>#NAME?</v>
      </c>
      <c r="BV258" s="84" t="e">
        <f t="shared" ca="1" si="2240"/>
        <v>#NAME?</v>
      </c>
      <c r="BW258" s="84" t="e">
        <f t="shared" ca="1" si="2240"/>
        <v>#NAME?</v>
      </c>
      <c r="BX258" s="84" t="e">
        <f t="shared" ca="1" si="2240"/>
        <v>#NAME?</v>
      </c>
      <c r="BY258" s="84" t="e">
        <f t="shared" ca="1" si="2240"/>
        <v>#NAME?</v>
      </c>
      <c r="BZ258" s="84" t="e">
        <f t="shared" ca="1" si="2240"/>
        <v>#NAME?</v>
      </c>
      <c r="CA258" s="84" t="e">
        <f t="shared" ca="1" si="2240"/>
        <v>#NAME?</v>
      </c>
      <c r="CB258" s="84" t="e">
        <f t="shared" ca="1" si="2240"/>
        <v>#NAME?</v>
      </c>
      <c r="CC258" s="84" t="e">
        <f t="shared" ca="1" si="2240"/>
        <v>#NAME?</v>
      </c>
      <c r="CD258" s="84" t="e">
        <f t="shared" ca="1" si="2240"/>
        <v>#NAME?</v>
      </c>
      <c r="CE258" s="84" t="e">
        <f t="shared" ca="1" si="2240"/>
        <v>#NAME?</v>
      </c>
      <c r="CF258" s="84" t="e">
        <f t="shared" ca="1" si="2240"/>
        <v>#NAME?</v>
      </c>
      <c r="CG258" s="84" t="e">
        <f t="shared" ca="1" si="2240"/>
        <v>#NAME?</v>
      </c>
      <c r="CH258" s="84" t="e">
        <f t="shared" ca="1" si="2240"/>
        <v>#NAME?</v>
      </c>
      <c r="CI258" s="84" t="e">
        <f t="shared" ca="1" si="2240"/>
        <v>#NAME?</v>
      </c>
      <c r="CJ258" s="84" t="e">
        <f t="shared" ca="1" si="2240"/>
        <v>#NAME?</v>
      </c>
      <c r="CK258" s="84" t="e">
        <f t="shared" ref="CK258" ca="1" si="2241">SUM(CH24:CK24)/(CK175+CK162+CK152)</f>
        <v>#NAME?</v>
      </c>
      <c r="CL258" s="84" t="e">
        <f t="shared" ca="1" si="2240"/>
        <v>#NAME?</v>
      </c>
      <c r="CM258" s="50" t="e">
        <f t="shared" ref="CM258:DB258" ca="1" si="2242">SUM(CJ24:CM24)/(CM175+CM162+CM152)</f>
        <v>#NAME?</v>
      </c>
      <c r="CN258" s="50" t="e">
        <f t="shared" ca="1" si="2242"/>
        <v>#NAME?</v>
      </c>
      <c r="CO258" s="50" t="e">
        <f t="shared" ca="1" si="2242"/>
        <v>#NAME?</v>
      </c>
      <c r="CP258" s="50" t="e">
        <f t="shared" ca="1" si="2242"/>
        <v>#NAME?</v>
      </c>
      <c r="CQ258" s="50" t="e">
        <f t="shared" ca="1" si="2242"/>
        <v>#NAME?</v>
      </c>
      <c r="CR258" s="50" t="e">
        <f t="shared" ca="1" si="2242"/>
        <v>#NAME?</v>
      </c>
      <c r="CS258" s="50" t="e">
        <f t="shared" ca="1" si="2242"/>
        <v>#NAME?</v>
      </c>
      <c r="CT258" s="50" t="e">
        <f t="shared" ca="1" si="2242"/>
        <v>#NAME?</v>
      </c>
      <c r="CU258" s="50" t="e">
        <f t="shared" ca="1" si="2242"/>
        <v>#NAME?</v>
      </c>
      <c r="CV258" s="50" t="e">
        <f t="shared" ca="1" si="2242"/>
        <v>#NAME?</v>
      </c>
      <c r="CW258" s="50" t="e">
        <f t="shared" ca="1" si="2242"/>
        <v>#NAME?</v>
      </c>
      <c r="CX258" s="50" t="e">
        <f t="shared" ca="1" si="2242"/>
        <v>#NAME?</v>
      </c>
      <c r="CY258" s="50" t="e">
        <f t="shared" ca="1" si="2242"/>
        <v>#NAME?</v>
      </c>
      <c r="CZ258" s="50" t="e">
        <f t="shared" ca="1" si="2242"/>
        <v>#NAME?</v>
      </c>
      <c r="DA258" s="50" t="e">
        <f t="shared" ca="1" si="2242"/>
        <v>#NAME?</v>
      </c>
      <c r="DB258" s="50" t="e">
        <f t="shared" ca="1" si="2242"/>
        <v>#NAME?</v>
      </c>
      <c r="DE258" s="138"/>
      <c r="DF258" s="84">
        <v>0.13130192384080774</v>
      </c>
    </row>
    <row r="259" spans="1:110" s="84" customFormat="1" x14ac:dyDescent="0.2">
      <c r="A259" s="84" t="s">
        <v>513</v>
      </c>
      <c r="E259" s="181" t="e">
        <f ca="1">+E56</f>
        <v>#NAME?</v>
      </c>
      <c r="F259" s="181" t="e">
        <f t="shared" ref="F259:AE259" ca="1" si="2243">+F56</f>
        <v>#NAME?</v>
      </c>
      <c r="G259" s="181" t="e">
        <f t="shared" ca="1" si="2243"/>
        <v>#NAME?</v>
      </c>
      <c r="H259" s="181" t="e">
        <f t="shared" ca="1" si="2243"/>
        <v>#NAME?</v>
      </c>
      <c r="I259" s="181" t="e">
        <f t="shared" ca="1" si="2243"/>
        <v>#NAME?</v>
      </c>
      <c r="J259" s="181" t="e">
        <f t="shared" ca="1" si="2243"/>
        <v>#NAME?</v>
      </c>
      <c r="K259" s="181" t="e">
        <f t="shared" ca="1" si="2243"/>
        <v>#NAME?</v>
      </c>
      <c r="L259" s="181" t="e">
        <f t="shared" ca="1" si="2243"/>
        <v>#NAME?</v>
      </c>
      <c r="M259" s="181" t="e">
        <f t="shared" ca="1" si="2243"/>
        <v>#NAME?</v>
      </c>
      <c r="N259" s="181" t="e">
        <f t="shared" ca="1" si="2243"/>
        <v>#NAME?</v>
      </c>
      <c r="O259" s="181" t="e">
        <f t="shared" ca="1" si="2243"/>
        <v>#NAME?</v>
      </c>
      <c r="P259" s="181" t="e">
        <f t="shared" ca="1" si="2243"/>
        <v>#NAME?</v>
      </c>
      <c r="Q259" s="181" t="e">
        <f t="shared" ca="1" si="2243"/>
        <v>#NAME?</v>
      </c>
      <c r="R259" s="181" t="e">
        <f t="shared" ca="1" si="2243"/>
        <v>#NAME?</v>
      </c>
      <c r="S259" s="181" t="e">
        <f t="shared" ca="1" si="2243"/>
        <v>#NAME?</v>
      </c>
      <c r="T259" s="181" t="e">
        <f t="shared" ca="1" si="2243"/>
        <v>#NAME?</v>
      </c>
      <c r="U259" s="181" t="e">
        <f t="shared" ca="1" si="2243"/>
        <v>#NAME?</v>
      </c>
      <c r="V259" s="181" t="e">
        <f t="shared" ca="1" si="2243"/>
        <v>#NAME?</v>
      </c>
      <c r="W259" s="181" t="e">
        <f t="shared" ca="1" si="2243"/>
        <v>#NAME?</v>
      </c>
      <c r="X259" s="181" t="e">
        <f t="shared" ca="1" si="2243"/>
        <v>#NAME?</v>
      </c>
      <c r="Y259" s="181" t="e">
        <f t="shared" ca="1" si="2243"/>
        <v>#NAME?</v>
      </c>
      <c r="Z259" s="181" t="e">
        <f t="shared" ca="1" si="2243"/>
        <v>#NAME?</v>
      </c>
      <c r="AA259" s="181" t="e">
        <f t="shared" ref="AA259" ca="1" si="2244">+AA56</f>
        <v>#NAME?</v>
      </c>
      <c r="AB259" s="182" t="e">
        <f t="shared" ca="1" si="2243"/>
        <v>#NAME?</v>
      </c>
      <c r="AC259" s="182" t="e">
        <f t="shared" ca="1" si="2243"/>
        <v>#NAME?</v>
      </c>
      <c r="AD259" s="182" t="e">
        <f t="shared" ca="1" si="2243"/>
        <v>#NAME?</v>
      </c>
      <c r="AE259" s="182" t="e">
        <f t="shared" ca="1" si="2243"/>
        <v>#NAME?</v>
      </c>
      <c r="AL259" s="181" t="e">
        <f t="shared" ref="AL259:CW259" ca="1" si="2245">+AL56</f>
        <v>#NAME?</v>
      </c>
      <c r="AM259" s="181" t="e">
        <f t="shared" ca="1" si="2245"/>
        <v>#NAME?</v>
      </c>
      <c r="AN259" s="181" t="e">
        <f t="shared" ca="1" si="2245"/>
        <v>#NAME?</v>
      </c>
      <c r="AO259" s="181" t="e">
        <f t="shared" ca="1" si="2245"/>
        <v>#NAME?</v>
      </c>
      <c r="AP259" s="181" t="e">
        <f t="shared" ca="1" si="2245"/>
        <v>#NAME?</v>
      </c>
      <c r="AQ259" s="181" t="e">
        <f t="shared" ca="1" si="2245"/>
        <v>#NAME?</v>
      </c>
      <c r="AR259" s="181" t="e">
        <f t="shared" ca="1" si="2245"/>
        <v>#NAME?</v>
      </c>
      <c r="AS259" s="181" t="e">
        <f t="shared" ca="1" si="2245"/>
        <v>#NAME?</v>
      </c>
      <c r="AT259" s="181" t="e">
        <f t="shared" ca="1" si="2245"/>
        <v>#NAME?</v>
      </c>
      <c r="AU259" s="181" t="e">
        <f t="shared" ca="1" si="2245"/>
        <v>#NAME?</v>
      </c>
      <c r="AV259" s="181" t="e">
        <f t="shared" ca="1" si="2245"/>
        <v>#NAME?</v>
      </c>
      <c r="AW259" s="181" t="e">
        <f t="shared" ca="1" si="2245"/>
        <v>#NAME?</v>
      </c>
      <c r="AX259" s="181" t="e">
        <f t="shared" ca="1" si="2245"/>
        <v>#NAME?</v>
      </c>
      <c r="AY259" s="181" t="e">
        <f t="shared" ca="1" si="2245"/>
        <v>#NAME?</v>
      </c>
      <c r="AZ259" s="181" t="e">
        <f t="shared" ca="1" si="2245"/>
        <v>#NAME?</v>
      </c>
      <c r="BA259" s="181" t="e">
        <f t="shared" ca="1" si="2245"/>
        <v>#NAME?</v>
      </c>
      <c r="BB259" s="181" t="e">
        <f t="shared" ca="1" si="2245"/>
        <v>#NAME?</v>
      </c>
      <c r="BC259" s="181" t="e">
        <f t="shared" ca="1" si="2245"/>
        <v>#NAME?</v>
      </c>
      <c r="BD259" s="181" t="e">
        <f t="shared" ca="1" si="2245"/>
        <v>#NAME?</v>
      </c>
      <c r="BE259" s="181" t="e">
        <f t="shared" ca="1" si="2245"/>
        <v>#NAME?</v>
      </c>
      <c r="BF259" s="181" t="e">
        <f t="shared" ca="1" si="2245"/>
        <v>#NAME?</v>
      </c>
      <c r="BG259" s="181" t="e">
        <f t="shared" ca="1" si="2245"/>
        <v>#NAME?</v>
      </c>
      <c r="BH259" s="181" t="e">
        <f t="shared" ca="1" si="2245"/>
        <v>#NAME?</v>
      </c>
      <c r="BI259" s="181" t="e">
        <f t="shared" ca="1" si="2245"/>
        <v>#NAME?</v>
      </c>
      <c r="BJ259" s="181" t="e">
        <f t="shared" ca="1" si="2245"/>
        <v>#NAME?</v>
      </c>
      <c r="BK259" s="181" t="e">
        <f t="shared" ca="1" si="2245"/>
        <v>#NAME?</v>
      </c>
      <c r="BL259" s="181" t="e">
        <f t="shared" ca="1" si="2245"/>
        <v>#NAME?</v>
      </c>
      <c r="BM259" s="181" t="e">
        <f t="shared" ca="1" si="2245"/>
        <v>#NAME?</v>
      </c>
      <c r="BN259" s="181" t="e">
        <f t="shared" ca="1" si="2245"/>
        <v>#NAME?</v>
      </c>
      <c r="BO259" s="181" t="e">
        <f t="shared" ca="1" si="2245"/>
        <v>#NAME?</v>
      </c>
      <c r="BP259" s="181" t="e">
        <f t="shared" ca="1" si="2245"/>
        <v>#NAME?</v>
      </c>
      <c r="BQ259" s="181" t="e">
        <f t="shared" ca="1" si="2245"/>
        <v>#NAME?</v>
      </c>
      <c r="BR259" s="181" t="e">
        <f t="shared" ca="1" si="2245"/>
        <v>#NAME?</v>
      </c>
      <c r="BS259" s="181" t="e">
        <f t="shared" ca="1" si="2245"/>
        <v>#NAME?</v>
      </c>
      <c r="BT259" s="181" t="e">
        <f t="shared" ca="1" si="2245"/>
        <v>#NAME?</v>
      </c>
      <c r="BU259" s="181" t="e">
        <f t="shared" ca="1" si="2245"/>
        <v>#NAME?</v>
      </c>
      <c r="BV259" s="181" t="e">
        <f t="shared" ca="1" si="2245"/>
        <v>#NAME?</v>
      </c>
      <c r="BW259" s="181" t="e">
        <f t="shared" ca="1" si="2245"/>
        <v>#NAME?</v>
      </c>
      <c r="BX259" s="181" t="e">
        <f t="shared" ca="1" si="2245"/>
        <v>#NAME?</v>
      </c>
      <c r="BY259" s="181" t="e">
        <f t="shared" ca="1" si="2245"/>
        <v>#NAME?</v>
      </c>
      <c r="BZ259" s="181" t="e">
        <f t="shared" ca="1" si="2245"/>
        <v>#NAME?</v>
      </c>
      <c r="CA259" s="181" t="e">
        <f t="shared" ca="1" si="2245"/>
        <v>#NAME?</v>
      </c>
      <c r="CB259" s="181" t="e">
        <f t="shared" ca="1" si="2245"/>
        <v>#NAME?</v>
      </c>
      <c r="CC259" s="181" t="e">
        <f t="shared" ca="1" si="2245"/>
        <v>#NAME?</v>
      </c>
      <c r="CD259" s="181" t="e">
        <f t="shared" ca="1" si="2245"/>
        <v>#NAME?</v>
      </c>
      <c r="CE259" s="181" t="e">
        <f t="shared" ca="1" si="2245"/>
        <v>#NAME?</v>
      </c>
      <c r="CF259" s="181" t="e">
        <f t="shared" ca="1" si="2245"/>
        <v>#NAME?</v>
      </c>
      <c r="CG259" s="181" t="e">
        <f t="shared" ca="1" si="2245"/>
        <v>#NAME?</v>
      </c>
      <c r="CH259" s="181" t="e">
        <f t="shared" ca="1" si="2245"/>
        <v>#NAME?</v>
      </c>
      <c r="CI259" s="181" t="e">
        <f t="shared" ca="1" si="2245"/>
        <v>#NAME?</v>
      </c>
      <c r="CJ259" s="181" t="e">
        <f t="shared" ca="1" si="2245"/>
        <v>#NAME?</v>
      </c>
      <c r="CK259" s="181" t="e">
        <f t="shared" ca="1" si="2245"/>
        <v>#NAME?</v>
      </c>
      <c r="CL259" s="181" t="e">
        <f t="shared" ref="CL259" ca="1" si="2246">+CL56</f>
        <v>#NAME?</v>
      </c>
      <c r="CM259" s="182" t="e">
        <f t="shared" ca="1" si="2245"/>
        <v>#NAME?</v>
      </c>
      <c r="CN259" s="182" t="e">
        <f t="shared" ca="1" si="2245"/>
        <v>#NAME?</v>
      </c>
      <c r="CO259" s="182" t="e">
        <f t="shared" ca="1" si="2245"/>
        <v>#NAME?</v>
      </c>
      <c r="CP259" s="182" t="e">
        <f t="shared" ca="1" si="2245"/>
        <v>#NAME?</v>
      </c>
      <c r="CQ259" s="182" t="e">
        <f t="shared" ca="1" si="2245"/>
        <v>#NAME?</v>
      </c>
      <c r="CR259" s="182" t="e">
        <f t="shared" ca="1" si="2245"/>
        <v>#NAME?</v>
      </c>
      <c r="CS259" s="182" t="e">
        <f t="shared" ca="1" si="2245"/>
        <v>#NAME?</v>
      </c>
      <c r="CT259" s="182" t="e">
        <f t="shared" ca="1" si="2245"/>
        <v>#NAME?</v>
      </c>
      <c r="CU259" s="182" t="e">
        <f t="shared" ca="1" si="2245"/>
        <v>#NAME?</v>
      </c>
      <c r="CV259" s="182" t="e">
        <f t="shared" ca="1" si="2245"/>
        <v>#NAME?</v>
      </c>
      <c r="CW259" s="182" t="e">
        <f t="shared" ca="1" si="2245"/>
        <v>#NAME?</v>
      </c>
      <c r="CX259" s="182" t="e">
        <f t="shared" ref="CX259:DB259" ca="1" si="2247">+CX56</f>
        <v>#NAME?</v>
      </c>
      <c r="CY259" s="182" t="e">
        <f t="shared" ca="1" si="2247"/>
        <v>#NAME?</v>
      </c>
      <c r="CZ259" s="182" t="e">
        <f t="shared" ca="1" si="2247"/>
        <v>#NAME?</v>
      </c>
      <c r="DA259" s="182" t="e">
        <f t="shared" ca="1" si="2247"/>
        <v>#NAME?</v>
      </c>
      <c r="DB259" s="182" t="e">
        <f t="shared" ca="1" si="2247"/>
        <v>#NAME?</v>
      </c>
      <c r="DE259" s="138"/>
      <c r="DF259" s="84">
        <v>0.13868264680735115</v>
      </c>
    </row>
    <row r="260" spans="1:110" s="84" customFormat="1" x14ac:dyDescent="0.2">
      <c r="A260" s="84" t="s">
        <v>514</v>
      </c>
      <c r="E260" s="84" t="e">
        <f ca="1">(E175+E162+E152+E154)/E134</f>
        <v>#NAME?</v>
      </c>
      <c r="F260" s="84" t="e">
        <f t="shared" ref="F260:AE260" ca="1" si="2248">(F175+F162+F152+F154)/F134</f>
        <v>#NAME?</v>
      </c>
      <c r="G260" s="84" t="e">
        <f t="shared" ca="1" si="2248"/>
        <v>#NAME?</v>
      </c>
      <c r="H260" s="84" t="e">
        <f t="shared" ca="1" si="2248"/>
        <v>#NAME?</v>
      </c>
      <c r="I260" s="84" t="e">
        <f t="shared" ca="1" si="2248"/>
        <v>#NAME?</v>
      </c>
      <c r="J260" s="84" t="e">
        <f t="shared" ca="1" si="2248"/>
        <v>#NAME?</v>
      </c>
      <c r="K260" s="84" t="e">
        <f t="shared" ca="1" si="2248"/>
        <v>#NAME?</v>
      </c>
      <c r="L260" s="84" t="e">
        <f t="shared" ca="1" si="2248"/>
        <v>#NAME?</v>
      </c>
      <c r="M260" s="84" t="e">
        <f t="shared" ca="1" si="2248"/>
        <v>#NAME?</v>
      </c>
      <c r="N260" s="84" t="e">
        <f t="shared" ca="1" si="2248"/>
        <v>#NAME?</v>
      </c>
      <c r="O260" s="84" t="e">
        <f t="shared" ca="1" si="2248"/>
        <v>#NAME?</v>
      </c>
      <c r="P260" s="84" t="e">
        <f t="shared" ca="1" si="2248"/>
        <v>#NAME?</v>
      </c>
      <c r="Q260" s="84" t="e">
        <f t="shared" ca="1" si="2248"/>
        <v>#NAME?</v>
      </c>
      <c r="R260" s="84" t="e">
        <f t="shared" ca="1" si="2248"/>
        <v>#NAME?</v>
      </c>
      <c r="S260" s="84" t="e">
        <f t="shared" ca="1" si="2248"/>
        <v>#NAME?</v>
      </c>
      <c r="T260" s="84" t="e">
        <f t="shared" ca="1" si="2248"/>
        <v>#NAME?</v>
      </c>
      <c r="U260" s="84" t="e">
        <f t="shared" ca="1" si="2248"/>
        <v>#NAME?</v>
      </c>
      <c r="V260" s="84" t="e">
        <f t="shared" ca="1" si="2248"/>
        <v>#NAME?</v>
      </c>
      <c r="W260" s="84" t="e">
        <f t="shared" ca="1" si="2248"/>
        <v>#NAME?</v>
      </c>
      <c r="X260" s="84" t="e">
        <f t="shared" ca="1" si="2248"/>
        <v>#NAME?</v>
      </c>
      <c r="Y260" s="84" t="e">
        <f t="shared" ca="1" si="2248"/>
        <v>#NAME?</v>
      </c>
      <c r="Z260" s="84" t="e">
        <f t="shared" ca="1" si="2248"/>
        <v>#NAME?</v>
      </c>
      <c r="AA260" s="84" t="e">
        <f t="shared" ref="AA260" ca="1" si="2249">(AA175+AA162+AA152+AA154)/AA134</f>
        <v>#NAME?</v>
      </c>
      <c r="AB260" s="50" t="e">
        <f t="shared" ca="1" si="2248"/>
        <v>#NAME?</v>
      </c>
      <c r="AC260" s="50" t="e">
        <f t="shared" ca="1" si="2248"/>
        <v>#NAME?</v>
      </c>
      <c r="AD260" s="50" t="e">
        <f t="shared" ca="1" si="2248"/>
        <v>#NAME?</v>
      </c>
      <c r="AE260" s="50" t="e">
        <f t="shared" ca="1" si="2248"/>
        <v>#NAME?</v>
      </c>
      <c r="AL260" s="84" t="e">
        <f t="shared" ref="AL260:CW260" ca="1" si="2250">(AL175+AL162+AL152+AL154)/AL134</f>
        <v>#NAME?</v>
      </c>
      <c r="AM260" s="84" t="e">
        <f t="shared" ca="1" si="2250"/>
        <v>#NAME?</v>
      </c>
      <c r="AN260" s="84" t="e">
        <f t="shared" ca="1" si="2250"/>
        <v>#NAME?</v>
      </c>
      <c r="AO260" s="84" t="e">
        <f t="shared" ca="1" si="2250"/>
        <v>#NAME?</v>
      </c>
      <c r="AP260" s="84" t="e">
        <f t="shared" ca="1" si="2250"/>
        <v>#NAME?</v>
      </c>
      <c r="AQ260" s="84" t="e">
        <f t="shared" ca="1" si="2250"/>
        <v>#NAME?</v>
      </c>
      <c r="AR260" s="84" t="e">
        <f t="shared" ca="1" si="2250"/>
        <v>#NAME?</v>
      </c>
      <c r="AS260" s="84" t="e">
        <f t="shared" ca="1" si="2250"/>
        <v>#NAME?</v>
      </c>
      <c r="AT260" s="84" t="e">
        <f t="shared" ca="1" si="2250"/>
        <v>#NAME?</v>
      </c>
      <c r="AU260" s="84" t="e">
        <f t="shared" ca="1" si="2250"/>
        <v>#NAME?</v>
      </c>
      <c r="AV260" s="84" t="e">
        <f t="shared" ca="1" si="2250"/>
        <v>#NAME?</v>
      </c>
      <c r="AW260" s="84" t="e">
        <f t="shared" ca="1" si="2250"/>
        <v>#NAME?</v>
      </c>
      <c r="AX260" s="84" t="e">
        <f t="shared" ca="1" si="2250"/>
        <v>#NAME?</v>
      </c>
      <c r="AY260" s="84" t="e">
        <f t="shared" ca="1" si="2250"/>
        <v>#NAME?</v>
      </c>
      <c r="AZ260" s="84" t="e">
        <f t="shared" ca="1" si="2250"/>
        <v>#NAME?</v>
      </c>
      <c r="BA260" s="84" t="e">
        <f t="shared" ca="1" si="2250"/>
        <v>#NAME?</v>
      </c>
      <c r="BB260" s="84" t="e">
        <f t="shared" ca="1" si="2250"/>
        <v>#NAME?</v>
      </c>
      <c r="BC260" s="84" t="e">
        <f t="shared" ca="1" si="2250"/>
        <v>#NAME?</v>
      </c>
      <c r="BD260" s="84" t="e">
        <f t="shared" ca="1" si="2250"/>
        <v>#NAME?</v>
      </c>
      <c r="BE260" s="84" t="e">
        <f t="shared" ca="1" si="2250"/>
        <v>#NAME?</v>
      </c>
      <c r="BF260" s="84" t="e">
        <f t="shared" ca="1" si="2250"/>
        <v>#NAME?</v>
      </c>
      <c r="BG260" s="84" t="e">
        <f t="shared" ca="1" si="2250"/>
        <v>#NAME?</v>
      </c>
      <c r="BH260" s="84" t="e">
        <f t="shared" ca="1" si="2250"/>
        <v>#NAME?</v>
      </c>
      <c r="BI260" s="84" t="e">
        <f t="shared" ca="1" si="2250"/>
        <v>#NAME?</v>
      </c>
      <c r="BJ260" s="84" t="e">
        <f t="shared" ca="1" si="2250"/>
        <v>#NAME?</v>
      </c>
      <c r="BK260" s="84" t="e">
        <f t="shared" ca="1" si="2250"/>
        <v>#NAME?</v>
      </c>
      <c r="BL260" s="84" t="e">
        <f t="shared" ca="1" si="2250"/>
        <v>#NAME?</v>
      </c>
      <c r="BM260" s="84" t="e">
        <f t="shared" ca="1" si="2250"/>
        <v>#NAME?</v>
      </c>
      <c r="BN260" s="84" t="e">
        <f t="shared" ca="1" si="2250"/>
        <v>#NAME?</v>
      </c>
      <c r="BO260" s="84" t="e">
        <f t="shared" ca="1" si="2250"/>
        <v>#NAME?</v>
      </c>
      <c r="BP260" s="84" t="e">
        <f t="shared" ca="1" si="2250"/>
        <v>#NAME?</v>
      </c>
      <c r="BQ260" s="84" t="e">
        <f t="shared" ca="1" si="2250"/>
        <v>#NAME?</v>
      </c>
      <c r="BR260" s="84" t="e">
        <f t="shared" ca="1" si="2250"/>
        <v>#NAME?</v>
      </c>
      <c r="BS260" s="84" t="e">
        <f t="shared" ca="1" si="2250"/>
        <v>#NAME?</v>
      </c>
      <c r="BT260" s="84" t="e">
        <f t="shared" ca="1" si="2250"/>
        <v>#NAME?</v>
      </c>
      <c r="BU260" s="84" t="e">
        <f t="shared" ca="1" si="2250"/>
        <v>#NAME?</v>
      </c>
      <c r="BV260" s="84" t="e">
        <f t="shared" ca="1" si="2250"/>
        <v>#NAME?</v>
      </c>
      <c r="BW260" s="84" t="e">
        <f t="shared" ca="1" si="2250"/>
        <v>#NAME?</v>
      </c>
      <c r="BX260" s="84" t="e">
        <f t="shared" ca="1" si="2250"/>
        <v>#NAME?</v>
      </c>
      <c r="BY260" s="84" t="e">
        <f t="shared" ca="1" si="2250"/>
        <v>#NAME?</v>
      </c>
      <c r="BZ260" s="84" t="e">
        <f t="shared" ca="1" si="2250"/>
        <v>#NAME?</v>
      </c>
      <c r="CA260" s="84" t="e">
        <f t="shared" ca="1" si="2250"/>
        <v>#NAME?</v>
      </c>
      <c r="CB260" s="84" t="e">
        <f t="shared" ca="1" si="2250"/>
        <v>#NAME?</v>
      </c>
      <c r="CC260" s="84" t="e">
        <f t="shared" ca="1" si="2250"/>
        <v>#NAME?</v>
      </c>
      <c r="CD260" s="84" t="e">
        <f t="shared" ca="1" si="2250"/>
        <v>#NAME?</v>
      </c>
      <c r="CE260" s="84" t="e">
        <f t="shared" ca="1" si="2250"/>
        <v>#NAME?</v>
      </c>
      <c r="CF260" s="84" t="e">
        <f t="shared" ca="1" si="2250"/>
        <v>#NAME?</v>
      </c>
      <c r="CG260" s="84" t="e">
        <f t="shared" ca="1" si="2250"/>
        <v>#NAME?</v>
      </c>
      <c r="CH260" s="84" t="e">
        <f t="shared" ca="1" si="2250"/>
        <v>#NAME?</v>
      </c>
      <c r="CI260" s="84" t="e">
        <f t="shared" ca="1" si="2250"/>
        <v>#NAME?</v>
      </c>
      <c r="CJ260" s="84" t="e">
        <f t="shared" ca="1" si="2250"/>
        <v>#NAME?</v>
      </c>
      <c r="CK260" s="84" t="e">
        <f t="shared" ca="1" si="2250"/>
        <v>#NAME?</v>
      </c>
      <c r="CL260" s="84" t="e">
        <f t="shared" ref="CL260" ca="1" si="2251">(CL175+CL162+CL152+CL154)/CL134</f>
        <v>#NAME?</v>
      </c>
      <c r="CM260" s="50" t="e">
        <f t="shared" ca="1" si="2250"/>
        <v>#NAME?</v>
      </c>
      <c r="CN260" s="50" t="e">
        <f t="shared" ca="1" si="2250"/>
        <v>#NAME?</v>
      </c>
      <c r="CO260" s="50" t="e">
        <f t="shared" ca="1" si="2250"/>
        <v>#NAME?</v>
      </c>
      <c r="CP260" s="50" t="e">
        <f t="shared" ca="1" si="2250"/>
        <v>#NAME?</v>
      </c>
      <c r="CQ260" s="50" t="e">
        <f t="shared" ca="1" si="2250"/>
        <v>#NAME?</v>
      </c>
      <c r="CR260" s="50" t="e">
        <f t="shared" ca="1" si="2250"/>
        <v>#NAME?</v>
      </c>
      <c r="CS260" s="50" t="e">
        <f t="shared" ca="1" si="2250"/>
        <v>#NAME?</v>
      </c>
      <c r="CT260" s="50" t="e">
        <f t="shared" ca="1" si="2250"/>
        <v>#NAME?</v>
      </c>
      <c r="CU260" s="50" t="e">
        <f t="shared" ca="1" si="2250"/>
        <v>#NAME?</v>
      </c>
      <c r="CV260" s="50" t="e">
        <f t="shared" ca="1" si="2250"/>
        <v>#NAME?</v>
      </c>
      <c r="CW260" s="50" t="e">
        <f t="shared" ca="1" si="2250"/>
        <v>#NAME?</v>
      </c>
      <c r="CX260" s="50" t="e">
        <f t="shared" ref="CX260:DB260" ca="1" si="2252">(CX175+CX162+CX152+CX154)/CX134</f>
        <v>#NAME?</v>
      </c>
      <c r="CY260" s="50" t="e">
        <f t="shared" ca="1" si="2252"/>
        <v>#NAME?</v>
      </c>
      <c r="CZ260" s="50" t="e">
        <f t="shared" ca="1" si="2252"/>
        <v>#NAME?</v>
      </c>
      <c r="DA260" s="50" t="e">
        <f t="shared" ca="1" si="2252"/>
        <v>#NAME?</v>
      </c>
      <c r="DB260" s="50" t="e">
        <f t="shared" ca="1" si="2252"/>
        <v>#NAME?</v>
      </c>
      <c r="DE260" s="138"/>
      <c r="DF260" s="84">
        <v>5.2660687515808942</v>
      </c>
    </row>
    <row r="261" spans="1:110" s="84" customFormat="1" x14ac:dyDescent="0.2">
      <c r="A261" s="154" t="s">
        <v>498</v>
      </c>
      <c r="AB261" s="50"/>
      <c r="AC261" s="50"/>
      <c r="AD261" s="50"/>
      <c r="AE261" s="50"/>
      <c r="CM261" s="50"/>
      <c r="CN261" s="50"/>
      <c r="CO261" s="50"/>
      <c r="CP261" s="50"/>
      <c r="CQ261" s="50"/>
      <c r="CR261" s="50"/>
      <c r="CS261" s="50"/>
      <c r="CT261" s="50"/>
      <c r="CU261" s="50"/>
      <c r="CV261" s="50"/>
      <c r="CW261" s="50"/>
      <c r="CX261" s="50"/>
      <c r="CY261" s="50"/>
      <c r="CZ261" s="50"/>
      <c r="DA261" s="50"/>
      <c r="DB261" s="50"/>
      <c r="DE261" s="138"/>
    </row>
    <row r="262" spans="1:110" s="88" customFormat="1" x14ac:dyDescent="0.2">
      <c r="A262" s="88" t="s">
        <v>102</v>
      </c>
      <c r="B262" s="88" t="e">
        <f t="shared" ref="B262:AE262" ca="1" si="2253">B175/B134</f>
        <v>#NAME?</v>
      </c>
      <c r="C262" s="88" t="e">
        <f t="shared" ca="1" si="2253"/>
        <v>#NAME?</v>
      </c>
      <c r="D262" s="88" t="e">
        <f t="shared" ca="1" si="2253"/>
        <v>#NAME?</v>
      </c>
      <c r="F262" s="88" t="e">
        <f t="shared" ca="1" si="2253"/>
        <v>#NAME?</v>
      </c>
      <c r="G262" s="88" t="e">
        <f t="shared" ca="1" si="2253"/>
        <v>#NAME?</v>
      </c>
      <c r="H262" s="88" t="e">
        <f t="shared" ca="1" si="2253"/>
        <v>#NAME?</v>
      </c>
      <c r="I262" s="88" t="e">
        <f t="shared" ca="1" si="2253"/>
        <v>#NAME?</v>
      </c>
      <c r="J262" s="88" t="e">
        <f t="shared" ca="1" si="2253"/>
        <v>#NAME?</v>
      </c>
      <c r="K262" s="88" t="e">
        <f t="shared" ca="1" si="2253"/>
        <v>#NAME?</v>
      </c>
      <c r="L262" s="88" t="e">
        <f t="shared" ca="1" si="2253"/>
        <v>#NAME?</v>
      </c>
      <c r="M262" s="88" t="e">
        <f t="shared" ca="1" si="2253"/>
        <v>#NAME?</v>
      </c>
      <c r="N262" s="88" t="e">
        <f t="shared" ca="1" si="2253"/>
        <v>#NAME?</v>
      </c>
      <c r="O262" s="88" t="e">
        <f t="shared" ca="1" si="2253"/>
        <v>#NAME?</v>
      </c>
      <c r="P262" s="88" t="e">
        <f t="shared" ca="1" si="2253"/>
        <v>#NAME?</v>
      </c>
      <c r="Q262" s="88" t="e">
        <f t="shared" ca="1" si="2253"/>
        <v>#NAME?</v>
      </c>
      <c r="R262" s="88" t="e">
        <f t="shared" ca="1" si="2253"/>
        <v>#NAME?</v>
      </c>
      <c r="S262" s="88" t="e">
        <f t="shared" ca="1" si="2253"/>
        <v>#NAME?</v>
      </c>
      <c r="T262" s="88" t="e">
        <f t="shared" ca="1" si="2253"/>
        <v>#NAME?</v>
      </c>
      <c r="U262" s="88" t="e">
        <f t="shared" ca="1" si="2253"/>
        <v>#NAME?</v>
      </c>
      <c r="V262" s="88" t="e">
        <f t="shared" ca="1" si="2253"/>
        <v>#NAME?</v>
      </c>
      <c r="W262" s="88" t="e">
        <f t="shared" ca="1" si="2253"/>
        <v>#NAME?</v>
      </c>
      <c r="X262" s="88" t="e">
        <f t="shared" ca="1" si="2253"/>
        <v>#NAME?</v>
      </c>
      <c r="Y262" s="88" t="e">
        <f t="shared" ca="1" si="2253"/>
        <v>#NAME?</v>
      </c>
      <c r="Z262" s="88" t="e">
        <f t="shared" ca="1" si="2253"/>
        <v>#NAME?</v>
      </c>
      <c r="AA262" s="88" t="e">
        <f t="shared" ref="AA262" ca="1" si="2254">AA175/AA134</f>
        <v>#NAME?</v>
      </c>
      <c r="AB262" s="42" t="e">
        <f t="shared" ca="1" si="2253"/>
        <v>#NAME?</v>
      </c>
      <c r="AC262" s="42" t="e">
        <f t="shared" ca="1" si="2253"/>
        <v>#NAME?</v>
      </c>
      <c r="AD262" s="42" t="e">
        <f t="shared" ca="1" si="2253"/>
        <v>#NAME?</v>
      </c>
      <c r="AE262" s="42" t="e">
        <f t="shared" ca="1" si="2253"/>
        <v>#NAME?</v>
      </c>
      <c r="AL262" s="88" t="e">
        <f t="shared" ref="AL262:CW262" ca="1" si="2255">AL175/AL134</f>
        <v>#NAME?</v>
      </c>
      <c r="AM262" s="88" t="e">
        <f t="shared" ca="1" si="2255"/>
        <v>#NAME?</v>
      </c>
      <c r="AN262" s="88" t="e">
        <f t="shared" ca="1" si="2255"/>
        <v>#NAME?</v>
      </c>
      <c r="AO262" s="88" t="e">
        <f t="shared" ca="1" si="2255"/>
        <v>#NAME?</v>
      </c>
      <c r="AP262" s="88" t="e">
        <f t="shared" ca="1" si="2255"/>
        <v>#NAME?</v>
      </c>
      <c r="AQ262" s="88" t="e">
        <f t="shared" ca="1" si="2255"/>
        <v>#NAME?</v>
      </c>
      <c r="AR262" s="88" t="e">
        <f t="shared" ca="1" si="2255"/>
        <v>#NAME?</v>
      </c>
      <c r="AS262" s="88" t="e">
        <f t="shared" ca="1" si="2255"/>
        <v>#NAME?</v>
      </c>
      <c r="AT262" s="88" t="e">
        <f t="shared" ca="1" si="2255"/>
        <v>#NAME?</v>
      </c>
      <c r="AU262" s="88" t="e">
        <f t="shared" ca="1" si="2255"/>
        <v>#NAME?</v>
      </c>
      <c r="AV262" s="88" t="e">
        <f t="shared" ca="1" si="2255"/>
        <v>#NAME?</v>
      </c>
      <c r="AW262" s="88" t="e">
        <f t="shared" ca="1" si="2255"/>
        <v>#NAME?</v>
      </c>
      <c r="AX262" s="88" t="e">
        <f t="shared" ca="1" si="2255"/>
        <v>#NAME?</v>
      </c>
      <c r="AY262" s="88" t="e">
        <f t="shared" ca="1" si="2255"/>
        <v>#NAME?</v>
      </c>
      <c r="AZ262" s="88" t="e">
        <f t="shared" ca="1" si="2255"/>
        <v>#NAME?</v>
      </c>
      <c r="BA262" s="88" t="e">
        <f t="shared" ca="1" si="2255"/>
        <v>#NAME?</v>
      </c>
      <c r="BB262" s="88" t="e">
        <f t="shared" ca="1" si="2255"/>
        <v>#NAME?</v>
      </c>
      <c r="BC262" s="88" t="e">
        <f t="shared" ca="1" si="2255"/>
        <v>#NAME?</v>
      </c>
      <c r="BD262" s="88" t="e">
        <f t="shared" ca="1" si="2255"/>
        <v>#NAME?</v>
      </c>
      <c r="BE262" s="88" t="e">
        <f t="shared" ca="1" si="2255"/>
        <v>#NAME?</v>
      </c>
      <c r="BF262" s="88" t="e">
        <f t="shared" ca="1" si="2255"/>
        <v>#NAME?</v>
      </c>
      <c r="BG262" s="88" t="e">
        <f t="shared" ca="1" si="2255"/>
        <v>#NAME?</v>
      </c>
      <c r="BH262" s="88" t="e">
        <f t="shared" ca="1" si="2255"/>
        <v>#NAME?</v>
      </c>
      <c r="BI262" s="88" t="e">
        <f t="shared" ca="1" si="2255"/>
        <v>#NAME?</v>
      </c>
      <c r="BJ262" s="88" t="e">
        <f t="shared" ca="1" si="2255"/>
        <v>#NAME?</v>
      </c>
      <c r="BK262" s="88" t="e">
        <f t="shared" ca="1" si="2255"/>
        <v>#NAME?</v>
      </c>
      <c r="BL262" s="88" t="e">
        <f t="shared" ca="1" si="2255"/>
        <v>#NAME?</v>
      </c>
      <c r="BM262" s="88" t="e">
        <f t="shared" ca="1" si="2255"/>
        <v>#NAME?</v>
      </c>
      <c r="BN262" s="88" t="e">
        <f t="shared" ca="1" si="2255"/>
        <v>#NAME?</v>
      </c>
      <c r="BO262" s="88" t="e">
        <f t="shared" ca="1" si="2255"/>
        <v>#NAME?</v>
      </c>
      <c r="BP262" s="88" t="e">
        <f t="shared" ca="1" si="2255"/>
        <v>#NAME?</v>
      </c>
      <c r="BQ262" s="88" t="e">
        <f t="shared" ca="1" si="2255"/>
        <v>#NAME?</v>
      </c>
      <c r="BR262" s="88" t="e">
        <f t="shared" ca="1" si="2255"/>
        <v>#NAME?</v>
      </c>
      <c r="BS262" s="88" t="e">
        <f t="shared" ca="1" si="2255"/>
        <v>#NAME?</v>
      </c>
      <c r="BT262" s="88" t="e">
        <f t="shared" ca="1" si="2255"/>
        <v>#NAME?</v>
      </c>
      <c r="BU262" s="88" t="e">
        <f t="shared" ca="1" si="2255"/>
        <v>#NAME?</v>
      </c>
      <c r="BV262" s="88" t="e">
        <f t="shared" ca="1" si="2255"/>
        <v>#NAME?</v>
      </c>
      <c r="BW262" s="88" t="e">
        <f t="shared" ca="1" si="2255"/>
        <v>#NAME?</v>
      </c>
      <c r="BX262" s="88" t="e">
        <f t="shared" ca="1" si="2255"/>
        <v>#NAME?</v>
      </c>
      <c r="BY262" s="88" t="e">
        <f t="shared" ca="1" si="2255"/>
        <v>#NAME?</v>
      </c>
      <c r="BZ262" s="88" t="e">
        <f t="shared" ca="1" si="2255"/>
        <v>#NAME?</v>
      </c>
      <c r="CA262" s="88" t="e">
        <f t="shared" ca="1" si="2255"/>
        <v>#NAME?</v>
      </c>
      <c r="CB262" s="88" t="e">
        <f t="shared" ca="1" si="2255"/>
        <v>#NAME?</v>
      </c>
      <c r="CC262" s="88" t="e">
        <f t="shared" ca="1" si="2255"/>
        <v>#NAME?</v>
      </c>
      <c r="CD262" s="88" t="e">
        <f t="shared" ca="1" si="2255"/>
        <v>#NAME?</v>
      </c>
      <c r="CE262" s="88" t="e">
        <f t="shared" ca="1" si="2255"/>
        <v>#NAME?</v>
      </c>
      <c r="CF262" s="88" t="e">
        <f t="shared" ca="1" si="2255"/>
        <v>#NAME?</v>
      </c>
      <c r="CG262" s="88" t="e">
        <f t="shared" ca="1" si="2255"/>
        <v>#NAME?</v>
      </c>
      <c r="CH262" s="88" t="e">
        <f t="shared" ca="1" si="2255"/>
        <v>#NAME?</v>
      </c>
      <c r="CI262" s="88" t="e">
        <f t="shared" ca="1" si="2255"/>
        <v>#NAME?</v>
      </c>
      <c r="CJ262" s="88" t="e">
        <f t="shared" ca="1" si="2255"/>
        <v>#NAME?</v>
      </c>
      <c r="CK262" s="88" t="e">
        <f t="shared" ca="1" si="2255"/>
        <v>#NAME?</v>
      </c>
      <c r="CL262" s="88" t="e">
        <f t="shared" ref="CL262" ca="1" si="2256">CL175/CL134</f>
        <v>#NAME?</v>
      </c>
      <c r="CM262" s="42" t="e">
        <f t="shared" ca="1" si="2255"/>
        <v>#NAME?</v>
      </c>
      <c r="CN262" s="42" t="e">
        <f t="shared" ca="1" si="2255"/>
        <v>#NAME?</v>
      </c>
      <c r="CO262" s="42" t="e">
        <f t="shared" ca="1" si="2255"/>
        <v>#NAME?</v>
      </c>
      <c r="CP262" s="42" t="e">
        <f t="shared" ca="1" si="2255"/>
        <v>#NAME?</v>
      </c>
      <c r="CQ262" s="42" t="e">
        <f t="shared" ca="1" si="2255"/>
        <v>#NAME?</v>
      </c>
      <c r="CR262" s="42" t="e">
        <f t="shared" ca="1" si="2255"/>
        <v>#NAME?</v>
      </c>
      <c r="CS262" s="42" t="e">
        <f t="shared" ca="1" si="2255"/>
        <v>#NAME?</v>
      </c>
      <c r="CT262" s="42" t="e">
        <f t="shared" ca="1" si="2255"/>
        <v>#NAME?</v>
      </c>
      <c r="CU262" s="42" t="e">
        <f t="shared" ca="1" si="2255"/>
        <v>#NAME?</v>
      </c>
      <c r="CV262" s="42" t="e">
        <f t="shared" ca="1" si="2255"/>
        <v>#NAME?</v>
      </c>
      <c r="CW262" s="42" t="e">
        <f t="shared" ca="1" si="2255"/>
        <v>#NAME?</v>
      </c>
      <c r="CX262" s="42" t="e">
        <f t="shared" ref="CX262:DB262" ca="1" si="2257">CX175/CX134</f>
        <v>#NAME?</v>
      </c>
      <c r="CY262" s="42" t="e">
        <f t="shared" ca="1" si="2257"/>
        <v>#NAME?</v>
      </c>
      <c r="CZ262" s="42" t="e">
        <f t="shared" ca="1" si="2257"/>
        <v>#NAME?</v>
      </c>
      <c r="DA262" s="42" t="e">
        <f t="shared" ca="1" si="2257"/>
        <v>#NAME?</v>
      </c>
      <c r="DB262" s="42" t="e">
        <f t="shared" ca="1" si="2257"/>
        <v>#NAME?</v>
      </c>
      <c r="DE262" s="125"/>
      <c r="DF262" s="88">
        <v>2.6561263795972043</v>
      </c>
    </row>
    <row r="263" spans="1:110" s="89" customFormat="1" x14ac:dyDescent="0.2">
      <c r="A263" s="89" t="s">
        <v>103</v>
      </c>
      <c r="C263" s="89" t="e">
        <f t="shared" ref="C263:AE263" ca="1" si="2258">C142/B142-1</f>
        <v>#NAME?</v>
      </c>
      <c r="D263" s="89" t="e">
        <f t="shared" ca="1" si="2258"/>
        <v>#NAME?</v>
      </c>
      <c r="F263" s="89" t="e">
        <f t="shared" ca="1" si="2258"/>
        <v>#NAME?</v>
      </c>
      <c r="G263" s="89" t="e">
        <f t="shared" ca="1" si="2258"/>
        <v>#NAME?</v>
      </c>
      <c r="H263" s="89" t="e">
        <f t="shared" ca="1" si="2258"/>
        <v>#NAME?</v>
      </c>
      <c r="I263" s="89" t="e">
        <f t="shared" ca="1" si="2258"/>
        <v>#NAME?</v>
      </c>
      <c r="J263" s="89" t="e">
        <f t="shared" ca="1" si="2258"/>
        <v>#NAME?</v>
      </c>
      <c r="K263" s="89" t="e">
        <f ca="1">K142/J142-1</f>
        <v>#NAME?</v>
      </c>
      <c r="L263" s="89" t="e">
        <f t="shared" ca="1" si="2258"/>
        <v>#NAME?</v>
      </c>
      <c r="M263" s="89" t="e">
        <f t="shared" ca="1" si="2258"/>
        <v>#NAME?</v>
      </c>
      <c r="N263" s="89" t="e">
        <f t="shared" ca="1" si="2258"/>
        <v>#NAME?</v>
      </c>
      <c r="O263" s="89" t="e">
        <f t="shared" ca="1" si="2258"/>
        <v>#NAME?</v>
      </c>
      <c r="P263" s="89" t="e">
        <f t="shared" ca="1" si="2258"/>
        <v>#NAME?</v>
      </c>
      <c r="Q263" s="89" t="e">
        <f t="shared" ca="1" si="2258"/>
        <v>#NAME?</v>
      </c>
      <c r="R263" s="89" t="e">
        <f t="shared" ca="1" si="2258"/>
        <v>#NAME?</v>
      </c>
      <c r="S263" s="89" t="e">
        <f t="shared" ca="1" si="2258"/>
        <v>#NAME?</v>
      </c>
      <c r="T263" s="89" t="e">
        <f t="shared" ca="1" si="2258"/>
        <v>#NAME?</v>
      </c>
      <c r="U263" s="89" t="e">
        <f t="shared" ca="1" si="2258"/>
        <v>#NAME?</v>
      </c>
      <c r="V263" s="89" t="e">
        <f t="shared" ca="1" si="2258"/>
        <v>#NAME?</v>
      </c>
      <c r="W263" s="89" t="e">
        <f t="shared" ca="1" si="2258"/>
        <v>#NAME?</v>
      </c>
      <c r="X263" s="89" t="e">
        <f t="shared" ca="1" si="2258"/>
        <v>#NAME?</v>
      </c>
      <c r="Y263" s="89" t="e">
        <f t="shared" ca="1" si="2258"/>
        <v>#NAME?</v>
      </c>
      <c r="Z263" s="89" t="e">
        <f t="shared" ca="1" si="2258"/>
        <v>#NAME?</v>
      </c>
      <c r="AA263" s="89" t="e">
        <f t="shared" ca="1" si="2258"/>
        <v>#NAME?</v>
      </c>
      <c r="AB263" s="47" t="e">
        <f t="shared" ca="1" si="2258"/>
        <v>#NAME?</v>
      </c>
      <c r="AC263" s="47" t="e">
        <f t="shared" ca="1" si="2258"/>
        <v>#NAME?</v>
      </c>
      <c r="AD263" s="47" t="e">
        <f t="shared" ca="1" si="2258"/>
        <v>#NAME?</v>
      </c>
      <c r="AE263" s="47" t="e">
        <f t="shared" ca="1" si="2258"/>
        <v>#NAME?</v>
      </c>
      <c r="AL263" s="89" t="e">
        <f t="shared" ref="AL263:CW263" ca="1" si="2259">AL142/AK142-1</f>
        <v>#NAME?</v>
      </c>
      <c r="AM263" s="89" t="e">
        <f t="shared" ca="1" si="2259"/>
        <v>#NAME?</v>
      </c>
      <c r="AN263" s="89" t="e">
        <f t="shared" ca="1" si="2259"/>
        <v>#NAME?</v>
      </c>
      <c r="AO263" s="89" t="e">
        <f t="shared" ca="1" si="2259"/>
        <v>#NAME?</v>
      </c>
      <c r="AP263" s="89" t="e">
        <f t="shared" ca="1" si="2259"/>
        <v>#NAME?</v>
      </c>
      <c r="AQ263" s="89" t="e">
        <f t="shared" ca="1" si="2259"/>
        <v>#NAME?</v>
      </c>
      <c r="AR263" s="89" t="e">
        <f t="shared" ca="1" si="2259"/>
        <v>#NAME?</v>
      </c>
      <c r="AS263" s="89" t="e">
        <f t="shared" ca="1" si="2259"/>
        <v>#NAME?</v>
      </c>
      <c r="AT263" s="89" t="e">
        <f t="shared" ca="1" si="2259"/>
        <v>#NAME?</v>
      </c>
      <c r="AU263" s="89" t="e">
        <f t="shared" ca="1" si="2259"/>
        <v>#NAME?</v>
      </c>
      <c r="AV263" s="89" t="e">
        <f t="shared" ca="1" si="2259"/>
        <v>#NAME?</v>
      </c>
      <c r="AW263" s="89" t="e">
        <f t="shared" ca="1" si="2259"/>
        <v>#NAME?</v>
      </c>
      <c r="AX263" s="89" t="e">
        <f t="shared" ca="1" si="2259"/>
        <v>#NAME?</v>
      </c>
      <c r="AY263" s="89" t="e">
        <f t="shared" ca="1" si="2259"/>
        <v>#NAME?</v>
      </c>
      <c r="AZ263" s="89" t="e">
        <f t="shared" ca="1" si="2259"/>
        <v>#NAME?</v>
      </c>
      <c r="BA263" s="89" t="e">
        <f t="shared" ca="1" si="2259"/>
        <v>#NAME?</v>
      </c>
      <c r="BB263" s="89" t="e">
        <f t="shared" ca="1" si="2259"/>
        <v>#NAME?</v>
      </c>
      <c r="BC263" s="89" t="e">
        <f t="shared" ca="1" si="2259"/>
        <v>#NAME?</v>
      </c>
      <c r="BD263" s="89" t="e">
        <f t="shared" ca="1" si="2259"/>
        <v>#NAME?</v>
      </c>
      <c r="BE263" s="89" t="e">
        <f t="shared" ca="1" si="2259"/>
        <v>#NAME?</v>
      </c>
      <c r="BF263" s="89" t="e">
        <f t="shared" ca="1" si="2259"/>
        <v>#NAME?</v>
      </c>
      <c r="BG263" s="89" t="e">
        <f t="shared" ca="1" si="2259"/>
        <v>#NAME?</v>
      </c>
      <c r="BH263" s="89" t="e">
        <f t="shared" ca="1" si="2259"/>
        <v>#NAME?</v>
      </c>
      <c r="BI263" s="89" t="e">
        <f t="shared" ca="1" si="2259"/>
        <v>#NAME?</v>
      </c>
      <c r="BJ263" s="89" t="e">
        <f t="shared" ca="1" si="2259"/>
        <v>#NAME?</v>
      </c>
      <c r="BK263" s="89" t="e">
        <f t="shared" ca="1" si="2259"/>
        <v>#NAME?</v>
      </c>
      <c r="BL263" s="89" t="e">
        <f t="shared" ca="1" si="2259"/>
        <v>#NAME?</v>
      </c>
      <c r="BM263" s="89" t="e">
        <f t="shared" ca="1" si="2259"/>
        <v>#NAME?</v>
      </c>
      <c r="BN263" s="89" t="e">
        <f t="shared" ca="1" si="2259"/>
        <v>#NAME?</v>
      </c>
      <c r="BO263" s="89" t="e">
        <f t="shared" ca="1" si="2259"/>
        <v>#NAME?</v>
      </c>
      <c r="BP263" s="89" t="e">
        <f t="shared" ca="1" si="2259"/>
        <v>#NAME?</v>
      </c>
      <c r="BQ263" s="89" t="e">
        <f t="shared" ca="1" si="2259"/>
        <v>#NAME?</v>
      </c>
      <c r="BR263" s="89" t="e">
        <f t="shared" ca="1" si="2259"/>
        <v>#NAME?</v>
      </c>
      <c r="BS263" s="89" t="e">
        <f t="shared" ca="1" si="2259"/>
        <v>#NAME?</v>
      </c>
      <c r="BT263" s="89" t="e">
        <f t="shared" ca="1" si="2259"/>
        <v>#NAME?</v>
      </c>
      <c r="BU263" s="89" t="e">
        <f t="shared" ca="1" si="2259"/>
        <v>#NAME?</v>
      </c>
      <c r="BV263" s="89" t="e">
        <f t="shared" ca="1" si="2259"/>
        <v>#NAME?</v>
      </c>
      <c r="BW263" s="89" t="e">
        <f t="shared" ca="1" si="2259"/>
        <v>#NAME?</v>
      </c>
      <c r="BX263" s="89" t="e">
        <f t="shared" ca="1" si="2259"/>
        <v>#NAME?</v>
      </c>
      <c r="BY263" s="89" t="e">
        <f t="shared" ca="1" si="2259"/>
        <v>#NAME?</v>
      </c>
      <c r="BZ263" s="89" t="e">
        <f t="shared" ca="1" si="2259"/>
        <v>#NAME?</v>
      </c>
      <c r="CA263" s="89" t="e">
        <f t="shared" ca="1" si="2259"/>
        <v>#NAME?</v>
      </c>
      <c r="CB263" s="89" t="e">
        <f t="shared" ca="1" si="2259"/>
        <v>#NAME?</v>
      </c>
      <c r="CC263" s="89" t="e">
        <f t="shared" ca="1" si="2259"/>
        <v>#NAME?</v>
      </c>
      <c r="CD263" s="89" t="e">
        <f t="shared" ca="1" si="2259"/>
        <v>#NAME?</v>
      </c>
      <c r="CE263" s="89" t="e">
        <f t="shared" ca="1" si="2259"/>
        <v>#NAME?</v>
      </c>
      <c r="CF263" s="89" t="e">
        <f t="shared" ca="1" si="2259"/>
        <v>#NAME?</v>
      </c>
      <c r="CG263" s="89" t="e">
        <f t="shared" ca="1" si="2259"/>
        <v>#NAME?</v>
      </c>
      <c r="CH263" s="89" t="e">
        <f t="shared" ca="1" si="2259"/>
        <v>#NAME?</v>
      </c>
      <c r="CI263" s="89" t="e">
        <f t="shared" ca="1" si="2259"/>
        <v>#NAME?</v>
      </c>
      <c r="CJ263" s="89" t="e">
        <f t="shared" ca="1" si="2259"/>
        <v>#NAME?</v>
      </c>
      <c r="CK263" s="89" t="e">
        <f t="shared" ca="1" si="2259"/>
        <v>#NAME?</v>
      </c>
      <c r="CL263" s="89" t="e">
        <f t="shared" ca="1" si="2259"/>
        <v>#NAME?</v>
      </c>
      <c r="CM263" s="47" t="e">
        <f t="shared" ca="1" si="2259"/>
        <v>#NAME?</v>
      </c>
      <c r="CN263" s="47" t="e">
        <f t="shared" ca="1" si="2259"/>
        <v>#NAME?</v>
      </c>
      <c r="CO263" s="47" t="e">
        <f t="shared" ca="1" si="2259"/>
        <v>#NAME?</v>
      </c>
      <c r="CP263" s="47" t="e">
        <f t="shared" ca="1" si="2259"/>
        <v>#NAME?</v>
      </c>
      <c r="CQ263" s="47" t="e">
        <f t="shared" ca="1" si="2259"/>
        <v>#NAME?</v>
      </c>
      <c r="CR263" s="47" t="e">
        <f t="shared" ca="1" si="2259"/>
        <v>#NAME?</v>
      </c>
      <c r="CS263" s="47" t="e">
        <f t="shared" ca="1" si="2259"/>
        <v>#NAME?</v>
      </c>
      <c r="CT263" s="47" t="e">
        <f t="shared" ca="1" si="2259"/>
        <v>#NAME?</v>
      </c>
      <c r="CU263" s="47" t="e">
        <f t="shared" ca="1" si="2259"/>
        <v>#NAME?</v>
      </c>
      <c r="CV263" s="47" t="e">
        <f t="shared" ca="1" si="2259"/>
        <v>#NAME?</v>
      </c>
      <c r="CW263" s="47" t="e">
        <f t="shared" ca="1" si="2259"/>
        <v>#NAME?</v>
      </c>
      <c r="CX263" s="47" t="e">
        <f t="shared" ref="CX263:DB263" ca="1" si="2260">CX142/CW142-1</f>
        <v>#NAME?</v>
      </c>
      <c r="CY263" s="47" t="e">
        <f t="shared" ca="1" si="2260"/>
        <v>#NAME?</v>
      </c>
      <c r="CZ263" s="47" t="e">
        <f t="shared" ca="1" si="2260"/>
        <v>#NAME?</v>
      </c>
      <c r="DA263" s="47" t="e">
        <f t="shared" ca="1" si="2260"/>
        <v>#NAME?</v>
      </c>
      <c r="DB263" s="47" t="e">
        <f t="shared" ca="1" si="2260"/>
        <v>#NAME?</v>
      </c>
      <c r="DE263" s="130"/>
      <c r="DF263" s="89">
        <v>-9.0951355797967093E-2</v>
      </c>
    </row>
    <row r="264" spans="1:110" s="89" customFormat="1" x14ac:dyDescent="0.2">
      <c r="A264" s="89" t="s">
        <v>104</v>
      </c>
      <c r="C264" s="89" t="e">
        <f ca="1">C42/B42-1</f>
        <v>#NAME?</v>
      </c>
      <c r="D264" s="89" t="e">
        <f ca="1">D42/C42-1</f>
        <v>#NAME?</v>
      </c>
      <c r="F264" s="89" t="e">
        <f t="shared" ref="F264:AE264" ca="1" si="2261">F42/E42-1</f>
        <v>#NAME?</v>
      </c>
      <c r="G264" s="89" t="e">
        <f t="shared" ca="1" si="2261"/>
        <v>#NAME?</v>
      </c>
      <c r="H264" s="89" t="e">
        <f t="shared" ca="1" si="2261"/>
        <v>#NAME?</v>
      </c>
      <c r="I264" s="89" t="e">
        <f t="shared" ca="1" si="2261"/>
        <v>#NAME?</v>
      </c>
      <c r="J264" s="89" t="e">
        <f t="shared" ca="1" si="2261"/>
        <v>#NAME?</v>
      </c>
      <c r="K264" s="89" t="e">
        <f t="shared" ca="1" si="2261"/>
        <v>#NAME?</v>
      </c>
      <c r="L264" s="89" t="e">
        <f t="shared" ca="1" si="2261"/>
        <v>#NAME?</v>
      </c>
      <c r="M264" s="89" t="e">
        <f t="shared" ca="1" si="2261"/>
        <v>#NAME?</v>
      </c>
      <c r="N264" s="89" t="e">
        <f t="shared" ca="1" si="2261"/>
        <v>#NAME?</v>
      </c>
      <c r="O264" s="89" t="e">
        <f t="shared" ca="1" si="2261"/>
        <v>#NAME?</v>
      </c>
      <c r="P264" s="89" t="e">
        <f t="shared" ca="1" si="2261"/>
        <v>#NAME?</v>
      </c>
      <c r="Q264" s="89" t="e">
        <f t="shared" ca="1" si="2261"/>
        <v>#NAME?</v>
      </c>
      <c r="R264" s="89" t="e">
        <f t="shared" ca="1" si="2261"/>
        <v>#NAME?</v>
      </c>
      <c r="S264" s="89" t="e">
        <f t="shared" ca="1" si="2261"/>
        <v>#NAME?</v>
      </c>
      <c r="T264" s="89" t="e">
        <f t="shared" ca="1" si="2261"/>
        <v>#NAME?</v>
      </c>
      <c r="U264" s="89" t="e">
        <f t="shared" ca="1" si="2261"/>
        <v>#NAME?</v>
      </c>
      <c r="V264" s="89" t="e">
        <f t="shared" ca="1" si="2261"/>
        <v>#NAME?</v>
      </c>
      <c r="W264" s="89" t="e">
        <f t="shared" ca="1" si="2261"/>
        <v>#NAME?</v>
      </c>
      <c r="X264" s="89" t="e">
        <f t="shared" ca="1" si="2261"/>
        <v>#NAME?</v>
      </c>
      <c r="Y264" s="89" t="e">
        <f t="shared" ca="1" si="2261"/>
        <v>#NAME?</v>
      </c>
      <c r="Z264" s="89" t="e">
        <f t="shared" ca="1" si="2261"/>
        <v>#NAME?</v>
      </c>
      <c r="AA264" s="89" t="e">
        <f t="shared" ca="1" si="2261"/>
        <v>#NAME?</v>
      </c>
      <c r="AB264" s="47" t="e">
        <f t="shared" ca="1" si="2261"/>
        <v>#NAME?</v>
      </c>
      <c r="AC264" s="47" t="e">
        <f t="shared" ca="1" si="2261"/>
        <v>#NAME?</v>
      </c>
      <c r="AD264" s="47" t="e">
        <f t="shared" ca="1" si="2261"/>
        <v>#NAME?</v>
      </c>
      <c r="AE264" s="47" t="e">
        <f t="shared" ca="1" si="2261"/>
        <v>#NAME?</v>
      </c>
      <c r="AL264" s="89" t="e">
        <f t="shared" ref="AL264:CW264" ca="1" si="2262">AL42/AK42-1</f>
        <v>#NAME?</v>
      </c>
      <c r="AM264" s="89" t="e">
        <f t="shared" ca="1" si="2262"/>
        <v>#NAME?</v>
      </c>
      <c r="AN264" s="89" t="e">
        <f t="shared" ca="1" si="2262"/>
        <v>#NAME?</v>
      </c>
      <c r="AO264" s="89" t="e">
        <f t="shared" ca="1" si="2262"/>
        <v>#NAME?</v>
      </c>
      <c r="AP264" s="89" t="e">
        <f t="shared" ca="1" si="2262"/>
        <v>#NAME?</v>
      </c>
      <c r="AQ264" s="89" t="e">
        <f t="shared" ca="1" si="2262"/>
        <v>#NAME?</v>
      </c>
      <c r="AR264" s="89" t="e">
        <f t="shared" ca="1" si="2262"/>
        <v>#NAME?</v>
      </c>
      <c r="AS264" s="89" t="e">
        <f t="shared" ca="1" si="2262"/>
        <v>#NAME?</v>
      </c>
      <c r="AT264" s="89" t="e">
        <f t="shared" ca="1" si="2262"/>
        <v>#NAME?</v>
      </c>
      <c r="AU264" s="89" t="e">
        <f t="shared" ca="1" si="2262"/>
        <v>#NAME?</v>
      </c>
      <c r="AV264" s="89" t="e">
        <f t="shared" ca="1" si="2262"/>
        <v>#NAME?</v>
      </c>
      <c r="AW264" s="89" t="e">
        <f t="shared" ca="1" si="2262"/>
        <v>#NAME?</v>
      </c>
      <c r="AX264" s="89" t="e">
        <f t="shared" ca="1" si="2262"/>
        <v>#NAME?</v>
      </c>
      <c r="AY264" s="89" t="e">
        <f t="shared" ca="1" si="2262"/>
        <v>#NAME?</v>
      </c>
      <c r="AZ264" s="89" t="e">
        <f t="shared" ca="1" si="2262"/>
        <v>#NAME?</v>
      </c>
      <c r="BA264" s="89" t="e">
        <f t="shared" ca="1" si="2262"/>
        <v>#NAME?</v>
      </c>
      <c r="BB264" s="89" t="e">
        <f t="shared" ca="1" si="2262"/>
        <v>#NAME?</v>
      </c>
      <c r="BC264" s="89" t="e">
        <f t="shared" ca="1" si="2262"/>
        <v>#NAME?</v>
      </c>
      <c r="BD264" s="89" t="e">
        <f t="shared" ca="1" si="2262"/>
        <v>#NAME?</v>
      </c>
      <c r="BE264" s="89" t="e">
        <f t="shared" ca="1" si="2262"/>
        <v>#NAME?</v>
      </c>
      <c r="BF264" s="89" t="e">
        <f t="shared" ca="1" si="2262"/>
        <v>#NAME?</v>
      </c>
      <c r="BG264" s="89" t="e">
        <f t="shared" ca="1" si="2262"/>
        <v>#NAME?</v>
      </c>
      <c r="BH264" s="89" t="e">
        <f t="shared" ca="1" si="2262"/>
        <v>#NAME?</v>
      </c>
      <c r="BI264" s="89" t="e">
        <f t="shared" ca="1" si="2262"/>
        <v>#NAME?</v>
      </c>
      <c r="BJ264" s="89" t="e">
        <f t="shared" ca="1" si="2262"/>
        <v>#NAME?</v>
      </c>
      <c r="BK264" s="89" t="e">
        <f t="shared" ca="1" si="2262"/>
        <v>#NAME?</v>
      </c>
      <c r="BL264" s="89" t="e">
        <f t="shared" ca="1" si="2262"/>
        <v>#NAME?</v>
      </c>
      <c r="BM264" s="89" t="e">
        <f t="shared" ca="1" si="2262"/>
        <v>#NAME?</v>
      </c>
      <c r="BN264" s="89" t="e">
        <f t="shared" ca="1" si="2262"/>
        <v>#NAME?</v>
      </c>
      <c r="BO264" s="89" t="e">
        <f t="shared" ca="1" si="2262"/>
        <v>#NAME?</v>
      </c>
      <c r="BP264" s="89" t="e">
        <f t="shared" ca="1" si="2262"/>
        <v>#NAME?</v>
      </c>
      <c r="BQ264" s="89" t="e">
        <f t="shared" ca="1" si="2262"/>
        <v>#NAME?</v>
      </c>
      <c r="BR264" s="89" t="e">
        <f t="shared" ca="1" si="2262"/>
        <v>#NAME?</v>
      </c>
      <c r="BS264" s="89" t="e">
        <f t="shared" ca="1" si="2262"/>
        <v>#NAME?</v>
      </c>
      <c r="BT264" s="89" t="e">
        <f t="shared" ca="1" si="2262"/>
        <v>#NAME?</v>
      </c>
      <c r="BU264" s="89" t="e">
        <f t="shared" ca="1" si="2262"/>
        <v>#NAME?</v>
      </c>
      <c r="BV264" s="89" t="e">
        <f t="shared" ca="1" si="2262"/>
        <v>#NAME?</v>
      </c>
      <c r="BW264" s="89" t="e">
        <f t="shared" ca="1" si="2262"/>
        <v>#NAME?</v>
      </c>
      <c r="BX264" s="89" t="e">
        <f t="shared" ca="1" si="2262"/>
        <v>#NAME?</v>
      </c>
      <c r="BY264" s="89" t="e">
        <f t="shared" ca="1" si="2262"/>
        <v>#NAME?</v>
      </c>
      <c r="BZ264" s="89" t="e">
        <f t="shared" ca="1" si="2262"/>
        <v>#NAME?</v>
      </c>
      <c r="CA264" s="89" t="e">
        <f t="shared" ca="1" si="2262"/>
        <v>#NAME?</v>
      </c>
      <c r="CB264" s="89" t="e">
        <f t="shared" ca="1" si="2262"/>
        <v>#NAME?</v>
      </c>
      <c r="CC264" s="89" t="e">
        <f t="shared" ca="1" si="2262"/>
        <v>#NAME?</v>
      </c>
      <c r="CD264" s="89" t="e">
        <f t="shared" ca="1" si="2262"/>
        <v>#NAME?</v>
      </c>
      <c r="CE264" s="89" t="e">
        <f t="shared" ca="1" si="2262"/>
        <v>#NAME?</v>
      </c>
      <c r="CF264" s="89" t="e">
        <f t="shared" ca="1" si="2262"/>
        <v>#NAME?</v>
      </c>
      <c r="CG264" s="89" t="e">
        <f t="shared" ca="1" si="2262"/>
        <v>#NAME?</v>
      </c>
      <c r="CH264" s="89" t="e">
        <f t="shared" ca="1" si="2262"/>
        <v>#NAME?</v>
      </c>
      <c r="CI264" s="89" t="e">
        <f t="shared" ca="1" si="2262"/>
        <v>#NAME?</v>
      </c>
      <c r="CJ264" s="89" t="e">
        <f t="shared" ca="1" si="2262"/>
        <v>#NAME?</v>
      </c>
      <c r="CK264" s="89" t="e">
        <f t="shared" ca="1" si="2262"/>
        <v>#NAME?</v>
      </c>
      <c r="CL264" s="89" t="e">
        <f t="shared" ca="1" si="2262"/>
        <v>#NAME?</v>
      </c>
      <c r="CM264" s="47" t="e">
        <f t="shared" ca="1" si="2262"/>
        <v>#NAME?</v>
      </c>
      <c r="CN264" s="47" t="e">
        <f t="shared" ca="1" si="2262"/>
        <v>#NAME?</v>
      </c>
      <c r="CO264" s="47" t="e">
        <f t="shared" ca="1" si="2262"/>
        <v>#NAME?</v>
      </c>
      <c r="CP264" s="47" t="e">
        <f t="shared" ca="1" si="2262"/>
        <v>#NAME?</v>
      </c>
      <c r="CQ264" s="47" t="e">
        <f t="shared" ca="1" si="2262"/>
        <v>#NAME?</v>
      </c>
      <c r="CR264" s="47" t="e">
        <f t="shared" ca="1" si="2262"/>
        <v>#NAME?</v>
      </c>
      <c r="CS264" s="47" t="e">
        <f t="shared" ca="1" si="2262"/>
        <v>#NAME?</v>
      </c>
      <c r="CT264" s="47" t="e">
        <f t="shared" ca="1" si="2262"/>
        <v>#NAME?</v>
      </c>
      <c r="CU264" s="47" t="e">
        <f t="shared" ca="1" si="2262"/>
        <v>#NAME?</v>
      </c>
      <c r="CV264" s="47" t="e">
        <f t="shared" ca="1" si="2262"/>
        <v>#NAME?</v>
      </c>
      <c r="CW264" s="47" t="e">
        <f t="shared" ca="1" si="2262"/>
        <v>#NAME?</v>
      </c>
      <c r="CX264" s="47" t="e">
        <f t="shared" ref="CX264:DB264" ca="1" si="2263">CX42/CW42-1</f>
        <v>#NAME?</v>
      </c>
      <c r="CY264" s="47" t="e">
        <f t="shared" ca="1" si="2263"/>
        <v>#NAME?</v>
      </c>
      <c r="CZ264" s="47" t="e">
        <f t="shared" ca="1" si="2263"/>
        <v>#NAME?</v>
      </c>
      <c r="DA264" s="47" t="e">
        <f t="shared" ca="1" si="2263"/>
        <v>#NAME?</v>
      </c>
      <c r="DB264" s="47" t="e">
        <f t="shared" ca="1" si="2263"/>
        <v>#NAME?</v>
      </c>
      <c r="DE264" s="130"/>
      <c r="DF264" s="89">
        <v>0.21718331850147976</v>
      </c>
    </row>
    <row r="265" spans="1:110" s="103" customFormat="1" x14ac:dyDescent="0.2">
      <c r="A265" s="147" t="s">
        <v>105</v>
      </c>
      <c r="C265" s="103" t="e">
        <f ca="1">IF(C263&gt;C264,"RF",0)</f>
        <v>#NAME?</v>
      </c>
      <c r="D265" s="103" t="e">
        <f t="shared" ref="D265:U265" ca="1" si="2264">IF(D263&gt;D264,"RF",0)</f>
        <v>#NAME?</v>
      </c>
      <c r="F265" s="103" t="e">
        <f t="shared" ca="1" si="2264"/>
        <v>#NAME?</v>
      </c>
      <c r="G265" s="103" t="e">
        <f t="shared" ca="1" si="2264"/>
        <v>#NAME?</v>
      </c>
      <c r="H265" s="103" t="e">
        <f t="shared" ca="1" si="2264"/>
        <v>#NAME?</v>
      </c>
      <c r="I265" s="103" t="e">
        <f t="shared" ca="1" si="2264"/>
        <v>#NAME?</v>
      </c>
      <c r="J265" s="103" t="e">
        <f t="shared" ca="1" si="2264"/>
        <v>#NAME?</v>
      </c>
      <c r="K265" s="103" t="e">
        <f t="shared" ca="1" si="2264"/>
        <v>#NAME?</v>
      </c>
      <c r="L265" s="103" t="e">
        <f t="shared" ca="1" si="2264"/>
        <v>#NAME?</v>
      </c>
      <c r="M265" s="103" t="e">
        <f t="shared" ca="1" si="2264"/>
        <v>#NAME?</v>
      </c>
      <c r="N265" s="103" t="e">
        <f t="shared" ca="1" si="2264"/>
        <v>#NAME?</v>
      </c>
      <c r="O265" s="103" t="e">
        <f t="shared" ca="1" si="2264"/>
        <v>#NAME?</v>
      </c>
      <c r="P265" s="103" t="e">
        <f t="shared" ca="1" si="2264"/>
        <v>#NAME?</v>
      </c>
      <c r="Q265" s="103" t="e">
        <f t="shared" ca="1" si="2264"/>
        <v>#NAME?</v>
      </c>
      <c r="R265" s="103" t="e">
        <f t="shared" ca="1" si="2264"/>
        <v>#NAME?</v>
      </c>
      <c r="S265" s="103" t="e">
        <f t="shared" ca="1" si="2264"/>
        <v>#NAME?</v>
      </c>
      <c r="T265" s="103" t="e">
        <f t="shared" ca="1" si="2264"/>
        <v>#NAME?</v>
      </c>
      <c r="U265" s="103" t="e">
        <f t="shared" ca="1" si="2264"/>
        <v>#NAME?</v>
      </c>
      <c r="V265" s="103" t="e">
        <f ca="1">IF(V263&gt;V264,"RF",0)</f>
        <v>#NAME?</v>
      </c>
      <c r="W265" s="103" t="e">
        <f t="shared" ref="W265:AE265" ca="1" si="2265">IF(W263&gt;W264,"RF",0)</f>
        <v>#NAME?</v>
      </c>
      <c r="X265" s="103" t="e">
        <f t="shared" ca="1" si="2265"/>
        <v>#NAME?</v>
      </c>
      <c r="Y265" s="103" t="e">
        <f t="shared" ca="1" si="2265"/>
        <v>#NAME?</v>
      </c>
      <c r="Z265" s="103" t="e">
        <f t="shared" ca="1" si="2265"/>
        <v>#NAME?</v>
      </c>
      <c r="AA265" s="103" t="e">
        <f t="shared" ref="AA265" ca="1" si="2266">IF(AA263&gt;AA264,"RF",0)</f>
        <v>#NAME?</v>
      </c>
      <c r="AB265" s="73" t="e">
        <f t="shared" ca="1" si="2265"/>
        <v>#NAME?</v>
      </c>
      <c r="AC265" s="73" t="e">
        <f t="shared" ca="1" si="2265"/>
        <v>#NAME?</v>
      </c>
      <c r="AD265" s="73" t="e">
        <f t="shared" ca="1" si="2265"/>
        <v>#NAME?</v>
      </c>
      <c r="AE265" s="73" t="e">
        <f t="shared" ca="1" si="2265"/>
        <v>#NAME?</v>
      </c>
      <c r="AL265" s="103" t="e">
        <f t="shared" ref="AL265:CW265" ca="1" si="2267">IF(AL263&gt;AL264,"RF",0)</f>
        <v>#NAME?</v>
      </c>
      <c r="AM265" s="103" t="e">
        <f t="shared" ca="1" si="2267"/>
        <v>#NAME?</v>
      </c>
      <c r="AN265" s="103" t="e">
        <f t="shared" ca="1" si="2267"/>
        <v>#NAME?</v>
      </c>
      <c r="AO265" s="103" t="e">
        <f t="shared" ca="1" si="2267"/>
        <v>#NAME?</v>
      </c>
      <c r="AP265" s="103" t="e">
        <f t="shared" ca="1" si="2267"/>
        <v>#NAME?</v>
      </c>
      <c r="AQ265" s="103" t="e">
        <f t="shared" ca="1" si="2267"/>
        <v>#NAME?</v>
      </c>
      <c r="AR265" s="103" t="e">
        <f t="shared" ca="1" si="2267"/>
        <v>#NAME?</v>
      </c>
      <c r="AS265" s="103" t="e">
        <f t="shared" ca="1" si="2267"/>
        <v>#NAME?</v>
      </c>
      <c r="AT265" s="103" t="e">
        <f t="shared" ca="1" si="2267"/>
        <v>#NAME?</v>
      </c>
      <c r="AU265" s="103" t="e">
        <f t="shared" ca="1" si="2267"/>
        <v>#NAME?</v>
      </c>
      <c r="AV265" s="103" t="e">
        <f t="shared" ca="1" si="2267"/>
        <v>#NAME?</v>
      </c>
      <c r="AW265" s="103" t="e">
        <f t="shared" ca="1" si="2267"/>
        <v>#NAME?</v>
      </c>
      <c r="AX265" s="103" t="e">
        <f t="shared" ca="1" si="2267"/>
        <v>#NAME?</v>
      </c>
      <c r="AY265" s="103" t="e">
        <f t="shared" ca="1" si="2267"/>
        <v>#NAME?</v>
      </c>
      <c r="AZ265" s="103" t="e">
        <f t="shared" ca="1" si="2267"/>
        <v>#NAME?</v>
      </c>
      <c r="BA265" s="103" t="e">
        <f t="shared" ca="1" si="2267"/>
        <v>#NAME?</v>
      </c>
      <c r="BB265" s="103" t="e">
        <f t="shared" ca="1" si="2267"/>
        <v>#NAME?</v>
      </c>
      <c r="BC265" s="103" t="e">
        <f t="shared" ca="1" si="2267"/>
        <v>#NAME?</v>
      </c>
      <c r="BD265" s="103" t="e">
        <f t="shared" ca="1" si="2267"/>
        <v>#NAME?</v>
      </c>
      <c r="BE265" s="103" t="e">
        <f t="shared" ca="1" si="2267"/>
        <v>#NAME?</v>
      </c>
      <c r="BF265" s="103" t="e">
        <f t="shared" ca="1" si="2267"/>
        <v>#NAME?</v>
      </c>
      <c r="BG265" s="103" t="e">
        <f t="shared" ca="1" si="2267"/>
        <v>#NAME?</v>
      </c>
      <c r="BH265" s="103" t="e">
        <f t="shared" ca="1" si="2267"/>
        <v>#NAME?</v>
      </c>
      <c r="BI265" s="103" t="e">
        <f t="shared" ca="1" si="2267"/>
        <v>#NAME?</v>
      </c>
      <c r="BJ265" s="103" t="e">
        <f t="shared" ca="1" si="2267"/>
        <v>#NAME?</v>
      </c>
      <c r="BK265" s="103" t="e">
        <f t="shared" ca="1" si="2267"/>
        <v>#NAME?</v>
      </c>
      <c r="BL265" s="103" t="e">
        <f t="shared" ca="1" si="2267"/>
        <v>#NAME?</v>
      </c>
      <c r="BM265" s="103" t="e">
        <f t="shared" ca="1" si="2267"/>
        <v>#NAME?</v>
      </c>
      <c r="BN265" s="103" t="e">
        <f t="shared" ca="1" si="2267"/>
        <v>#NAME?</v>
      </c>
      <c r="BO265" s="103" t="e">
        <f t="shared" ca="1" si="2267"/>
        <v>#NAME?</v>
      </c>
      <c r="BP265" s="103" t="e">
        <f t="shared" ca="1" si="2267"/>
        <v>#NAME?</v>
      </c>
      <c r="BQ265" s="103" t="e">
        <f t="shared" ca="1" si="2267"/>
        <v>#NAME?</v>
      </c>
      <c r="BR265" s="103" t="e">
        <f t="shared" ca="1" si="2267"/>
        <v>#NAME?</v>
      </c>
      <c r="BS265" s="103" t="e">
        <f t="shared" ca="1" si="2267"/>
        <v>#NAME?</v>
      </c>
      <c r="BT265" s="103" t="e">
        <f t="shared" ca="1" si="2267"/>
        <v>#NAME?</v>
      </c>
      <c r="BU265" s="103" t="e">
        <f t="shared" ca="1" si="2267"/>
        <v>#NAME?</v>
      </c>
      <c r="BV265" s="103" t="e">
        <f t="shared" ca="1" si="2267"/>
        <v>#NAME?</v>
      </c>
      <c r="BW265" s="103" t="e">
        <f t="shared" ca="1" si="2267"/>
        <v>#NAME?</v>
      </c>
      <c r="BX265" s="103" t="e">
        <f t="shared" ca="1" si="2267"/>
        <v>#NAME?</v>
      </c>
      <c r="BY265" s="103" t="e">
        <f t="shared" ca="1" si="2267"/>
        <v>#NAME?</v>
      </c>
      <c r="BZ265" s="103" t="e">
        <f t="shared" ca="1" si="2267"/>
        <v>#NAME?</v>
      </c>
      <c r="CA265" s="103" t="e">
        <f t="shared" ca="1" si="2267"/>
        <v>#NAME?</v>
      </c>
      <c r="CB265" s="103" t="e">
        <f t="shared" ca="1" si="2267"/>
        <v>#NAME?</v>
      </c>
      <c r="CC265" s="103" t="e">
        <f t="shared" ca="1" si="2267"/>
        <v>#NAME?</v>
      </c>
      <c r="CD265" s="103" t="e">
        <f t="shared" ca="1" si="2267"/>
        <v>#NAME?</v>
      </c>
      <c r="CE265" s="103" t="e">
        <f t="shared" ca="1" si="2267"/>
        <v>#NAME?</v>
      </c>
      <c r="CF265" s="103" t="e">
        <f t="shared" ca="1" si="2267"/>
        <v>#NAME?</v>
      </c>
      <c r="CG265" s="103" t="e">
        <f t="shared" ca="1" si="2267"/>
        <v>#NAME?</v>
      </c>
      <c r="CH265" s="103" t="e">
        <f t="shared" ca="1" si="2267"/>
        <v>#NAME?</v>
      </c>
      <c r="CI265" s="103" t="e">
        <f t="shared" ca="1" si="2267"/>
        <v>#NAME?</v>
      </c>
      <c r="CJ265" s="103" t="e">
        <f t="shared" ca="1" si="2267"/>
        <v>#NAME?</v>
      </c>
      <c r="CK265" s="103" t="e">
        <f t="shared" ca="1" si="2267"/>
        <v>#NAME?</v>
      </c>
      <c r="CL265" s="103" t="e">
        <f t="shared" ref="CL265" ca="1" si="2268">IF(CL263&gt;CL264,"RF",0)</f>
        <v>#NAME?</v>
      </c>
      <c r="CM265" s="73" t="e">
        <f t="shared" ca="1" si="2267"/>
        <v>#NAME?</v>
      </c>
      <c r="CN265" s="73" t="e">
        <f t="shared" ca="1" si="2267"/>
        <v>#NAME?</v>
      </c>
      <c r="CO265" s="73" t="e">
        <f t="shared" ca="1" si="2267"/>
        <v>#NAME?</v>
      </c>
      <c r="CP265" s="73" t="e">
        <f t="shared" ca="1" si="2267"/>
        <v>#NAME?</v>
      </c>
      <c r="CQ265" s="73" t="e">
        <f t="shared" ca="1" si="2267"/>
        <v>#NAME?</v>
      </c>
      <c r="CR265" s="73" t="e">
        <f t="shared" ca="1" si="2267"/>
        <v>#NAME?</v>
      </c>
      <c r="CS265" s="73" t="e">
        <f t="shared" ca="1" si="2267"/>
        <v>#NAME?</v>
      </c>
      <c r="CT265" s="73" t="e">
        <f t="shared" ca="1" si="2267"/>
        <v>#NAME?</v>
      </c>
      <c r="CU265" s="73" t="e">
        <f t="shared" ca="1" si="2267"/>
        <v>#NAME?</v>
      </c>
      <c r="CV265" s="73" t="e">
        <f t="shared" ca="1" si="2267"/>
        <v>#NAME?</v>
      </c>
      <c r="CW265" s="73" t="e">
        <f t="shared" ca="1" si="2267"/>
        <v>#NAME?</v>
      </c>
      <c r="CX265" s="73" t="e">
        <f t="shared" ref="CX265:DB265" ca="1" si="2269">IF(CX263&gt;CX264,"RF",0)</f>
        <v>#NAME?</v>
      </c>
      <c r="CY265" s="73" t="e">
        <f t="shared" ca="1" si="2269"/>
        <v>#NAME?</v>
      </c>
      <c r="CZ265" s="73" t="e">
        <f t="shared" ca="1" si="2269"/>
        <v>#NAME?</v>
      </c>
      <c r="DA265" s="73" t="e">
        <f t="shared" ca="1" si="2269"/>
        <v>#NAME?</v>
      </c>
      <c r="DB265" s="73" t="e">
        <f t="shared" ca="1" si="2269"/>
        <v>#NAME?</v>
      </c>
      <c r="DE265" s="142"/>
      <c r="DF265" s="103">
        <v>0</v>
      </c>
    </row>
    <row r="266" spans="1:110" s="86" customFormat="1" x14ac:dyDescent="0.2">
      <c r="A266" s="86" t="s">
        <v>432</v>
      </c>
      <c r="B266" s="86" t="e">
        <f ca="1">B50/B22</f>
        <v>#NAME?</v>
      </c>
      <c r="C266" s="86" t="e">
        <f ca="1">C50/C22</f>
        <v>#NAME?</v>
      </c>
      <c r="D266" s="86" t="e">
        <f ca="1">D50/D22</f>
        <v>#NAME?</v>
      </c>
      <c r="F266" s="86" t="e">
        <f t="shared" ref="F266:AE266" ca="1" si="2270">F50/F22</f>
        <v>#NAME?</v>
      </c>
      <c r="G266" s="86" t="e">
        <f t="shared" ca="1" si="2270"/>
        <v>#NAME?</v>
      </c>
      <c r="H266" s="86" t="e">
        <f t="shared" ca="1" si="2270"/>
        <v>#NAME?</v>
      </c>
      <c r="I266" s="86" t="e">
        <f t="shared" ca="1" si="2270"/>
        <v>#NAME?</v>
      </c>
      <c r="J266" s="86" t="e">
        <f t="shared" ca="1" si="2270"/>
        <v>#NAME?</v>
      </c>
      <c r="K266" s="86" t="e">
        <f t="shared" ca="1" si="2270"/>
        <v>#NAME?</v>
      </c>
      <c r="L266" s="86" t="e">
        <f t="shared" ca="1" si="2270"/>
        <v>#NAME?</v>
      </c>
      <c r="M266" s="86" t="e">
        <f t="shared" ca="1" si="2270"/>
        <v>#NAME?</v>
      </c>
      <c r="N266" s="86" t="e">
        <f t="shared" ca="1" si="2270"/>
        <v>#NAME?</v>
      </c>
      <c r="O266" s="86" t="e">
        <f t="shared" ca="1" si="2270"/>
        <v>#NAME?</v>
      </c>
      <c r="P266" s="86" t="e">
        <f t="shared" ca="1" si="2270"/>
        <v>#NAME?</v>
      </c>
      <c r="Q266" s="86" t="e">
        <f t="shared" ca="1" si="2270"/>
        <v>#NAME?</v>
      </c>
      <c r="R266" s="86" t="e">
        <f t="shared" ca="1" si="2270"/>
        <v>#NAME?</v>
      </c>
      <c r="S266" s="86" t="e">
        <f t="shared" ca="1" si="2270"/>
        <v>#NAME?</v>
      </c>
      <c r="T266" s="86" t="e">
        <f t="shared" ca="1" si="2270"/>
        <v>#NAME?</v>
      </c>
      <c r="U266" s="86" t="e">
        <f t="shared" ca="1" si="2270"/>
        <v>#NAME?</v>
      </c>
      <c r="V266" s="86" t="e">
        <f t="shared" ca="1" si="2270"/>
        <v>#NAME?</v>
      </c>
      <c r="W266" s="86" t="e">
        <f t="shared" ca="1" si="2270"/>
        <v>#NAME?</v>
      </c>
      <c r="X266" s="86" t="e">
        <f t="shared" ca="1" si="2270"/>
        <v>#NAME?</v>
      </c>
      <c r="Y266" s="86" t="e">
        <f t="shared" ca="1" si="2270"/>
        <v>#NAME?</v>
      </c>
      <c r="Z266" s="86" t="e">
        <f t="shared" ca="1" si="2270"/>
        <v>#NAME?</v>
      </c>
      <c r="AA266" s="86" t="e">
        <f t="shared" ref="AA266" ca="1" si="2271">AA50/AA22</f>
        <v>#NAME?</v>
      </c>
      <c r="AB266" s="87" t="e">
        <f t="shared" ca="1" si="2270"/>
        <v>#NAME?</v>
      </c>
      <c r="AC266" s="87" t="e">
        <f t="shared" ca="1" si="2270"/>
        <v>#NAME?</v>
      </c>
      <c r="AD266" s="87" t="e">
        <f t="shared" ca="1" si="2270"/>
        <v>#NAME?</v>
      </c>
      <c r="AE266" s="87" t="e">
        <f t="shared" ca="1" si="2270"/>
        <v>#NAME?</v>
      </c>
      <c r="AL266" s="86" t="e">
        <f t="shared" ref="AL266:CW266" ca="1" si="2272">AL50/AL22</f>
        <v>#NAME?</v>
      </c>
      <c r="AM266" s="86" t="e">
        <f t="shared" ca="1" si="2272"/>
        <v>#NAME?</v>
      </c>
      <c r="AN266" s="86" t="e">
        <f t="shared" ca="1" si="2272"/>
        <v>#NAME?</v>
      </c>
      <c r="AO266" s="86" t="e">
        <f t="shared" ca="1" si="2272"/>
        <v>#NAME?</v>
      </c>
      <c r="AP266" s="86" t="e">
        <f t="shared" ca="1" si="2272"/>
        <v>#NAME?</v>
      </c>
      <c r="AQ266" s="86" t="e">
        <f t="shared" ca="1" si="2272"/>
        <v>#NAME?</v>
      </c>
      <c r="AR266" s="86" t="e">
        <f t="shared" ca="1" si="2272"/>
        <v>#NAME?</v>
      </c>
      <c r="AS266" s="86" t="e">
        <f t="shared" ca="1" si="2272"/>
        <v>#NAME?</v>
      </c>
      <c r="AT266" s="86" t="e">
        <f t="shared" ca="1" si="2272"/>
        <v>#NAME?</v>
      </c>
      <c r="AU266" s="86" t="e">
        <f t="shared" ca="1" si="2272"/>
        <v>#NAME?</v>
      </c>
      <c r="AV266" s="86" t="e">
        <f t="shared" ca="1" si="2272"/>
        <v>#NAME?</v>
      </c>
      <c r="AW266" s="86" t="e">
        <f t="shared" ca="1" si="2272"/>
        <v>#NAME?</v>
      </c>
      <c r="AX266" s="86" t="e">
        <f t="shared" ca="1" si="2272"/>
        <v>#NAME?</v>
      </c>
      <c r="AY266" s="86" t="e">
        <f t="shared" ca="1" si="2272"/>
        <v>#NAME?</v>
      </c>
      <c r="AZ266" s="86" t="e">
        <f t="shared" ca="1" si="2272"/>
        <v>#NAME?</v>
      </c>
      <c r="BA266" s="86" t="e">
        <f t="shared" ca="1" si="2272"/>
        <v>#NAME?</v>
      </c>
      <c r="BB266" s="86" t="e">
        <f t="shared" ca="1" si="2272"/>
        <v>#NAME?</v>
      </c>
      <c r="BC266" s="86" t="e">
        <f t="shared" ca="1" si="2272"/>
        <v>#NAME?</v>
      </c>
      <c r="BD266" s="86" t="e">
        <f t="shared" ca="1" si="2272"/>
        <v>#NAME?</v>
      </c>
      <c r="BE266" s="86" t="e">
        <f t="shared" ca="1" si="2272"/>
        <v>#NAME?</v>
      </c>
      <c r="BF266" s="86" t="e">
        <f t="shared" ca="1" si="2272"/>
        <v>#NAME?</v>
      </c>
      <c r="BG266" s="86" t="e">
        <f t="shared" ca="1" si="2272"/>
        <v>#NAME?</v>
      </c>
      <c r="BH266" s="86" t="e">
        <f t="shared" ca="1" si="2272"/>
        <v>#NAME?</v>
      </c>
      <c r="BI266" s="86" t="e">
        <f t="shared" ca="1" si="2272"/>
        <v>#NAME?</v>
      </c>
      <c r="BJ266" s="86" t="e">
        <f t="shared" ca="1" si="2272"/>
        <v>#NAME?</v>
      </c>
      <c r="BK266" s="86" t="e">
        <f t="shared" ca="1" si="2272"/>
        <v>#NAME?</v>
      </c>
      <c r="BL266" s="86" t="e">
        <f t="shared" ca="1" si="2272"/>
        <v>#NAME?</v>
      </c>
      <c r="BM266" s="86" t="e">
        <f t="shared" ca="1" si="2272"/>
        <v>#NAME?</v>
      </c>
      <c r="BN266" s="86" t="e">
        <f t="shared" ca="1" si="2272"/>
        <v>#NAME?</v>
      </c>
      <c r="BO266" s="86" t="e">
        <f t="shared" ca="1" si="2272"/>
        <v>#NAME?</v>
      </c>
      <c r="BP266" s="86" t="e">
        <f t="shared" ca="1" si="2272"/>
        <v>#NAME?</v>
      </c>
      <c r="BQ266" s="86" t="e">
        <f t="shared" ca="1" si="2272"/>
        <v>#NAME?</v>
      </c>
      <c r="BR266" s="86" t="e">
        <f t="shared" ca="1" si="2272"/>
        <v>#NAME?</v>
      </c>
      <c r="BS266" s="86" t="e">
        <f t="shared" ca="1" si="2272"/>
        <v>#NAME?</v>
      </c>
      <c r="BT266" s="86" t="e">
        <f t="shared" ca="1" si="2272"/>
        <v>#NAME?</v>
      </c>
      <c r="BU266" s="86" t="e">
        <f t="shared" ca="1" si="2272"/>
        <v>#NAME?</v>
      </c>
      <c r="BV266" s="86" t="e">
        <f t="shared" ca="1" si="2272"/>
        <v>#NAME?</v>
      </c>
      <c r="BW266" s="86" t="e">
        <f t="shared" ca="1" si="2272"/>
        <v>#NAME?</v>
      </c>
      <c r="BX266" s="86" t="e">
        <f t="shared" ca="1" si="2272"/>
        <v>#NAME?</v>
      </c>
      <c r="BY266" s="86" t="e">
        <f t="shared" ca="1" si="2272"/>
        <v>#NAME?</v>
      </c>
      <c r="BZ266" s="86" t="e">
        <f t="shared" ca="1" si="2272"/>
        <v>#NAME?</v>
      </c>
      <c r="CA266" s="86" t="e">
        <f t="shared" ca="1" si="2272"/>
        <v>#NAME?</v>
      </c>
      <c r="CB266" s="86" t="e">
        <f t="shared" ca="1" si="2272"/>
        <v>#NAME?</v>
      </c>
      <c r="CC266" s="86" t="e">
        <f t="shared" ca="1" si="2272"/>
        <v>#NAME?</v>
      </c>
      <c r="CD266" s="86" t="e">
        <f t="shared" ca="1" si="2272"/>
        <v>#NAME?</v>
      </c>
      <c r="CE266" s="86" t="e">
        <f t="shared" ca="1" si="2272"/>
        <v>#NAME?</v>
      </c>
      <c r="CF266" s="86" t="e">
        <f t="shared" ca="1" si="2272"/>
        <v>#NAME?</v>
      </c>
      <c r="CG266" s="86" t="e">
        <f t="shared" ca="1" si="2272"/>
        <v>#NAME?</v>
      </c>
      <c r="CH266" s="86">
        <f t="shared" si="2272"/>
        <v>0.19636819035691924</v>
      </c>
      <c r="CI266" s="86" t="e">
        <f t="shared" ca="1" si="2272"/>
        <v>#NAME?</v>
      </c>
      <c r="CJ266" s="86" t="e">
        <f t="shared" ca="1" si="2272"/>
        <v>#NAME?</v>
      </c>
      <c r="CK266" s="86" t="e">
        <f t="shared" ca="1" si="2272"/>
        <v>#NAME?</v>
      </c>
      <c r="CL266" s="86" t="e">
        <f t="shared" ref="CL266" ca="1" si="2273">CL50/CL22</f>
        <v>#NAME?</v>
      </c>
      <c r="CM266" s="87" t="e">
        <f t="shared" ca="1" si="2272"/>
        <v>#NAME?</v>
      </c>
      <c r="CN266" s="87" t="e">
        <f t="shared" ca="1" si="2272"/>
        <v>#NAME?</v>
      </c>
      <c r="CO266" s="87" t="e">
        <f t="shared" ca="1" si="2272"/>
        <v>#NAME?</v>
      </c>
      <c r="CP266" s="87" t="e">
        <f t="shared" ca="1" si="2272"/>
        <v>#NAME?</v>
      </c>
      <c r="CQ266" s="87" t="e">
        <f t="shared" ca="1" si="2272"/>
        <v>#NAME?</v>
      </c>
      <c r="CR266" s="87" t="e">
        <f t="shared" ca="1" si="2272"/>
        <v>#NAME?</v>
      </c>
      <c r="CS266" s="87" t="e">
        <f t="shared" ca="1" si="2272"/>
        <v>#NAME?</v>
      </c>
      <c r="CT266" s="87" t="e">
        <f t="shared" ca="1" si="2272"/>
        <v>#NAME?</v>
      </c>
      <c r="CU266" s="87" t="e">
        <f t="shared" ca="1" si="2272"/>
        <v>#NAME?</v>
      </c>
      <c r="CV266" s="87" t="e">
        <f t="shared" ca="1" si="2272"/>
        <v>#NAME?</v>
      </c>
      <c r="CW266" s="87" t="e">
        <f t="shared" ca="1" si="2272"/>
        <v>#NAME?</v>
      </c>
      <c r="CX266" s="87" t="e">
        <f t="shared" ref="CX266:DB266" ca="1" si="2274">CX50/CX22</f>
        <v>#NAME?</v>
      </c>
      <c r="CY266" s="87" t="e">
        <f t="shared" ca="1" si="2274"/>
        <v>#NAME?</v>
      </c>
      <c r="CZ266" s="87" t="e">
        <f t="shared" ca="1" si="2274"/>
        <v>#NAME?</v>
      </c>
      <c r="DA266" s="87" t="e">
        <f t="shared" ca="1" si="2274"/>
        <v>#NAME?</v>
      </c>
      <c r="DB266" s="87" t="e">
        <f t="shared" ca="1" si="2274"/>
        <v>#NAME?</v>
      </c>
      <c r="DE266" s="141"/>
      <c r="DF266" s="86">
        <v>0.19748926414756313</v>
      </c>
    </row>
    <row r="267" spans="1:110" s="86" customFormat="1" x14ac:dyDescent="0.2">
      <c r="A267" s="86" t="s">
        <v>433</v>
      </c>
      <c r="B267" s="86" t="e">
        <f ca="1">B46/B22</f>
        <v>#NAME?</v>
      </c>
      <c r="C267" s="86" t="e">
        <f ca="1">C46/C22</f>
        <v>#NAME?</v>
      </c>
      <c r="D267" s="86" t="e">
        <f ca="1">D46/D22</f>
        <v>#NAME?</v>
      </c>
      <c r="F267" s="86" t="e">
        <f t="shared" ref="F267:AE267" ca="1" si="2275">F46/F22</f>
        <v>#NAME?</v>
      </c>
      <c r="G267" s="86" t="e">
        <f t="shared" ca="1" si="2275"/>
        <v>#NAME?</v>
      </c>
      <c r="H267" s="86" t="e">
        <f t="shared" ca="1" si="2275"/>
        <v>#NAME?</v>
      </c>
      <c r="I267" s="86" t="e">
        <f t="shared" ca="1" si="2275"/>
        <v>#NAME?</v>
      </c>
      <c r="J267" s="86" t="e">
        <f t="shared" ca="1" si="2275"/>
        <v>#NAME?</v>
      </c>
      <c r="K267" s="86" t="e">
        <f t="shared" ca="1" si="2275"/>
        <v>#NAME?</v>
      </c>
      <c r="L267" s="86" t="e">
        <f t="shared" ca="1" si="2275"/>
        <v>#NAME?</v>
      </c>
      <c r="M267" s="86" t="e">
        <f t="shared" ca="1" si="2275"/>
        <v>#NAME?</v>
      </c>
      <c r="N267" s="86" t="e">
        <f t="shared" ca="1" si="2275"/>
        <v>#NAME?</v>
      </c>
      <c r="O267" s="86" t="e">
        <f t="shared" ca="1" si="2275"/>
        <v>#NAME?</v>
      </c>
      <c r="P267" s="86" t="e">
        <f t="shared" ca="1" si="2275"/>
        <v>#NAME?</v>
      </c>
      <c r="Q267" s="86" t="e">
        <f t="shared" ca="1" si="2275"/>
        <v>#NAME?</v>
      </c>
      <c r="R267" s="86" t="e">
        <f t="shared" ca="1" si="2275"/>
        <v>#NAME?</v>
      </c>
      <c r="S267" s="86" t="e">
        <f t="shared" ca="1" si="2275"/>
        <v>#NAME?</v>
      </c>
      <c r="T267" s="86" t="e">
        <f t="shared" ca="1" si="2275"/>
        <v>#NAME?</v>
      </c>
      <c r="U267" s="86" t="e">
        <f t="shared" ca="1" si="2275"/>
        <v>#NAME?</v>
      </c>
      <c r="V267" s="86" t="e">
        <f t="shared" ca="1" si="2275"/>
        <v>#NAME?</v>
      </c>
      <c r="W267" s="86" t="e">
        <f t="shared" ca="1" si="2275"/>
        <v>#NAME?</v>
      </c>
      <c r="X267" s="86" t="e">
        <f t="shared" ca="1" si="2275"/>
        <v>#NAME?</v>
      </c>
      <c r="Y267" s="86" t="e">
        <f t="shared" ca="1" si="2275"/>
        <v>#NAME?</v>
      </c>
      <c r="Z267" s="86" t="e">
        <f t="shared" ca="1" si="2275"/>
        <v>#NAME?</v>
      </c>
      <c r="AA267" s="86" t="e">
        <f t="shared" ref="AA267" ca="1" si="2276">AA46/AA22</f>
        <v>#NAME?</v>
      </c>
      <c r="AB267" s="87" t="e">
        <f t="shared" ca="1" si="2275"/>
        <v>#NAME?</v>
      </c>
      <c r="AC267" s="87" t="e">
        <f t="shared" ca="1" si="2275"/>
        <v>#NAME?</v>
      </c>
      <c r="AD267" s="87" t="e">
        <f t="shared" ca="1" si="2275"/>
        <v>#NAME?</v>
      </c>
      <c r="AE267" s="87" t="e">
        <f t="shared" ca="1" si="2275"/>
        <v>#NAME?</v>
      </c>
      <c r="AL267" s="86" t="e">
        <f t="shared" ref="AL267:CW267" ca="1" si="2277">AL46/AL22</f>
        <v>#NAME?</v>
      </c>
      <c r="AM267" s="86" t="e">
        <f t="shared" ca="1" si="2277"/>
        <v>#NAME?</v>
      </c>
      <c r="AN267" s="86" t="e">
        <f t="shared" ca="1" si="2277"/>
        <v>#NAME?</v>
      </c>
      <c r="AO267" s="86" t="e">
        <f t="shared" ca="1" si="2277"/>
        <v>#NAME?</v>
      </c>
      <c r="AP267" s="86" t="e">
        <f t="shared" ca="1" si="2277"/>
        <v>#NAME?</v>
      </c>
      <c r="AQ267" s="86" t="e">
        <f t="shared" ca="1" si="2277"/>
        <v>#NAME?</v>
      </c>
      <c r="AR267" s="86" t="e">
        <f t="shared" ca="1" si="2277"/>
        <v>#NAME?</v>
      </c>
      <c r="AS267" s="86" t="e">
        <f t="shared" ca="1" si="2277"/>
        <v>#NAME?</v>
      </c>
      <c r="AT267" s="86" t="e">
        <f t="shared" ca="1" si="2277"/>
        <v>#NAME?</v>
      </c>
      <c r="AU267" s="86" t="e">
        <f t="shared" ca="1" si="2277"/>
        <v>#NAME?</v>
      </c>
      <c r="AV267" s="86" t="e">
        <f t="shared" ca="1" si="2277"/>
        <v>#NAME?</v>
      </c>
      <c r="AW267" s="86" t="e">
        <f t="shared" ca="1" si="2277"/>
        <v>#NAME?</v>
      </c>
      <c r="AX267" s="86" t="e">
        <f t="shared" ca="1" si="2277"/>
        <v>#NAME?</v>
      </c>
      <c r="AY267" s="86" t="e">
        <f t="shared" ca="1" si="2277"/>
        <v>#NAME?</v>
      </c>
      <c r="AZ267" s="86" t="e">
        <f t="shared" ca="1" si="2277"/>
        <v>#NAME?</v>
      </c>
      <c r="BA267" s="86" t="e">
        <f t="shared" ca="1" si="2277"/>
        <v>#NAME?</v>
      </c>
      <c r="BB267" s="86" t="e">
        <f t="shared" ca="1" si="2277"/>
        <v>#NAME?</v>
      </c>
      <c r="BC267" s="86" t="e">
        <f t="shared" ca="1" si="2277"/>
        <v>#NAME?</v>
      </c>
      <c r="BD267" s="86" t="e">
        <f t="shared" ca="1" si="2277"/>
        <v>#NAME?</v>
      </c>
      <c r="BE267" s="86" t="e">
        <f t="shared" ca="1" si="2277"/>
        <v>#NAME?</v>
      </c>
      <c r="BF267" s="86" t="e">
        <f t="shared" ca="1" si="2277"/>
        <v>#NAME?</v>
      </c>
      <c r="BG267" s="86" t="e">
        <f t="shared" ca="1" si="2277"/>
        <v>#NAME?</v>
      </c>
      <c r="BH267" s="86" t="e">
        <f t="shared" ca="1" si="2277"/>
        <v>#NAME?</v>
      </c>
      <c r="BI267" s="86" t="e">
        <f t="shared" ca="1" si="2277"/>
        <v>#NAME?</v>
      </c>
      <c r="BJ267" s="86" t="e">
        <f t="shared" ca="1" si="2277"/>
        <v>#NAME?</v>
      </c>
      <c r="BK267" s="86" t="e">
        <f t="shared" ca="1" si="2277"/>
        <v>#NAME?</v>
      </c>
      <c r="BL267" s="86" t="e">
        <f t="shared" ca="1" si="2277"/>
        <v>#NAME?</v>
      </c>
      <c r="BM267" s="86" t="e">
        <f t="shared" ca="1" si="2277"/>
        <v>#NAME?</v>
      </c>
      <c r="BN267" s="86" t="e">
        <f t="shared" ca="1" si="2277"/>
        <v>#NAME?</v>
      </c>
      <c r="BO267" s="86" t="e">
        <f t="shared" ca="1" si="2277"/>
        <v>#NAME?</v>
      </c>
      <c r="BP267" s="86" t="e">
        <f t="shared" ca="1" si="2277"/>
        <v>#NAME?</v>
      </c>
      <c r="BQ267" s="86" t="e">
        <f t="shared" ca="1" si="2277"/>
        <v>#NAME?</v>
      </c>
      <c r="BR267" s="86" t="e">
        <f t="shared" ca="1" si="2277"/>
        <v>#NAME?</v>
      </c>
      <c r="BS267" s="86" t="e">
        <f t="shared" ca="1" si="2277"/>
        <v>#NAME?</v>
      </c>
      <c r="BT267" s="86" t="e">
        <f t="shared" ca="1" si="2277"/>
        <v>#NAME?</v>
      </c>
      <c r="BU267" s="86" t="e">
        <f t="shared" ca="1" si="2277"/>
        <v>#NAME?</v>
      </c>
      <c r="BV267" s="86" t="e">
        <f t="shared" ca="1" si="2277"/>
        <v>#NAME?</v>
      </c>
      <c r="BW267" s="86" t="e">
        <f t="shared" ca="1" si="2277"/>
        <v>#NAME?</v>
      </c>
      <c r="BX267" s="86" t="e">
        <f t="shared" ca="1" si="2277"/>
        <v>#NAME?</v>
      </c>
      <c r="BY267" s="86" t="e">
        <f t="shared" ca="1" si="2277"/>
        <v>#NAME?</v>
      </c>
      <c r="BZ267" s="86" t="e">
        <f t="shared" ca="1" si="2277"/>
        <v>#NAME?</v>
      </c>
      <c r="CA267" s="86" t="e">
        <f t="shared" ca="1" si="2277"/>
        <v>#NAME?</v>
      </c>
      <c r="CB267" s="86" t="e">
        <f t="shared" ca="1" si="2277"/>
        <v>#NAME?</v>
      </c>
      <c r="CC267" s="86" t="e">
        <f t="shared" ca="1" si="2277"/>
        <v>#NAME?</v>
      </c>
      <c r="CD267" s="86" t="e">
        <f t="shared" ca="1" si="2277"/>
        <v>#NAME?</v>
      </c>
      <c r="CE267" s="86" t="e">
        <f t="shared" ca="1" si="2277"/>
        <v>#NAME?</v>
      </c>
      <c r="CF267" s="86" t="e">
        <f t="shared" ca="1" si="2277"/>
        <v>#NAME?</v>
      </c>
      <c r="CG267" s="86" t="e">
        <f t="shared" ca="1" si="2277"/>
        <v>#NAME?</v>
      </c>
      <c r="CH267" s="86">
        <f t="shared" si="2277"/>
        <v>4.2579837194740136E-2</v>
      </c>
      <c r="CI267" s="86" t="e">
        <f t="shared" ca="1" si="2277"/>
        <v>#NAME?</v>
      </c>
      <c r="CJ267" s="86" t="e">
        <f t="shared" ca="1" si="2277"/>
        <v>#NAME?</v>
      </c>
      <c r="CK267" s="86" t="e">
        <f t="shared" ca="1" si="2277"/>
        <v>#NAME?</v>
      </c>
      <c r="CL267" s="86" t="e">
        <f t="shared" ref="CL267" ca="1" si="2278">CL46/CL22</f>
        <v>#NAME?</v>
      </c>
      <c r="CM267" s="87" t="e">
        <f t="shared" ca="1" si="2277"/>
        <v>#NAME?</v>
      </c>
      <c r="CN267" s="87" t="e">
        <f t="shared" ca="1" si="2277"/>
        <v>#NAME?</v>
      </c>
      <c r="CO267" s="87" t="e">
        <f t="shared" ca="1" si="2277"/>
        <v>#NAME?</v>
      </c>
      <c r="CP267" s="87" t="e">
        <f t="shared" ca="1" si="2277"/>
        <v>#NAME?</v>
      </c>
      <c r="CQ267" s="87" t="e">
        <f t="shared" ca="1" si="2277"/>
        <v>#NAME?</v>
      </c>
      <c r="CR267" s="87" t="e">
        <f t="shared" ca="1" si="2277"/>
        <v>#NAME?</v>
      </c>
      <c r="CS267" s="87" t="e">
        <f t="shared" ca="1" si="2277"/>
        <v>#NAME?</v>
      </c>
      <c r="CT267" s="87" t="e">
        <f t="shared" ca="1" si="2277"/>
        <v>#NAME?</v>
      </c>
      <c r="CU267" s="87" t="e">
        <f t="shared" ca="1" si="2277"/>
        <v>#NAME?</v>
      </c>
      <c r="CV267" s="87" t="e">
        <f t="shared" ca="1" si="2277"/>
        <v>#NAME?</v>
      </c>
      <c r="CW267" s="87" t="e">
        <f t="shared" ca="1" si="2277"/>
        <v>#NAME?</v>
      </c>
      <c r="CX267" s="87" t="e">
        <f t="shared" ref="CX267:DB267" ca="1" si="2279">CX46/CX22</f>
        <v>#NAME?</v>
      </c>
      <c r="CY267" s="87" t="e">
        <f t="shared" ca="1" si="2279"/>
        <v>#NAME?</v>
      </c>
      <c r="CZ267" s="87" t="e">
        <f t="shared" ca="1" si="2279"/>
        <v>#NAME?</v>
      </c>
      <c r="DA267" s="87" t="e">
        <f t="shared" ca="1" si="2279"/>
        <v>#NAME?</v>
      </c>
      <c r="DB267" s="87" t="e">
        <f t="shared" ca="1" si="2279"/>
        <v>#NAME?</v>
      </c>
      <c r="DE267" s="141"/>
      <c r="DF267" s="86">
        <v>2.8039268063212528E-2</v>
      </c>
    </row>
    <row r="268" spans="1:110" s="85" customFormat="1" x14ac:dyDescent="0.2">
      <c r="AB268" s="58"/>
      <c r="AC268" s="58"/>
      <c r="AD268" s="58"/>
      <c r="AE268" s="58"/>
      <c r="CM268" s="72"/>
      <c r="CN268" s="72"/>
      <c r="CO268" s="72"/>
      <c r="CP268" s="72"/>
      <c r="CQ268" s="72"/>
      <c r="CR268" s="72"/>
      <c r="CS268" s="72"/>
      <c r="CT268" s="72"/>
      <c r="CU268" s="72"/>
      <c r="CV268" s="72"/>
      <c r="CW268" s="72"/>
      <c r="CX268" s="72"/>
      <c r="CY268" s="72"/>
      <c r="CZ268" s="72"/>
      <c r="DA268" s="72"/>
      <c r="DB268" s="72"/>
      <c r="DE268" s="143"/>
    </row>
  </sheetData>
  <sortState xmlns:xlrd2="http://schemas.microsoft.com/office/spreadsheetml/2017/richdata2" ref="A34:DE39">
    <sortCondition ref="A34:A3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6" activePane="bottomRight" state="frozen"/>
      <selection activeCell="A2" sqref="A2"/>
      <selection pane="topRight" activeCell="A2" sqref="A2"/>
      <selection pane="bottomLeft" activeCell="A2" sqref="A2"/>
      <selection pane="bottomRight" activeCell="BB6" sqref="BB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226159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226159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226159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226159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226159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45930</v>
      </c>
      <c r="B4" s="116">
        <v>458.5</v>
      </c>
      <c r="C4" s="116">
        <v>445.65</v>
      </c>
      <c r="D4" s="116">
        <v>432</v>
      </c>
      <c r="E4" s="116">
        <v>432.1</v>
      </c>
      <c r="F4" s="116">
        <v>445.65</v>
      </c>
      <c r="G4">
        <v>1979965</v>
      </c>
      <c r="H4" s="116"/>
      <c r="I4" s="116"/>
      <c r="L4" s="170">
        <v>45930</v>
      </c>
      <c r="M4" s="116">
        <v>445.55</v>
      </c>
      <c r="N4" s="116">
        <v>458.7</v>
      </c>
      <c r="O4" s="116">
        <v>431</v>
      </c>
      <c r="P4" s="116">
        <v>432</v>
      </c>
      <c r="Q4" s="116">
        <v>445.55</v>
      </c>
      <c r="R4">
        <v>21291574</v>
      </c>
    </row>
    <row r="5" spans="1:18" x14ac:dyDescent="0.25">
      <c r="A5" s="170">
        <v>45931</v>
      </c>
      <c r="B5" s="116">
        <v>466.5</v>
      </c>
      <c r="C5" s="116">
        <v>451.5</v>
      </c>
      <c r="D5" s="116">
        <v>444.4</v>
      </c>
      <c r="E5" s="116">
        <v>444.4</v>
      </c>
      <c r="F5" s="116">
        <v>451.5</v>
      </c>
      <c r="G5">
        <v>619397</v>
      </c>
      <c r="H5" s="116"/>
      <c r="I5" s="116"/>
      <c r="L5" s="170">
        <v>45931</v>
      </c>
      <c r="M5" s="116">
        <v>451.75</v>
      </c>
      <c r="N5" s="116">
        <v>466.8</v>
      </c>
      <c r="O5" s="116">
        <v>445</v>
      </c>
      <c r="P5" s="116">
        <v>445</v>
      </c>
      <c r="Q5" s="116">
        <v>451.75</v>
      </c>
      <c r="R5">
        <v>5420031</v>
      </c>
    </row>
    <row r="6" spans="1:18" x14ac:dyDescent="0.25">
      <c r="A6" s="170">
        <v>45933</v>
      </c>
      <c r="B6" s="116">
        <v>471.85</v>
      </c>
      <c r="C6" s="116">
        <v>460.05</v>
      </c>
      <c r="D6" s="116">
        <v>447.2</v>
      </c>
      <c r="E6" s="116">
        <v>453.95</v>
      </c>
      <c r="F6" s="116">
        <v>460.05</v>
      </c>
      <c r="G6">
        <v>229647</v>
      </c>
      <c r="H6" s="116"/>
      <c r="I6" s="116"/>
      <c r="L6" s="170">
        <v>45933</v>
      </c>
      <c r="M6" s="116">
        <v>460</v>
      </c>
      <c r="N6" s="116">
        <v>471.65</v>
      </c>
      <c r="O6" s="116">
        <v>447.05</v>
      </c>
      <c r="P6" s="116">
        <v>454</v>
      </c>
      <c r="Q6" s="116">
        <v>460</v>
      </c>
      <c r="R6">
        <v>2806999</v>
      </c>
    </row>
    <row r="7" spans="1:18" x14ac:dyDescent="0.25">
      <c r="A7" s="170">
        <v>45936</v>
      </c>
      <c r="B7" s="116">
        <v>463.1</v>
      </c>
      <c r="C7" s="116">
        <v>450.75</v>
      </c>
      <c r="D7" s="116">
        <v>448.05</v>
      </c>
      <c r="E7" s="116">
        <v>460.25</v>
      </c>
      <c r="F7" s="116">
        <v>450.75</v>
      </c>
      <c r="G7">
        <v>162286</v>
      </c>
      <c r="H7" s="116"/>
      <c r="I7" s="116"/>
      <c r="L7" s="170">
        <v>45936</v>
      </c>
      <c r="M7" s="116">
        <v>450.7</v>
      </c>
      <c r="N7" s="116">
        <v>462.9</v>
      </c>
      <c r="O7" s="116">
        <v>448</v>
      </c>
      <c r="P7" s="116">
        <v>461.8</v>
      </c>
      <c r="Q7" s="116">
        <v>450.7</v>
      </c>
      <c r="R7">
        <v>1086849</v>
      </c>
    </row>
    <row r="8" spans="1:18" x14ac:dyDescent="0.25">
      <c r="A8" s="170">
        <v>45937</v>
      </c>
      <c r="B8" s="116">
        <v>455.9</v>
      </c>
      <c r="C8" s="116">
        <v>446.3</v>
      </c>
      <c r="D8" s="116">
        <v>441</v>
      </c>
      <c r="E8" s="116">
        <v>451</v>
      </c>
      <c r="F8" s="116">
        <v>446.3</v>
      </c>
      <c r="G8">
        <v>126162</v>
      </c>
      <c r="H8" s="116"/>
      <c r="I8" s="116"/>
      <c r="L8" s="170">
        <v>45937</v>
      </c>
      <c r="M8" s="116">
        <v>446.1</v>
      </c>
      <c r="N8" s="116">
        <v>455.65</v>
      </c>
      <c r="O8" s="116">
        <v>441</v>
      </c>
      <c r="P8" s="116">
        <v>450.85</v>
      </c>
      <c r="Q8" s="116">
        <v>446.1</v>
      </c>
      <c r="R8">
        <v>758856</v>
      </c>
    </row>
    <row r="9" spans="1:18" x14ac:dyDescent="0.25">
      <c r="A9" s="170">
        <v>45938</v>
      </c>
      <c r="B9" s="116">
        <v>449</v>
      </c>
      <c r="C9" s="116">
        <v>445.15</v>
      </c>
      <c r="D9" s="116">
        <v>442.8</v>
      </c>
      <c r="E9" s="116">
        <v>445.25</v>
      </c>
      <c r="F9" s="116">
        <v>445.15</v>
      </c>
      <c r="G9">
        <v>88118</v>
      </c>
      <c r="H9" s="116"/>
      <c r="I9" s="116"/>
      <c r="L9" s="170">
        <v>45938</v>
      </c>
      <c r="M9" s="116">
        <v>445.15</v>
      </c>
      <c r="N9" s="116">
        <v>449.75</v>
      </c>
      <c r="O9" s="116">
        <v>442.95</v>
      </c>
      <c r="P9" s="116">
        <v>445.7</v>
      </c>
      <c r="Q9" s="116">
        <v>445.15</v>
      </c>
      <c r="R9">
        <v>416377</v>
      </c>
    </row>
    <row r="10" spans="1:18" x14ac:dyDescent="0.25">
      <c r="A10" s="170">
        <v>45939</v>
      </c>
      <c r="B10" s="116">
        <v>454.65</v>
      </c>
      <c r="C10" s="116">
        <v>444.95</v>
      </c>
      <c r="D10" s="116">
        <v>441.65</v>
      </c>
      <c r="E10" s="116">
        <v>447.8</v>
      </c>
      <c r="F10" s="116">
        <v>444.95</v>
      </c>
      <c r="G10">
        <v>72131</v>
      </c>
      <c r="H10" s="116"/>
      <c r="I10" s="116"/>
      <c r="L10" s="170">
        <v>45939</v>
      </c>
      <c r="M10" s="116">
        <v>445.1</v>
      </c>
      <c r="N10" s="116">
        <v>454.95</v>
      </c>
      <c r="O10" s="116">
        <v>441.55</v>
      </c>
      <c r="P10" s="116">
        <v>444.75</v>
      </c>
      <c r="Q10" s="116">
        <v>445.1</v>
      </c>
      <c r="R10">
        <v>586027</v>
      </c>
    </row>
    <row r="11" spans="1:18" x14ac:dyDescent="0.25">
      <c r="A11" s="170">
        <v>45940</v>
      </c>
      <c r="B11" s="116">
        <v>464.25</v>
      </c>
      <c r="C11" s="116">
        <v>450.2</v>
      </c>
      <c r="D11" s="116">
        <v>445.35</v>
      </c>
      <c r="E11" s="116">
        <v>450.8</v>
      </c>
      <c r="F11" s="116">
        <v>450.2</v>
      </c>
      <c r="G11">
        <v>106655</v>
      </c>
      <c r="H11" s="116"/>
      <c r="I11" s="116"/>
      <c r="L11" s="170">
        <v>45940</v>
      </c>
      <c r="M11" s="116">
        <v>449.7</v>
      </c>
      <c r="N11" s="116">
        <v>464.8</v>
      </c>
      <c r="O11" s="116">
        <v>445.1</v>
      </c>
      <c r="P11" s="116">
        <v>445.25</v>
      </c>
      <c r="Q11" s="116">
        <v>449.7</v>
      </c>
      <c r="R11">
        <v>938593</v>
      </c>
    </row>
    <row r="12" spans="1:18" x14ac:dyDescent="0.25">
      <c r="A12" s="170">
        <v>45943</v>
      </c>
      <c r="B12" s="116">
        <v>458.15</v>
      </c>
      <c r="C12" s="116">
        <v>451.4</v>
      </c>
      <c r="D12" s="116">
        <v>448</v>
      </c>
      <c r="E12" s="116">
        <v>448.05</v>
      </c>
      <c r="F12" s="116">
        <v>451.4</v>
      </c>
      <c r="G12">
        <v>67427</v>
      </c>
      <c r="H12" s="116"/>
      <c r="I12" s="116"/>
      <c r="L12" s="170">
        <v>45943</v>
      </c>
      <c r="M12" s="116">
        <v>451.9</v>
      </c>
      <c r="N12" s="116">
        <v>458.6</v>
      </c>
      <c r="O12" s="116">
        <v>448.25</v>
      </c>
      <c r="P12" s="116">
        <v>449</v>
      </c>
      <c r="Q12" s="116">
        <v>451.9</v>
      </c>
      <c r="R12">
        <v>476710</v>
      </c>
    </row>
    <row r="13" spans="1:18" x14ac:dyDescent="0.25">
      <c r="A13" s="170">
        <v>45944</v>
      </c>
      <c r="B13" s="116">
        <v>477.55</v>
      </c>
      <c r="C13" s="116">
        <v>464.6</v>
      </c>
      <c r="D13" s="116">
        <v>453.7</v>
      </c>
      <c r="E13" s="116">
        <v>453.7</v>
      </c>
      <c r="F13" s="116">
        <v>464.6</v>
      </c>
      <c r="G13">
        <v>141797</v>
      </c>
      <c r="H13" s="116"/>
      <c r="I13" s="116"/>
      <c r="L13" s="170">
        <v>45944</v>
      </c>
      <c r="M13" s="116">
        <v>464.95</v>
      </c>
      <c r="N13" s="116">
        <v>478.1</v>
      </c>
      <c r="O13" s="116">
        <v>454.7</v>
      </c>
      <c r="P13" s="116">
        <v>455</v>
      </c>
      <c r="Q13" s="116">
        <v>464.95</v>
      </c>
      <c r="R13">
        <v>1870827</v>
      </c>
    </row>
    <row r="14" spans="1:18" x14ac:dyDescent="0.25">
      <c r="A14" s="170">
        <v>45945</v>
      </c>
      <c r="B14" s="116">
        <v>471.75</v>
      </c>
      <c r="C14" s="116">
        <v>464.1</v>
      </c>
      <c r="D14" s="116">
        <v>460.95</v>
      </c>
      <c r="E14" s="116">
        <v>466</v>
      </c>
      <c r="F14" s="116">
        <v>464.1</v>
      </c>
      <c r="G14">
        <v>80475</v>
      </c>
      <c r="H14" s="116"/>
      <c r="I14" s="116"/>
      <c r="L14" s="170">
        <v>45945</v>
      </c>
      <c r="M14" s="116">
        <v>465.65</v>
      </c>
      <c r="N14" s="116">
        <v>471.5</v>
      </c>
      <c r="O14" s="116">
        <v>460</v>
      </c>
      <c r="P14" s="116">
        <v>470.05</v>
      </c>
      <c r="Q14" s="116">
        <v>465.65</v>
      </c>
      <c r="R14">
        <v>674754</v>
      </c>
    </row>
    <row r="15" spans="1:18" x14ac:dyDescent="0.25">
      <c r="A15" s="170">
        <v>45946</v>
      </c>
      <c r="B15" s="116">
        <v>498.05</v>
      </c>
      <c r="C15" s="116">
        <v>487.55</v>
      </c>
      <c r="D15" s="116">
        <v>467</v>
      </c>
      <c r="E15" s="116">
        <v>470.5</v>
      </c>
      <c r="F15" s="116">
        <v>487.55</v>
      </c>
      <c r="G15">
        <v>238017</v>
      </c>
      <c r="H15" s="116"/>
      <c r="I15" s="116"/>
      <c r="L15" s="170">
        <v>45946</v>
      </c>
      <c r="M15" s="116">
        <v>487.45</v>
      </c>
      <c r="N15" s="116">
        <v>497.9</v>
      </c>
      <c r="O15" s="116">
        <v>467.25</v>
      </c>
      <c r="P15" s="116">
        <v>469.4</v>
      </c>
      <c r="Q15" s="116">
        <v>487.45</v>
      </c>
      <c r="R15">
        <v>2508533</v>
      </c>
    </row>
    <row r="16" spans="1:18" x14ac:dyDescent="0.25">
      <c r="A16" s="170">
        <v>45947</v>
      </c>
      <c r="B16" s="116">
        <v>536</v>
      </c>
      <c r="C16" s="116">
        <v>520.29999999999995</v>
      </c>
      <c r="D16" s="116">
        <v>489</v>
      </c>
      <c r="E16" s="116">
        <v>490.95</v>
      </c>
      <c r="F16" s="116">
        <v>520.29999999999995</v>
      </c>
      <c r="G16">
        <v>653488</v>
      </c>
      <c r="H16" s="116"/>
      <c r="I16" s="116"/>
      <c r="L16" s="170">
        <v>45947</v>
      </c>
      <c r="M16" s="116">
        <v>520.5</v>
      </c>
      <c r="N16" s="116">
        <v>535.79999999999995</v>
      </c>
      <c r="O16" s="116">
        <v>488</v>
      </c>
      <c r="P16" s="116">
        <v>491.2</v>
      </c>
      <c r="Q16" s="116">
        <v>520.5</v>
      </c>
      <c r="R16">
        <v>5175804</v>
      </c>
    </row>
    <row r="17" spans="1:18" x14ac:dyDescent="0.25">
      <c r="A17" s="170">
        <v>45950</v>
      </c>
      <c r="B17" s="116">
        <v>517.45000000000005</v>
      </c>
      <c r="C17" s="116">
        <v>503.05</v>
      </c>
      <c r="D17" s="116">
        <v>496</v>
      </c>
      <c r="E17" s="116">
        <v>515.25</v>
      </c>
      <c r="F17" s="116">
        <v>503.05</v>
      </c>
      <c r="G17">
        <v>129047</v>
      </c>
      <c r="H17" s="116"/>
      <c r="I17" s="116"/>
      <c r="L17" s="170">
        <v>45950</v>
      </c>
      <c r="M17" s="116">
        <v>503.45</v>
      </c>
      <c r="N17" s="116">
        <v>518.95000000000005</v>
      </c>
      <c r="O17" s="116">
        <v>496</v>
      </c>
      <c r="P17" s="116">
        <v>515</v>
      </c>
      <c r="Q17" s="116">
        <v>503.45</v>
      </c>
      <c r="R17">
        <v>1765890</v>
      </c>
    </row>
    <row r="18" spans="1:18" x14ac:dyDescent="0.25">
      <c r="A18" s="170">
        <v>45951</v>
      </c>
      <c r="B18" s="116">
        <v>527.54999999999995</v>
      </c>
      <c r="C18" s="116">
        <v>519.35</v>
      </c>
      <c r="D18" s="116">
        <v>509.45</v>
      </c>
      <c r="E18" s="116">
        <v>510.95</v>
      </c>
      <c r="F18" s="116">
        <v>519.35</v>
      </c>
      <c r="G18">
        <v>36662</v>
      </c>
      <c r="H18" s="116"/>
      <c r="I18" s="116"/>
      <c r="L18" s="170">
        <v>45951</v>
      </c>
      <c r="M18" s="116">
        <v>519.04999999999995</v>
      </c>
      <c r="N18" s="116">
        <v>528.1</v>
      </c>
      <c r="O18" s="116">
        <v>508</v>
      </c>
      <c r="P18" s="116">
        <v>508</v>
      </c>
      <c r="Q18" s="116">
        <v>519.04999999999995</v>
      </c>
      <c r="R18">
        <v>620385</v>
      </c>
    </row>
    <row r="19" spans="1:18" x14ac:dyDescent="0.25">
      <c r="A19" s="170">
        <v>45953</v>
      </c>
      <c r="B19" s="116">
        <v>524.5</v>
      </c>
      <c r="C19" s="116">
        <v>514.1</v>
      </c>
      <c r="D19" s="116">
        <v>507.6</v>
      </c>
      <c r="E19" s="116">
        <v>521.20000000000005</v>
      </c>
      <c r="F19" s="116">
        <v>514.1</v>
      </c>
      <c r="G19">
        <v>92745</v>
      </c>
      <c r="H19" s="116"/>
      <c r="I19" s="116"/>
      <c r="L19" s="170">
        <v>45953</v>
      </c>
      <c r="M19" s="116">
        <v>513.25</v>
      </c>
      <c r="N19" s="116">
        <v>524</v>
      </c>
      <c r="O19" s="116">
        <v>510</v>
      </c>
      <c r="P19" s="116">
        <v>523.9</v>
      </c>
      <c r="Q19" s="116">
        <v>513.25</v>
      </c>
      <c r="R19">
        <v>479433</v>
      </c>
    </row>
    <row r="20" spans="1:18" x14ac:dyDescent="0.25">
      <c r="A20" s="170">
        <v>45954</v>
      </c>
      <c r="B20" s="116">
        <v>536</v>
      </c>
      <c r="C20" s="116">
        <v>510.75</v>
      </c>
      <c r="D20" s="116">
        <v>508.5</v>
      </c>
      <c r="E20" s="116">
        <v>514.54999999999995</v>
      </c>
      <c r="F20" s="116">
        <v>510.75</v>
      </c>
      <c r="G20">
        <v>129495</v>
      </c>
      <c r="H20" s="116"/>
      <c r="I20" s="116"/>
      <c r="L20" s="170">
        <v>45954</v>
      </c>
      <c r="M20" s="116">
        <v>511</v>
      </c>
      <c r="N20" s="116">
        <v>536</v>
      </c>
      <c r="O20" s="116">
        <v>508.1</v>
      </c>
      <c r="P20" s="116">
        <v>514.54999999999995</v>
      </c>
      <c r="Q20" s="116">
        <v>511</v>
      </c>
      <c r="R20">
        <v>1327078</v>
      </c>
    </row>
    <row r="21" spans="1:18" x14ac:dyDescent="0.25">
      <c r="A21" s="170">
        <v>45957</v>
      </c>
      <c r="B21" s="116">
        <v>513.75</v>
      </c>
      <c r="C21" s="116">
        <v>503.45</v>
      </c>
      <c r="D21" s="116">
        <v>500.9</v>
      </c>
      <c r="E21" s="116">
        <v>511.05</v>
      </c>
      <c r="F21" s="116">
        <v>503.45</v>
      </c>
      <c r="G21">
        <v>66621</v>
      </c>
      <c r="H21" s="116"/>
      <c r="I21" s="116"/>
      <c r="L21" s="170">
        <v>45957</v>
      </c>
      <c r="M21" s="116">
        <v>503.45</v>
      </c>
      <c r="N21" s="116">
        <v>514</v>
      </c>
      <c r="O21" s="116">
        <v>500.5</v>
      </c>
      <c r="P21" s="116">
        <v>512</v>
      </c>
      <c r="Q21" s="116">
        <v>503.45</v>
      </c>
      <c r="R21">
        <v>874465</v>
      </c>
    </row>
    <row r="22" spans="1:18" x14ac:dyDescent="0.25">
      <c r="A22" s="170">
        <v>45958</v>
      </c>
      <c r="B22" s="116">
        <v>529.9</v>
      </c>
      <c r="C22" s="116">
        <v>522.6</v>
      </c>
      <c r="D22" s="116">
        <v>504.55</v>
      </c>
      <c r="E22" s="116">
        <v>506</v>
      </c>
      <c r="F22" s="116">
        <v>522.6</v>
      </c>
      <c r="G22">
        <v>84336</v>
      </c>
      <c r="H22" s="116"/>
      <c r="I22" s="116"/>
      <c r="L22" s="170">
        <v>45958</v>
      </c>
      <c r="M22" s="116">
        <v>522.45000000000005</v>
      </c>
      <c r="N22" s="116">
        <v>529.9</v>
      </c>
      <c r="O22" s="116">
        <v>504.4</v>
      </c>
      <c r="P22" s="116">
        <v>506</v>
      </c>
      <c r="Q22" s="116">
        <v>522.45000000000005</v>
      </c>
      <c r="R22">
        <v>1102937</v>
      </c>
    </row>
    <row r="23" spans="1:18" x14ac:dyDescent="0.25">
      <c r="A23" s="170">
        <v>45959</v>
      </c>
      <c r="B23" s="116">
        <v>523</v>
      </c>
      <c r="C23" s="116">
        <v>513.9</v>
      </c>
      <c r="D23" s="116">
        <v>509.6</v>
      </c>
      <c r="E23" s="116">
        <v>517.25</v>
      </c>
      <c r="F23" s="116">
        <v>513.9</v>
      </c>
      <c r="G23">
        <v>95359</v>
      </c>
      <c r="H23" s="116"/>
      <c r="I23" s="116"/>
      <c r="L23" s="170">
        <v>45959</v>
      </c>
      <c r="M23" s="116">
        <v>513.5</v>
      </c>
      <c r="N23" s="116">
        <v>523.5</v>
      </c>
      <c r="O23" s="116">
        <v>509.55</v>
      </c>
      <c r="P23" s="116">
        <v>519</v>
      </c>
      <c r="Q23" s="116">
        <v>513.5</v>
      </c>
      <c r="R23">
        <v>654412</v>
      </c>
    </row>
    <row r="24" spans="1:18" x14ac:dyDescent="0.25">
      <c r="A24" s="170">
        <v>45960</v>
      </c>
      <c r="B24" s="116">
        <v>518</v>
      </c>
      <c r="C24" s="116">
        <v>508.45</v>
      </c>
      <c r="D24" s="116">
        <v>507.5</v>
      </c>
      <c r="E24" s="116">
        <v>516.95000000000005</v>
      </c>
      <c r="F24" s="116">
        <v>508.45</v>
      </c>
      <c r="G24">
        <v>33206</v>
      </c>
      <c r="H24" s="116"/>
      <c r="I24" s="116"/>
      <c r="L24" s="170">
        <v>45960</v>
      </c>
      <c r="M24" s="116">
        <v>509.35</v>
      </c>
      <c r="N24" s="116">
        <v>518.65</v>
      </c>
      <c r="O24" s="116">
        <v>507.2</v>
      </c>
      <c r="P24" s="116">
        <v>517.25</v>
      </c>
      <c r="Q24" s="116">
        <v>509.35</v>
      </c>
      <c r="R24">
        <v>330171</v>
      </c>
    </row>
    <row r="25" spans="1:18" x14ac:dyDescent="0.25">
      <c r="A25" s="170">
        <v>45961</v>
      </c>
      <c r="B25" s="116">
        <v>514.45000000000005</v>
      </c>
      <c r="C25" s="116">
        <v>510.8</v>
      </c>
      <c r="D25" s="116">
        <v>504.4</v>
      </c>
      <c r="E25" s="116">
        <v>508.05</v>
      </c>
      <c r="F25" s="116">
        <v>510.8</v>
      </c>
      <c r="G25">
        <v>21593</v>
      </c>
      <c r="H25" s="116"/>
      <c r="I25" s="116"/>
      <c r="L25" s="170">
        <v>45961</v>
      </c>
      <c r="M25" s="116">
        <v>508.9</v>
      </c>
      <c r="N25" s="116">
        <v>514</v>
      </c>
      <c r="O25" s="116">
        <v>503.8</v>
      </c>
      <c r="P25" s="116">
        <v>506.9</v>
      </c>
      <c r="Q25" s="116">
        <v>508.9</v>
      </c>
      <c r="R25">
        <v>317482</v>
      </c>
    </row>
    <row r="26" spans="1:18" x14ac:dyDescent="0.25">
      <c r="A26" s="170">
        <v>45964</v>
      </c>
      <c r="B26" s="116">
        <v>517</v>
      </c>
      <c r="C26" s="116">
        <v>512.65</v>
      </c>
      <c r="D26" s="116">
        <v>504.4</v>
      </c>
      <c r="E26" s="116">
        <v>509.5</v>
      </c>
      <c r="F26" s="116">
        <v>512.65</v>
      </c>
      <c r="G26">
        <v>102702</v>
      </c>
      <c r="H26" s="116"/>
      <c r="I26" s="116"/>
      <c r="L26" s="170">
        <v>45964</v>
      </c>
      <c r="M26" s="116">
        <v>513.04999999999995</v>
      </c>
      <c r="N26" s="116">
        <v>517.70000000000005</v>
      </c>
      <c r="O26" s="116">
        <v>505</v>
      </c>
      <c r="P26" s="116">
        <v>508.9</v>
      </c>
      <c r="Q26" s="116">
        <v>513.04999999999995</v>
      </c>
      <c r="R26">
        <v>421612</v>
      </c>
    </row>
    <row r="27" spans="1:18" x14ac:dyDescent="0.25">
      <c r="A27" s="170">
        <v>45965</v>
      </c>
      <c r="B27" s="116">
        <v>545.4</v>
      </c>
      <c r="C27" s="116">
        <v>537.54999999999995</v>
      </c>
      <c r="D27" s="116">
        <v>515.4</v>
      </c>
      <c r="E27" s="116">
        <v>517.35</v>
      </c>
      <c r="F27" s="116">
        <v>537.54999999999995</v>
      </c>
      <c r="G27">
        <v>201467</v>
      </c>
      <c r="H27" s="116"/>
      <c r="I27" s="116"/>
      <c r="L27" s="170">
        <v>45965</v>
      </c>
      <c r="M27" s="116">
        <v>537.29999999999995</v>
      </c>
      <c r="N27" s="116">
        <v>545.95000000000005</v>
      </c>
      <c r="O27" s="116">
        <v>513.35</v>
      </c>
      <c r="P27" s="116">
        <v>515</v>
      </c>
      <c r="Q27" s="116">
        <v>537.29999999999995</v>
      </c>
      <c r="R27">
        <v>2107743</v>
      </c>
    </row>
    <row r="28" spans="1:18" x14ac:dyDescent="0.25">
      <c r="A28" s="170">
        <v>45967</v>
      </c>
      <c r="B28" s="116">
        <v>555</v>
      </c>
      <c r="C28" s="116">
        <v>539.15</v>
      </c>
      <c r="D28" s="116">
        <v>528</v>
      </c>
      <c r="E28" s="116">
        <v>540.75</v>
      </c>
      <c r="F28" s="116">
        <v>539.15</v>
      </c>
      <c r="G28">
        <v>131360</v>
      </c>
      <c r="H28" s="116"/>
      <c r="I28" s="116"/>
      <c r="L28" s="170">
        <v>45967</v>
      </c>
      <c r="M28" s="116">
        <v>539.29999999999995</v>
      </c>
      <c r="N28" s="116">
        <v>555.04999999999995</v>
      </c>
      <c r="O28" s="116">
        <v>528</v>
      </c>
      <c r="P28" s="116">
        <v>540</v>
      </c>
      <c r="Q28" s="116">
        <v>539.29999999999995</v>
      </c>
      <c r="R28">
        <v>1017673</v>
      </c>
    </row>
    <row r="29" spans="1:18" x14ac:dyDescent="0.25">
      <c r="A29" s="170">
        <v>45968</v>
      </c>
      <c r="B29" s="116">
        <v>593.04999999999995</v>
      </c>
      <c r="C29" s="116">
        <v>572.79999999999995</v>
      </c>
      <c r="D29" s="116">
        <v>521</v>
      </c>
      <c r="E29" s="116">
        <v>540</v>
      </c>
      <c r="F29" s="116">
        <v>572.79999999999995</v>
      </c>
      <c r="G29">
        <v>221838</v>
      </c>
      <c r="H29" s="116"/>
      <c r="I29" s="116"/>
      <c r="L29" s="170">
        <v>45968</v>
      </c>
      <c r="M29" s="116">
        <v>572.95000000000005</v>
      </c>
      <c r="N29" s="116">
        <v>593.9</v>
      </c>
      <c r="O29" s="116">
        <v>520.5</v>
      </c>
      <c r="P29" s="116">
        <v>539.29999999999995</v>
      </c>
      <c r="Q29" s="116">
        <v>572.95000000000005</v>
      </c>
      <c r="R29">
        <v>2809999</v>
      </c>
    </row>
    <row r="30" spans="1:18" x14ac:dyDescent="0.25">
      <c r="A30" s="170">
        <v>45971</v>
      </c>
      <c r="B30" s="116">
        <v>619.5</v>
      </c>
      <c r="C30" s="116">
        <v>600.79999999999995</v>
      </c>
      <c r="D30" s="116">
        <v>569.04999999999995</v>
      </c>
      <c r="E30" s="116">
        <v>579.65</v>
      </c>
      <c r="F30" s="116">
        <v>600.79999999999995</v>
      </c>
      <c r="G30">
        <v>207382</v>
      </c>
      <c r="H30" s="116"/>
      <c r="I30" s="116"/>
      <c r="L30" s="170">
        <v>45971</v>
      </c>
      <c r="M30" s="116">
        <v>600.75</v>
      </c>
      <c r="N30" s="116">
        <v>619</v>
      </c>
      <c r="O30" s="116">
        <v>568.70000000000005</v>
      </c>
      <c r="P30" s="116">
        <v>575</v>
      </c>
      <c r="Q30" s="116">
        <v>600.75</v>
      </c>
      <c r="R30">
        <v>2693403</v>
      </c>
    </row>
    <row r="31" spans="1:18" x14ac:dyDescent="0.25">
      <c r="A31" s="170">
        <v>45972</v>
      </c>
      <c r="B31" s="116">
        <v>625.70000000000005</v>
      </c>
      <c r="C31" s="116">
        <v>617.4</v>
      </c>
      <c r="D31" s="116">
        <v>596.35</v>
      </c>
      <c r="E31" s="116">
        <v>601.79999999999995</v>
      </c>
      <c r="F31" s="116">
        <v>617.4</v>
      </c>
      <c r="G31">
        <v>114347</v>
      </c>
      <c r="H31" s="116"/>
      <c r="I31" s="116"/>
      <c r="L31" s="170">
        <v>45972</v>
      </c>
      <c r="M31" s="116">
        <v>616.6</v>
      </c>
      <c r="N31" s="116">
        <v>624.9</v>
      </c>
      <c r="O31" s="116">
        <v>596.54999999999995</v>
      </c>
      <c r="P31" s="116">
        <v>599</v>
      </c>
      <c r="Q31" s="116">
        <v>616.6</v>
      </c>
      <c r="R31">
        <v>1111395</v>
      </c>
    </row>
    <row r="32" spans="1:18" x14ac:dyDescent="0.25">
      <c r="A32" s="170">
        <v>45973</v>
      </c>
      <c r="B32" s="116">
        <v>663.95</v>
      </c>
      <c r="C32" s="116">
        <v>651.29999999999995</v>
      </c>
      <c r="D32" s="116">
        <v>620.04999999999995</v>
      </c>
      <c r="E32" s="116">
        <v>620.04999999999995</v>
      </c>
      <c r="F32" s="116">
        <v>651.29999999999995</v>
      </c>
      <c r="G32">
        <v>253293</v>
      </c>
      <c r="H32" s="116"/>
      <c r="I32" s="116"/>
      <c r="L32" s="170">
        <v>45973</v>
      </c>
      <c r="M32" s="116">
        <v>651.5</v>
      </c>
      <c r="N32" s="116">
        <v>663.95</v>
      </c>
      <c r="O32" s="116">
        <v>621</v>
      </c>
      <c r="P32" s="116">
        <v>621.85</v>
      </c>
      <c r="Q32" s="116">
        <v>651.5</v>
      </c>
      <c r="R32">
        <v>2290587</v>
      </c>
    </row>
    <row r="33" spans="1:18" x14ac:dyDescent="0.25">
      <c r="A33" s="170">
        <v>45974</v>
      </c>
      <c r="B33" s="116">
        <v>683</v>
      </c>
      <c r="C33" s="116">
        <v>669.9</v>
      </c>
      <c r="D33" s="116">
        <v>645.29999999999995</v>
      </c>
      <c r="E33" s="116">
        <v>671.6</v>
      </c>
      <c r="F33" s="116">
        <v>669.9</v>
      </c>
      <c r="G33">
        <v>110026</v>
      </c>
      <c r="H33" s="116"/>
      <c r="I33" s="116"/>
      <c r="L33" s="170">
        <v>45974</v>
      </c>
      <c r="M33" s="116">
        <v>669.7</v>
      </c>
      <c r="N33" s="116">
        <v>682.5</v>
      </c>
      <c r="O33" s="116">
        <v>644.9</v>
      </c>
      <c r="P33" s="116">
        <v>667.3</v>
      </c>
      <c r="Q33" s="116">
        <v>669.7</v>
      </c>
      <c r="R33">
        <v>1667945</v>
      </c>
    </row>
    <row r="34" spans="1:18" x14ac:dyDescent="0.25">
      <c r="A34" s="170">
        <v>45975</v>
      </c>
      <c r="B34" s="116">
        <v>737.4</v>
      </c>
      <c r="C34" s="116">
        <v>733.15</v>
      </c>
      <c r="D34" s="116">
        <v>672</v>
      </c>
      <c r="E34" s="116">
        <v>672</v>
      </c>
      <c r="F34" s="116">
        <v>733.15</v>
      </c>
      <c r="G34">
        <v>323803</v>
      </c>
      <c r="H34" s="116"/>
      <c r="I34" s="116"/>
      <c r="L34" s="170">
        <v>45975</v>
      </c>
      <c r="M34" s="116">
        <v>733.4</v>
      </c>
      <c r="N34" s="116">
        <v>738</v>
      </c>
      <c r="O34" s="116">
        <v>673.05</v>
      </c>
      <c r="P34" s="116">
        <v>673.05</v>
      </c>
      <c r="Q34" s="116">
        <v>733.4</v>
      </c>
      <c r="R34">
        <v>3454442</v>
      </c>
    </row>
    <row r="35" spans="1:18" x14ac:dyDescent="0.25">
      <c r="A35" s="170">
        <v>45978</v>
      </c>
      <c r="B35" s="116">
        <v>775</v>
      </c>
      <c r="C35" s="116">
        <v>767.15</v>
      </c>
      <c r="D35" s="116">
        <v>733</v>
      </c>
      <c r="E35" s="116">
        <v>751.6</v>
      </c>
      <c r="F35" s="116">
        <v>767.15</v>
      </c>
      <c r="G35">
        <v>290813</v>
      </c>
      <c r="H35" s="116"/>
      <c r="I35" s="116"/>
      <c r="L35" s="170">
        <v>45978</v>
      </c>
      <c r="M35" s="116">
        <v>768.5</v>
      </c>
      <c r="N35" s="116">
        <v>775</v>
      </c>
      <c r="O35" s="116">
        <v>732.6</v>
      </c>
      <c r="P35" s="116">
        <v>749</v>
      </c>
      <c r="Q35" s="116">
        <v>768.5</v>
      </c>
      <c r="R35">
        <v>4064062</v>
      </c>
    </row>
    <row r="36" spans="1:18" x14ac:dyDescent="0.25">
      <c r="A36" s="170">
        <v>45979</v>
      </c>
      <c r="B36" s="116">
        <v>795.1</v>
      </c>
      <c r="C36" s="116">
        <v>773</v>
      </c>
      <c r="D36" s="116">
        <v>765.25</v>
      </c>
      <c r="E36" s="116">
        <v>779.8</v>
      </c>
      <c r="F36" s="116">
        <v>773</v>
      </c>
      <c r="G36">
        <v>193416</v>
      </c>
      <c r="H36" s="116"/>
      <c r="I36" s="116"/>
      <c r="L36" s="170">
        <v>45979</v>
      </c>
      <c r="M36" s="116">
        <v>773.95</v>
      </c>
      <c r="N36" s="116">
        <v>794.85</v>
      </c>
      <c r="O36" s="116">
        <v>765</v>
      </c>
      <c r="P36" s="116">
        <v>775</v>
      </c>
      <c r="Q36" s="116">
        <v>773.95</v>
      </c>
      <c r="R36">
        <v>2214712</v>
      </c>
    </row>
    <row r="37" spans="1:18" x14ac:dyDescent="0.25">
      <c r="A37" s="170">
        <v>45980</v>
      </c>
      <c r="B37" s="116">
        <v>775</v>
      </c>
      <c r="C37" s="116">
        <v>700.7</v>
      </c>
      <c r="D37" s="116">
        <v>693.8</v>
      </c>
      <c r="E37" s="116">
        <v>775</v>
      </c>
      <c r="F37" s="116">
        <v>700.7</v>
      </c>
      <c r="G37">
        <v>269031</v>
      </c>
      <c r="H37" s="116"/>
      <c r="I37" s="116"/>
      <c r="L37" s="170">
        <v>45980</v>
      </c>
      <c r="M37" s="116">
        <v>700.5</v>
      </c>
      <c r="N37" s="116">
        <v>774.7</v>
      </c>
      <c r="O37" s="116">
        <v>690.9</v>
      </c>
      <c r="P37" s="116">
        <v>774.7</v>
      </c>
      <c r="Q37" s="116">
        <v>700.5</v>
      </c>
      <c r="R37">
        <v>3100269</v>
      </c>
    </row>
    <row r="38" spans="1:18" x14ac:dyDescent="0.25">
      <c r="A38" s="170">
        <v>45981</v>
      </c>
      <c r="B38" s="116">
        <v>749.9</v>
      </c>
      <c r="C38" s="116">
        <v>744.75</v>
      </c>
      <c r="D38" s="116">
        <v>690.75</v>
      </c>
      <c r="E38" s="116">
        <v>690.75</v>
      </c>
      <c r="F38" s="116">
        <v>744.75</v>
      </c>
      <c r="G38">
        <v>281468</v>
      </c>
      <c r="H38" s="116"/>
      <c r="I38" s="116"/>
      <c r="L38" s="170">
        <v>45981</v>
      </c>
      <c r="M38" s="116">
        <v>745.1</v>
      </c>
      <c r="N38" s="116">
        <v>749.9</v>
      </c>
      <c r="O38" s="116">
        <v>695</v>
      </c>
      <c r="P38" s="116">
        <v>695</v>
      </c>
      <c r="Q38" s="116">
        <v>745.1</v>
      </c>
      <c r="R38">
        <v>2206225</v>
      </c>
    </row>
    <row r="39" spans="1:18" x14ac:dyDescent="0.25">
      <c r="A39" s="170">
        <v>45982</v>
      </c>
      <c r="B39" s="116">
        <v>741.3</v>
      </c>
      <c r="C39" s="116">
        <v>719.15</v>
      </c>
      <c r="D39" s="116">
        <v>717</v>
      </c>
      <c r="E39" s="116">
        <v>741.25</v>
      </c>
      <c r="F39" s="116">
        <v>719.15</v>
      </c>
      <c r="G39">
        <v>48516</v>
      </c>
      <c r="H39" s="116"/>
      <c r="I39" s="116"/>
      <c r="L39" s="170">
        <v>45982</v>
      </c>
      <c r="M39" s="116">
        <v>719.35</v>
      </c>
      <c r="N39" s="116">
        <v>742</v>
      </c>
      <c r="O39" s="116">
        <v>717</v>
      </c>
      <c r="P39" s="116">
        <v>742</v>
      </c>
      <c r="Q39" s="116">
        <v>719.35</v>
      </c>
      <c r="R39">
        <v>805009</v>
      </c>
    </row>
    <row r="40" spans="1:18" x14ac:dyDescent="0.25">
      <c r="A40" s="170">
        <v>45985</v>
      </c>
      <c r="B40" s="116">
        <v>735.3</v>
      </c>
      <c r="C40" s="116">
        <v>704</v>
      </c>
      <c r="D40" s="116">
        <v>701.35</v>
      </c>
      <c r="E40" s="116">
        <v>725.85</v>
      </c>
      <c r="F40" s="116">
        <v>704</v>
      </c>
      <c r="G40">
        <v>46247</v>
      </c>
      <c r="H40" s="116"/>
      <c r="I40" s="116"/>
      <c r="L40" s="170">
        <v>45985</v>
      </c>
      <c r="M40" s="116">
        <v>704.45</v>
      </c>
      <c r="N40" s="116">
        <v>734.85</v>
      </c>
      <c r="O40" s="116">
        <v>700.3</v>
      </c>
      <c r="P40" s="116">
        <v>728</v>
      </c>
      <c r="Q40" s="116">
        <v>704.45</v>
      </c>
      <c r="R40">
        <v>690070</v>
      </c>
    </row>
    <row r="41" spans="1:18" x14ac:dyDescent="0.25">
      <c r="A41" s="170">
        <v>45986</v>
      </c>
      <c r="B41" s="116">
        <v>721.95</v>
      </c>
      <c r="C41" s="116">
        <v>715.85</v>
      </c>
      <c r="D41" s="116">
        <v>700</v>
      </c>
      <c r="E41" s="116">
        <v>709.75</v>
      </c>
      <c r="F41" s="116">
        <v>715.85</v>
      </c>
      <c r="G41">
        <v>30016</v>
      </c>
      <c r="H41" s="116"/>
      <c r="I41" s="116"/>
      <c r="L41" s="170">
        <v>45986</v>
      </c>
      <c r="M41" s="116">
        <v>715.75</v>
      </c>
      <c r="N41" s="116">
        <v>722.8</v>
      </c>
      <c r="O41" s="116">
        <v>700.4</v>
      </c>
      <c r="P41" s="116">
        <v>706.6</v>
      </c>
      <c r="Q41" s="116">
        <v>715.75</v>
      </c>
      <c r="R41">
        <v>498124</v>
      </c>
    </row>
    <row r="42" spans="1:18" x14ac:dyDescent="0.25">
      <c r="A42" s="170">
        <v>45987</v>
      </c>
      <c r="B42" s="116">
        <v>728.7</v>
      </c>
      <c r="C42" s="116">
        <v>707.7</v>
      </c>
      <c r="D42" s="116">
        <v>702</v>
      </c>
      <c r="E42" s="116">
        <v>721.35</v>
      </c>
      <c r="F42" s="116">
        <v>707.7</v>
      </c>
      <c r="G42">
        <v>59527</v>
      </c>
      <c r="H42" s="116"/>
      <c r="I42" s="116"/>
      <c r="L42" s="170">
        <v>45987</v>
      </c>
      <c r="M42" s="116">
        <v>708.5</v>
      </c>
      <c r="N42" s="116">
        <v>728.85</v>
      </c>
      <c r="O42" s="116">
        <v>701.65</v>
      </c>
      <c r="P42" s="116">
        <v>718.6</v>
      </c>
      <c r="Q42" s="116">
        <v>708.5</v>
      </c>
      <c r="R42">
        <v>808463</v>
      </c>
    </row>
    <row r="43" spans="1:18" x14ac:dyDescent="0.25">
      <c r="A43" s="170">
        <v>45988</v>
      </c>
      <c r="B43" s="116">
        <v>717.15</v>
      </c>
      <c r="C43" s="116">
        <v>701.45</v>
      </c>
      <c r="D43" s="116">
        <v>677.55</v>
      </c>
      <c r="E43" s="116">
        <v>708.35</v>
      </c>
      <c r="F43" s="116">
        <v>701.45</v>
      </c>
      <c r="G43">
        <v>115016</v>
      </c>
      <c r="H43" s="116"/>
      <c r="I43" s="116"/>
      <c r="L43" s="170">
        <v>45988</v>
      </c>
      <c r="M43" s="116">
        <v>701.75</v>
      </c>
      <c r="N43" s="116">
        <v>714.55</v>
      </c>
      <c r="O43" s="116">
        <v>675.6</v>
      </c>
      <c r="P43" s="116">
        <v>712.8</v>
      </c>
      <c r="Q43" s="116">
        <v>701.75</v>
      </c>
      <c r="R43">
        <v>1007641</v>
      </c>
    </row>
    <row r="44" spans="1:18" x14ac:dyDescent="0.25">
      <c r="A44" s="170">
        <v>45989</v>
      </c>
      <c r="B44" s="116">
        <v>717</v>
      </c>
      <c r="C44" s="116">
        <v>694.7</v>
      </c>
      <c r="D44" s="116">
        <v>691</v>
      </c>
      <c r="E44" s="116">
        <v>707</v>
      </c>
      <c r="F44" s="116">
        <v>694.7</v>
      </c>
      <c r="G44">
        <v>53934</v>
      </c>
      <c r="H44" s="116"/>
      <c r="I44" s="116"/>
      <c r="L44" s="170">
        <v>45989</v>
      </c>
      <c r="M44" s="116">
        <v>694</v>
      </c>
      <c r="N44" s="116">
        <v>717.05</v>
      </c>
      <c r="O44" s="116">
        <v>691</v>
      </c>
      <c r="P44" s="116">
        <v>702.5</v>
      </c>
      <c r="Q44" s="116">
        <v>694</v>
      </c>
      <c r="R44">
        <v>603899</v>
      </c>
    </row>
    <row r="45" spans="1:18" x14ac:dyDescent="0.25">
      <c r="A45" s="170">
        <v>45992</v>
      </c>
      <c r="B45" s="116">
        <v>698.8</v>
      </c>
      <c r="C45" s="116">
        <v>662.3</v>
      </c>
      <c r="D45" s="116">
        <v>657.55</v>
      </c>
      <c r="E45" s="116">
        <v>691.4</v>
      </c>
      <c r="F45" s="116">
        <v>662.3</v>
      </c>
      <c r="G45">
        <v>146345</v>
      </c>
      <c r="H45" s="116"/>
      <c r="I45" s="116"/>
      <c r="L45" s="170">
        <v>45992</v>
      </c>
      <c r="M45" s="116">
        <v>661.2</v>
      </c>
      <c r="N45" s="116">
        <v>698.15</v>
      </c>
      <c r="O45" s="116">
        <v>657.95</v>
      </c>
      <c r="P45" s="116">
        <v>696.8</v>
      </c>
      <c r="Q45" s="116">
        <v>661.2</v>
      </c>
      <c r="R45">
        <v>769336</v>
      </c>
    </row>
    <row r="46" spans="1:18" x14ac:dyDescent="0.25">
      <c r="A46" s="170">
        <v>45993</v>
      </c>
      <c r="B46" s="116">
        <v>669</v>
      </c>
      <c r="C46" s="116">
        <v>648.35</v>
      </c>
      <c r="D46" s="116">
        <v>643.15</v>
      </c>
      <c r="E46" s="116">
        <v>657.8</v>
      </c>
      <c r="F46" s="116">
        <v>648.35</v>
      </c>
      <c r="G46">
        <v>97604</v>
      </c>
      <c r="H46" s="116"/>
      <c r="I46" s="116"/>
      <c r="L46" s="170">
        <v>45993</v>
      </c>
      <c r="M46" s="116">
        <v>648.20000000000005</v>
      </c>
      <c r="N46" s="116">
        <v>669.3</v>
      </c>
      <c r="O46" s="116">
        <v>643.35</v>
      </c>
      <c r="P46" s="116">
        <v>661</v>
      </c>
      <c r="Q46" s="116">
        <v>648.20000000000005</v>
      </c>
      <c r="R46">
        <v>801266</v>
      </c>
    </row>
    <row r="47" spans="1:18" x14ac:dyDescent="0.25">
      <c r="A47" s="170">
        <v>45994</v>
      </c>
      <c r="B47" s="116">
        <v>655.15</v>
      </c>
      <c r="C47" s="116">
        <v>633.4</v>
      </c>
      <c r="D47" s="116">
        <v>630</v>
      </c>
      <c r="E47" s="116">
        <v>648.35</v>
      </c>
      <c r="F47" s="116">
        <v>633.4</v>
      </c>
      <c r="G47">
        <v>78327</v>
      </c>
      <c r="H47" s="116"/>
      <c r="I47" s="116"/>
      <c r="L47" s="170">
        <v>45994</v>
      </c>
      <c r="M47" s="116">
        <v>633.65</v>
      </c>
      <c r="N47" s="116">
        <v>655</v>
      </c>
      <c r="O47" s="116">
        <v>630</v>
      </c>
      <c r="P47" s="116">
        <v>650</v>
      </c>
      <c r="Q47" s="116">
        <v>633.65</v>
      </c>
      <c r="R47">
        <v>676193</v>
      </c>
    </row>
    <row r="48" spans="1:18" x14ac:dyDescent="0.25">
      <c r="A48" s="170">
        <v>45995</v>
      </c>
      <c r="B48" s="116">
        <v>645</v>
      </c>
      <c r="C48" s="116">
        <v>623.70000000000005</v>
      </c>
      <c r="D48" s="116">
        <v>621.04999999999995</v>
      </c>
      <c r="E48" s="116">
        <v>633.4</v>
      </c>
      <c r="F48" s="116">
        <v>623.70000000000005</v>
      </c>
      <c r="G48">
        <v>30458</v>
      </c>
      <c r="H48" s="116"/>
      <c r="I48" s="116"/>
      <c r="L48" s="170">
        <v>45995</v>
      </c>
      <c r="M48" s="116">
        <v>624.20000000000005</v>
      </c>
      <c r="N48" s="116">
        <v>645.95000000000005</v>
      </c>
      <c r="O48" s="116">
        <v>621</v>
      </c>
      <c r="P48" s="116">
        <v>631.04999999999995</v>
      </c>
      <c r="Q48" s="116">
        <v>624.20000000000005</v>
      </c>
      <c r="R48">
        <v>484424</v>
      </c>
    </row>
    <row r="49" spans="1:18" x14ac:dyDescent="0.25">
      <c r="A49" s="170">
        <v>45996</v>
      </c>
      <c r="B49" s="116">
        <v>625.45000000000005</v>
      </c>
      <c r="C49" s="116">
        <v>604.6</v>
      </c>
      <c r="D49" s="116">
        <v>601.6</v>
      </c>
      <c r="E49" s="116">
        <v>624.95000000000005</v>
      </c>
      <c r="F49" s="116">
        <v>604.6</v>
      </c>
      <c r="G49">
        <v>52140</v>
      </c>
      <c r="H49" s="116"/>
      <c r="I49" s="116"/>
      <c r="L49" s="170">
        <v>45996</v>
      </c>
      <c r="M49" s="116">
        <v>604.25</v>
      </c>
      <c r="N49" s="116">
        <v>625.79999999999995</v>
      </c>
      <c r="O49" s="116">
        <v>600.5</v>
      </c>
      <c r="P49" s="116">
        <v>623.04999999999995</v>
      </c>
      <c r="Q49" s="116">
        <v>604.25</v>
      </c>
      <c r="R49">
        <v>725254</v>
      </c>
    </row>
    <row r="50" spans="1:18" x14ac:dyDescent="0.25">
      <c r="A50" s="170">
        <v>45999</v>
      </c>
      <c r="B50" s="116">
        <v>627.4</v>
      </c>
      <c r="C50" s="116">
        <v>611.79999999999995</v>
      </c>
      <c r="D50" s="116">
        <v>604.04999999999995</v>
      </c>
      <c r="E50" s="116">
        <v>604.04999999999995</v>
      </c>
      <c r="F50" s="116">
        <v>611.79999999999995</v>
      </c>
      <c r="G50">
        <v>60218</v>
      </c>
      <c r="H50" s="116"/>
      <c r="I50" s="116"/>
      <c r="L50" s="170">
        <v>45999</v>
      </c>
      <c r="M50" s="116">
        <v>611.35</v>
      </c>
      <c r="N50" s="116">
        <v>627.4</v>
      </c>
      <c r="O50" s="116">
        <v>605</v>
      </c>
      <c r="P50" s="116">
        <v>605</v>
      </c>
      <c r="Q50" s="116">
        <v>611.35</v>
      </c>
      <c r="R50">
        <v>906827</v>
      </c>
    </row>
    <row r="51" spans="1:18" x14ac:dyDescent="0.25">
      <c r="A51" s="170">
        <v>46000</v>
      </c>
      <c r="B51" s="116">
        <v>620.95000000000005</v>
      </c>
      <c r="C51" s="116">
        <v>612.45000000000005</v>
      </c>
      <c r="D51" s="116">
        <v>592.6</v>
      </c>
      <c r="E51" s="116">
        <v>612</v>
      </c>
      <c r="F51" s="116">
        <v>612.45000000000005</v>
      </c>
      <c r="G51">
        <v>56925</v>
      </c>
      <c r="H51" s="116"/>
      <c r="I51" s="116"/>
      <c r="L51" s="170">
        <v>46000</v>
      </c>
      <c r="M51" s="116">
        <v>613.04999999999995</v>
      </c>
      <c r="N51" s="116">
        <v>621</v>
      </c>
      <c r="O51" s="116">
        <v>593</v>
      </c>
      <c r="P51" s="116">
        <v>611.04999999999995</v>
      </c>
      <c r="Q51" s="116">
        <v>613.04999999999995</v>
      </c>
      <c r="R51">
        <v>721524</v>
      </c>
    </row>
    <row r="52" spans="1:18" x14ac:dyDescent="0.25">
      <c r="A52" s="170">
        <v>46001</v>
      </c>
      <c r="B52" s="116">
        <v>618.75</v>
      </c>
      <c r="C52" s="116">
        <v>591.15</v>
      </c>
      <c r="D52" s="116">
        <v>588.1</v>
      </c>
      <c r="E52" s="116">
        <v>613.29999999999995</v>
      </c>
      <c r="F52" s="116">
        <v>591.15</v>
      </c>
      <c r="G52">
        <v>36324</v>
      </c>
      <c r="H52" s="116"/>
      <c r="I52" s="116"/>
      <c r="L52" s="170">
        <v>46001</v>
      </c>
      <c r="M52" s="116">
        <v>591.25</v>
      </c>
      <c r="N52" s="116">
        <v>618.04999999999995</v>
      </c>
      <c r="O52" s="116">
        <v>588.15</v>
      </c>
      <c r="P52" s="116">
        <v>617.9</v>
      </c>
      <c r="Q52" s="116">
        <v>591.25</v>
      </c>
      <c r="R52">
        <v>550038</v>
      </c>
    </row>
    <row r="53" spans="1:18" x14ac:dyDescent="0.25">
      <c r="A53" s="170">
        <v>46002</v>
      </c>
      <c r="B53" s="116">
        <v>612</v>
      </c>
      <c r="C53" s="116">
        <v>601.9</v>
      </c>
      <c r="D53" s="116">
        <v>576.1</v>
      </c>
      <c r="E53" s="116">
        <v>593.6</v>
      </c>
      <c r="F53" s="116">
        <v>601.9</v>
      </c>
      <c r="G53">
        <v>55973</v>
      </c>
      <c r="H53" s="116"/>
      <c r="I53" s="116"/>
      <c r="L53" s="170">
        <v>46002</v>
      </c>
      <c r="M53" s="116">
        <v>601</v>
      </c>
      <c r="N53" s="116">
        <v>612.5</v>
      </c>
      <c r="O53" s="116">
        <v>575.75</v>
      </c>
      <c r="P53" s="116">
        <v>591.79999999999995</v>
      </c>
      <c r="Q53" s="116">
        <v>601</v>
      </c>
      <c r="R53">
        <v>790463</v>
      </c>
    </row>
    <row r="54" spans="1:18" x14ac:dyDescent="0.25">
      <c r="A54" s="170">
        <v>46003</v>
      </c>
      <c r="B54" s="116">
        <v>608.15</v>
      </c>
      <c r="C54" s="116">
        <v>600.29999999999995</v>
      </c>
      <c r="D54" s="116">
        <v>594.6</v>
      </c>
      <c r="E54" s="116">
        <v>604.1</v>
      </c>
      <c r="F54" s="116">
        <v>600.29999999999995</v>
      </c>
      <c r="G54">
        <v>36949</v>
      </c>
      <c r="H54" s="116"/>
      <c r="I54" s="116"/>
      <c r="L54" s="170">
        <v>46003</v>
      </c>
      <c r="M54" s="116">
        <v>600.4</v>
      </c>
      <c r="N54" s="116">
        <v>607.5</v>
      </c>
      <c r="O54" s="116">
        <v>595</v>
      </c>
      <c r="P54" s="116">
        <v>606</v>
      </c>
      <c r="Q54" s="116">
        <v>600.4</v>
      </c>
      <c r="R54">
        <v>314632</v>
      </c>
    </row>
    <row r="55" spans="1:18" x14ac:dyDescent="0.25">
      <c r="A55" s="170">
        <v>46006</v>
      </c>
      <c r="B55" s="116">
        <v>610</v>
      </c>
      <c r="C55" s="116">
        <v>598.45000000000005</v>
      </c>
      <c r="D55" s="116">
        <v>596.29999999999995</v>
      </c>
      <c r="E55" s="116">
        <v>600</v>
      </c>
      <c r="F55" s="116">
        <v>598.45000000000005</v>
      </c>
      <c r="G55">
        <v>27136</v>
      </c>
      <c r="H55" s="116"/>
      <c r="I55" s="116"/>
      <c r="L55" s="170">
        <v>46006</v>
      </c>
      <c r="M55" s="116">
        <v>599.04999999999995</v>
      </c>
      <c r="N55" s="116">
        <v>610.95000000000005</v>
      </c>
      <c r="O55" s="116">
        <v>595.04999999999995</v>
      </c>
      <c r="P55" s="116">
        <v>599.79999999999995</v>
      </c>
      <c r="Q55" s="116">
        <v>599.04999999999995</v>
      </c>
      <c r="R55">
        <v>333084</v>
      </c>
    </row>
    <row r="56" spans="1:18" x14ac:dyDescent="0.25">
      <c r="A56" s="170">
        <v>46007</v>
      </c>
      <c r="B56" s="116">
        <v>600.04999999999995</v>
      </c>
      <c r="C56" s="116">
        <v>591.75</v>
      </c>
      <c r="D56" s="116">
        <v>585.04999999999995</v>
      </c>
      <c r="E56" s="116">
        <v>598.95000000000005</v>
      </c>
      <c r="F56" s="116">
        <v>591.75</v>
      </c>
      <c r="G56">
        <v>15729</v>
      </c>
      <c r="H56" s="116"/>
      <c r="I56" s="116"/>
      <c r="L56" s="170">
        <v>46007</v>
      </c>
      <c r="M56" s="116">
        <v>591.9</v>
      </c>
      <c r="N56" s="116">
        <v>601.70000000000005</v>
      </c>
      <c r="O56" s="116">
        <v>585.1</v>
      </c>
      <c r="P56" s="116">
        <v>597.54999999999995</v>
      </c>
      <c r="Q56" s="116">
        <v>591.9</v>
      </c>
      <c r="R56">
        <v>247718</v>
      </c>
    </row>
    <row r="57" spans="1:18" x14ac:dyDescent="0.25">
      <c r="A57" s="170">
        <v>46008</v>
      </c>
      <c r="B57" s="116">
        <v>591.6</v>
      </c>
      <c r="C57" s="116">
        <v>569.6</v>
      </c>
      <c r="D57" s="116">
        <v>565</v>
      </c>
      <c r="E57" s="116">
        <v>591.6</v>
      </c>
      <c r="F57" s="116">
        <v>569.6</v>
      </c>
      <c r="G57">
        <v>38423</v>
      </c>
      <c r="H57" s="116"/>
      <c r="I57" s="116"/>
      <c r="L57" s="170">
        <v>46008</v>
      </c>
      <c r="M57" s="116">
        <v>569.45000000000005</v>
      </c>
      <c r="N57" s="116">
        <v>591.45000000000005</v>
      </c>
      <c r="O57" s="116">
        <v>565</v>
      </c>
      <c r="P57" s="116">
        <v>589.29999999999995</v>
      </c>
      <c r="Q57" s="116">
        <v>569.45000000000005</v>
      </c>
      <c r="R57">
        <v>502189</v>
      </c>
    </row>
    <row r="58" spans="1:18" x14ac:dyDescent="0.25">
      <c r="A58" s="170">
        <v>46009</v>
      </c>
      <c r="B58" s="116">
        <v>597.54999999999995</v>
      </c>
      <c r="C58" s="116">
        <v>583</v>
      </c>
      <c r="D58" s="116">
        <v>564.75</v>
      </c>
      <c r="E58" s="116">
        <v>569.6</v>
      </c>
      <c r="F58" s="116">
        <v>583</v>
      </c>
      <c r="G58">
        <v>52471</v>
      </c>
      <c r="H58" s="116"/>
      <c r="I58" s="116"/>
      <c r="L58" s="170">
        <v>46009</v>
      </c>
      <c r="M58" s="116">
        <v>583.15</v>
      </c>
      <c r="N58" s="116">
        <v>597.29999999999995</v>
      </c>
      <c r="O58" s="116">
        <v>565.5</v>
      </c>
      <c r="P58" s="116">
        <v>569.45000000000005</v>
      </c>
      <c r="Q58" s="116">
        <v>583.15</v>
      </c>
      <c r="R58">
        <v>907495</v>
      </c>
    </row>
    <row r="59" spans="1:18" x14ac:dyDescent="0.25">
      <c r="A59" s="170">
        <v>46010</v>
      </c>
      <c r="B59" s="116">
        <v>597.6</v>
      </c>
      <c r="C59" s="116">
        <v>590.95000000000005</v>
      </c>
      <c r="D59" s="116">
        <v>568.25</v>
      </c>
      <c r="E59" s="116">
        <v>585.29999999999995</v>
      </c>
      <c r="F59" s="116">
        <v>590.95000000000005</v>
      </c>
      <c r="G59">
        <v>58735</v>
      </c>
      <c r="H59" s="116"/>
      <c r="I59" s="116"/>
      <c r="L59" s="170">
        <v>46010</v>
      </c>
      <c r="M59" s="116">
        <v>590.1</v>
      </c>
      <c r="N59" s="116">
        <v>597.9</v>
      </c>
      <c r="O59" s="116">
        <v>568</v>
      </c>
      <c r="P59" s="116">
        <v>585</v>
      </c>
      <c r="Q59" s="116">
        <v>590.1</v>
      </c>
      <c r="R59">
        <v>1052891</v>
      </c>
    </row>
    <row r="60" spans="1:18" x14ac:dyDescent="0.25">
      <c r="A60" s="170">
        <v>46013</v>
      </c>
      <c r="B60" s="116">
        <v>644.29999999999995</v>
      </c>
      <c r="C60" s="116">
        <v>634.4</v>
      </c>
      <c r="D60" s="116">
        <v>593.04999999999995</v>
      </c>
      <c r="E60" s="116">
        <v>595.65</v>
      </c>
      <c r="F60" s="116">
        <v>634.4</v>
      </c>
      <c r="G60">
        <v>97105</v>
      </c>
      <c r="H60" s="116"/>
      <c r="I60" s="116"/>
      <c r="L60" s="170">
        <v>46013</v>
      </c>
      <c r="M60" s="116">
        <v>634.70000000000005</v>
      </c>
      <c r="N60" s="116">
        <v>644.95000000000005</v>
      </c>
      <c r="O60" s="116">
        <v>591.4</v>
      </c>
      <c r="P60" s="116">
        <v>594.79999999999995</v>
      </c>
      <c r="Q60" s="116">
        <v>634.70000000000005</v>
      </c>
      <c r="R60">
        <v>1859039</v>
      </c>
    </row>
    <row r="61" spans="1:18" x14ac:dyDescent="0.25">
      <c r="A61" s="170">
        <v>46014</v>
      </c>
      <c r="B61" s="116">
        <v>674.25</v>
      </c>
      <c r="C61" s="116">
        <v>661.3</v>
      </c>
      <c r="D61" s="116">
        <v>636.9</v>
      </c>
      <c r="E61" s="116">
        <v>636.9</v>
      </c>
      <c r="F61" s="116">
        <v>661.3</v>
      </c>
      <c r="G61">
        <v>89466</v>
      </c>
      <c r="H61" s="116"/>
      <c r="I61" s="116"/>
      <c r="L61" s="170">
        <v>46014</v>
      </c>
      <c r="M61" s="116">
        <v>660.5</v>
      </c>
      <c r="N61" s="116">
        <v>673.45</v>
      </c>
      <c r="O61" s="116">
        <v>637</v>
      </c>
      <c r="P61" s="116">
        <v>644.4</v>
      </c>
      <c r="Q61" s="116">
        <v>660.5</v>
      </c>
      <c r="R61">
        <v>2000617</v>
      </c>
    </row>
    <row r="62" spans="1:18" x14ac:dyDescent="0.25">
      <c r="A62" s="170">
        <v>46015</v>
      </c>
      <c r="B62" s="116">
        <v>676.4</v>
      </c>
      <c r="C62" s="116">
        <v>656.3</v>
      </c>
      <c r="D62" s="116">
        <v>652.35</v>
      </c>
      <c r="E62" s="116">
        <v>663.65</v>
      </c>
      <c r="F62" s="116">
        <v>656.3</v>
      </c>
      <c r="G62">
        <v>57771</v>
      </c>
      <c r="H62" s="116"/>
      <c r="I62" s="116"/>
      <c r="L62" s="170">
        <v>46015</v>
      </c>
      <c r="M62" s="116">
        <v>656.1</v>
      </c>
      <c r="N62" s="116">
        <v>676.3</v>
      </c>
      <c r="O62" s="116">
        <v>651.70000000000005</v>
      </c>
      <c r="P62" s="116">
        <v>662.5</v>
      </c>
      <c r="Q62" s="116">
        <v>656.1</v>
      </c>
      <c r="R62">
        <v>1043060</v>
      </c>
    </row>
    <row r="63" spans="1:18" x14ac:dyDescent="0.25">
      <c r="A63" s="170">
        <v>46017</v>
      </c>
      <c r="B63" s="116">
        <v>669.45</v>
      </c>
      <c r="C63" s="116">
        <v>629.15</v>
      </c>
      <c r="D63" s="116">
        <v>624.04999999999995</v>
      </c>
      <c r="E63" s="116">
        <v>669.45</v>
      </c>
      <c r="F63" s="116">
        <v>629.15</v>
      </c>
      <c r="G63">
        <v>57688</v>
      </c>
      <c r="H63" s="116"/>
      <c r="I63" s="116"/>
      <c r="L63" s="170">
        <v>46017</v>
      </c>
      <c r="M63" s="116">
        <v>629.29999999999995</v>
      </c>
      <c r="N63" s="116">
        <v>657.9</v>
      </c>
      <c r="O63" s="116">
        <v>624</v>
      </c>
      <c r="P63" s="116">
        <v>657</v>
      </c>
      <c r="Q63" s="116">
        <v>629.29999999999995</v>
      </c>
      <c r="R63">
        <v>827843</v>
      </c>
    </row>
    <row r="64" spans="1:18" x14ac:dyDescent="0.25">
      <c r="A64" s="170">
        <v>46020</v>
      </c>
      <c r="B64" s="116">
        <v>637.1</v>
      </c>
      <c r="C64" s="116">
        <v>614.25</v>
      </c>
      <c r="D64" s="116">
        <v>609.29999999999995</v>
      </c>
      <c r="E64" s="116">
        <v>637.1</v>
      </c>
      <c r="F64" s="116">
        <v>614.25</v>
      </c>
      <c r="G64">
        <v>33424</v>
      </c>
      <c r="H64" s="116"/>
      <c r="I64" s="116"/>
      <c r="L64" s="170">
        <v>46020</v>
      </c>
      <c r="M64" s="116">
        <v>615.04999999999995</v>
      </c>
      <c r="N64" s="116">
        <v>631.79999999999995</v>
      </c>
      <c r="O64" s="116">
        <v>609.20000000000005</v>
      </c>
      <c r="P64" s="116">
        <v>631.79999999999995</v>
      </c>
      <c r="Q64" s="116">
        <v>615.04999999999995</v>
      </c>
      <c r="R64">
        <v>478826</v>
      </c>
    </row>
    <row r="65" spans="1:18" x14ac:dyDescent="0.25">
      <c r="A65" s="170">
        <v>46021</v>
      </c>
      <c r="B65" s="116">
        <v>639.29999999999995</v>
      </c>
      <c r="C65" s="116">
        <v>637.35</v>
      </c>
      <c r="D65" s="116">
        <v>607.4</v>
      </c>
      <c r="E65" s="116">
        <v>622.9</v>
      </c>
      <c r="F65" s="116">
        <v>637.35</v>
      </c>
      <c r="G65">
        <v>54753</v>
      </c>
      <c r="H65" s="116"/>
      <c r="I65" s="116"/>
      <c r="L65" s="170">
        <v>46021</v>
      </c>
      <c r="M65" s="116">
        <v>636.95000000000005</v>
      </c>
      <c r="N65" s="116">
        <v>638.95000000000005</v>
      </c>
      <c r="O65" s="116">
        <v>607.75</v>
      </c>
      <c r="P65" s="116">
        <v>612.1</v>
      </c>
      <c r="Q65" s="116">
        <v>636.95000000000005</v>
      </c>
      <c r="R65">
        <v>834196</v>
      </c>
    </row>
    <row r="66" spans="1:18" x14ac:dyDescent="0.25">
      <c r="A66" s="170">
        <v>46022</v>
      </c>
      <c r="B66" s="116">
        <v>647.95000000000005</v>
      </c>
      <c r="C66" s="116">
        <v>629.65</v>
      </c>
      <c r="D66" s="116">
        <v>627</v>
      </c>
      <c r="E66" s="116">
        <v>641.95000000000005</v>
      </c>
      <c r="F66" s="116">
        <v>629.65</v>
      </c>
      <c r="G66">
        <v>32722</v>
      </c>
      <c r="H66" s="116"/>
      <c r="I66" s="116"/>
      <c r="L66" s="170">
        <v>46022</v>
      </c>
      <c r="M66" s="116">
        <v>630.1</v>
      </c>
      <c r="N66" s="116">
        <v>648</v>
      </c>
      <c r="O66" s="116">
        <v>627.35</v>
      </c>
      <c r="P66" s="116">
        <v>637.6</v>
      </c>
      <c r="Q66" s="116">
        <v>630.1</v>
      </c>
      <c r="R66">
        <v>568723</v>
      </c>
    </row>
    <row r="67" spans="1:18" x14ac:dyDescent="0.25">
      <c r="A67" s="170">
        <v>46023</v>
      </c>
      <c r="B67" s="116">
        <v>637</v>
      </c>
      <c r="C67" s="116">
        <v>632.65</v>
      </c>
      <c r="D67" s="116">
        <v>622.20000000000005</v>
      </c>
      <c r="E67" s="116">
        <v>630</v>
      </c>
      <c r="F67" s="116">
        <v>632.65</v>
      </c>
      <c r="G67">
        <v>18875</v>
      </c>
      <c r="H67" s="116"/>
      <c r="I67" s="116"/>
      <c r="L67" s="170">
        <v>46023</v>
      </c>
      <c r="M67" s="116">
        <v>632.70000000000005</v>
      </c>
      <c r="N67" s="116">
        <v>636.5</v>
      </c>
      <c r="O67" s="116">
        <v>621.5</v>
      </c>
      <c r="P67" s="116">
        <v>630.70000000000005</v>
      </c>
      <c r="Q67" s="116">
        <v>632.70000000000005</v>
      </c>
      <c r="R67">
        <v>318878</v>
      </c>
    </row>
    <row r="68" spans="1:18" x14ac:dyDescent="0.25">
      <c r="A68" s="170">
        <v>46024</v>
      </c>
      <c r="B68" s="116">
        <v>659.8</v>
      </c>
      <c r="C68" s="116">
        <v>657.25</v>
      </c>
      <c r="D68" s="116">
        <v>633.85</v>
      </c>
      <c r="E68" s="116">
        <v>637.1</v>
      </c>
      <c r="F68" s="116">
        <v>657.25</v>
      </c>
      <c r="G68">
        <v>63472</v>
      </c>
      <c r="H68" s="116"/>
      <c r="I68" s="116"/>
      <c r="L68" s="170">
        <v>46024</v>
      </c>
      <c r="M68" s="116">
        <v>656.45</v>
      </c>
      <c r="N68" s="116">
        <v>659.85</v>
      </c>
      <c r="O68" s="116">
        <v>634</v>
      </c>
      <c r="P68" s="116">
        <v>634</v>
      </c>
      <c r="Q68" s="116">
        <v>656.45</v>
      </c>
      <c r="R68">
        <v>1135765</v>
      </c>
    </row>
    <row r="69" spans="1:18" x14ac:dyDescent="0.25">
      <c r="A69" s="170">
        <v>46027</v>
      </c>
      <c r="B69" s="116">
        <v>656.5</v>
      </c>
      <c r="C69" s="116">
        <v>650</v>
      </c>
      <c r="D69" s="116">
        <v>640.54999999999995</v>
      </c>
      <c r="E69" s="116">
        <v>656.5</v>
      </c>
      <c r="F69" s="116">
        <v>650</v>
      </c>
      <c r="G69">
        <v>30455</v>
      </c>
      <c r="H69" s="116"/>
      <c r="I69" s="116"/>
      <c r="L69" s="170">
        <v>46027</v>
      </c>
      <c r="M69" s="116">
        <v>650.6</v>
      </c>
      <c r="N69" s="116">
        <v>659.95</v>
      </c>
      <c r="O69" s="116">
        <v>641</v>
      </c>
      <c r="P69" s="116">
        <v>659.6</v>
      </c>
      <c r="Q69" s="116">
        <v>650.6</v>
      </c>
      <c r="R69">
        <v>421878</v>
      </c>
    </row>
    <row r="70" spans="1:18" x14ac:dyDescent="0.25">
      <c r="A70" s="170">
        <v>46028</v>
      </c>
      <c r="B70" s="116">
        <v>669.7</v>
      </c>
      <c r="C70" s="116">
        <v>647.54999999999995</v>
      </c>
      <c r="D70" s="116">
        <v>641.04999999999995</v>
      </c>
      <c r="E70" s="116">
        <v>653.65</v>
      </c>
      <c r="F70" s="116">
        <v>647.54999999999995</v>
      </c>
      <c r="G70">
        <v>66105</v>
      </c>
      <c r="H70" s="116"/>
      <c r="I70" s="116"/>
      <c r="L70" s="170">
        <v>46028</v>
      </c>
      <c r="M70" s="116">
        <v>645.79999999999995</v>
      </c>
      <c r="N70" s="116">
        <v>670</v>
      </c>
      <c r="O70" s="116">
        <v>641.04999999999995</v>
      </c>
      <c r="P70" s="116">
        <v>651.9</v>
      </c>
      <c r="Q70" s="116">
        <v>645.79999999999995</v>
      </c>
      <c r="R70">
        <v>1065555</v>
      </c>
    </row>
    <row r="71" spans="1:18" x14ac:dyDescent="0.25">
      <c r="A71" s="170">
        <v>46029</v>
      </c>
      <c r="B71" s="116">
        <v>674.5</v>
      </c>
      <c r="C71" s="116">
        <v>663.85</v>
      </c>
      <c r="D71" s="116">
        <v>645.25</v>
      </c>
      <c r="E71" s="116">
        <v>654.85</v>
      </c>
      <c r="F71" s="116">
        <v>663.85</v>
      </c>
      <c r="G71">
        <v>68981</v>
      </c>
      <c r="H71" s="116"/>
      <c r="I71" s="116"/>
      <c r="L71" s="170">
        <v>46029</v>
      </c>
      <c r="M71" s="116">
        <v>666.1</v>
      </c>
      <c r="N71" s="116">
        <v>674</v>
      </c>
      <c r="O71" s="116">
        <v>644.1</v>
      </c>
      <c r="P71" s="116">
        <v>647.45000000000005</v>
      </c>
      <c r="Q71" s="116">
        <v>666.1</v>
      </c>
      <c r="R71">
        <v>1445874</v>
      </c>
    </row>
    <row r="72" spans="1:18" x14ac:dyDescent="0.25">
      <c r="A72" s="170">
        <v>46030</v>
      </c>
      <c r="B72" s="116">
        <v>682.5</v>
      </c>
      <c r="C72" s="116">
        <v>653.95000000000005</v>
      </c>
      <c r="D72" s="116">
        <v>645.15</v>
      </c>
      <c r="E72" s="116">
        <v>666.25</v>
      </c>
      <c r="F72" s="116">
        <v>653.95000000000005</v>
      </c>
      <c r="G72">
        <v>81793</v>
      </c>
      <c r="H72" s="116"/>
      <c r="I72" s="116"/>
      <c r="L72" s="170">
        <v>46030</v>
      </c>
      <c r="M72" s="116">
        <v>651.85</v>
      </c>
      <c r="N72" s="116">
        <v>683.8</v>
      </c>
      <c r="O72" s="116">
        <v>645</v>
      </c>
      <c r="P72" s="116">
        <v>670.15</v>
      </c>
      <c r="Q72" s="116">
        <v>651.85</v>
      </c>
      <c r="R72">
        <v>1344058</v>
      </c>
    </row>
    <row r="73" spans="1:18" x14ac:dyDescent="0.25">
      <c r="A73" s="170">
        <v>46031</v>
      </c>
      <c r="B73" s="116">
        <v>655</v>
      </c>
      <c r="C73" s="116">
        <v>627.35</v>
      </c>
      <c r="D73" s="116">
        <v>621.54999999999995</v>
      </c>
      <c r="E73" s="116">
        <v>655</v>
      </c>
      <c r="F73" s="116">
        <v>627.35</v>
      </c>
      <c r="G73">
        <v>44516</v>
      </c>
      <c r="H73" s="116"/>
      <c r="I73" s="116"/>
      <c r="L73" s="170">
        <v>46031</v>
      </c>
      <c r="M73" s="116">
        <v>627.15</v>
      </c>
      <c r="N73" s="116">
        <v>650</v>
      </c>
      <c r="O73" s="116">
        <v>621.29999999999995</v>
      </c>
      <c r="P73" s="116">
        <v>650</v>
      </c>
      <c r="Q73" s="116">
        <v>627.15</v>
      </c>
      <c r="R73">
        <v>776926</v>
      </c>
    </row>
    <row r="74" spans="1:18" x14ac:dyDescent="0.25">
      <c r="A74" s="170">
        <v>46034</v>
      </c>
      <c r="B74" s="116">
        <v>635</v>
      </c>
      <c r="C74" s="116">
        <v>611.75</v>
      </c>
      <c r="D74" s="116">
        <v>601.1</v>
      </c>
      <c r="E74" s="116">
        <v>635</v>
      </c>
      <c r="F74" s="116">
        <v>611.75</v>
      </c>
      <c r="G74">
        <v>64199</v>
      </c>
      <c r="H74" s="116"/>
      <c r="I74" s="116"/>
      <c r="L74" s="170">
        <v>46034</v>
      </c>
      <c r="M74" s="116">
        <v>611.45000000000005</v>
      </c>
      <c r="N74" s="116">
        <v>627</v>
      </c>
      <c r="O74" s="116">
        <v>600.70000000000005</v>
      </c>
      <c r="P74" s="116">
        <v>627</v>
      </c>
      <c r="Q74" s="116">
        <v>611.45000000000005</v>
      </c>
      <c r="R74">
        <v>620866</v>
      </c>
    </row>
    <row r="75" spans="1:18" x14ac:dyDescent="0.25">
      <c r="A75" s="170">
        <v>46035</v>
      </c>
      <c r="B75" s="116">
        <v>636.75</v>
      </c>
      <c r="C75" s="116">
        <v>633.79999999999995</v>
      </c>
      <c r="D75" s="116">
        <v>612.25</v>
      </c>
      <c r="E75" s="116">
        <v>612.25</v>
      </c>
      <c r="F75" s="116">
        <v>633.79999999999995</v>
      </c>
      <c r="G75">
        <v>67319</v>
      </c>
      <c r="H75" s="116"/>
      <c r="I75" s="116"/>
      <c r="L75" s="170">
        <v>46035</v>
      </c>
      <c r="M75" s="116">
        <v>634</v>
      </c>
      <c r="N75" s="116">
        <v>636.65</v>
      </c>
      <c r="O75" s="116">
        <v>617.4</v>
      </c>
      <c r="P75" s="116">
        <v>619.79999999999995</v>
      </c>
      <c r="Q75" s="116">
        <v>634</v>
      </c>
      <c r="R75">
        <v>567695</v>
      </c>
    </row>
    <row r="76" spans="1:18" x14ac:dyDescent="0.25">
      <c r="A76" s="170">
        <v>46036</v>
      </c>
      <c r="B76" s="116">
        <v>639.4</v>
      </c>
      <c r="C76" s="116">
        <v>632.20000000000005</v>
      </c>
      <c r="D76" s="116">
        <v>624</v>
      </c>
      <c r="E76" s="116">
        <v>635.04999999999995</v>
      </c>
      <c r="F76" s="116">
        <v>632.20000000000005</v>
      </c>
      <c r="G76">
        <v>27030</v>
      </c>
      <c r="H76" s="116"/>
      <c r="I76" s="116"/>
      <c r="L76" s="170">
        <v>46036</v>
      </c>
      <c r="M76" s="116">
        <v>632.70000000000005</v>
      </c>
      <c r="N76" s="116">
        <v>639.6</v>
      </c>
      <c r="O76" s="116">
        <v>623.54999999999995</v>
      </c>
      <c r="P76" s="116">
        <v>637</v>
      </c>
      <c r="Q76" s="116">
        <v>632.70000000000005</v>
      </c>
      <c r="R76">
        <v>523557</v>
      </c>
    </row>
    <row r="77" spans="1:18" x14ac:dyDescent="0.25">
      <c r="A77" s="170">
        <v>46038</v>
      </c>
      <c r="B77" s="116">
        <v>714.45</v>
      </c>
      <c r="C77" s="116">
        <v>653.4</v>
      </c>
      <c r="D77" s="116">
        <v>641.85</v>
      </c>
      <c r="E77" s="116">
        <v>659.75</v>
      </c>
      <c r="F77" s="116">
        <v>653.4</v>
      </c>
      <c r="G77">
        <v>704298</v>
      </c>
      <c r="H77" s="116"/>
      <c r="I77" s="116"/>
      <c r="L77" s="170">
        <v>46038</v>
      </c>
      <c r="M77" s="116">
        <v>652.5</v>
      </c>
      <c r="N77" s="116">
        <v>714.3</v>
      </c>
      <c r="O77" s="116">
        <v>641.1</v>
      </c>
      <c r="P77" s="116">
        <v>655</v>
      </c>
      <c r="Q77" s="116">
        <v>652.5</v>
      </c>
      <c r="R77">
        <v>8775358</v>
      </c>
    </row>
    <row r="78" spans="1:18" x14ac:dyDescent="0.25">
      <c r="A78" s="170">
        <v>46041</v>
      </c>
      <c r="B78" s="116">
        <v>665</v>
      </c>
      <c r="C78" s="116">
        <v>655.15</v>
      </c>
      <c r="D78" s="116">
        <v>649.04999999999995</v>
      </c>
      <c r="E78" s="116">
        <v>654.65</v>
      </c>
      <c r="F78" s="116">
        <v>655.15</v>
      </c>
      <c r="G78">
        <v>65039</v>
      </c>
      <c r="H78" s="116"/>
      <c r="I78" s="116"/>
      <c r="L78" s="170">
        <v>46041</v>
      </c>
      <c r="M78" s="116">
        <v>655.65</v>
      </c>
      <c r="N78" s="116">
        <v>665</v>
      </c>
      <c r="O78" s="116">
        <v>649.54999999999995</v>
      </c>
      <c r="P78" s="116">
        <v>652.5</v>
      </c>
      <c r="Q78" s="116">
        <v>655.65</v>
      </c>
      <c r="R78">
        <v>1009363</v>
      </c>
    </row>
    <row r="79" spans="1:18" x14ac:dyDescent="0.25">
      <c r="A79" s="170">
        <v>46042</v>
      </c>
      <c r="B79" s="116">
        <v>657.5</v>
      </c>
      <c r="C79" s="116">
        <v>603.85</v>
      </c>
      <c r="D79" s="116">
        <v>600</v>
      </c>
      <c r="E79" s="116">
        <v>656.05</v>
      </c>
      <c r="F79" s="116">
        <v>603.85</v>
      </c>
      <c r="G79">
        <v>121390</v>
      </c>
      <c r="H79" s="116"/>
      <c r="I79" s="116"/>
      <c r="L79" s="170">
        <v>46042</v>
      </c>
      <c r="M79" s="116">
        <v>603.65</v>
      </c>
      <c r="N79" s="116">
        <v>659</v>
      </c>
      <c r="O79" s="116">
        <v>600</v>
      </c>
      <c r="P79" s="116">
        <v>659</v>
      </c>
      <c r="Q79" s="116">
        <v>603.65</v>
      </c>
      <c r="R79">
        <v>1362584</v>
      </c>
    </row>
    <row r="80" spans="1:18" x14ac:dyDescent="0.25">
      <c r="A80" s="170">
        <v>46043</v>
      </c>
      <c r="B80" s="116">
        <v>609.20000000000005</v>
      </c>
      <c r="C80" s="116">
        <v>598.65</v>
      </c>
      <c r="D80" s="116">
        <v>583.29999999999995</v>
      </c>
      <c r="E80" s="116">
        <v>609.20000000000005</v>
      </c>
      <c r="F80" s="116">
        <v>598.65</v>
      </c>
      <c r="G80">
        <v>81834</v>
      </c>
      <c r="H80" s="116"/>
      <c r="I80" s="116"/>
      <c r="L80" s="170">
        <v>46043</v>
      </c>
      <c r="M80" s="116">
        <v>598.15</v>
      </c>
      <c r="N80" s="116">
        <v>607.70000000000005</v>
      </c>
      <c r="O80" s="116">
        <v>583.54999999999995</v>
      </c>
      <c r="P80" s="116">
        <v>604</v>
      </c>
      <c r="Q80" s="116">
        <v>598.15</v>
      </c>
      <c r="R80">
        <v>979688</v>
      </c>
    </row>
    <row r="81" spans="1:18" x14ac:dyDescent="0.25">
      <c r="A81" s="170">
        <v>46044</v>
      </c>
      <c r="B81" s="116">
        <v>615</v>
      </c>
      <c r="C81" s="116">
        <v>605.65</v>
      </c>
      <c r="D81" s="116">
        <v>601.25</v>
      </c>
      <c r="E81" s="116">
        <v>615</v>
      </c>
      <c r="F81" s="116">
        <v>605.65</v>
      </c>
      <c r="G81">
        <v>36250</v>
      </c>
      <c r="H81" s="116"/>
      <c r="I81" s="116"/>
      <c r="L81" s="170">
        <v>46044</v>
      </c>
      <c r="M81" s="116">
        <v>605.85</v>
      </c>
      <c r="N81" s="116">
        <v>615</v>
      </c>
      <c r="O81" s="116">
        <v>601.6</v>
      </c>
      <c r="P81" s="116">
        <v>615</v>
      </c>
      <c r="Q81" s="116">
        <v>605.85</v>
      </c>
      <c r="R81">
        <v>469678</v>
      </c>
    </row>
    <row r="82" spans="1:18" x14ac:dyDescent="0.25">
      <c r="A82" s="170">
        <v>46045</v>
      </c>
      <c r="B82" s="116">
        <v>606.1</v>
      </c>
      <c r="C82" s="116">
        <v>593.79999999999995</v>
      </c>
      <c r="D82" s="116">
        <v>587.35</v>
      </c>
      <c r="E82" s="116">
        <v>606.1</v>
      </c>
      <c r="F82" s="116">
        <v>593.79999999999995</v>
      </c>
      <c r="G82">
        <v>21975</v>
      </c>
      <c r="H82" s="116"/>
      <c r="I82" s="116"/>
      <c r="L82" s="170">
        <v>46045</v>
      </c>
      <c r="M82" s="116">
        <v>593.65</v>
      </c>
      <c r="N82" s="116">
        <v>608.5</v>
      </c>
      <c r="O82" s="116">
        <v>586.54999999999995</v>
      </c>
      <c r="P82" s="116">
        <v>608</v>
      </c>
      <c r="Q82" s="116">
        <v>593.65</v>
      </c>
      <c r="R82">
        <v>361025</v>
      </c>
    </row>
    <row r="83" spans="1:18" x14ac:dyDescent="0.25">
      <c r="A83" s="170">
        <v>46049</v>
      </c>
      <c r="B83" s="116">
        <v>593.65</v>
      </c>
      <c r="C83" s="116">
        <v>578.6</v>
      </c>
      <c r="D83" s="116">
        <v>572.29999999999995</v>
      </c>
      <c r="E83" s="116">
        <v>593.65</v>
      </c>
      <c r="F83" s="116">
        <v>578.6</v>
      </c>
      <c r="G83">
        <v>35697</v>
      </c>
      <c r="H83" s="116"/>
      <c r="I83" s="116"/>
      <c r="L83" s="170">
        <v>46049</v>
      </c>
      <c r="M83" s="116">
        <v>578.6</v>
      </c>
      <c r="N83" s="116">
        <v>591</v>
      </c>
      <c r="O83" s="116">
        <v>572</v>
      </c>
      <c r="P83" s="116">
        <v>591</v>
      </c>
      <c r="Q83" s="116">
        <v>578.6</v>
      </c>
      <c r="R83">
        <v>492397</v>
      </c>
    </row>
    <row r="84" spans="1:18" x14ac:dyDescent="0.25">
      <c r="A84" s="170">
        <v>46050</v>
      </c>
      <c r="B84" s="116">
        <v>604.4</v>
      </c>
      <c r="C84" s="116">
        <v>595.65</v>
      </c>
      <c r="D84" s="116">
        <v>579.04999999999995</v>
      </c>
      <c r="E84" s="116">
        <v>579.04999999999995</v>
      </c>
      <c r="F84" s="116">
        <v>595.65</v>
      </c>
      <c r="G84">
        <v>56832</v>
      </c>
      <c r="H84" s="116"/>
      <c r="I84" s="116"/>
      <c r="L84" s="170">
        <v>46050</v>
      </c>
      <c r="M84" s="116">
        <v>598</v>
      </c>
      <c r="N84" s="116">
        <v>604.4</v>
      </c>
      <c r="O84" s="116">
        <v>581.70000000000005</v>
      </c>
      <c r="P84" s="116">
        <v>584.79999999999995</v>
      </c>
      <c r="Q84" s="116">
        <v>598</v>
      </c>
      <c r="R84">
        <v>489158</v>
      </c>
    </row>
    <row r="85" spans="1:18" x14ac:dyDescent="0.25">
      <c r="A85" s="170">
        <v>46051</v>
      </c>
      <c r="B85" s="116">
        <v>604.1</v>
      </c>
      <c r="C85" s="116">
        <v>590.6</v>
      </c>
      <c r="D85" s="116">
        <v>584</v>
      </c>
      <c r="E85" s="116">
        <v>601.20000000000005</v>
      </c>
      <c r="F85" s="116">
        <v>590.6</v>
      </c>
      <c r="G85">
        <v>24209</v>
      </c>
      <c r="H85" s="116"/>
      <c r="I85" s="116"/>
      <c r="L85" s="170">
        <v>46051</v>
      </c>
      <c r="M85" s="116">
        <v>589.9</v>
      </c>
      <c r="N85" s="116">
        <v>605.9</v>
      </c>
      <c r="O85" s="116">
        <v>584</v>
      </c>
      <c r="P85" s="116">
        <v>603.9</v>
      </c>
      <c r="Q85" s="116">
        <v>589.9</v>
      </c>
      <c r="R85">
        <v>382740</v>
      </c>
    </row>
    <row r="86" spans="1:18" x14ac:dyDescent="0.25">
      <c r="A86" s="170">
        <v>46052</v>
      </c>
      <c r="B86" s="116">
        <v>586</v>
      </c>
      <c r="C86" s="116">
        <v>578.75</v>
      </c>
      <c r="D86" s="116">
        <v>575.5</v>
      </c>
      <c r="E86" s="116">
        <v>585.15</v>
      </c>
      <c r="F86" s="116">
        <v>578.75</v>
      </c>
      <c r="G86">
        <v>18199</v>
      </c>
      <c r="H86" s="116"/>
      <c r="I86" s="116"/>
      <c r="L86" s="170">
        <v>46052</v>
      </c>
      <c r="M86" s="116">
        <v>579.20000000000005</v>
      </c>
      <c r="N86" s="116">
        <v>587</v>
      </c>
      <c r="O86" s="116">
        <v>575.1</v>
      </c>
      <c r="P86" s="116">
        <v>587</v>
      </c>
      <c r="Q86" s="116">
        <v>579.20000000000005</v>
      </c>
      <c r="R86">
        <v>328283</v>
      </c>
    </row>
    <row r="87" spans="1:18" x14ac:dyDescent="0.25">
      <c r="A87" s="170">
        <v>46054</v>
      </c>
      <c r="B87" s="116">
        <v>610</v>
      </c>
      <c r="C87" s="116">
        <v>567</v>
      </c>
      <c r="D87" s="116">
        <v>532.15</v>
      </c>
      <c r="E87" s="116">
        <v>610</v>
      </c>
      <c r="F87" s="116">
        <v>567</v>
      </c>
      <c r="G87">
        <v>60110</v>
      </c>
      <c r="H87" s="116"/>
      <c r="I87" s="116"/>
      <c r="L87" s="170">
        <v>46054</v>
      </c>
      <c r="M87" s="116">
        <v>564.85</v>
      </c>
      <c r="N87" s="116">
        <v>589.79999999999995</v>
      </c>
      <c r="O87" s="116">
        <v>530.6</v>
      </c>
      <c r="P87" s="116">
        <v>580</v>
      </c>
      <c r="Q87" s="116">
        <v>564.85</v>
      </c>
      <c r="R87">
        <v>603875</v>
      </c>
    </row>
    <row r="88" spans="1:18" x14ac:dyDescent="0.25">
      <c r="A88" s="170">
        <v>46055</v>
      </c>
      <c r="B88" s="116">
        <v>582.04999999999995</v>
      </c>
      <c r="C88" s="116">
        <v>576.35</v>
      </c>
      <c r="D88" s="116">
        <v>550</v>
      </c>
      <c r="E88" s="116">
        <v>566.9</v>
      </c>
      <c r="F88" s="116">
        <v>576.35</v>
      </c>
      <c r="G88">
        <v>26323</v>
      </c>
      <c r="H88" s="116"/>
      <c r="I88" s="116"/>
      <c r="L88" s="170">
        <v>46055</v>
      </c>
      <c r="M88" s="116">
        <v>573.6</v>
      </c>
      <c r="N88" s="116">
        <v>579</v>
      </c>
      <c r="O88" s="116">
        <v>550</v>
      </c>
      <c r="P88" s="116">
        <v>563.04999999999995</v>
      </c>
      <c r="Q88" s="116">
        <v>573.6</v>
      </c>
      <c r="R88">
        <v>298798</v>
      </c>
    </row>
    <row r="89" spans="1:18" x14ac:dyDescent="0.25">
      <c r="A89" s="170">
        <v>46056</v>
      </c>
      <c r="B89" s="116">
        <v>603.5</v>
      </c>
      <c r="C89" s="116">
        <v>584.6</v>
      </c>
      <c r="D89" s="116">
        <v>582.6</v>
      </c>
      <c r="E89" s="116">
        <v>602.29999999999995</v>
      </c>
      <c r="F89" s="116">
        <v>584.6</v>
      </c>
      <c r="G89">
        <v>23878</v>
      </c>
      <c r="H89" s="116"/>
      <c r="I89" s="116"/>
      <c r="L89" s="170">
        <v>46056</v>
      </c>
      <c r="M89" s="116">
        <v>584.25</v>
      </c>
      <c r="N89" s="116">
        <v>605</v>
      </c>
      <c r="O89" s="116">
        <v>581.29999999999995</v>
      </c>
      <c r="P89" s="116">
        <v>604</v>
      </c>
      <c r="Q89" s="116">
        <v>584.25</v>
      </c>
      <c r="R89">
        <v>450559</v>
      </c>
    </row>
    <row r="90" spans="1:18" x14ac:dyDescent="0.25">
      <c r="A90" s="170">
        <v>46057</v>
      </c>
      <c r="B90" s="116">
        <v>589.45000000000005</v>
      </c>
      <c r="C90" s="116">
        <v>584.15</v>
      </c>
      <c r="D90" s="116">
        <v>578.70000000000005</v>
      </c>
      <c r="E90" s="116">
        <v>584.6</v>
      </c>
      <c r="F90" s="116">
        <v>584.15</v>
      </c>
      <c r="G90">
        <v>18180</v>
      </c>
      <c r="H90" s="116"/>
      <c r="I90" s="116"/>
      <c r="L90" s="170">
        <v>46057</v>
      </c>
      <c r="M90" s="116">
        <v>583.04999999999995</v>
      </c>
      <c r="N90" s="116">
        <v>588.79999999999995</v>
      </c>
      <c r="O90" s="116">
        <v>579.04999999999995</v>
      </c>
      <c r="P90" s="116">
        <v>584.25</v>
      </c>
      <c r="Q90" s="116">
        <v>583.04999999999995</v>
      </c>
      <c r="R90">
        <v>322762</v>
      </c>
    </row>
    <row r="91" spans="1:18" x14ac:dyDescent="0.25">
      <c r="A91" s="170">
        <v>46058</v>
      </c>
      <c r="B91" s="116">
        <v>584</v>
      </c>
      <c r="C91" s="116">
        <v>577.20000000000005</v>
      </c>
      <c r="D91" s="116">
        <v>574.5</v>
      </c>
      <c r="E91" s="116">
        <v>583.65</v>
      </c>
      <c r="F91" s="116">
        <v>577.20000000000005</v>
      </c>
      <c r="G91">
        <v>10540</v>
      </c>
      <c r="H91" s="116"/>
      <c r="I91" s="116"/>
      <c r="L91" s="170">
        <v>46058</v>
      </c>
      <c r="M91" s="116">
        <v>578.29999999999995</v>
      </c>
      <c r="N91" s="116">
        <v>585.15</v>
      </c>
      <c r="O91" s="116">
        <v>574</v>
      </c>
      <c r="P91" s="116">
        <v>583.04999999999995</v>
      </c>
      <c r="Q91" s="116">
        <v>578.29999999999995</v>
      </c>
      <c r="R91">
        <v>155432</v>
      </c>
    </row>
    <row r="92" spans="1:18" x14ac:dyDescent="0.25">
      <c r="A92" s="170">
        <v>46059</v>
      </c>
      <c r="B92" s="116">
        <v>574.75</v>
      </c>
      <c r="C92" s="116">
        <v>572.29999999999995</v>
      </c>
      <c r="D92" s="116">
        <v>568.25</v>
      </c>
      <c r="E92" s="116">
        <v>570.54999999999995</v>
      </c>
      <c r="F92" s="116">
        <v>572.29999999999995</v>
      </c>
      <c r="G92">
        <v>10417</v>
      </c>
      <c r="H92" s="116"/>
      <c r="I92" s="116"/>
      <c r="L92" s="170">
        <v>46059</v>
      </c>
      <c r="M92" s="116">
        <v>572.85</v>
      </c>
      <c r="N92" s="116">
        <v>574.85</v>
      </c>
      <c r="O92" s="116">
        <v>568.04999999999995</v>
      </c>
      <c r="P92" s="116">
        <v>574</v>
      </c>
      <c r="Q92" s="116">
        <v>572.85</v>
      </c>
      <c r="R92">
        <v>132960</v>
      </c>
    </row>
    <row r="93" spans="1:18" x14ac:dyDescent="0.25">
      <c r="A93" s="170">
        <v>46062</v>
      </c>
      <c r="B93" s="116">
        <v>574.35</v>
      </c>
      <c r="C93" s="116">
        <v>566.5</v>
      </c>
      <c r="D93" s="116">
        <v>564.20000000000005</v>
      </c>
      <c r="E93" s="116">
        <v>570.1</v>
      </c>
      <c r="F93" s="116">
        <v>566.5</v>
      </c>
      <c r="G93">
        <v>26360</v>
      </c>
      <c r="H93" s="116"/>
      <c r="I93" s="116"/>
      <c r="L93" s="170">
        <v>46062</v>
      </c>
      <c r="M93" s="116">
        <v>567.20000000000005</v>
      </c>
      <c r="N93" s="116">
        <v>575.1</v>
      </c>
      <c r="O93" s="116">
        <v>564</v>
      </c>
      <c r="P93" s="116">
        <v>575</v>
      </c>
      <c r="Q93" s="116">
        <v>567.20000000000005</v>
      </c>
      <c r="R93">
        <v>343428</v>
      </c>
    </row>
    <row r="94" spans="1:18" x14ac:dyDescent="0.25">
      <c r="A94" s="170">
        <v>46063</v>
      </c>
      <c r="B94" s="116">
        <v>592.6</v>
      </c>
      <c r="C94" s="116">
        <v>581.25</v>
      </c>
      <c r="D94" s="116">
        <v>563.25</v>
      </c>
      <c r="E94" s="116">
        <v>563.25</v>
      </c>
      <c r="F94" s="116">
        <v>581.25</v>
      </c>
      <c r="G94">
        <v>72257</v>
      </c>
      <c r="H94" s="116"/>
      <c r="I94" s="116"/>
      <c r="L94" s="170">
        <v>46063</v>
      </c>
      <c r="M94" s="116">
        <v>581.54999999999995</v>
      </c>
      <c r="N94" s="116">
        <v>592</v>
      </c>
      <c r="O94" s="116">
        <v>567.25</v>
      </c>
      <c r="P94" s="116">
        <v>570</v>
      </c>
      <c r="Q94" s="116">
        <v>581.54999999999995</v>
      </c>
      <c r="R94">
        <v>860386</v>
      </c>
    </row>
    <row r="95" spans="1:18" x14ac:dyDescent="0.25">
      <c r="A95" s="170">
        <v>46064</v>
      </c>
      <c r="B95" s="116">
        <v>589.85</v>
      </c>
      <c r="C95" s="116">
        <v>576.65</v>
      </c>
      <c r="D95" s="116">
        <v>572.79999999999995</v>
      </c>
      <c r="E95" s="116">
        <v>589.85</v>
      </c>
      <c r="F95" s="116">
        <v>576.65</v>
      </c>
      <c r="G95">
        <v>21474</v>
      </c>
      <c r="H95" s="116"/>
      <c r="I95" s="116"/>
      <c r="L95" s="170">
        <v>46064</v>
      </c>
      <c r="M95" s="116">
        <v>576.29999999999995</v>
      </c>
      <c r="N95" s="116">
        <v>586.1</v>
      </c>
      <c r="O95" s="116">
        <v>572.54999999999995</v>
      </c>
      <c r="P95" s="116">
        <v>586.1</v>
      </c>
      <c r="Q95" s="116">
        <v>576.29999999999995</v>
      </c>
      <c r="R95">
        <v>350039</v>
      </c>
    </row>
    <row r="96" spans="1:18" x14ac:dyDescent="0.25">
      <c r="A96" s="170">
        <v>46065</v>
      </c>
      <c r="B96" s="116">
        <v>575.95000000000005</v>
      </c>
      <c r="C96" s="116">
        <v>573.04999999999995</v>
      </c>
      <c r="D96" s="116">
        <v>566</v>
      </c>
      <c r="E96" s="116">
        <v>572.04999999999995</v>
      </c>
      <c r="F96" s="116">
        <v>573.04999999999995</v>
      </c>
      <c r="G96">
        <v>22920</v>
      </c>
      <c r="H96" s="116"/>
      <c r="I96" s="116"/>
      <c r="L96" s="170">
        <v>46065</v>
      </c>
      <c r="M96" s="116">
        <v>572.79999999999995</v>
      </c>
      <c r="N96" s="116">
        <v>576.29999999999995</v>
      </c>
      <c r="O96" s="116">
        <v>565.79999999999995</v>
      </c>
      <c r="P96" s="116">
        <v>576</v>
      </c>
      <c r="Q96" s="116">
        <v>572.79999999999995</v>
      </c>
      <c r="R96">
        <v>217552</v>
      </c>
    </row>
    <row r="97" spans="1:18" x14ac:dyDescent="0.25">
      <c r="A97" s="170">
        <v>46066</v>
      </c>
      <c r="B97" s="116">
        <v>569</v>
      </c>
      <c r="C97" s="116">
        <v>554.4</v>
      </c>
      <c r="D97" s="116">
        <v>552</v>
      </c>
      <c r="E97" s="116">
        <v>569</v>
      </c>
      <c r="F97" s="116">
        <v>554.4</v>
      </c>
      <c r="G97">
        <v>17877</v>
      </c>
      <c r="H97" s="116"/>
      <c r="I97" s="116"/>
      <c r="L97" s="170">
        <v>46066</v>
      </c>
      <c r="M97" s="116">
        <v>554.65</v>
      </c>
      <c r="N97" s="116">
        <v>568.04999999999995</v>
      </c>
      <c r="O97" s="116">
        <v>552</v>
      </c>
      <c r="P97" s="116">
        <v>568</v>
      </c>
      <c r="Q97" s="116">
        <v>554.65</v>
      </c>
      <c r="R97">
        <v>229815</v>
      </c>
    </row>
    <row r="98" spans="1:18" x14ac:dyDescent="0.25">
      <c r="A98" s="170">
        <v>46069</v>
      </c>
      <c r="B98" s="116">
        <v>552</v>
      </c>
      <c r="C98" s="116">
        <v>533.54999999999995</v>
      </c>
      <c r="D98" s="116">
        <v>528</v>
      </c>
      <c r="E98" s="116">
        <v>552</v>
      </c>
      <c r="F98" s="116">
        <v>533.54999999999995</v>
      </c>
      <c r="G98">
        <v>31487</v>
      </c>
      <c r="H98" s="116"/>
      <c r="I98" s="116"/>
      <c r="L98" s="170">
        <v>46069</v>
      </c>
      <c r="M98" s="116">
        <v>532.95000000000005</v>
      </c>
      <c r="N98" s="116">
        <v>548.65</v>
      </c>
      <c r="O98" s="116">
        <v>528.6</v>
      </c>
      <c r="P98" s="116">
        <v>547.54999999999995</v>
      </c>
      <c r="Q98" s="116">
        <v>532.95000000000005</v>
      </c>
      <c r="R98">
        <v>460145</v>
      </c>
    </row>
    <row r="99" spans="1:18" x14ac:dyDescent="0.25">
      <c r="A99" s="170">
        <v>46070</v>
      </c>
      <c r="B99" s="116">
        <v>539.25</v>
      </c>
      <c r="C99" s="116">
        <v>528.25</v>
      </c>
      <c r="D99" s="116">
        <v>522.1</v>
      </c>
      <c r="E99" s="116">
        <v>531.75</v>
      </c>
      <c r="F99" s="116">
        <v>528.25</v>
      </c>
      <c r="G99">
        <v>22426</v>
      </c>
      <c r="H99" s="116"/>
      <c r="I99" s="116"/>
      <c r="L99" s="170">
        <v>46070</v>
      </c>
      <c r="M99" s="116">
        <v>528.4</v>
      </c>
      <c r="N99" s="116">
        <v>539.9</v>
      </c>
      <c r="O99" s="116">
        <v>523.5</v>
      </c>
      <c r="P99" s="116">
        <v>526.70000000000005</v>
      </c>
      <c r="Q99" s="116">
        <v>528.4</v>
      </c>
      <c r="R99">
        <v>245711</v>
      </c>
    </row>
    <row r="100" spans="1:18" x14ac:dyDescent="0.25">
      <c r="A100" s="170">
        <v>46071</v>
      </c>
      <c r="B100" s="116">
        <v>547.6</v>
      </c>
      <c r="C100" s="116">
        <v>537.85</v>
      </c>
      <c r="D100" s="116">
        <v>531.25</v>
      </c>
      <c r="E100" s="116">
        <v>539.4</v>
      </c>
      <c r="F100" s="116">
        <v>537.85</v>
      </c>
      <c r="G100">
        <v>32292</v>
      </c>
      <c r="H100" s="116"/>
      <c r="I100" s="116"/>
      <c r="L100" s="170">
        <v>46071</v>
      </c>
      <c r="M100" s="116">
        <v>537.75</v>
      </c>
      <c r="N100" s="116">
        <v>547.70000000000005</v>
      </c>
      <c r="O100" s="116">
        <v>530.79999999999995</v>
      </c>
      <c r="P100" s="116">
        <v>535.25</v>
      </c>
      <c r="Q100" s="116">
        <v>537.75</v>
      </c>
      <c r="R100">
        <v>306410</v>
      </c>
    </row>
    <row r="101" spans="1:18" x14ac:dyDescent="0.25">
      <c r="A101" s="170">
        <v>46072</v>
      </c>
      <c r="B101" s="116">
        <v>541</v>
      </c>
      <c r="C101" s="116">
        <v>527.79999999999995</v>
      </c>
      <c r="D101" s="116">
        <v>521</v>
      </c>
      <c r="E101" s="116">
        <v>537.85</v>
      </c>
      <c r="F101" s="116">
        <v>527.79999999999995</v>
      </c>
      <c r="G101">
        <v>10922</v>
      </c>
      <c r="H101" s="116"/>
      <c r="I101" s="116"/>
      <c r="L101" s="170">
        <v>46072</v>
      </c>
      <c r="M101" s="116">
        <v>526.45000000000005</v>
      </c>
      <c r="N101" s="116">
        <v>543.29999999999995</v>
      </c>
      <c r="O101" s="116">
        <v>520</v>
      </c>
      <c r="P101" s="116">
        <v>543</v>
      </c>
      <c r="Q101" s="116">
        <v>526.45000000000005</v>
      </c>
      <c r="R101">
        <v>157469</v>
      </c>
    </row>
    <row r="102" spans="1:18" x14ac:dyDescent="0.25">
      <c r="A102" s="170">
        <v>46073</v>
      </c>
      <c r="B102" s="116">
        <v>533.35</v>
      </c>
      <c r="C102" s="116">
        <v>525.79999999999995</v>
      </c>
      <c r="D102" s="116">
        <v>523.29999999999995</v>
      </c>
      <c r="E102" s="116">
        <v>524.79999999999995</v>
      </c>
      <c r="F102" s="116">
        <v>525.79999999999995</v>
      </c>
      <c r="G102">
        <v>16231</v>
      </c>
      <c r="H102" s="116"/>
      <c r="I102" s="116"/>
      <c r="L102" s="170">
        <v>46073</v>
      </c>
      <c r="M102" s="116">
        <v>525.4</v>
      </c>
      <c r="N102" s="116">
        <v>533.5</v>
      </c>
      <c r="O102" s="116">
        <v>521.95000000000005</v>
      </c>
      <c r="P102" s="116">
        <v>526.54999999999995</v>
      </c>
      <c r="Q102" s="116">
        <v>525.4</v>
      </c>
      <c r="R102">
        <v>165338</v>
      </c>
    </row>
    <row r="103" spans="1:18" x14ac:dyDescent="0.25">
      <c r="A103" s="170">
        <v>46076</v>
      </c>
      <c r="B103" s="116">
        <v>534.85</v>
      </c>
      <c r="C103" s="116">
        <v>514.65</v>
      </c>
      <c r="D103" s="116">
        <v>508.15</v>
      </c>
      <c r="E103" s="116">
        <v>534.85</v>
      </c>
      <c r="F103" s="116">
        <v>514.65</v>
      </c>
      <c r="G103">
        <v>17993</v>
      </c>
      <c r="H103" s="116"/>
      <c r="I103" s="116"/>
      <c r="L103" s="170">
        <v>46076</v>
      </c>
      <c r="M103" s="116">
        <v>513.25</v>
      </c>
      <c r="N103" s="116">
        <v>530.95000000000005</v>
      </c>
      <c r="O103" s="116">
        <v>507.55</v>
      </c>
      <c r="P103" s="116">
        <v>528</v>
      </c>
      <c r="Q103" s="116">
        <v>513.25</v>
      </c>
      <c r="R103">
        <v>289377</v>
      </c>
    </row>
    <row r="104" spans="1:18" x14ac:dyDescent="0.25">
      <c r="A104" s="170">
        <v>46077</v>
      </c>
      <c r="B104" s="116">
        <v>518.9</v>
      </c>
      <c r="C104" s="116">
        <v>505.25</v>
      </c>
      <c r="D104" s="116">
        <v>502</v>
      </c>
      <c r="E104" s="116">
        <v>512.35</v>
      </c>
      <c r="F104" s="116">
        <v>505.25</v>
      </c>
      <c r="G104">
        <v>22699</v>
      </c>
      <c r="H104" s="116"/>
      <c r="I104" s="116"/>
      <c r="L104" s="170">
        <v>46077</v>
      </c>
      <c r="M104" s="116">
        <v>504.2</v>
      </c>
      <c r="N104" s="116">
        <v>518.4</v>
      </c>
      <c r="O104" s="116">
        <v>500.1</v>
      </c>
      <c r="P104" s="116">
        <v>510</v>
      </c>
      <c r="Q104" s="116">
        <v>504.2</v>
      </c>
      <c r="R104">
        <v>282151</v>
      </c>
    </row>
    <row r="105" spans="1:18" x14ac:dyDescent="0.25">
      <c r="A105" s="170">
        <v>46078</v>
      </c>
      <c r="B105" s="116">
        <v>514.25</v>
      </c>
      <c r="C105" s="116">
        <v>505.15</v>
      </c>
      <c r="D105" s="116">
        <v>498</v>
      </c>
      <c r="E105" s="116">
        <v>501.6</v>
      </c>
      <c r="F105" s="116">
        <v>505.15</v>
      </c>
      <c r="G105">
        <v>130551</v>
      </c>
      <c r="H105" s="116"/>
      <c r="I105" s="116"/>
      <c r="L105" s="170">
        <v>46078</v>
      </c>
      <c r="M105" s="116">
        <v>505.2</v>
      </c>
      <c r="N105" s="116">
        <v>514.4</v>
      </c>
      <c r="O105" s="116">
        <v>497.9</v>
      </c>
      <c r="P105" s="116">
        <v>507.4</v>
      </c>
      <c r="Q105" s="116">
        <v>505.2</v>
      </c>
      <c r="R105">
        <v>388406</v>
      </c>
    </row>
    <row r="106" spans="1:18" x14ac:dyDescent="0.25">
      <c r="A106" s="170">
        <v>46079</v>
      </c>
      <c r="B106" s="116">
        <v>511.95</v>
      </c>
      <c r="C106" s="116">
        <v>505.2</v>
      </c>
      <c r="D106" s="116">
        <v>501.55</v>
      </c>
      <c r="E106" s="116">
        <v>503.1</v>
      </c>
      <c r="F106" s="116">
        <v>505.2</v>
      </c>
      <c r="G106">
        <v>13717</v>
      </c>
      <c r="H106" s="116"/>
      <c r="I106" s="116"/>
      <c r="L106" s="170">
        <v>46079</v>
      </c>
      <c r="M106" s="116">
        <v>504.45</v>
      </c>
      <c r="N106" s="116">
        <v>511.45</v>
      </c>
      <c r="O106" s="116">
        <v>501</v>
      </c>
      <c r="P106" s="116">
        <v>506.95</v>
      </c>
      <c r="Q106" s="116">
        <v>504.45</v>
      </c>
      <c r="R106">
        <v>126186</v>
      </c>
    </row>
    <row r="107" spans="1:18" x14ac:dyDescent="0.25">
      <c r="A107" s="170">
        <v>46080</v>
      </c>
      <c r="B107" s="116">
        <v>510.45</v>
      </c>
      <c r="C107" s="116">
        <v>506.55</v>
      </c>
      <c r="D107" s="116">
        <v>497.8</v>
      </c>
      <c r="E107" s="116">
        <v>500.05</v>
      </c>
      <c r="F107" s="116">
        <v>506.55</v>
      </c>
      <c r="G107">
        <v>14914</v>
      </c>
      <c r="H107" s="116"/>
      <c r="I107" s="116"/>
      <c r="L107" s="170">
        <v>46080</v>
      </c>
      <c r="M107" s="116">
        <v>506.65</v>
      </c>
      <c r="N107" s="116">
        <v>510.1</v>
      </c>
      <c r="O107" s="116">
        <v>497.9</v>
      </c>
      <c r="P107" s="116">
        <v>500.9</v>
      </c>
      <c r="Q107" s="116">
        <v>506.65</v>
      </c>
      <c r="R107">
        <v>232498</v>
      </c>
    </row>
    <row r="108" spans="1:18" x14ac:dyDescent="0.25">
      <c r="A108" s="170">
        <v>46083</v>
      </c>
      <c r="B108" s="116">
        <v>496.9</v>
      </c>
      <c r="C108" s="116">
        <v>492.2</v>
      </c>
      <c r="D108" s="116">
        <v>475.1</v>
      </c>
      <c r="E108" s="116">
        <v>475.1</v>
      </c>
      <c r="F108" s="116">
        <v>492.2</v>
      </c>
      <c r="G108">
        <v>20318</v>
      </c>
      <c r="H108" s="116"/>
      <c r="I108" s="116"/>
      <c r="L108" s="170">
        <v>46083</v>
      </c>
      <c r="M108" s="116">
        <v>491.35</v>
      </c>
      <c r="N108" s="116">
        <v>497</v>
      </c>
      <c r="O108" s="116">
        <v>477.05</v>
      </c>
      <c r="P108" s="116">
        <v>477.05</v>
      </c>
      <c r="Q108" s="116">
        <v>491.35</v>
      </c>
      <c r="R108">
        <v>318957</v>
      </c>
    </row>
    <row r="109" spans="1:18" x14ac:dyDescent="0.25">
      <c r="A109" s="170">
        <v>46085</v>
      </c>
      <c r="B109" s="116">
        <v>496.5</v>
      </c>
      <c r="C109" s="116">
        <v>491.1</v>
      </c>
      <c r="D109" s="116">
        <v>477.05</v>
      </c>
      <c r="E109" s="116">
        <v>477.05</v>
      </c>
      <c r="F109" s="116">
        <v>491.1</v>
      </c>
      <c r="G109">
        <v>17543</v>
      </c>
      <c r="H109" s="116"/>
      <c r="I109" s="116"/>
      <c r="L109" s="170">
        <v>46085</v>
      </c>
      <c r="M109" s="116">
        <v>490.2</v>
      </c>
      <c r="N109" s="116">
        <v>496.9</v>
      </c>
      <c r="O109" s="116">
        <v>480</v>
      </c>
      <c r="P109" s="116">
        <v>480</v>
      </c>
      <c r="Q109" s="116">
        <v>490.2</v>
      </c>
      <c r="R109">
        <v>227509</v>
      </c>
    </row>
    <row r="110" spans="1:18" x14ac:dyDescent="0.25">
      <c r="A110" s="170">
        <v>46086</v>
      </c>
      <c r="B110" s="116">
        <v>501.95</v>
      </c>
      <c r="C110" s="116">
        <v>492.9</v>
      </c>
      <c r="D110" s="116">
        <v>489</v>
      </c>
      <c r="E110" s="116">
        <v>501.95</v>
      </c>
      <c r="F110" s="116">
        <v>492.9</v>
      </c>
      <c r="G110">
        <v>21779</v>
      </c>
      <c r="H110" s="116"/>
      <c r="I110" s="116"/>
      <c r="L110" s="170">
        <v>46086</v>
      </c>
      <c r="M110" s="116">
        <v>493.15</v>
      </c>
      <c r="N110" s="116">
        <v>501.55</v>
      </c>
      <c r="O110" s="116">
        <v>488</v>
      </c>
      <c r="P110" s="116">
        <v>494</v>
      </c>
      <c r="Q110" s="116">
        <v>493.15</v>
      </c>
      <c r="R110">
        <v>240015</v>
      </c>
    </row>
    <row r="111" spans="1:18" x14ac:dyDescent="0.25">
      <c r="A111" s="170">
        <v>46087</v>
      </c>
      <c r="B111" s="116">
        <v>499</v>
      </c>
      <c r="C111" s="116">
        <v>488.25</v>
      </c>
      <c r="D111" s="116">
        <v>484</v>
      </c>
      <c r="E111" s="116">
        <v>496</v>
      </c>
      <c r="F111" s="116">
        <v>488.25</v>
      </c>
      <c r="G111">
        <v>8821</v>
      </c>
      <c r="H111" s="116"/>
      <c r="I111" s="116"/>
      <c r="L111" s="170">
        <v>46087</v>
      </c>
      <c r="M111" s="116">
        <v>486.65</v>
      </c>
      <c r="N111" s="116">
        <v>498.55</v>
      </c>
      <c r="O111" s="116">
        <v>481</v>
      </c>
      <c r="P111" s="116">
        <v>497</v>
      </c>
      <c r="Q111" s="116">
        <v>486.65</v>
      </c>
      <c r="R111">
        <v>118794</v>
      </c>
    </row>
    <row r="112" spans="1:18" x14ac:dyDescent="0.25">
      <c r="A112" s="170">
        <v>46090</v>
      </c>
      <c r="B112" s="116">
        <v>478.75</v>
      </c>
      <c r="C112" s="116">
        <v>459.65</v>
      </c>
      <c r="D112" s="116">
        <v>456</v>
      </c>
      <c r="E112" s="116">
        <v>475.05</v>
      </c>
      <c r="F112" s="116">
        <v>459.65</v>
      </c>
      <c r="G112">
        <v>35193</v>
      </c>
      <c r="H112" s="116"/>
      <c r="I112" s="116"/>
      <c r="L112" s="170">
        <v>46090</v>
      </c>
      <c r="M112" s="116">
        <v>459.55</v>
      </c>
      <c r="N112" s="116">
        <v>479.8</v>
      </c>
      <c r="O112" s="116">
        <v>455.1</v>
      </c>
      <c r="P112" s="116">
        <v>475.5</v>
      </c>
      <c r="Q112" s="116">
        <v>459.55</v>
      </c>
      <c r="R112">
        <v>391002</v>
      </c>
    </row>
    <row r="113" spans="1:18" x14ac:dyDescent="0.25">
      <c r="A113" s="170">
        <v>46091</v>
      </c>
      <c r="B113" s="116">
        <v>497.8</v>
      </c>
      <c r="C113" s="116">
        <v>493.55</v>
      </c>
      <c r="D113" s="116">
        <v>467.75</v>
      </c>
      <c r="E113" s="116">
        <v>467.75</v>
      </c>
      <c r="F113" s="116">
        <v>493.55</v>
      </c>
      <c r="G113">
        <v>32977</v>
      </c>
      <c r="H113" s="116"/>
      <c r="I113" s="116"/>
      <c r="L113" s="170">
        <v>46091</v>
      </c>
      <c r="M113" s="116">
        <v>493.05</v>
      </c>
      <c r="N113" s="116">
        <v>498.4</v>
      </c>
      <c r="O113" s="116">
        <v>468.2</v>
      </c>
      <c r="P113" s="116">
        <v>470</v>
      </c>
      <c r="Q113" s="116">
        <v>493.05</v>
      </c>
      <c r="R113">
        <v>564782</v>
      </c>
    </row>
    <row r="114" spans="1:18" x14ac:dyDescent="0.25">
      <c r="A114" s="170">
        <v>46092</v>
      </c>
      <c r="B114" s="116">
        <v>498.9</v>
      </c>
      <c r="C114" s="116">
        <v>484.05</v>
      </c>
      <c r="D114" s="116">
        <v>482.95</v>
      </c>
      <c r="E114" s="116">
        <v>495.8</v>
      </c>
      <c r="F114" s="116">
        <v>484.05</v>
      </c>
      <c r="G114">
        <v>19716</v>
      </c>
      <c r="H114" s="116"/>
      <c r="I114" s="116"/>
      <c r="L114" s="170">
        <v>46092</v>
      </c>
      <c r="M114" s="116">
        <v>484.65</v>
      </c>
      <c r="N114" s="116">
        <v>498.3</v>
      </c>
      <c r="O114" s="116">
        <v>483</v>
      </c>
      <c r="P114" s="116">
        <v>497</v>
      </c>
      <c r="Q114" s="116">
        <v>484.65</v>
      </c>
      <c r="R114">
        <v>242525</v>
      </c>
    </row>
    <row r="115" spans="1:18" x14ac:dyDescent="0.25">
      <c r="A115" s="170">
        <v>46093</v>
      </c>
      <c r="B115" s="116">
        <v>494.35</v>
      </c>
      <c r="C115" s="116">
        <v>491.05</v>
      </c>
      <c r="D115" s="116">
        <v>476.3</v>
      </c>
      <c r="E115" s="116">
        <v>494</v>
      </c>
      <c r="F115" s="116">
        <v>491.05</v>
      </c>
      <c r="G115">
        <v>14771</v>
      </c>
      <c r="H115" s="116"/>
      <c r="I115" s="116"/>
      <c r="L115" s="170">
        <v>46093</v>
      </c>
      <c r="M115" s="116">
        <v>492.9</v>
      </c>
      <c r="N115" s="116">
        <v>495.2</v>
      </c>
      <c r="O115" s="116">
        <v>476</v>
      </c>
      <c r="P115" s="116">
        <v>483</v>
      </c>
      <c r="Q115" s="116">
        <v>492.9</v>
      </c>
      <c r="R115">
        <v>217546</v>
      </c>
    </row>
    <row r="116" spans="1:18" x14ac:dyDescent="0.25">
      <c r="A116" s="170">
        <v>46094</v>
      </c>
      <c r="B116" s="116">
        <v>491.25</v>
      </c>
      <c r="C116" s="116">
        <v>476.65</v>
      </c>
      <c r="D116" s="116">
        <v>475.45</v>
      </c>
      <c r="E116" s="116">
        <v>485.6</v>
      </c>
      <c r="F116" s="116">
        <v>476.65</v>
      </c>
      <c r="G116">
        <v>9712</v>
      </c>
      <c r="H116" s="116"/>
      <c r="I116" s="116"/>
      <c r="L116" s="170">
        <v>46094</v>
      </c>
      <c r="M116" s="116">
        <v>477.55</v>
      </c>
      <c r="N116" s="116">
        <v>492.15</v>
      </c>
      <c r="O116" s="116">
        <v>475.9</v>
      </c>
      <c r="P116" s="116">
        <v>488</v>
      </c>
      <c r="Q116" s="116">
        <v>477.55</v>
      </c>
      <c r="R116">
        <v>191466</v>
      </c>
    </row>
    <row r="117" spans="1:18" x14ac:dyDescent="0.25">
      <c r="A117" s="170">
        <v>46097</v>
      </c>
      <c r="B117" s="116">
        <v>482.45</v>
      </c>
      <c r="C117" s="116">
        <v>465.6</v>
      </c>
      <c r="D117" s="116">
        <v>457.3</v>
      </c>
      <c r="E117" s="116">
        <v>479.05</v>
      </c>
      <c r="F117" s="116">
        <v>465.6</v>
      </c>
      <c r="G117">
        <v>28935</v>
      </c>
      <c r="H117" s="116"/>
      <c r="I117" s="116"/>
      <c r="L117" s="170">
        <v>46097</v>
      </c>
      <c r="M117" s="116">
        <v>465</v>
      </c>
      <c r="N117" s="116">
        <v>484.95</v>
      </c>
      <c r="O117" s="116">
        <v>456.8</v>
      </c>
      <c r="P117" s="116">
        <v>480</v>
      </c>
      <c r="Q117" s="116">
        <v>465</v>
      </c>
      <c r="R117">
        <v>354671</v>
      </c>
    </row>
    <row r="118" spans="1:18" x14ac:dyDescent="0.25">
      <c r="A118" s="170">
        <v>46098</v>
      </c>
      <c r="B118" s="116">
        <v>477.25</v>
      </c>
      <c r="C118" s="116">
        <v>474.2</v>
      </c>
      <c r="D118" s="116">
        <v>465.7</v>
      </c>
      <c r="E118" s="116">
        <v>471</v>
      </c>
      <c r="F118" s="116">
        <v>474.2</v>
      </c>
      <c r="G118">
        <v>10498</v>
      </c>
      <c r="H118" s="116"/>
      <c r="I118" s="116"/>
      <c r="L118" s="170">
        <v>46098</v>
      </c>
      <c r="M118" s="116">
        <v>473.85</v>
      </c>
      <c r="N118" s="116">
        <v>476.95</v>
      </c>
      <c r="O118" s="116">
        <v>465.15</v>
      </c>
      <c r="P118" s="116">
        <v>469.7</v>
      </c>
      <c r="Q118" s="116">
        <v>473.85</v>
      </c>
      <c r="R118">
        <v>196133</v>
      </c>
    </row>
    <row r="119" spans="1:18" x14ac:dyDescent="0.25">
      <c r="A119" s="170">
        <v>46099</v>
      </c>
      <c r="B119" s="116">
        <v>492.95</v>
      </c>
      <c r="C119" s="116">
        <v>486.4</v>
      </c>
      <c r="D119" s="116">
        <v>477</v>
      </c>
      <c r="E119" s="116">
        <v>477</v>
      </c>
      <c r="F119" s="116">
        <v>486.4</v>
      </c>
      <c r="G119">
        <v>20730</v>
      </c>
      <c r="H119" s="116"/>
      <c r="I119" s="116"/>
      <c r="L119" s="170">
        <v>46099</v>
      </c>
      <c r="M119" s="116">
        <v>486.15</v>
      </c>
      <c r="N119" s="116">
        <v>493</v>
      </c>
      <c r="O119" s="116">
        <v>474.95</v>
      </c>
      <c r="P119" s="116">
        <v>476</v>
      </c>
      <c r="Q119" s="116">
        <v>486.15</v>
      </c>
      <c r="R119">
        <v>279856</v>
      </c>
    </row>
    <row r="120" spans="1:18" x14ac:dyDescent="0.25">
      <c r="A120" s="170">
        <v>46100</v>
      </c>
      <c r="B120" s="116">
        <v>483.3</v>
      </c>
      <c r="C120" s="116">
        <v>465.05</v>
      </c>
      <c r="D120" s="116">
        <v>462.6</v>
      </c>
      <c r="E120" s="116">
        <v>480</v>
      </c>
      <c r="F120" s="116">
        <v>465.05</v>
      </c>
      <c r="G120">
        <v>16111</v>
      </c>
      <c r="H120" s="116"/>
      <c r="I120" s="116"/>
      <c r="L120" s="170">
        <v>46100</v>
      </c>
      <c r="M120" s="116">
        <v>464.4</v>
      </c>
      <c r="N120" s="116">
        <v>483.1</v>
      </c>
      <c r="O120" s="116">
        <v>461.5</v>
      </c>
      <c r="P120" s="116">
        <v>480</v>
      </c>
      <c r="Q120" s="116">
        <v>464.4</v>
      </c>
      <c r="R120">
        <v>197975</v>
      </c>
    </row>
    <row r="121" spans="1:18" x14ac:dyDescent="0.25">
      <c r="A121" s="170">
        <v>46101</v>
      </c>
      <c r="B121" s="116">
        <v>479.8</v>
      </c>
      <c r="C121" s="116">
        <v>458.2</v>
      </c>
      <c r="D121" s="116">
        <v>456.05</v>
      </c>
      <c r="E121" s="116">
        <v>467</v>
      </c>
      <c r="F121" s="116">
        <v>458.2</v>
      </c>
      <c r="G121">
        <v>20874</v>
      </c>
      <c r="H121" s="116"/>
      <c r="I121" s="116"/>
      <c r="L121" s="170">
        <v>46101</v>
      </c>
      <c r="M121" s="116">
        <v>460.4</v>
      </c>
      <c r="N121" s="116">
        <v>479.7</v>
      </c>
      <c r="O121" s="116">
        <v>456</v>
      </c>
      <c r="P121" s="116">
        <v>472</v>
      </c>
      <c r="Q121" s="116">
        <v>460.4</v>
      </c>
      <c r="R121">
        <v>277203</v>
      </c>
    </row>
    <row r="122" spans="1:18" x14ac:dyDescent="0.25">
      <c r="A122" s="170">
        <v>46104</v>
      </c>
      <c r="B122" s="116">
        <v>457.15</v>
      </c>
      <c r="C122" s="116">
        <v>438.7</v>
      </c>
      <c r="D122" s="116">
        <v>434.6</v>
      </c>
      <c r="E122" s="116">
        <v>452.8</v>
      </c>
      <c r="F122" s="116">
        <v>438.7</v>
      </c>
      <c r="G122">
        <v>17563</v>
      </c>
      <c r="H122" s="116"/>
      <c r="I122" s="116"/>
      <c r="L122" s="170">
        <v>46104</v>
      </c>
      <c r="M122" s="116">
        <v>439.05</v>
      </c>
      <c r="N122" s="116">
        <v>457.95</v>
      </c>
      <c r="O122" s="116">
        <v>434.5</v>
      </c>
      <c r="P122" s="116">
        <v>455</v>
      </c>
      <c r="Q122" s="116">
        <v>439.05</v>
      </c>
      <c r="R122">
        <v>290070</v>
      </c>
    </row>
    <row r="123" spans="1:18" x14ac:dyDescent="0.25">
      <c r="A123" s="170">
        <v>46105</v>
      </c>
      <c r="B123" s="116">
        <v>460.3</v>
      </c>
      <c r="C123" s="116">
        <v>453.85</v>
      </c>
      <c r="D123" s="116">
        <v>437.95</v>
      </c>
      <c r="E123" s="116">
        <v>451.2</v>
      </c>
      <c r="F123" s="116">
        <v>453.85</v>
      </c>
      <c r="G123">
        <v>28364</v>
      </c>
      <c r="H123" s="116"/>
      <c r="I123" s="116"/>
      <c r="L123" s="170">
        <v>46105</v>
      </c>
      <c r="M123" s="116">
        <v>452.4</v>
      </c>
      <c r="N123" s="116">
        <v>460.6</v>
      </c>
      <c r="O123" s="116">
        <v>438.3</v>
      </c>
      <c r="P123" s="116">
        <v>449.4</v>
      </c>
      <c r="Q123" s="116">
        <v>452.4</v>
      </c>
      <c r="R123">
        <v>626806</v>
      </c>
    </row>
    <row r="124" spans="1:18" x14ac:dyDescent="0.25">
      <c r="A124" s="170">
        <v>46106</v>
      </c>
      <c r="B124" s="116">
        <v>475</v>
      </c>
      <c r="C124" s="116">
        <v>457.6</v>
      </c>
      <c r="D124" s="116">
        <v>455.5</v>
      </c>
      <c r="E124" s="116">
        <v>456.15</v>
      </c>
      <c r="F124" s="116">
        <v>457.6</v>
      </c>
      <c r="G124">
        <v>39853</v>
      </c>
      <c r="H124" s="116"/>
      <c r="I124" s="116"/>
      <c r="L124" s="170">
        <v>46106</v>
      </c>
      <c r="M124" s="116">
        <v>458.15</v>
      </c>
      <c r="N124" s="116">
        <v>475.15</v>
      </c>
      <c r="O124" s="116">
        <v>455.05</v>
      </c>
      <c r="P124" s="116">
        <v>460</v>
      </c>
      <c r="Q124" s="116">
        <v>458.15</v>
      </c>
      <c r="R124">
        <v>440142</v>
      </c>
    </row>
    <row r="125" spans="1:18" x14ac:dyDescent="0.25">
      <c r="A125" s="170">
        <v>46108</v>
      </c>
      <c r="B125" s="116">
        <v>462.75</v>
      </c>
      <c r="C125" s="116">
        <v>439.9</v>
      </c>
      <c r="D125" s="116">
        <v>435.15</v>
      </c>
      <c r="E125" s="116">
        <v>462.75</v>
      </c>
      <c r="F125" s="116">
        <v>439.9</v>
      </c>
      <c r="G125">
        <v>58281</v>
      </c>
      <c r="H125" s="116"/>
      <c r="I125" s="116"/>
      <c r="L125" s="170">
        <v>46108</v>
      </c>
      <c r="M125" s="116">
        <v>438.75</v>
      </c>
      <c r="N125" s="116">
        <v>460</v>
      </c>
      <c r="O125" s="116">
        <v>434.9</v>
      </c>
      <c r="P125" s="116">
        <v>460</v>
      </c>
      <c r="Q125" s="116">
        <v>438.75</v>
      </c>
      <c r="R125">
        <v>551093</v>
      </c>
    </row>
    <row r="126" spans="1:18" x14ac:dyDescent="0.25">
      <c r="A126" s="170">
        <v>46111</v>
      </c>
      <c r="B126" s="116">
        <v>443.2</v>
      </c>
      <c r="C126" s="116">
        <v>417.7</v>
      </c>
      <c r="D126" s="116">
        <v>414.25</v>
      </c>
      <c r="E126" s="116">
        <v>441.4</v>
      </c>
      <c r="F126" s="116">
        <v>417.7</v>
      </c>
      <c r="G126">
        <v>62788</v>
      </c>
      <c r="H126" s="116"/>
      <c r="I126" s="116"/>
      <c r="L126" s="170">
        <v>46111</v>
      </c>
      <c r="M126" s="116">
        <v>418.1</v>
      </c>
      <c r="N126" s="116">
        <v>442.65</v>
      </c>
      <c r="O126" s="116">
        <v>416</v>
      </c>
      <c r="P126" s="116">
        <v>437.05</v>
      </c>
      <c r="Q126" s="116">
        <v>418.1</v>
      </c>
      <c r="R126">
        <v>448031</v>
      </c>
    </row>
    <row r="127" spans="1:18" x14ac:dyDescent="0.25">
      <c r="A127" s="170">
        <v>46113</v>
      </c>
      <c r="B127" s="116">
        <v>455.25</v>
      </c>
      <c r="C127" s="116">
        <v>449.9</v>
      </c>
      <c r="D127" s="116">
        <v>434.8</v>
      </c>
      <c r="E127" s="116">
        <v>434.8</v>
      </c>
      <c r="F127" s="116">
        <v>449.9</v>
      </c>
      <c r="G127">
        <v>35205</v>
      </c>
      <c r="H127" s="116"/>
      <c r="I127" s="116"/>
      <c r="L127" s="170">
        <v>46113</v>
      </c>
      <c r="M127" s="116">
        <v>450.15</v>
      </c>
      <c r="N127" s="116">
        <v>455.4</v>
      </c>
      <c r="O127" s="116">
        <v>433.1</v>
      </c>
      <c r="P127" s="116">
        <v>433.1</v>
      </c>
      <c r="Q127" s="116">
        <v>450.15</v>
      </c>
      <c r="R127">
        <v>612677</v>
      </c>
    </row>
    <row r="128" spans="1:18" x14ac:dyDescent="0.25">
      <c r="A128" s="170">
        <v>46114</v>
      </c>
      <c r="B128" s="116">
        <v>455.95</v>
      </c>
      <c r="C128" s="116">
        <v>452.6</v>
      </c>
      <c r="D128" s="116">
        <v>429.5</v>
      </c>
      <c r="E128" s="116">
        <v>444.95</v>
      </c>
      <c r="F128" s="116">
        <v>452.6</v>
      </c>
      <c r="G128">
        <v>31786</v>
      </c>
      <c r="H128" s="116"/>
      <c r="I128" s="116"/>
      <c r="L128" s="170">
        <v>46114</v>
      </c>
      <c r="M128" s="116">
        <v>451.55</v>
      </c>
      <c r="N128" s="116">
        <v>455</v>
      </c>
      <c r="O128" s="116">
        <v>429.9</v>
      </c>
      <c r="P128" s="116">
        <v>438</v>
      </c>
      <c r="Q128" s="116">
        <v>451.55</v>
      </c>
      <c r="R128">
        <v>294803</v>
      </c>
    </row>
    <row r="129" spans="1:18" x14ac:dyDescent="0.25">
      <c r="A129" s="170">
        <v>46118</v>
      </c>
      <c r="B129" s="116">
        <v>465</v>
      </c>
      <c r="C129" s="116">
        <v>460.55</v>
      </c>
      <c r="D129" s="116">
        <v>445.6</v>
      </c>
      <c r="E129" s="116">
        <v>453.05</v>
      </c>
      <c r="F129" s="116">
        <v>460.55</v>
      </c>
      <c r="G129">
        <v>25524</v>
      </c>
      <c r="H129" s="116"/>
      <c r="I129" s="116"/>
      <c r="L129" s="170">
        <v>46118</v>
      </c>
      <c r="M129" s="116">
        <v>460.65</v>
      </c>
      <c r="N129" s="116">
        <v>465.9</v>
      </c>
      <c r="O129" s="116">
        <v>445.6</v>
      </c>
      <c r="P129" s="116">
        <v>454.95</v>
      </c>
      <c r="Q129" s="116">
        <v>460.65</v>
      </c>
      <c r="R129">
        <v>395208</v>
      </c>
    </row>
    <row r="130" spans="1:18" x14ac:dyDescent="0.25">
      <c r="A130" s="170">
        <v>46119</v>
      </c>
      <c r="B130" s="116">
        <v>474.6</v>
      </c>
      <c r="C130" s="116">
        <v>472.35</v>
      </c>
      <c r="D130" s="116">
        <v>457.9</v>
      </c>
      <c r="E130" s="116">
        <v>462</v>
      </c>
      <c r="F130" s="116">
        <v>472.35</v>
      </c>
      <c r="G130">
        <v>17682</v>
      </c>
      <c r="H130" s="116"/>
      <c r="I130" s="116"/>
      <c r="L130" s="170">
        <v>46119</v>
      </c>
      <c r="M130" s="116">
        <v>472.4</v>
      </c>
      <c r="N130" s="116">
        <v>474</v>
      </c>
      <c r="O130" s="116">
        <v>457.25</v>
      </c>
      <c r="P130" s="116">
        <v>459.95</v>
      </c>
      <c r="Q130" s="116">
        <v>472.4</v>
      </c>
      <c r="R130">
        <v>326793</v>
      </c>
    </row>
    <row r="131" spans="1:18" x14ac:dyDescent="0.25">
      <c r="A131" s="170">
        <v>46120</v>
      </c>
      <c r="B131" s="116">
        <v>550</v>
      </c>
      <c r="C131" s="116">
        <v>533.65</v>
      </c>
      <c r="D131" s="116">
        <v>489</v>
      </c>
      <c r="E131" s="116">
        <v>500</v>
      </c>
      <c r="F131" s="116">
        <v>533.65</v>
      </c>
      <c r="G131">
        <v>88283</v>
      </c>
      <c r="H131" s="116"/>
      <c r="I131" s="116"/>
      <c r="L131" s="170">
        <v>46120</v>
      </c>
      <c r="M131" s="116">
        <v>533.15</v>
      </c>
      <c r="N131" s="116">
        <v>537.9</v>
      </c>
      <c r="O131" s="116">
        <v>488.2</v>
      </c>
      <c r="P131" s="116">
        <v>495.5</v>
      </c>
      <c r="Q131" s="116">
        <v>533.15</v>
      </c>
      <c r="R131">
        <v>1522727</v>
      </c>
    </row>
    <row r="132" spans="1:18" x14ac:dyDescent="0.25">
      <c r="A132" s="170">
        <v>46121</v>
      </c>
      <c r="B132" s="116">
        <v>569.4</v>
      </c>
      <c r="C132" s="116">
        <v>558.15</v>
      </c>
      <c r="D132" s="116">
        <v>531.35</v>
      </c>
      <c r="E132" s="116">
        <v>539.95000000000005</v>
      </c>
      <c r="F132" s="116">
        <v>558.15</v>
      </c>
      <c r="G132">
        <v>111394</v>
      </c>
      <c r="H132" s="116"/>
      <c r="I132" s="116"/>
      <c r="L132" s="170">
        <v>46121</v>
      </c>
      <c r="M132" s="116">
        <v>558.79999999999995</v>
      </c>
      <c r="N132" s="116">
        <v>569.9</v>
      </c>
      <c r="O132" s="116">
        <v>532.15</v>
      </c>
      <c r="P132" s="116">
        <v>536.79999999999995</v>
      </c>
      <c r="Q132" s="116">
        <v>558.79999999999995</v>
      </c>
      <c r="R132">
        <v>1562675</v>
      </c>
    </row>
    <row r="133" spans="1:18" x14ac:dyDescent="0.25">
      <c r="A133" s="170">
        <v>46122</v>
      </c>
      <c r="B133" s="116">
        <v>579.20000000000005</v>
      </c>
      <c r="C133" s="116">
        <v>563.1</v>
      </c>
      <c r="D133" s="116">
        <v>559.9</v>
      </c>
      <c r="E133" s="116">
        <v>569.9</v>
      </c>
      <c r="F133" s="116">
        <v>563.1</v>
      </c>
      <c r="G133">
        <v>51830</v>
      </c>
      <c r="H133" s="116"/>
      <c r="I133" s="116"/>
      <c r="L133" s="170">
        <v>46122</v>
      </c>
      <c r="M133" s="116">
        <v>564.70000000000005</v>
      </c>
      <c r="N133" s="116">
        <v>579.85</v>
      </c>
      <c r="O133" s="116">
        <v>560</v>
      </c>
      <c r="P133" s="116">
        <v>567.04999999999995</v>
      </c>
      <c r="Q133" s="116">
        <v>564.70000000000005</v>
      </c>
      <c r="R133">
        <v>1027421</v>
      </c>
    </row>
    <row r="134" spans="1:18" x14ac:dyDescent="0.25">
      <c r="A134" s="170">
        <v>46125</v>
      </c>
      <c r="B134" s="116">
        <v>576.35</v>
      </c>
      <c r="C134" s="116">
        <v>573.5</v>
      </c>
      <c r="D134" s="116">
        <v>539.9</v>
      </c>
      <c r="E134" s="116">
        <v>551.95000000000005</v>
      </c>
      <c r="F134" s="116">
        <v>573.5</v>
      </c>
      <c r="G134">
        <v>51075</v>
      </c>
      <c r="H134" s="116"/>
      <c r="I134" s="116"/>
      <c r="L134" s="170">
        <v>46125</v>
      </c>
      <c r="M134" s="116">
        <v>573.25</v>
      </c>
      <c r="N134" s="116">
        <v>577.9</v>
      </c>
      <c r="O134" s="116">
        <v>539.15</v>
      </c>
      <c r="P134" s="116">
        <v>550</v>
      </c>
      <c r="Q134" s="116">
        <v>573.25</v>
      </c>
      <c r="R134">
        <v>1073695</v>
      </c>
    </row>
    <row r="135" spans="1:18" x14ac:dyDescent="0.25">
      <c r="A135" s="170"/>
      <c r="B135" s="116"/>
      <c r="C135" s="116"/>
      <c r="D135" s="116"/>
      <c r="E135" s="116"/>
      <c r="F135" s="116"/>
      <c r="H135" s="116"/>
      <c r="I135" s="116"/>
      <c r="L135" s="170"/>
    </row>
    <row r="136" spans="1:18" x14ac:dyDescent="0.25">
      <c r="A136" s="170"/>
      <c r="B136" s="116"/>
      <c r="C136" s="116"/>
      <c r="D136" s="116"/>
      <c r="E136" s="116"/>
      <c r="F136" s="116"/>
      <c r="H136" s="116"/>
      <c r="I136" s="116"/>
      <c r="L136" s="170"/>
    </row>
    <row r="137" spans="1:18" x14ac:dyDescent="0.25">
      <c r="A137" s="170"/>
      <c r="B137" s="116"/>
      <c r="C137" s="116"/>
      <c r="D137" s="116"/>
      <c r="E137" s="116"/>
      <c r="F137" s="116"/>
      <c r="H137" s="116"/>
      <c r="I137" s="116"/>
      <c r="L137" s="170"/>
    </row>
    <row r="138" spans="1:18" x14ac:dyDescent="0.25">
      <c r="A138" s="170"/>
      <c r="B138" s="116"/>
      <c r="C138" s="116"/>
      <c r="D138" s="116"/>
      <c r="E138" s="116"/>
      <c r="F138" s="116"/>
      <c r="H138" s="116"/>
      <c r="I138" s="116"/>
      <c r="L138" s="170"/>
    </row>
    <row r="139" spans="1:18" x14ac:dyDescent="0.25">
      <c r="A139" s="170"/>
      <c r="B139" s="116"/>
      <c r="C139" s="116"/>
      <c r="D139" s="116"/>
      <c r="E139" s="116"/>
      <c r="F139" s="116"/>
      <c r="H139" s="116"/>
      <c r="I139" s="116"/>
      <c r="L139" s="170"/>
    </row>
    <row r="140" spans="1:18" x14ac:dyDescent="0.25">
      <c r="A140" s="170"/>
      <c r="B140" s="116"/>
      <c r="C140" s="116"/>
      <c r="D140" s="116"/>
      <c r="E140" s="116"/>
      <c r="F140" s="116"/>
      <c r="H140" s="116"/>
      <c r="I140" s="116"/>
      <c r="L140" s="170"/>
    </row>
    <row r="141" spans="1:18" x14ac:dyDescent="0.25">
      <c r="A141" s="170"/>
      <c r="B141" s="116"/>
      <c r="C141" s="116"/>
      <c r="D141" s="116"/>
      <c r="E141" s="116"/>
      <c r="F141" s="116"/>
      <c r="H141" s="116"/>
      <c r="I141" s="116"/>
      <c r="L141" s="170"/>
    </row>
    <row r="142" spans="1:18" x14ac:dyDescent="0.25">
      <c r="A142" s="170"/>
      <c r="B142" s="116"/>
      <c r="C142" s="116"/>
      <c r="D142" s="116"/>
      <c r="E142" s="116"/>
      <c r="F142" s="116"/>
      <c r="H142" s="116"/>
      <c r="I142" s="116"/>
      <c r="L142" s="170"/>
    </row>
    <row r="143" spans="1:18" x14ac:dyDescent="0.25">
      <c r="A143" s="170"/>
      <c r="B143" s="116"/>
      <c r="C143" s="116"/>
      <c r="D143" s="116"/>
      <c r="E143" s="116"/>
      <c r="F143" s="116"/>
      <c r="H143" s="116"/>
      <c r="I143" s="116"/>
      <c r="L143" s="170"/>
    </row>
    <row r="144" spans="1:18" x14ac:dyDescent="0.25">
      <c r="A144" s="170"/>
      <c r="B144" s="116"/>
      <c r="C144" s="116"/>
      <c r="D144" s="116"/>
      <c r="E144" s="116"/>
      <c r="F144" s="116"/>
      <c r="H144" s="116"/>
      <c r="I144" s="116"/>
      <c r="L144" s="170"/>
    </row>
    <row r="145" spans="1:12" x14ac:dyDescent="0.25">
      <c r="A145" s="170"/>
      <c r="B145" s="116"/>
      <c r="C145" s="116"/>
      <c r="D145" s="116"/>
      <c r="E145" s="116"/>
      <c r="F145" s="116"/>
      <c r="H145" s="116"/>
      <c r="I145" s="116"/>
      <c r="L145" s="170"/>
    </row>
    <row r="146" spans="1:12" x14ac:dyDescent="0.25">
      <c r="A146" s="170"/>
      <c r="B146" s="116"/>
      <c r="C146" s="116"/>
      <c r="D146" s="116"/>
      <c r="E146" s="116"/>
      <c r="F146" s="116"/>
      <c r="H146" s="116"/>
      <c r="I146" s="116"/>
      <c r="L146" s="170"/>
    </row>
    <row r="147" spans="1:12" x14ac:dyDescent="0.25">
      <c r="A147" s="170"/>
      <c r="B147" s="116"/>
      <c r="C147" s="116"/>
      <c r="D147" s="116"/>
      <c r="E147" s="116"/>
      <c r="F147" s="116"/>
      <c r="H147" s="116"/>
      <c r="I147" s="116"/>
      <c r="L147" s="170"/>
    </row>
    <row r="148" spans="1:12" x14ac:dyDescent="0.25">
      <c r="A148" s="170"/>
      <c r="B148" s="116"/>
      <c r="C148" s="116"/>
      <c r="D148" s="116"/>
      <c r="E148" s="116"/>
      <c r="F148" s="116"/>
      <c r="H148" s="116"/>
      <c r="I148" s="116"/>
      <c r="L148" s="170"/>
    </row>
    <row r="149" spans="1:12" x14ac:dyDescent="0.25">
      <c r="A149" s="170"/>
      <c r="B149" s="116"/>
      <c r="C149" s="116"/>
      <c r="D149" s="116"/>
      <c r="E149" s="116"/>
      <c r="F149" s="116"/>
      <c r="H149" s="116"/>
      <c r="I149" s="116"/>
      <c r="L149" s="170"/>
    </row>
    <row r="150" spans="1:12" x14ac:dyDescent="0.25">
      <c r="A150" s="170"/>
      <c r="B150" s="116"/>
      <c r="C150" s="116"/>
      <c r="D150" s="116"/>
      <c r="E150" s="116"/>
      <c r="F150" s="116"/>
      <c r="H150" s="116"/>
      <c r="I150" s="116"/>
      <c r="L150" s="170"/>
    </row>
    <row r="151" spans="1:12" x14ac:dyDescent="0.25">
      <c r="A151" s="170"/>
      <c r="B151" s="116"/>
      <c r="C151" s="116"/>
      <c r="D151" s="116"/>
      <c r="E151" s="116"/>
      <c r="F151" s="116"/>
      <c r="H151" s="116"/>
      <c r="I151" s="116"/>
      <c r="L151" s="170"/>
    </row>
    <row r="152" spans="1:12" x14ac:dyDescent="0.25">
      <c r="A152" s="170"/>
      <c r="B152" s="116"/>
      <c r="C152" s="116"/>
      <c r="D152" s="116"/>
      <c r="E152" s="116"/>
      <c r="F152" s="116"/>
      <c r="H152" s="116"/>
      <c r="I152" s="116"/>
      <c r="L152" s="170"/>
    </row>
    <row r="153" spans="1:12" x14ac:dyDescent="0.25">
      <c r="A153" s="170"/>
      <c r="B153" s="116"/>
      <c r="C153" s="116"/>
      <c r="D153" s="116"/>
      <c r="E153" s="116"/>
      <c r="F153" s="116"/>
      <c r="H153" s="116"/>
      <c r="I153" s="116"/>
      <c r="L153" s="170"/>
    </row>
    <row r="154" spans="1:12" x14ac:dyDescent="0.25">
      <c r="A154" s="170"/>
      <c r="B154" s="116"/>
      <c r="C154" s="116"/>
      <c r="D154" s="116"/>
      <c r="E154" s="116"/>
      <c r="F154" s="116"/>
      <c r="H154" s="116"/>
      <c r="I154" s="116"/>
      <c r="L154" s="170"/>
    </row>
    <row r="155" spans="1:12" x14ac:dyDescent="0.25">
      <c r="A155" s="170"/>
      <c r="B155" s="116"/>
      <c r="C155" s="116"/>
      <c r="D155" s="116"/>
      <c r="E155" s="116"/>
      <c r="F155" s="116"/>
      <c r="H155" s="116"/>
      <c r="I155" s="116"/>
      <c r="L155" s="170"/>
    </row>
    <row r="156" spans="1:12" x14ac:dyDescent="0.25">
      <c r="A156" s="170"/>
      <c r="B156" s="116"/>
      <c r="C156" s="116"/>
      <c r="D156" s="116"/>
      <c r="E156" s="116"/>
      <c r="F156" s="116"/>
      <c r="H156" s="116"/>
      <c r="I156" s="116"/>
      <c r="L156" s="170"/>
    </row>
    <row r="157" spans="1:12" x14ac:dyDescent="0.25">
      <c r="A157" s="170"/>
      <c r="B157" s="116"/>
      <c r="C157" s="116"/>
      <c r="D157" s="116"/>
      <c r="E157" s="116"/>
      <c r="F157" s="116"/>
      <c r="H157" s="116"/>
      <c r="I157" s="116"/>
      <c r="L157" s="170"/>
    </row>
    <row r="158" spans="1:12" x14ac:dyDescent="0.25">
      <c r="A158" s="170"/>
      <c r="B158" s="116"/>
      <c r="C158" s="116"/>
      <c r="D158" s="116"/>
      <c r="E158" s="116"/>
      <c r="F158" s="116"/>
      <c r="H158" s="116"/>
      <c r="I158" s="116"/>
      <c r="L158" s="170"/>
    </row>
    <row r="159" spans="1:12" x14ac:dyDescent="0.25">
      <c r="A159" s="170"/>
      <c r="B159" s="116"/>
      <c r="C159" s="116"/>
      <c r="D159" s="116"/>
      <c r="E159" s="116"/>
      <c r="F159" s="116"/>
      <c r="H159" s="116"/>
      <c r="I159" s="116"/>
      <c r="L159" s="170"/>
    </row>
    <row r="160" spans="1:12" x14ac:dyDescent="0.25">
      <c r="A160" s="170"/>
      <c r="B160" s="116"/>
      <c r="C160" s="116"/>
      <c r="D160" s="116"/>
      <c r="E160" s="116"/>
      <c r="F160" s="116"/>
      <c r="H160" s="116"/>
      <c r="I160" s="116"/>
      <c r="L160" s="170"/>
    </row>
    <row r="161" spans="1:12" x14ac:dyDescent="0.25">
      <c r="A161" s="170"/>
      <c r="B161" s="116"/>
      <c r="C161" s="116"/>
      <c r="D161" s="116"/>
      <c r="E161" s="116"/>
      <c r="F161" s="116"/>
      <c r="H161" s="116"/>
      <c r="I161" s="116"/>
      <c r="L161" s="170"/>
    </row>
    <row r="162" spans="1:12" x14ac:dyDescent="0.25">
      <c r="A162" s="170"/>
      <c r="B162" s="116"/>
      <c r="C162" s="116"/>
      <c r="D162" s="116"/>
      <c r="E162" s="116"/>
      <c r="F162" s="116"/>
      <c r="H162" s="116"/>
      <c r="I162" s="116"/>
      <c r="L162" s="170"/>
    </row>
    <row r="163" spans="1:12" x14ac:dyDescent="0.25">
      <c r="A163" s="170"/>
      <c r="B163" s="116"/>
      <c r="C163" s="116"/>
      <c r="D163" s="116"/>
      <c r="E163" s="116"/>
      <c r="F163" s="116"/>
      <c r="H163" s="116"/>
      <c r="I163" s="116"/>
      <c r="L163" s="170"/>
    </row>
    <row r="164" spans="1:12" x14ac:dyDescent="0.25">
      <c r="A164" s="170"/>
      <c r="B164" s="116"/>
      <c r="C164" s="116"/>
      <c r="D164" s="116"/>
      <c r="E164" s="116"/>
      <c r="F164" s="116"/>
      <c r="H164" s="116"/>
      <c r="I164" s="116"/>
      <c r="L164" s="170"/>
    </row>
    <row r="165" spans="1:12" x14ac:dyDescent="0.25">
      <c r="A165" s="170"/>
      <c r="B165" s="116"/>
      <c r="C165" s="116"/>
      <c r="D165" s="116"/>
      <c r="E165" s="116"/>
      <c r="F165" s="116"/>
      <c r="H165" s="116"/>
      <c r="I165" s="116"/>
      <c r="L165" s="170"/>
    </row>
    <row r="166" spans="1:12" x14ac:dyDescent="0.25">
      <c r="A166" s="170"/>
      <c r="B166" s="116"/>
      <c r="C166" s="116"/>
      <c r="D166" s="116"/>
      <c r="E166" s="116"/>
      <c r="F166" s="116"/>
      <c r="H166" s="116"/>
      <c r="I166" s="116"/>
      <c r="L166" s="170"/>
    </row>
    <row r="167" spans="1:12" x14ac:dyDescent="0.25">
      <c r="A167" s="170"/>
      <c r="B167" s="116"/>
      <c r="C167" s="116"/>
      <c r="D167" s="116"/>
      <c r="E167" s="116"/>
      <c r="F167" s="116"/>
      <c r="H167" s="116"/>
      <c r="I167" s="116"/>
      <c r="L167" s="170"/>
    </row>
    <row r="168" spans="1:12" x14ac:dyDescent="0.25">
      <c r="A168" s="170"/>
      <c r="B168" s="116"/>
      <c r="C168" s="116"/>
      <c r="D168" s="116"/>
      <c r="E168" s="116"/>
      <c r="F168" s="116"/>
      <c r="H168" s="116"/>
      <c r="I168" s="116"/>
      <c r="L168" s="170"/>
    </row>
    <row r="169" spans="1:12" x14ac:dyDescent="0.25">
      <c r="A169" s="170"/>
      <c r="B169" s="116"/>
      <c r="C169" s="116"/>
      <c r="D169" s="116"/>
      <c r="E169" s="116"/>
      <c r="F169" s="116"/>
      <c r="H169" s="116"/>
      <c r="I169" s="116"/>
      <c r="L169" s="170"/>
    </row>
    <row r="170" spans="1:12" x14ac:dyDescent="0.25">
      <c r="A170" s="170"/>
      <c r="B170" s="116"/>
      <c r="C170" s="116"/>
      <c r="D170" s="116"/>
      <c r="E170" s="116"/>
      <c r="F170" s="116"/>
      <c r="H170" s="116"/>
      <c r="I170" s="116"/>
      <c r="L170" s="170"/>
    </row>
    <row r="171" spans="1:12" x14ac:dyDescent="0.25">
      <c r="A171" s="170"/>
      <c r="B171" s="116"/>
      <c r="C171" s="116"/>
      <c r="D171" s="116"/>
      <c r="E171" s="116"/>
      <c r="F171" s="116"/>
      <c r="H171" s="116"/>
      <c r="I171" s="116"/>
      <c r="L171" s="170"/>
    </row>
    <row r="172" spans="1:12" x14ac:dyDescent="0.25">
      <c r="A172" s="170"/>
      <c r="B172" s="116"/>
      <c r="C172" s="116"/>
      <c r="D172" s="116"/>
      <c r="E172" s="116"/>
      <c r="F172" s="116"/>
      <c r="H172" s="116"/>
      <c r="I172" s="116"/>
      <c r="L172" s="170"/>
    </row>
    <row r="173" spans="1:12" x14ac:dyDescent="0.25">
      <c r="A173" s="170"/>
      <c r="B173" s="116"/>
      <c r="C173" s="116"/>
      <c r="D173" s="116"/>
      <c r="E173" s="116"/>
      <c r="F173" s="116"/>
      <c r="H173" s="116"/>
      <c r="I173" s="116"/>
      <c r="L173" s="170"/>
    </row>
    <row r="174" spans="1:12" x14ac:dyDescent="0.25">
      <c r="A174" s="170"/>
      <c r="B174" s="116"/>
      <c r="C174" s="116"/>
      <c r="D174" s="116"/>
      <c r="E174" s="116"/>
      <c r="F174" s="116"/>
      <c r="H174" s="116"/>
      <c r="I174" s="116"/>
      <c r="L174" s="170"/>
    </row>
    <row r="175" spans="1:12" x14ac:dyDescent="0.25">
      <c r="A175" s="170"/>
      <c r="B175" s="116"/>
      <c r="C175" s="116"/>
      <c r="D175" s="116"/>
      <c r="E175" s="116"/>
      <c r="F175" s="116"/>
      <c r="H175" s="116"/>
      <c r="I175" s="116"/>
      <c r="L175" s="170"/>
    </row>
    <row r="176" spans="1:12" x14ac:dyDescent="0.25">
      <c r="A176" s="170"/>
      <c r="B176" s="116"/>
      <c r="C176" s="116"/>
      <c r="D176" s="116"/>
      <c r="E176" s="116"/>
      <c r="F176" s="116"/>
      <c r="H176" s="116"/>
      <c r="I176" s="116"/>
      <c r="L176" s="170"/>
    </row>
    <row r="177" spans="1:12" x14ac:dyDescent="0.25">
      <c r="A177" s="170"/>
      <c r="B177" s="116"/>
      <c r="C177" s="116"/>
      <c r="D177" s="116"/>
      <c r="E177" s="116"/>
      <c r="F177" s="116"/>
      <c r="H177" s="116"/>
      <c r="I177" s="116"/>
      <c r="L177" s="170"/>
    </row>
    <row r="178" spans="1:12" x14ac:dyDescent="0.25">
      <c r="A178" s="170"/>
      <c r="B178" s="116"/>
      <c r="C178" s="116"/>
      <c r="D178" s="116"/>
      <c r="E178" s="116"/>
      <c r="F178" s="116"/>
      <c r="H178" s="116"/>
      <c r="I178" s="116"/>
      <c r="L178" s="170"/>
    </row>
    <row r="179" spans="1:12" x14ac:dyDescent="0.25">
      <c r="A179" s="170"/>
      <c r="B179" s="116"/>
      <c r="C179" s="116"/>
      <c r="D179" s="116"/>
      <c r="E179" s="116"/>
      <c r="F179" s="116"/>
      <c r="H179" s="116"/>
      <c r="I179" s="116"/>
      <c r="L179" s="170"/>
    </row>
    <row r="180" spans="1:12" x14ac:dyDescent="0.25">
      <c r="A180" s="170"/>
      <c r="B180" s="116"/>
      <c r="C180" s="116"/>
      <c r="D180" s="116"/>
      <c r="E180" s="116"/>
      <c r="F180" s="116"/>
      <c r="H180" s="116"/>
      <c r="I180" s="116"/>
      <c r="L180" s="170"/>
    </row>
    <row r="181" spans="1:12" x14ac:dyDescent="0.25">
      <c r="A181" s="170"/>
      <c r="B181" s="116"/>
      <c r="C181" s="116"/>
      <c r="D181" s="116"/>
      <c r="E181" s="116"/>
      <c r="F181" s="116"/>
      <c r="H181" s="116"/>
      <c r="I181" s="116"/>
      <c r="L181" s="170"/>
    </row>
    <row r="182" spans="1:12" x14ac:dyDescent="0.25">
      <c r="A182" s="170"/>
      <c r="B182" s="116"/>
      <c r="C182" s="116"/>
      <c r="D182" s="116"/>
      <c r="E182" s="116"/>
      <c r="F182" s="116"/>
      <c r="H182" s="116"/>
      <c r="I182" s="116"/>
      <c r="L182" s="170"/>
    </row>
    <row r="183" spans="1:12" x14ac:dyDescent="0.25">
      <c r="A183" s="170"/>
      <c r="B183" s="116"/>
      <c r="C183" s="116"/>
      <c r="D183" s="116"/>
      <c r="E183" s="116"/>
      <c r="F183" s="116"/>
      <c r="H183" s="116"/>
      <c r="I183" s="116"/>
      <c r="L183" s="170"/>
    </row>
    <row r="184" spans="1:12" x14ac:dyDescent="0.25">
      <c r="A184" s="170"/>
      <c r="B184" s="116"/>
      <c r="C184" s="116"/>
      <c r="D184" s="116"/>
      <c r="E184" s="116"/>
      <c r="F184" s="116"/>
      <c r="H184" s="116"/>
      <c r="I184" s="116"/>
      <c r="L184" s="170"/>
    </row>
    <row r="185" spans="1:12" x14ac:dyDescent="0.25">
      <c r="A185" s="170"/>
      <c r="B185" s="116"/>
      <c r="C185" s="116"/>
      <c r="D185" s="116"/>
      <c r="E185" s="116"/>
      <c r="F185" s="116"/>
      <c r="H185" s="116"/>
      <c r="I185" s="116"/>
      <c r="L185" s="170"/>
    </row>
    <row r="186" spans="1:12" x14ac:dyDescent="0.25">
      <c r="A186" s="170"/>
      <c r="B186" s="116"/>
      <c r="C186" s="116"/>
      <c r="D186" s="116"/>
      <c r="E186" s="116"/>
      <c r="F186" s="116"/>
      <c r="H186" s="116"/>
      <c r="I186" s="116"/>
      <c r="L186" s="170"/>
    </row>
    <row r="187" spans="1:12" x14ac:dyDescent="0.25">
      <c r="A187" s="170"/>
      <c r="B187" s="116"/>
      <c r="C187" s="116"/>
      <c r="D187" s="116"/>
      <c r="E187" s="116"/>
      <c r="F187" s="116"/>
      <c r="H187" s="116"/>
      <c r="I187" s="116"/>
      <c r="L187" s="170"/>
    </row>
    <row r="188" spans="1:12" x14ac:dyDescent="0.25">
      <c r="A188" s="170"/>
      <c r="B188" s="116"/>
      <c r="C188" s="116"/>
      <c r="D188" s="116"/>
      <c r="E188" s="116"/>
      <c r="F188" s="116"/>
      <c r="H188" s="116"/>
      <c r="I188" s="116"/>
      <c r="L188" s="170"/>
    </row>
    <row r="189" spans="1:12" x14ac:dyDescent="0.25">
      <c r="A189" s="170"/>
      <c r="B189" s="116"/>
      <c r="C189" s="116"/>
      <c r="D189" s="116"/>
      <c r="E189" s="116"/>
      <c r="F189" s="116"/>
      <c r="H189" s="116"/>
      <c r="I189" s="116"/>
      <c r="L189" s="170"/>
    </row>
    <row r="190" spans="1:12" x14ac:dyDescent="0.25">
      <c r="A190" s="170"/>
      <c r="B190" s="116"/>
      <c r="C190" s="116"/>
      <c r="D190" s="116"/>
      <c r="E190" s="116"/>
      <c r="F190" s="116"/>
      <c r="H190" s="116"/>
      <c r="I190" s="116"/>
      <c r="L190" s="170"/>
    </row>
    <row r="191" spans="1:12" x14ac:dyDescent="0.25">
      <c r="A191" s="170"/>
      <c r="B191" s="116"/>
      <c r="C191" s="116"/>
      <c r="D191" s="116"/>
      <c r="E191" s="116"/>
      <c r="F191" s="116"/>
      <c r="H191" s="116"/>
      <c r="I191" s="116"/>
      <c r="L191" s="170"/>
    </row>
    <row r="192" spans="1:12" x14ac:dyDescent="0.25">
      <c r="A192" s="170"/>
      <c r="B192" s="116"/>
      <c r="C192" s="116"/>
      <c r="D192" s="116"/>
      <c r="E192" s="116"/>
      <c r="F192" s="116"/>
      <c r="H192" s="116"/>
      <c r="I192" s="116"/>
      <c r="L192" s="170"/>
    </row>
    <row r="193" spans="1:12" x14ac:dyDescent="0.25">
      <c r="A193" s="170"/>
      <c r="B193" s="116"/>
      <c r="C193" s="116"/>
      <c r="D193" s="116"/>
      <c r="E193" s="116"/>
      <c r="F193" s="116"/>
      <c r="H193" s="116"/>
      <c r="I193" s="116"/>
      <c r="L193" s="170"/>
    </row>
    <row r="194" spans="1:12" x14ac:dyDescent="0.25">
      <c r="A194" s="170"/>
      <c r="B194" s="116"/>
      <c r="C194" s="116"/>
      <c r="D194" s="116"/>
      <c r="E194" s="116"/>
      <c r="F194" s="116"/>
      <c r="H194" s="116"/>
      <c r="I194" s="116"/>
      <c r="L194" s="170"/>
    </row>
    <row r="195" spans="1:12" x14ac:dyDescent="0.25">
      <c r="A195" s="170"/>
      <c r="B195" s="116"/>
      <c r="C195" s="116"/>
      <c r="D195" s="116"/>
      <c r="E195" s="116"/>
      <c r="F195" s="116"/>
      <c r="H195" s="116"/>
      <c r="I195" s="116"/>
      <c r="L195" s="170"/>
    </row>
    <row r="196" spans="1:12" x14ac:dyDescent="0.25">
      <c r="A196" s="170"/>
      <c r="B196" s="116"/>
      <c r="C196" s="116"/>
      <c r="D196" s="116"/>
      <c r="E196" s="116"/>
      <c r="F196" s="116"/>
      <c r="H196" s="116"/>
      <c r="I196" s="116"/>
      <c r="L196" s="170"/>
    </row>
    <row r="197" spans="1:12" x14ac:dyDescent="0.25">
      <c r="A197" s="170"/>
      <c r="B197" s="116"/>
      <c r="C197" s="116"/>
      <c r="D197" s="116"/>
      <c r="E197" s="116"/>
      <c r="F197" s="116"/>
      <c r="H197" s="116"/>
      <c r="I197" s="116"/>
      <c r="L197" s="170"/>
    </row>
    <row r="198" spans="1:12" x14ac:dyDescent="0.25">
      <c r="A198" s="170"/>
      <c r="B198" s="116"/>
      <c r="C198" s="116"/>
      <c r="D198" s="116"/>
      <c r="E198" s="116"/>
      <c r="F198" s="116"/>
      <c r="H198" s="116"/>
      <c r="I198" s="116"/>
      <c r="L198" s="170"/>
    </row>
    <row r="199" spans="1:12" x14ac:dyDescent="0.25">
      <c r="A199" s="170"/>
      <c r="B199" s="116"/>
      <c r="C199" s="116"/>
      <c r="D199" s="116"/>
      <c r="E199" s="116"/>
      <c r="F199" s="116"/>
      <c r="H199" s="116"/>
      <c r="I199" s="116"/>
      <c r="L199" s="170"/>
    </row>
    <row r="200" spans="1:12" x14ac:dyDescent="0.25">
      <c r="A200" s="170"/>
      <c r="B200" s="116"/>
      <c r="C200" s="116"/>
      <c r="D200" s="116"/>
      <c r="E200" s="116"/>
      <c r="F200" s="116"/>
      <c r="H200" s="116"/>
      <c r="I200" s="116"/>
      <c r="L200" s="170"/>
    </row>
    <row r="201" spans="1:12" x14ac:dyDescent="0.25">
      <c r="A201" s="170"/>
      <c r="B201" s="116"/>
      <c r="C201" s="116"/>
      <c r="D201" s="116"/>
      <c r="E201" s="116"/>
      <c r="F201" s="116"/>
      <c r="H201" s="116"/>
      <c r="I201" s="116"/>
      <c r="L201" s="170"/>
    </row>
    <row r="202" spans="1:12" x14ac:dyDescent="0.25">
      <c r="A202" s="170"/>
      <c r="B202" s="116"/>
      <c r="C202" s="116"/>
      <c r="D202" s="116"/>
      <c r="E202" s="116"/>
      <c r="F202" s="116"/>
      <c r="H202" s="116"/>
      <c r="I202" s="116"/>
      <c r="L202" s="170"/>
    </row>
    <row r="203" spans="1:12" x14ac:dyDescent="0.25">
      <c r="A203" s="170"/>
      <c r="B203" s="116"/>
      <c r="C203" s="116"/>
      <c r="D203" s="116"/>
      <c r="E203" s="116"/>
      <c r="F203" s="116"/>
      <c r="H203" s="116"/>
      <c r="I203" s="116"/>
      <c r="L203" s="170"/>
    </row>
    <row r="204" spans="1:12" x14ac:dyDescent="0.25">
      <c r="A204" s="170"/>
      <c r="B204" s="116"/>
      <c r="C204" s="116"/>
      <c r="D204" s="116"/>
      <c r="E204" s="116"/>
      <c r="F204" s="116"/>
      <c r="H204" s="116"/>
      <c r="I204" s="116"/>
      <c r="L204" s="170"/>
    </row>
    <row r="205" spans="1:12" x14ac:dyDescent="0.25">
      <c r="A205" s="170"/>
      <c r="B205" s="116"/>
      <c r="C205" s="116"/>
      <c r="D205" s="116"/>
      <c r="E205" s="116"/>
      <c r="F205" s="116"/>
      <c r="H205" s="116"/>
      <c r="I205" s="116"/>
      <c r="L205" s="170"/>
    </row>
    <row r="206" spans="1:12" x14ac:dyDescent="0.25">
      <c r="A206" s="170"/>
      <c r="B206" s="116"/>
      <c r="C206" s="116"/>
      <c r="D206" s="116"/>
      <c r="E206" s="116"/>
      <c r="F206" s="116"/>
      <c r="H206" s="116"/>
      <c r="I206" s="116"/>
      <c r="L206" s="170"/>
    </row>
    <row r="207" spans="1:12" x14ac:dyDescent="0.25">
      <c r="A207" s="170"/>
      <c r="B207" s="116"/>
      <c r="C207" s="116"/>
      <c r="D207" s="116"/>
      <c r="E207" s="116"/>
      <c r="F207" s="116"/>
      <c r="H207" s="116"/>
      <c r="I207" s="116"/>
      <c r="L207" s="170"/>
    </row>
    <row r="208" spans="1:12" x14ac:dyDescent="0.25">
      <c r="A208" s="170"/>
      <c r="B208" s="116"/>
      <c r="C208" s="116"/>
      <c r="D208" s="116"/>
      <c r="E208" s="116"/>
      <c r="F208" s="116"/>
      <c r="H208" s="116"/>
      <c r="I208" s="116"/>
      <c r="L208" s="170"/>
    </row>
    <row r="209" spans="1:12" x14ac:dyDescent="0.25">
      <c r="A209" s="170"/>
      <c r="B209" s="116"/>
      <c r="C209" s="116"/>
      <c r="D209" s="116"/>
      <c r="E209" s="116"/>
      <c r="F209" s="116"/>
      <c r="H209" s="116"/>
      <c r="I209" s="116"/>
      <c r="L209" s="170"/>
    </row>
    <row r="210" spans="1:12" x14ac:dyDescent="0.25">
      <c r="A210" s="170"/>
      <c r="B210" s="116"/>
      <c r="C210" s="116"/>
      <c r="D210" s="116"/>
      <c r="E210" s="116"/>
      <c r="F210" s="116"/>
      <c r="H210" s="116"/>
      <c r="I210" s="116"/>
      <c r="L210" s="170"/>
    </row>
    <row r="211" spans="1:12" x14ac:dyDescent="0.25">
      <c r="A211" s="170"/>
      <c r="B211" s="116"/>
      <c r="C211" s="116"/>
      <c r="D211" s="116"/>
      <c r="E211" s="116"/>
      <c r="F211" s="116"/>
      <c r="H211" s="116"/>
      <c r="I211" s="116"/>
      <c r="L211" s="170"/>
    </row>
    <row r="212" spans="1:12" x14ac:dyDescent="0.25">
      <c r="A212" s="170"/>
      <c r="B212" s="116"/>
      <c r="C212" s="116"/>
      <c r="D212" s="116"/>
      <c r="E212" s="116"/>
      <c r="F212" s="116"/>
      <c r="H212" s="116"/>
      <c r="I212" s="116"/>
      <c r="L212" s="170"/>
    </row>
    <row r="213" spans="1:12" x14ac:dyDescent="0.25">
      <c r="A213" s="170"/>
      <c r="B213" s="116"/>
      <c r="C213" s="116"/>
      <c r="D213" s="116"/>
      <c r="E213" s="116"/>
      <c r="F213" s="116"/>
      <c r="H213" s="116"/>
      <c r="I213" s="116"/>
      <c r="L213" s="170"/>
    </row>
    <row r="214" spans="1:12" x14ac:dyDescent="0.25">
      <c r="A214" s="170"/>
      <c r="B214" s="116"/>
      <c r="C214" s="116"/>
      <c r="D214" s="116"/>
      <c r="E214" s="116"/>
      <c r="F214" s="116"/>
      <c r="H214" s="116"/>
      <c r="I214" s="116"/>
      <c r="L214" s="170"/>
    </row>
    <row r="215" spans="1:12" x14ac:dyDescent="0.25">
      <c r="A215" s="170"/>
      <c r="B215" s="116"/>
      <c r="C215" s="116"/>
      <c r="D215" s="116"/>
      <c r="E215" s="116"/>
      <c r="F215" s="116"/>
      <c r="H215" s="116"/>
      <c r="I215" s="116"/>
      <c r="L215" s="170"/>
    </row>
    <row r="216" spans="1:12" x14ac:dyDescent="0.25">
      <c r="A216" s="170"/>
      <c r="B216" s="116"/>
      <c r="C216" s="116"/>
      <c r="D216" s="116"/>
      <c r="E216" s="116"/>
      <c r="F216" s="116"/>
      <c r="H216" s="116"/>
      <c r="I216" s="116"/>
      <c r="L216" s="170"/>
    </row>
    <row r="217" spans="1:12" x14ac:dyDescent="0.25">
      <c r="A217" s="170"/>
      <c r="B217" s="116"/>
      <c r="C217" s="116"/>
      <c r="D217" s="116"/>
      <c r="E217" s="116"/>
      <c r="F217" s="116"/>
      <c r="H217" s="116"/>
      <c r="I217" s="116"/>
      <c r="L217" s="170"/>
    </row>
    <row r="218" spans="1:12" x14ac:dyDescent="0.25">
      <c r="A218" s="170"/>
      <c r="B218" s="116"/>
      <c r="C218" s="116"/>
      <c r="D218" s="116"/>
      <c r="E218" s="116"/>
      <c r="F218" s="116"/>
      <c r="H218" s="116"/>
      <c r="I218" s="116"/>
      <c r="L218" s="170"/>
    </row>
    <row r="219" spans="1:12" x14ac:dyDescent="0.25">
      <c r="A219" s="170"/>
      <c r="B219" s="116"/>
      <c r="C219" s="116"/>
      <c r="D219" s="116"/>
      <c r="E219" s="116"/>
      <c r="F219" s="116"/>
      <c r="H219" s="116"/>
      <c r="I219" s="116"/>
      <c r="L219" s="170"/>
    </row>
    <row r="220" spans="1:12" x14ac:dyDescent="0.25">
      <c r="A220" s="170"/>
      <c r="B220" s="116"/>
      <c r="C220" s="116"/>
      <c r="D220" s="116"/>
      <c r="E220" s="116"/>
      <c r="F220" s="116"/>
      <c r="H220" s="116"/>
      <c r="I220" s="116"/>
      <c r="L220" s="170"/>
    </row>
    <row r="221" spans="1:12" x14ac:dyDescent="0.25">
      <c r="A221" s="170"/>
      <c r="B221" s="116"/>
      <c r="C221" s="116"/>
      <c r="D221" s="116"/>
      <c r="E221" s="116"/>
      <c r="F221" s="116"/>
      <c r="H221" s="116"/>
      <c r="I221" s="116"/>
      <c r="L221" s="170"/>
    </row>
    <row r="222" spans="1:12" x14ac:dyDescent="0.25">
      <c r="A222" s="170"/>
      <c r="B222" s="116"/>
      <c r="C222" s="116"/>
      <c r="D222" s="116"/>
      <c r="E222" s="116"/>
      <c r="F222" s="116"/>
      <c r="H222" s="116"/>
      <c r="I222" s="116"/>
      <c r="L222" s="170"/>
    </row>
    <row r="223" spans="1:12" x14ac:dyDescent="0.25">
      <c r="A223" s="170"/>
      <c r="B223" s="116"/>
      <c r="C223" s="116"/>
      <c r="D223" s="116"/>
      <c r="E223" s="116"/>
      <c r="F223" s="116"/>
      <c r="H223" s="116"/>
      <c r="I223" s="116"/>
      <c r="L223" s="170"/>
    </row>
    <row r="224" spans="1:12" x14ac:dyDescent="0.25">
      <c r="A224" s="170"/>
      <c r="B224" s="116"/>
      <c r="C224" s="116"/>
      <c r="D224" s="116"/>
      <c r="E224" s="116"/>
      <c r="F224" s="116"/>
      <c r="H224" s="116"/>
      <c r="I224" s="116"/>
      <c r="L224" s="170"/>
    </row>
    <row r="225" spans="1:12" x14ac:dyDescent="0.25">
      <c r="A225" s="170"/>
      <c r="B225" s="116"/>
      <c r="C225" s="116"/>
      <c r="D225" s="116"/>
      <c r="E225" s="116"/>
      <c r="F225" s="116"/>
      <c r="H225" s="116"/>
      <c r="I225" s="116"/>
      <c r="L225" s="170"/>
    </row>
    <row r="226" spans="1:12" x14ac:dyDescent="0.25">
      <c r="A226" s="170"/>
      <c r="B226" s="116"/>
      <c r="C226" s="116"/>
      <c r="D226" s="116"/>
      <c r="E226" s="116"/>
      <c r="F226" s="116"/>
      <c r="H226" s="116"/>
      <c r="I226" s="116"/>
      <c r="L226" s="170"/>
    </row>
    <row r="227" spans="1:12" x14ac:dyDescent="0.25">
      <c r="A227" s="170"/>
      <c r="B227" s="116"/>
      <c r="C227" s="116"/>
      <c r="D227" s="116"/>
      <c r="E227" s="116"/>
      <c r="F227" s="116"/>
      <c r="H227" s="116"/>
      <c r="I227" s="116"/>
      <c r="L227" s="170"/>
    </row>
    <row r="228" spans="1:12" x14ac:dyDescent="0.25">
      <c r="A228" s="170"/>
      <c r="B228" s="116"/>
      <c r="C228" s="116"/>
      <c r="D228" s="116"/>
      <c r="E228" s="116"/>
      <c r="F228" s="116"/>
      <c r="H228" s="116"/>
      <c r="I228" s="116"/>
      <c r="L228" s="170"/>
    </row>
    <row r="229" spans="1:12" x14ac:dyDescent="0.25">
      <c r="A229" s="170"/>
      <c r="B229" s="116"/>
      <c r="C229" s="116"/>
      <c r="D229" s="116"/>
      <c r="E229" s="116"/>
      <c r="F229" s="116"/>
      <c r="H229" s="116"/>
      <c r="I229" s="116"/>
      <c r="L229" s="170"/>
    </row>
    <row r="230" spans="1:12" x14ac:dyDescent="0.25">
      <c r="A230" s="170"/>
      <c r="B230" s="116"/>
      <c r="C230" s="116"/>
      <c r="D230" s="116"/>
      <c r="E230" s="116"/>
      <c r="F230" s="116"/>
      <c r="H230" s="116"/>
      <c r="I230" s="116"/>
      <c r="L230" s="170"/>
    </row>
    <row r="231" spans="1:12" x14ac:dyDescent="0.25">
      <c r="A231" s="170"/>
      <c r="B231" s="116"/>
      <c r="C231" s="116"/>
      <c r="D231" s="116"/>
      <c r="E231" s="116"/>
      <c r="F231" s="116"/>
      <c r="H231" s="116"/>
      <c r="I231" s="116"/>
      <c r="L231" s="170"/>
    </row>
    <row r="232" spans="1:12" x14ac:dyDescent="0.25">
      <c r="A232" s="170"/>
      <c r="B232" s="116"/>
      <c r="C232" s="116"/>
      <c r="D232" s="116"/>
      <c r="E232" s="116"/>
      <c r="F232" s="116"/>
      <c r="H232" s="116"/>
      <c r="I232" s="116"/>
      <c r="L232" s="170"/>
    </row>
    <row r="233" spans="1:12" x14ac:dyDescent="0.25">
      <c r="A233" s="170"/>
      <c r="B233" s="116"/>
      <c r="C233" s="116"/>
      <c r="D233" s="116"/>
      <c r="E233" s="116"/>
      <c r="F233" s="116"/>
      <c r="H233" s="116"/>
      <c r="I233" s="116"/>
      <c r="L233" s="170"/>
    </row>
    <row r="234" spans="1:12" x14ac:dyDescent="0.25">
      <c r="A234" s="170"/>
      <c r="B234" s="116"/>
      <c r="C234" s="116"/>
      <c r="D234" s="116"/>
      <c r="E234" s="116"/>
      <c r="F234" s="116"/>
      <c r="H234" s="116"/>
      <c r="I234" s="116"/>
      <c r="L234" s="170"/>
    </row>
    <row r="235" spans="1:12" x14ac:dyDescent="0.25">
      <c r="A235" s="170"/>
      <c r="B235" s="116"/>
      <c r="C235" s="116"/>
      <c r="D235" s="116"/>
      <c r="E235" s="116"/>
      <c r="F235" s="116"/>
      <c r="H235" s="116"/>
      <c r="I235" s="116"/>
      <c r="L235" s="170"/>
    </row>
    <row r="236" spans="1:12" x14ac:dyDescent="0.25">
      <c r="A236" s="170"/>
      <c r="B236" s="116"/>
      <c r="C236" s="116"/>
      <c r="D236" s="116"/>
      <c r="E236" s="116"/>
      <c r="F236" s="116"/>
      <c r="H236" s="116"/>
      <c r="I236" s="116"/>
      <c r="L236" s="170"/>
    </row>
    <row r="237" spans="1:12" x14ac:dyDescent="0.25">
      <c r="A237" s="170"/>
      <c r="B237" s="116"/>
      <c r="C237" s="116"/>
      <c r="D237" s="116"/>
      <c r="E237" s="116"/>
      <c r="F237" s="116"/>
      <c r="H237" s="116"/>
      <c r="I237" s="116"/>
      <c r="L237" s="170"/>
    </row>
    <row r="238" spans="1:12" x14ac:dyDescent="0.25">
      <c r="A238" s="170"/>
      <c r="B238" s="116"/>
      <c r="C238" s="116"/>
      <c r="D238" s="116"/>
      <c r="E238" s="116"/>
      <c r="F238" s="116"/>
      <c r="H238" s="116"/>
      <c r="I238" s="116"/>
      <c r="L238" s="170"/>
    </row>
    <row r="239" spans="1:12" x14ac:dyDescent="0.25">
      <c r="A239" s="170"/>
      <c r="B239" s="116"/>
      <c r="C239" s="116"/>
      <c r="D239" s="116"/>
      <c r="E239" s="116"/>
      <c r="F239" s="116"/>
      <c r="H239" s="116"/>
      <c r="I239" s="116"/>
      <c r="L239" s="170"/>
    </row>
    <row r="240" spans="1:12" x14ac:dyDescent="0.25">
      <c r="A240" s="170"/>
      <c r="B240" s="116"/>
      <c r="C240" s="116"/>
      <c r="D240" s="116"/>
      <c r="E240" s="116"/>
      <c r="F240" s="116"/>
      <c r="H240" s="116"/>
      <c r="I240" s="116"/>
      <c r="L240" s="170"/>
    </row>
    <row r="241" spans="1:12" x14ac:dyDescent="0.25">
      <c r="A241" s="170"/>
      <c r="B241" s="116"/>
      <c r="C241" s="116"/>
      <c r="D241" s="116"/>
      <c r="E241" s="116"/>
      <c r="F241" s="116"/>
      <c r="H241" s="116"/>
      <c r="I241" s="116"/>
      <c r="L241" s="170"/>
    </row>
    <row r="242" spans="1:12" x14ac:dyDescent="0.25">
      <c r="A242" s="170"/>
      <c r="B242" s="116"/>
      <c r="C242" s="116"/>
      <c r="D242" s="116"/>
      <c r="E242" s="116"/>
      <c r="F242" s="116"/>
      <c r="H242" s="116"/>
      <c r="I242" s="116"/>
      <c r="L242" s="170"/>
    </row>
    <row r="243" spans="1:12" x14ac:dyDescent="0.25">
      <c r="A243" s="170"/>
      <c r="B243" s="116"/>
      <c r="C243" s="116"/>
      <c r="D243" s="116"/>
      <c r="E243" s="116"/>
      <c r="F243" s="116"/>
      <c r="H243" s="116"/>
      <c r="I243" s="116"/>
      <c r="L243" s="170"/>
    </row>
    <row r="244" spans="1:12" x14ac:dyDescent="0.25">
      <c r="A244" s="170"/>
      <c r="B244" s="116"/>
      <c r="C244" s="116"/>
      <c r="D244" s="116"/>
      <c r="E244" s="116"/>
      <c r="F244" s="116"/>
      <c r="H244" s="116"/>
      <c r="I244" s="116"/>
      <c r="L244" s="170"/>
    </row>
    <row r="245" spans="1:12" x14ac:dyDescent="0.25">
      <c r="A245" s="170"/>
      <c r="B245" s="116"/>
      <c r="C245" s="116"/>
      <c r="D245" s="116"/>
      <c r="E245" s="116"/>
      <c r="F245" s="116"/>
      <c r="H245" s="116"/>
      <c r="I245" s="116"/>
      <c r="L245" s="170"/>
    </row>
    <row r="246" spans="1:12" x14ac:dyDescent="0.25">
      <c r="A246" s="170"/>
      <c r="B246" s="116"/>
      <c r="C246" s="116"/>
      <c r="D246" s="116"/>
      <c r="E246" s="116"/>
      <c r="F246" s="116"/>
      <c r="H246" s="116"/>
      <c r="I246" s="116"/>
      <c r="L246" s="170"/>
    </row>
    <row r="247" spans="1:12" x14ac:dyDescent="0.25">
      <c r="A247" s="170"/>
      <c r="B247" s="116"/>
      <c r="C247" s="116"/>
      <c r="D247" s="116"/>
      <c r="E247" s="116"/>
      <c r="F247" s="116"/>
      <c r="H247" s="116"/>
      <c r="I247" s="116"/>
      <c r="L247" s="170"/>
    </row>
    <row r="248" spans="1:12" x14ac:dyDescent="0.25">
      <c r="A248" s="170"/>
      <c r="B248" s="116"/>
      <c r="C248" s="116"/>
      <c r="D248" s="116"/>
      <c r="E248" s="116"/>
      <c r="F248" s="116"/>
      <c r="H248" s="116"/>
      <c r="I248" s="116"/>
      <c r="L248" s="170"/>
    </row>
    <row r="249" spans="1:12" x14ac:dyDescent="0.25">
      <c r="A249" s="170"/>
      <c r="B249" s="116"/>
      <c r="C249" s="116"/>
      <c r="D249" s="116"/>
      <c r="E249" s="116"/>
      <c r="F249" s="116"/>
      <c r="H249" s="116"/>
      <c r="I249" s="116"/>
      <c r="L249" s="170"/>
    </row>
    <row r="250" spans="1:12" x14ac:dyDescent="0.25">
      <c r="A250" s="170"/>
      <c r="B250" s="116"/>
      <c r="C250" s="116"/>
      <c r="D250" s="116"/>
      <c r="E250" s="116"/>
      <c r="F250" s="116"/>
      <c r="H250" s="116"/>
      <c r="I250" s="116"/>
      <c r="L250" s="170"/>
    </row>
    <row r="251" spans="1:12" x14ac:dyDescent="0.25">
      <c r="A251" s="170"/>
      <c r="B251" s="116"/>
      <c r="C251" s="116"/>
      <c r="D251" s="116"/>
      <c r="E251" s="116"/>
      <c r="F251" s="116"/>
      <c r="H251" s="116"/>
      <c r="I251" s="116"/>
      <c r="L251" s="170"/>
    </row>
    <row r="252" spans="1:12" x14ac:dyDescent="0.25">
      <c r="A252" s="170"/>
      <c r="B252" s="116"/>
      <c r="C252" s="116"/>
      <c r="D252" s="116"/>
      <c r="E252" s="116"/>
      <c r="F252" s="116"/>
      <c r="H252" s="116"/>
      <c r="I252" s="116"/>
      <c r="L252" s="170"/>
    </row>
    <row r="253" spans="1:12" x14ac:dyDescent="0.25">
      <c r="A253" s="170"/>
      <c r="B253" s="116"/>
      <c r="C253" s="116"/>
      <c r="D253" s="116"/>
      <c r="E253" s="116"/>
      <c r="F253" s="116"/>
      <c r="H253" s="116"/>
      <c r="I253" s="116"/>
      <c r="L253" s="170"/>
    </row>
    <row r="254" spans="1:12" x14ac:dyDescent="0.25">
      <c r="A254" s="170"/>
      <c r="B254" s="116"/>
      <c r="C254" s="116"/>
      <c r="D254" s="116"/>
      <c r="E254" s="116"/>
      <c r="F254" s="116"/>
      <c r="H254" s="116"/>
      <c r="I254" s="116"/>
      <c r="L254" s="170"/>
    </row>
    <row r="255" spans="1:12" x14ac:dyDescent="0.25">
      <c r="A255" s="170"/>
      <c r="B255" s="116"/>
      <c r="C255" s="116"/>
      <c r="D255" s="116"/>
      <c r="E255" s="116"/>
      <c r="F255" s="116"/>
      <c r="H255" s="116"/>
      <c r="I255" s="116"/>
      <c r="L255" s="170"/>
    </row>
    <row r="256" spans="1:12" x14ac:dyDescent="0.25">
      <c r="A256" s="170"/>
      <c r="B256" s="116"/>
      <c r="C256" s="116"/>
      <c r="D256" s="116"/>
      <c r="E256" s="116"/>
      <c r="F256" s="116"/>
      <c r="H256" s="116"/>
      <c r="I256" s="116"/>
      <c r="L256" s="170"/>
    </row>
    <row r="257" spans="1:12" x14ac:dyDescent="0.25">
      <c r="A257" s="170"/>
      <c r="B257" s="116"/>
      <c r="C257" s="116"/>
      <c r="D257" s="116"/>
      <c r="E257" s="116"/>
      <c r="F257" s="116"/>
      <c r="H257" s="116"/>
      <c r="I257" s="116"/>
      <c r="L257" s="170"/>
    </row>
    <row r="258" spans="1:12" x14ac:dyDescent="0.25">
      <c r="A258" s="170"/>
      <c r="B258" s="116"/>
      <c r="C258" s="116"/>
      <c r="D258" s="116"/>
      <c r="E258" s="116"/>
      <c r="F258" s="116"/>
      <c r="H258" s="116"/>
      <c r="I258" s="116"/>
      <c r="L258" s="170"/>
    </row>
    <row r="259" spans="1:12" x14ac:dyDescent="0.25">
      <c r="A259" s="170"/>
      <c r="B259" s="116"/>
      <c r="C259" s="116"/>
      <c r="D259" s="116"/>
      <c r="E259" s="116"/>
      <c r="F259" s="116"/>
      <c r="H259" s="116"/>
      <c r="I259" s="116"/>
      <c r="L259" s="170"/>
    </row>
    <row r="260" spans="1:12" x14ac:dyDescent="0.25">
      <c r="A260" s="170"/>
      <c r="B260" s="116"/>
      <c r="C260" s="116"/>
      <c r="D260" s="116"/>
      <c r="E260" s="116"/>
      <c r="F260" s="116"/>
      <c r="H260" s="116"/>
      <c r="I260" s="116"/>
      <c r="L260" s="170"/>
    </row>
    <row r="261" spans="1:12" x14ac:dyDescent="0.25">
      <c r="A261" s="170"/>
      <c r="B261" s="116"/>
      <c r="C261" s="116"/>
      <c r="D261" s="116"/>
      <c r="E261" s="116"/>
      <c r="F261" s="116"/>
      <c r="H261" s="116"/>
      <c r="I261" s="116"/>
      <c r="L261" s="170"/>
    </row>
    <row r="262" spans="1:12" x14ac:dyDescent="0.25">
      <c r="A262" s="170"/>
      <c r="B262" s="116"/>
      <c r="C262" s="116"/>
      <c r="D262" s="116"/>
      <c r="E262" s="116"/>
      <c r="F262" s="116"/>
      <c r="H262" s="116"/>
      <c r="I262" s="116"/>
      <c r="L262" s="170"/>
    </row>
    <row r="263" spans="1:12" x14ac:dyDescent="0.25">
      <c r="A263" s="170"/>
      <c r="B263" s="116"/>
      <c r="C263" s="116"/>
      <c r="D263" s="116"/>
      <c r="E263" s="116"/>
      <c r="F263" s="116"/>
      <c r="H263" s="116"/>
      <c r="I263" s="116"/>
      <c r="L263" s="170"/>
    </row>
    <row r="264" spans="1:12" x14ac:dyDescent="0.25">
      <c r="A264" s="170"/>
      <c r="B264" s="116"/>
      <c r="C264" s="116"/>
      <c r="D264" s="116"/>
      <c r="E264" s="116"/>
      <c r="F264" s="116"/>
      <c r="H264" s="116"/>
      <c r="I264" s="116"/>
      <c r="L264" s="170"/>
    </row>
    <row r="265" spans="1:12" x14ac:dyDescent="0.25">
      <c r="A265" s="170"/>
      <c r="B265" s="116"/>
      <c r="C265" s="116"/>
      <c r="D265" s="116"/>
      <c r="E265" s="116"/>
      <c r="F265" s="116"/>
      <c r="H265" s="116"/>
      <c r="I265" s="116"/>
      <c r="L265" s="170"/>
    </row>
    <row r="266" spans="1:12" x14ac:dyDescent="0.25">
      <c r="A266" s="170"/>
      <c r="B266" s="116"/>
      <c r="C266" s="116"/>
      <c r="D266" s="116"/>
      <c r="E266" s="116"/>
      <c r="F266" s="116"/>
      <c r="H266" s="116"/>
      <c r="I266" s="116"/>
      <c r="L266" s="170"/>
    </row>
    <row r="267" spans="1:12" x14ac:dyDescent="0.25">
      <c r="A267" s="170"/>
      <c r="B267" s="116"/>
      <c r="C267" s="116"/>
      <c r="D267" s="116"/>
      <c r="E267" s="116"/>
      <c r="F267" s="116"/>
      <c r="H267" s="116"/>
      <c r="I267" s="116"/>
      <c r="L267" s="170"/>
    </row>
    <row r="268" spans="1:12" x14ac:dyDescent="0.25">
      <c r="A268" s="170"/>
      <c r="B268" s="116"/>
      <c r="C268" s="116"/>
      <c r="D268" s="116"/>
      <c r="E268" s="116"/>
      <c r="F268" s="116"/>
      <c r="H268" s="116"/>
      <c r="I268" s="116"/>
      <c r="L268" s="170"/>
    </row>
    <row r="269" spans="1:12" x14ac:dyDescent="0.25">
      <c r="A269" s="170"/>
      <c r="B269" s="116"/>
      <c r="C269" s="116"/>
      <c r="D269" s="116"/>
      <c r="E269" s="116"/>
      <c r="F269" s="116"/>
      <c r="H269" s="116"/>
      <c r="I269" s="116"/>
      <c r="L269" s="170"/>
    </row>
    <row r="270" spans="1:12" x14ac:dyDescent="0.25">
      <c r="A270" s="170"/>
      <c r="B270" s="116"/>
      <c r="C270" s="116"/>
      <c r="D270" s="116"/>
      <c r="E270" s="116"/>
      <c r="F270" s="116"/>
      <c r="H270" s="116"/>
      <c r="I270" s="116"/>
      <c r="L270" s="170"/>
    </row>
    <row r="271" spans="1:12" x14ac:dyDescent="0.25">
      <c r="A271" s="170"/>
      <c r="B271" s="116"/>
      <c r="C271" s="116"/>
      <c r="D271" s="116"/>
      <c r="E271" s="116"/>
      <c r="F271" s="116"/>
      <c r="H271" s="116"/>
      <c r="I271" s="116"/>
      <c r="L271" s="170"/>
    </row>
    <row r="272" spans="1:12" x14ac:dyDescent="0.25">
      <c r="A272" s="170"/>
      <c r="B272" s="116"/>
      <c r="C272" s="116"/>
      <c r="D272" s="116"/>
      <c r="E272" s="116"/>
      <c r="F272" s="116"/>
      <c r="H272" s="116"/>
      <c r="I272" s="116"/>
      <c r="L272" s="170"/>
    </row>
    <row r="273" spans="1:18" x14ac:dyDescent="0.25">
      <c r="A273" s="170"/>
      <c r="B273" s="116"/>
      <c r="C273" s="116"/>
      <c r="D273" s="116"/>
      <c r="E273" s="116"/>
      <c r="F273" s="116"/>
      <c r="H273" s="116"/>
      <c r="I273" s="116"/>
      <c r="L273" s="170"/>
    </row>
    <row r="274" spans="1:18" x14ac:dyDescent="0.25">
      <c r="A274" s="170"/>
      <c r="B274" s="116"/>
      <c r="C274" s="116"/>
      <c r="D274" s="116"/>
      <c r="E274" s="116"/>
      <c r="F274" s="116"/>
      <c r="H274" s="116"/>
      <c r="I274" s="116"/>
      <c r="L274" s="170"/>
    </row>
    <row r="275" spans="1:18" x14ac:dyDescent="0.25">
      <c r="A275" s="170"/>
      <c r="B275" s="116"/>
      <c r="C275" s="116"/>
      <c r="D275" s="116"/>
      <c r="E275" s="116"/>
      <c r="F275" s="116"/>
      <c r="H275" s="116"/>
      <c r="I275" s="116"/>
      <c r="L275" s="170"/>
    </row>
    <row r="276" spans="1:18" x14ac:dyDescent="0.25">
      <c r="A276" s="170"/>
      <c r="B276" s="116"/>
      <c r="C276" s="116"/>
      <c r="D276" s="116"/>
      <c r="E276" s="116"/>
      <c r="F276" s="116"/>
      <c r="H276" s="116"/>
      <c r="I276" s="116"/>
      <c r="L276" s="170"/>
    </row>
    <row r="277" spans="1:18" x14ac:dyDescent="0.25">
      <c r="A277" s="170"/>
      <c r="B277" s="116"/>
      <c r="C277" s="116"/>
      <c r="D277" s="116"/>
      <c r="E277" s="116"/>
      <c r="F277" s="116"/>
      <c r="H277" s="116"/>
      <c r="I277" s="116"/>
      <c r="L277" s="170"/>
    </row>
    <row r="278" spans="1:18" x14ac:dyDescent="0.25">
      <c r="A278" s="170"/>
      <c r="B278" s="116"/>
      <c r="C278" s="116"/>
      <c r="D278" s="116"/>
      <c r="E278" s="116"/>
      <c r="F278" s="116"/>
      <c r="H278" s="116"/>
      <c r="I278" s="116"/>
      <c r="L278" s="170"/>
    </row>
    <row r="279" spans="1:18" x14ac:dyDescent="0.25">
      <c r="A279" s="170"/>
      <c r="B279" s="116"/>
      <c r="C279" s="116"/>
      <c r="D279" s="116"/>
      <c r="E279" s="116"/>
      <c r="F279" s="116"/>
      <c r="H279" s="116"/>
      <c r="I279" s="116"/>
      <c r="L279" s="170"/>
    </row>
    <row r="280" spans="1:18" x14ac:dyDescent="0.25">
      <c r="A280" s="170"/>
      <c r="B280" s="116"/>
      <c r="C280" s="116"/>
      <c r="D280" s="116"/>
      <c r="E280" s="116"/>
      <c r="F280" s="116"/>
      <c r="H280" s="116"/>
      <c r="I280" s="116"/>
      <c r="L280" s="170"/>
    </row>
    <row r="281" spans="1:18" x14ac:dyDescent="0.25">
      <c r="A281" s="170"/>
      <c r="B281" s="116"/>
      <c r="C281" s="116"/>
      <c r="D281" s="116"/>
      <c r="E281" s="116"/>
      <c r="F281" s="116"/>
      <c r="H281" s="116"/>
      <c r="I281" s="116"/>
      <c r="L281" s="170"/>
    </row>
    <row r="282" spans="1:18" x14ac:dyDescent="0.25">
      <c r="A282" s="170"/>
      <c r="B282" s="116"/>
      <c r="C282" s="116"/>
      <c r="D282" s="116"/>
      <c r="E282" s="116"/>
      <c r="F282" s="116"/>
      <c r="H282" s="116"/>
      <c r="I282" s="116"/>
      <c r="L282" s="170"/>
    </row>
    <row r="283" spans="1:18" x14ac:dyDescent="0.25">
      <c r="A283" s="170"/>
      <c r="B283" s="116"/>
      <c r="C283" s="116"/>
      <c r="D283" s="116"/>
      <c r="E283" s="116"/>
      <c r="F283" s="116"/>
      <c r="H283" s="116"/>
      <c r="I283" s="116"/>
      <c r="L283" s="170"/>
    </row>
    <row r="284" spans="1:18" x14ac:dyDescent="0.25">
      <c r="A284" s="170"/>
      <c r="B284" s="116"/>
      <c r="C284" s="116"/>
      <c r="D284" s="116"/>
      <c r="E284" s="116"/>
      <c r="F284" s="116"/>
      <c r="H284" s="116"/>
      <c r="I284" s="116"/>
      <c r="L284" s="170"/>
    </row>
    <row r="285" spans="1:18" x14ac:dyDescent="0.25">
      <c r="A285" s="170">
        <v>42418</v>
      </c>
      <c r="B285" s="116">
        <v>192.66</v>
      </c>
      <c r="C285" s="116">
        <v>187.63</v>
      </c>
      <c r="D285" s="116">
        <v>186.48</v>
      </c>
      <c r="E285" s="116">
        <v>190.03</v>
      </c>
      <c r="F285" s="116">
        <v>938.15</v>
      </c>
      <c r="G285">
        <v>2295</v>
      </c>
      <c r="H285" s="116"/>
      <c r="I285" s="116"/>
      <c r="L285" s="170">
        <v>42418</v>
      </c>
      <c r="M285" s="116">
        <v>187.35</v>
      </c>
      <c r="N285" s="116">
        <v>193</v>
      </c>
      <c r="O285" s="116">
        <v>186.25</v>
      </c>
      <c r="P285" s="116">
        <v>189</v>
      </c>
      <c r="Q285" s="116">
        <v>936.75</v>
      </c>
      <c r="R285">
        <v>22739</v>
      </c>
    </row>
    <row r="286" spans="1:18" x14ac:dyDescent="0.25">
      <c r="A286" s="170">
        <v>42419</v>
      </c>
      <c r="B286" s="116">
        <v>190.54</v>
      </c>
      <c r="C286" s="116">
        <v>188.91</v>
      </c>
      <c r="D286" s="116">
        <v>186</v>
      </c>
      <c r="E286" s="116">
        <v>186</v>
      </c>
      <c r="F286" s="116">
        <v>944.55</v>
      </c>
      <c r="G286">
        <v>2751</v>
      </c>
      <c r="H286" s="116"/>
      <c r="I286" s="116"/>
      <c r="L286" s="170">
        <v>42419</v>
      </c>
      <c r="M286" s="116">
        <v>189.63</v>
      </c>
      <c r="N286" s="116">
        <v>190.96</v>
      </c>
      <c r="O286" s="116">
        <v>184.22</v>
      </c>
      <c r="P286" s="116">
        <v>188</v>
      </c>
      <c r="Q286" s="116">
        <v>948.15</v>
      </c>
      <c r="R286">
        <v>15965</v>
      </c>
    </row>
    <row r="287" spans="1:18" x14ac:dyDescent="0.25">
      <c r="A287" s="170">
        <v>42422</v>
      </c>
      <c r="B287" s="116">
        <v>194.8</v>
      </c>
      <c r="C287" s="116">
        <v>193.19</v>
      </c>
      <c r="D287" s="116">
        <v>189.2</v>
      </c>
      <c r="E287" s="116">
        <v>190</v>
      </c>
      <c r="F287" s="116">
        <v>965.95</v>
      </c>
      <c r="G287">
        <v>2573</v>
      </c>
      <c r="H287" s="116"/>
      <c r="I287" s="116"/>
      <c r="L287" s="170">
        <v>42422</v>
      </c>
      <c r="M287" s="116">
        <v>192.84</v>
      </c>
      <c r="N287" s="116">
        <v>194.6</v>
      </c>
      <c r="O287" s="116">
        <v>190</v>
      </c>
      <c r="P287" s="116">
        <v>191</v>
      </c>
      <c r="Q287" s="116">
        <v>964.2</v>
      </c>
      <c r="R287">
        <v>25868</v>
      </c>
    </row>
    <row r="288" spans="1:18" x14ac:dyDescent="0.25">
      <c r="A288" s="170">
        <v>42423</v>
      </c>
      <c r="B288" s="116">
        <v>193.2</v>
      </c>
      <c r="C288" s="116">
        <v>186.63</v>
      </c>
      <c r="D288" s="116">
        <v>184</v>
      </c>
      <c r="E288" s="116">
        <v>193.2</v>
      </c>
      <c r="F288" s="116">
        <v>933.15</v>
      </c>
      <c r="G288">
        <v>2400</v>
      </c>
      <c r="H288" s="116"/>
      <c r="I288" s="116"/>
      <c r="L288" s="170">
        <v>42423</v>
      </c>
      <c r="M288" s="116">
        <v>186.88</v>
      </c>
      <c r="N288" s="116">
        <v>193.79</v>
      </c>
      <c r="O288" s="116">
        <v>183.6</v>
      </c>
      <c r="P288" s="116">
        <v>193.79</v>
      </c>
      <c r="Q288" s="116">
        <v>934.4</v>
      </c>
      <c r="R288">
        <v>17715</v>
      </c>
    </row>
    <row r="289" spans="1:18" x14ac:dyDescent="0.25">
      <c r="A289" s="170">
        <v>42424</v>
      </c>
      <c r="B289" s="116">
        <v>188.34</v>
      </c>
      <c r="C289" s="116">
        <v>185.49</v>
      </c>
      <c r="D289" s="116">
        <v>184.2</v>
      </c>
      <c r="E289" s="116">
        <v>186.47</v>
      </c>
      <c r="F289" s="116">
        <v>927.45</v>
      </c>
      <c r="G289">
        <v>1728</v>
      </c>
      <c r="H289" s="116"/>
      <c r="I289" s="116"/>
      <c r="L289" s="170">
        <v>42424</v>
      </c>
      <c r="M289" s="116">
        <v>184.98</v>
      </c>
      <c r="N289" s="116">
        <v>188.79</v>
      </c>
      <c r="O289" s="116">
        <v>183.95</v>
      </c>
      <c r="P289" s="116">
        <v>186.07</v>
      </c>
      <c r="Q289" s="116">
        <v>924.9</v>
      </c>
      <c r="R289">
        <v>13903</v>
      </c>
    </row>
    <row r="290" spans="1:18" x14ac:dyDescent="0.25">
      <c r="A290" s="170">
        <v>42425</v>
      </c>
      <c r="B290" s="116">
        <v>189.58</v>
      </c>
      <c r="C290" s="116">
        <v>189.13</v>
      </c>
      <c r="D290" s="116">
        <v>186.9</v>
      </c>
      <c r="E290" s="116">
        <v>186.9</v>
      </c>
      <c r="F290" s="116">
        <v>945.65</v>
      </c>
      <c r="G290">
        <v>3402</v>
      </c>
      <c r="H290" s="116"/>
      <c r="I290" s="116"/>
      <c r="L290" s="170">
        <v>42425</v>
      </c>
      <c r="M290" s="116">
        <v>188.29</v>
      </c>
      <c r="N290" s="116">
        <v>189.18</v>
      </c>
      <c r="O290" s="116">
        <v>186.99</v>
      </c>
      <c r="P290" s="116">
        <v>186.99</v>
      </c>
      <c r="Q290" s="116">
        <v>941.45</v>
      </c>
      <c r="R290">
        <v>10361</v>
      </c>
    </row>
    <row r="291" spans="1:18" x14ac:dyDescent="0.25">
      <c r="A291" s="170">
        <v>42426</v>
      </c>
      <c r="B291" s="116">
        <v>196</v>
      </c>
      <c r="C291" s="116">
        <v>193.02</v>
      </c>
      <c r="D291" s="116">
        <v>185.68</v>
      </c>
      <c r="E291" s="116">
        <v>190.39</v>
      </c>
      <c r="F291" s="116">
        <v>965.1</v>
      </c>
      <c r="G291">
        <v>1054</v>
      </c>
      <c r="H291" s="116"/>
      <c r="I291" s="116"/>
      <c r="L291" s="170">
        <v>42426</v>
      </c>
      <c r="M291" s="116">
        <v>191.14</v>
      </c>
      <c r="N291" s="116">
        <v>193.8</v>
      </c>
      <c r="O291" s="116">
        <v>185.3</v>
      </c>
      <c r="P291" s="116">
        <v>189.99</v>
      </c>
      <c r="Q291" s="116">
        <v>955.7</v>
      </c>
      <c r="R291">
        <v>17659</v>
      </c>
    </row>
    <row r="292" spans="1:18" x14ac:dyDescent="0.25">
      <c r="A292" s="170">
        <v>42429</v>
      </c>
      <c r="B292" s="116">
        <v>196</v>
      </c>
      <c r="C292" s="116">
        <v>189.02</v>
      </c>
      <c r="D292" s="116">
        <v>185</v>
      </c>
      <c r="E292" s="116">
        <v>191.2</v>
      </c>
      <c r="F292" s="116">
        <v>945.1</v>
      </c>
      <c r="G292">
        <v>9749</v>
      </c>
      <c r="H292" s="116"/>
      <c r="I292" s="116"/>
      <c r="L292" s="170">
        <v>42429</v>
      </c>
      <c r="M292" s="116">
        <v>188.76</v>
      </c>
      <c r="N292" s="116">
        <v>196</v>
      </c>
      <c r="O292" s="116">
        <v>182</v>
      </c>
      <c r="P292" s="116">
        <v>194.8</v>
      </c>
      <c r="Q292" s="116">
        <v>943.8</v>
      </c>
      <c r="R292">
        <v>43400</v>
      </c>
    </row>
    <row r="293" spans="1:18" x14ac:dyDescent="0.25">
      <c r="A293" s="170">
        <v>42430</v>
      </c>
      <c r="B293" s="116">
        <v>203.35</v>
      </c>
      <c r="C293" s="116">
        <v>198</v>
      </c>
      <c r="D293" s="116">
        <v>191.4</v>
      </c>
      <c r="E293" s="116">
        <v>192.1</v>
      </c>
      <c r="F293" s="116">
        <v>990</v>
      </c>
      <c r="G293">
        <v>2806</v>
      </c>
      <c r="H293" s="116"/>
      <c r="I293" s="116"/>
      <c r="L293" s="170">
        <v>42430</v>
      </c>
      <c r="M293" s="116">
        <v>198.96</v>
      </c>
      <c r="N293" s="116">
        <v>204.4</v>
      </c>
      <c r="O293" s="116">
        <v>189</v>
      </c>
      <c r="P293" s="116">
        <v>193.95</v>
      </c>
      <c r="Q293" s="116">
        <v>994.8</v>
      </c>
      <c r="R293">
        <v>31005</v>
      </c>
    </row>
    <row r="294" spans="1:18" x14ac:dyDescent="0.25">
      <c r="A294" s="170">
        <v>42431</v>
      </c>
      <c r="B294" s="116">
        <v>209</v>
      </c>
      <c r="C294" s="116">
        <v>204.14</v>
      </c>
      <c r="D294" s="116">
        <v>201.2</v>
      </c>
      <c r="E294" s="116">
        <v>203</v>
      </c>
      <c r="F294" s="116">
        <v>1020.7</v>
      </c>
      <c r="G294">
        <v>6495</v>
      </c>
      <c r="H294" s="116"/>
      <c r="I294" s="116"/>
      <c r="L294" s="170">
        <v>42431</v>
      </c>
      <c r="M294" s="116">
        <v>204.56</v>
      </c>
      <c r="N294" s="116">
        <v>210</v>
      </c>
      <c r="O294" s="116">
        <v>200.2</v>
      </c>
      <c r="P294" s="116">
        <v>202.6</v>
      </c>
      <c r="Q294" s="116">
        <v>1022.8</v>
      </c>
      <c r="R294">
        <v>48311</v>
      </c>
    </row>
    <row r="295" spans="1:18" x14ac:dyDescent="0.25">
      <c r="A295" s="170">
        <v>42432</v>
      </c>
      <c r="B295" s="116">
        <v>204.4</v>
      </c>
      <c r="C295" s="116">
        <v>203.5</v>
      </c>
      <c r="D295" s="116">
        <v>200.2</v>
      </c>
      <c r="E295" s="116">
        <v>204.18</v>
      </c>
      <c r="F295" s="116">
        <v>1017.5</v>
      </c>
      <c r="G295">
        <v>2932</v>
      </c>
      <c r="H295" s="116"/>
      <c r="I295" s="116"/>
      <c r="L295" s="170">
        <v>42432</v>
      </c>
      <c r="M295" s="116">
        <v>203.42</v>
      </c>
      <c r="N295" s="116">
        <v>204.8</v>
      </c>
      <c r="O295" s="116">
        <v>200.4</v>
      </c>
      <c r="P295" s="116">
        <v>204.8</v>
      </c>
      <c r="Q295" s="116">
        <v>1017.1</v>
      </c>
      <c r="R295">
        <v>17149</v>
      </c>
    </row>
    <row r="296" spans="1:18" x14ac:dyDescent="0.25">
      <c r="A296" s="170">
        <v>42433</v>
      </c>
      <c r="B296" s="116">
        <v>204.8</v>
      </c>
      <c r="C296" s="116">
        <v>203.11</v>
      </c>
      <c r="D296" s="116">
        <v>200</v>
      </c>
      <c r="E296" s="116">
        <v>204.7</v>
      </c>
      <c r="F296" s="116">
        <v>1015.55</v>
      </c>
      <c r="G296">
        <v>1781</v>
      </c>
      <c r="H296" s="116"/>
      <c r="I296" s="116"/>
      <c r="L296" s="170">
        <v>42433</v>
      </c>
      <c r="M296" s="116">
        <v>203.11</v>
      </c>
      <c r="N296" s="116">
        <v>205.76</v>
      </c>
      <c r="O296" s="116">
        <v>201</v>
      </c>
      <c r="P296" s="116">
        <v>205.76</v>
      </c>
      <c r="Q296" s="116">
        <v>1015.55</v>
      </c>
      <c r="R296">
        <v>12664</v>
      </c>
    </row>
    <row r="297" spans="1:18" x14ac:dyDescent="0.25">
      <c r="A297" s="170">
        <v>42437</v>
      </c>
      <c r="B297" s="116">
        <v>205.8</v>
      </c>
      <c r="C297" s="116">
        <v>204.04</v>
      </c>
      <c r="D297" s="116">
        <v>202</v>
      </c>
      <c r="E297" s="116">
        <v>203.84</v>
      </c>
      <c r="F297" s="116">
        <v>1020.2</v>
      </c>
      <c r="G297">
        <v>1329</v>
      </c>
      <c r="H297" s="116"/>
      <c r="I297" s="116"/>
      <c r="L297" s="170">
        <v>42437</v>
      </c>
      <c r="M297" s="116">
        <v>204.68</v>
      </c>
      <c r="N297" s="116">
        <v>206.07</v>
      </c>
      <c r="O297" s="116">
        <v>201.62</v>
      </c>
      <c r="P297" s="116">
        <v>201.62</v>
      </c>
      <c r="Q297" s="116">
        <v>1023.4</v>
      </c>
      <c r="R297">
        <v>13428</v>
      </c>
    </row>
    <row r="298" spans="1:18" x14ac:dyDescent="0.25">
      <c r="A298" s="170">
        <v>42438</v>
      </c>
      <c r="B298" s="116">
        <v>205.19</v>
      </c>
      <c r="C298" s="116">
        <v>203.7</v>
      </c>
      <c r="D298" s="116">
        <v>202.4</v>
      </c>
      <c r="E298" s="116">
        <v>204</v>
      </c>
      <c r="F298" s="116">
        <v>1018.5</v>
      </c>
      <c r="G298">
        <v>2064</v>
      </c>
      <c r="H298" s="116"/>
      <c r="I298" s="116"/>
      <c r="L298" s="170">
        <v>42438</v>
      </c>
      <c r="M298" s="116">
        <v>203.71</v>
      </c>
      <c r="N298" s="116">
        <v>205.68</v>
      </c>
      <c r="O298" s="116">
        <v>202.2</v>
      </c>
      <c r="P298" s="116">
        <v>204.68</v>
      </c>
      <c r="Q298" s="116">
        <v>1018.55</v>
      </c>
      <c r="R298">
        <v>18294</v>
      </c>
    </row>
    <row r="299" spans="1:18" x14ac:dyDescent="0.25">
      <c r="A299" s="170">
        <v>42439</v>
      </c>
      <c r="B299" s="116">
        <v>206</v>
      </c>
      <c r="C299" s="116">
        <v>203.08</v>
      </c>
      <c r="D299" s="116">
        <v>202</v>
      </c>
      <c r="E299" s="116">
        <v>205</v>
      </c>
      <c r="F299" s="116">
        <v>1015.4</v>
      </c>
      <c r="G299">
        <v>1832</v>
      </c>
      <c r="H299" s="116"/>
      <c r="I299" s="116"/>
      <c r="L299" s="170">
        <v>42439</v>
      </c>
      <c r="M299" s="116">
        <v>202.81</v>
      </c>
      <c r="N299" s="116">
        <v>207.39</v>
      </c>
      <c r="O299" s="116">
        <v>201.85</v>
      </c>
      <c r="P299" s="116">
        <v>205.59</v>
      </c>
      <c r="Q299" s="116">
        <v>1014.05</v>
      </c>
      <c r="R299">
        <v>17637</v>
      </c>
    </row>
    <row r="300" spans="1:18" x14ac:dyDescent="0.25">
      <c r="A300" s="170">
        <v>42440</v>
      </c>
      <c r="B300" s="116">
        <v>206</v>
      </c>
      <c r="C300" s="116">
        <v>201.9</v>
      </c>
      <c r="D300" s="116">
        <v>200.2</v>
      </c>
      <c r="E300" s="116">
        <v>204.15</v>
      </c>
      <c r="F300" s="116">
        <v>1009.5</v>
      </c>
      <c r="G300">
        <v>854</v>
      </c>
      <c r="H300" s="116"/>
      <c r="I300" s="116"/>
      <c r="L300" s="170">
        <v>42440</v>
      </c>
      <c r="M300" s="116">
        <v>201.9</v>
      </c>
      <c r="N300" s="116">
        <v>205.25</v>
      </c>
      <c r="O300" s="116">
        <v>200.8</v>
      </c>
      <c r="P300" s="116">
        <v>202.8</v>
      </c>
      <c r="Q300" s="116">
        <v>1009.5</v>
      </c>
      <c r="R300">
        <v>13944</v>
      </c>
    </row>
    <row r="301" spans="1:18" x14ac:dyDescent="0.25">
      <c r="A301" s="170">
        <v>42443</v>
      </c>
      <c r="B301" s="116">
        <v>210.6</v>
      </c>
      <c r="C301" s="116">
        <v>207.29</v>
      </c>
      <c r="D301" s="116">
        <v>203.4</v>
      </c>
      <c r="E301" s="116">
        <v>203.4</v>
      </c>
      <c r="F301" s="116">
        <v>1036.45</v>
      </c>
      <c r="G301">
        <v>5631</v>
      </c>
      <c r="H301" s="116"/>
      <c r="I301" s="116"/>
      <c r="L301" s="170">
        <v>42443</v>
      </c>
      <c r="M301" s="116">
        <v>207.25</v>
      </c>
      <c r="N301" s="116">
        <v>210.3</v>
      </c>
      <c r="O301" s="116">
        <v>203.19</v>
      </c>
      <c r="P301" s="116">
        <v>204.9</v>
      </c>
      <c r="Q301" s="116">
        <v>1036.25</v>
      </c>
      <c r="R301">
        <v>34681</v>
      </c>
    </row>
    <row r="302" spans="1:18" x14ac:dyDescent="0.25">
      <c r="A302" s="170">
        <v>42444</v>
      </c>
      <c r="B302" s="116">
        <v>208.56</v>
      </c>
      <c r="C302" s="116">
        <v>204.96</v>
      </c>
      <c r="D302" s="116">
        <v>202.7</v>
      </c>
      <c r="E302" s="116">
        <v>207.29</v>
      </c>
      <c r="F302" s="116">
        <v>1024.8</v>
      </c>
      <c r="G302">
        <v>2116</v>
      </c>
      <c r="H302" s="116"/>
      <c r="I302" s="116"/>
      <c r="L302" s="170">
        <v>42444</v>
      </c>
      <c r="M302" s="116">
        <v>205.69</v>
      </c>
      <c r="N302" s="116">
        <v>208.4</v>
      </c>
      <c r="O302" s="116">
        <v>203</v>
      </c>
      <c r="P302" s="116">
        <v>206.44</v>
      </c>
      <c r="Q302" s="116">
        <v>1028.45</v>
      </c>
      <c r="R302">
        <v>18882</v>
      </c>
    </row>
    <row r="303" spans="1:18" x14ac:dyDescent="0.25">
      <c r="A303" s="170">
        <v>42445</v>
      </c>
      <c r="B303" s="116">
        <v>208.66</v>
      </c>
      <c r="C303" s="116">
        <v>207.01</v>
      </c>
      <c r="D303" s="116">
        <v>202.84</v>
      </c>
      <c r="E303" s="116">
        <v>207</v>
      </c>
      <c r="F303" s="116">
        <v>1035.05</v>
      </c>
      <c r="G303">
        <v>2301</v>
      </c>
      <c r="H303" s="116"/>
      <c r="I303" s="116"/>
      <c r="L303" s="170">
        <v>42445</v>
      </c>
      <c r="M303" s="116">
        <v>207.28</v>
      </c>
      <c r="N303" s="116">
        <v>208.6</v>
      </c>
      <c r="O303" s="116">
        <v>203.4</v>
      </c>
      <c r="P303" s="116">
        <v>206.39</v>
      </c>
      <c r="Q303" s="116">
        <v>1036.4000000000001</v>
      </c>
      <c r="R303">
        <v>12046</v>
      </c>
    </row>
    <row r="304" spans="1:18" x14ac:dyDescent="0.25">
      <c r="A304" s="170">
        <v>42446</v>
      </c>
      <c r="B304" s="116">
        <v>208</v>
      </c>
      <c r="C304" s="116">
        <v>203.54</v>
      </c>
      <c r="D304" s="116">
        <v>202.2</v>
      </c>
      <c r="E304" s="116">
        <v>207.2</v>
      </c>
      <c r="F304" s="116">
        <v>1017.7</v>
      </c>
      <c r="G304">
        <v>1103</v>
      </c>
      <c r="H304" s="116"/>
      <c r="I304" s="116"/>
      <c r="L304" s="170">
        <v>42446</v>
      </c>
      <c r="M304" s="116">
        <v>203.64</v>
      </c>
      <c r="N304" s="116">
        <v>208.6</v>
      </c>
      <c r="O304" s="116">
        <v>202.25</v>
      </c>
      <c r="P304" s="116">
        <v>203.6</v>
      </c>
      <c r="Q304" s="116">
        <v>1018.2</v>
      </c>
      <c r="R304">
        <v>23010</v>
      </c>
    </row>
    <row r="305" spans="1:18" x14ac:dyDescent="0.25">
      <c r="A305" s="170">
        <v>42447</v>
      </c>
      <c r="B305" s="116">
        <v>205.6</v>
      </c>
      <c r="C305" s="116">
        <v>204.92</v>
      </c>
      <c r="D305" s="116">
        <v>202.4</v>
      </c>
      <c r="E305" s="116">
        <v>203.98</v>
      </c>
      <c r="F305" s="116">
        <v>1024.5999999999999</v>
      </c>
      <c r="G305">
        <v>1460</v>
      </c>
      <c r="H305" s="116"/>
      <c r="I305" s="116"/>
      <c r="L305" s="170">
        <v>42447</v>
      </c>
      <c r="M305" s="116">
        <v>204.73</v>
      </c>
      <c r="N305" s="116">
        <v>206.2</v>
      </c>
      <c r="O305" s="116">
        <v>202.8</v>
      </c>
      <c r="P305" s="116">
        <v>205.59</v>
      </c>
      <c r="Q305" s="116">
        <v>1023.65</v>
      </c>
      <c r="R305">
        <v>8825</v>
      </c>
    </row>
    <row r="306" spans="1:18" x14ac:dyDescent="0.25">
      <c r="A306" s="170">
        <v>42450</v>
      </c>
      <c r="B306" s="116">
        <v>207.4</v>
      </c>
      <c r="C306" s="116">
        <v>206.04</v>
      </c>
      <c r="D306" s="116">
        <v>205.02</v>
      </c>
      <c r="E306" s="116">
        <v>206</v>
      </c>
      <c r="F306" s="116">
        <v>1030.2</v>
      </c>
      <c r="G306">
        <v>987</v>
      </c>
      <c r="H306" s="116"/>
      <c r="I306" s="116"/>
      <c r="L306" s="170">
        <v>42450</v>
      </c>
      <c r="M306" s="116">
        <v>206.5</v>
      </c>
      <c r="N306" s="116">
        <v>207.6</v>
      </c>
      <c r="O306" s="116">
        <v>204.01</v>
      </c>
      <c r="P306" s="116">
        <v>205.8</v>
      </c>
      <c r="Q306" s="116">
        <v>1032.5</v>
      </c>
      <c r="R306">
        <v>28526</v>
      </c>
    </row>
    <row r="307" spans="1:18" x14ac:dyDescent="0.25">
      <c r="A307" s="170">
        <v>42451</v>
      </c>
      <c r="B307" s="116">
        <v>207.52</v>
      </c>
      <c r="C307" s="116">
        <v>206.28</v>
      </c>
      <c r="D307" s="116">
        <v>203.2</v>
      </c>
      <c r="E307" s="116">
        <v>206.69</v>
      </c>
      <c r="F307" s="116">
        <v>1031.4000000000001</v>
      </c>
      <c r="G307">
        <v>1387</v>
      </c>
      <c r="H307" s="116"/>
      <c r="I307" s="116"/>
      <c r="L307" s="170">
        <v>42451</v>
      </c>
      <c r="M307" s="116">
        <v>206.14</v>
      </c>
      <c r="N307" s="116">
        <v>207.98</v>
      </c>
      <c r="O307" s="116">
        <v>204</v>
      </c>
      <c r="P307" s="116">
        <v>207.2</v>
      </c>
      <c r="Q307" s="116">
        <v>1030.7</v>
      </c>
      <c r="R307">
        <v>17351</v>
      </c>
    </row>
    <row r="308" spans="1:18" x14ac:dyDescent="0.25">
      <c r="A308" s="170">
        <v>42452</v>
      </c>
      <c r="B308" s="116">
        <v>211</v>
      </c>
      <c r="C308" s="116">
        <v>210.05</v>
      </c>
      <c r="D308" s="116">
        <v>205.04</v>
      </c>
      <c r="E308" s="116">
        <v>207.6</v>
      </c>
      <c r="F308" s="116">
        <v>1050.25</v>
      </c>
      <c r="G308">
        <v>2916</v>
      </c>
      <c r="H308" s="116"/>
      <c r="I308" s="116"/>
      <c r="L308" s="170">
        <v>42452</v>
      </c>
      <c r="M308" s="116">
        <v>209.52</v>
      </c>
      <c r="N308" s="116">
        <v>211.8</v>
      </c>
      <c r="O308" s="116">
        <v>205</v>
      </c>
      <c r="P308" s="116">
        <v>207.57</v>
      </c>
      <c r="Q308" s="116">
        <v>1047.5999999999999</v>
      </c>
      <c r="R308">
        <v>40871</v>
      </c>
    </row>
    <row r="309" spans="1:18" x14ac:dyDescent="0.25">
      <c r="A309" s="170">
        <v>42457</v>
      </c>
      <c r="B309" s="116">
        <v>212.4</v>
      </c>
      <c r="C309" s="116">
        <v>209.61</v>
      </c>
      <c r="D309" s="116">
        <v>206</v>
      </c>
      <c r="E309" s="116">
        <v>210</v>
      </c>
      <c r="F309" s="116">
        <v>1048.05</v>
      </c>
      <c r="G309">
        <v>4473</v>
      </c>
      <c r="H309" s="116"/>
      <c r="I309" s="116"/>
      <c r="L309" s="170">
        <v>42457</v>
      </c>
      <c r="M309" s="116">
        <v>210.22</v>
      </c>
      <c r="N309" s="116">
        <v>212.4</v>
      </c>
      <c r="O309" s="116">
        <v>206</v>
      </c>
      <c r="P309" s="116">
        <v>208.27</v>
      </c>
      <c r="Q309" s="116">
        <v>1051.0999999999999</v>
      </c>
      <c r="R309">
        <v>28564</v>
      </c>
    </row>
    <row r="310" spans="1:18" x14ac:dyDescent="0.25">
      <c r="A310" s="170">
        <v>42458</v>
      </c>
      <c r="B310" s="116">
        <v>225</v>
      </c>
      <c r="C310" s="116">
        <v>223.7</v>
      </c>
      <c r="D310" s="116">
        <v>208</v>
      </c>
      <c r="E310" s="116">
        <v>208.43</v>
      </c>
      <c r="F310" s="116">
        <v>1118.5</v>
      </c>
      <c r="G310">
        <v>14261</v>
      </c>
      <c r="H310" s="116"/>
      <c r="I310" s="116"/>
      <c r="L310" s="170">
        <v>42458</v>
      </c>
      <c r="M310" s="116">
        <v>224</v>
      </c>
      <c r="N310" s="116">
        <v>225.99</v>
      </c>
      <c r="O310" s="116">
        <v>207.4</v>
      </c>
      <c r="P310" s="116">
        <v>208</v>
      </c>
      <c r="Q310" s="116">
        <v>1120</v>
      </c>
      <c r="R310">
        <v>124946</v>
      </c>
    </row>
    <row r="311" spans="1:18" x14ac:dyDescent="0.25">
      <c r="A311" s="170">
        <v>42459</v>
      </c>
      <c r="B311" s="116">
        <v>230.99</v>
      </c>
      <c r="C311" s="116">
        <v>229.23</v>
      </c>
      <c r="D311" s="116">
        <v>219</v>
      </c>
      <c r="E311" s="116">
        <v>223.7</v>
      </c>
      <c r="F311" s="116">
        <v>1146.1500000000001</v>
      </c>
      <c r="G311">
        <v>6985</v>
      </c>
      <c r="H311" s="116"/>
      <c r="I311" s="116"/>
      <c r="L311" s="170">
        <v>42459</v>
      </c>
      <c r="M311" s="116">
        <v>229.17</v>
      </c>
      <c r="N311" s="116">
        <v>231.77</v>
      </c>
      <c r="O311" s="116">
        <v>218.99</v>
      </c>
      <c r="P311" s="116">
        <v>225</v>
      </c>
      <c r="Q311" s="116">
        <v>1145.8499999999999</v>
      </c>
      <c r="R311">
        <v>78766</v>
      </c>
    </row>
    <row r="312" spans="1:18" x14ac:dyDescent="0.25">
      <c r="A312" s="170">
        <v>42460</v>
      </c>
      <c r="B312" s="116">
        <v>234.78000000000003</v>
      </c>
      <c r="C312" s="116">
        <v>230.86999999999998</v>
      </c>
      <c r="D312" s="116">
        <v>221.4</v>
      </c>
      <c r="E312" s="116">
        <v>226.8</v>
      </c>
      <c r="F312" s="116">
        <v>1154.3499999999999</v>
      </c>
      <c r="G312">
        <v>9889</v>
      </c>
      <c r="H312" s="116"/>
      <c r="I312" s="116"/>
      <c r="L312" s="170">
        <v>42460</v>
      </c>
      <c r="M312" s="116">
        <v>230.94</v>
      </c>
      <c r="N312" s="116">
        <v>234.18</v>
      </c>
      <c r="O312" s="116">
        <v>221.2</v>
      </c>
      <c r="P312" s="116">
        <v>229.23000000000002</v>
      </c>
      <c r="Q312" s="116">
        <v>1154.7</v>
      </c>
      <c r="R312">
        <v>65621</v>
      </c>
    </row>
    <row r="313" spans="1:18" x14ac:dyDescent="0.25">
      <c r="A313" s="170">
        <v>42461</v>
      </c>
      <c r="B313" s="116">
        <v>238.2</v>
      </c>
      <c r="C313" s="116">
        <v>236.91</v>
      </c>
      <c r="D313" s="116">
        <v>230</v>
      </c>
      <c r="E313" s="116">
        <v>231.55</v>
      </c>
      <c r="F313" s="116">
        <v>1184.55</v>
      </c>
      <c r="G313">
        <v>4609</v>
      </c>
      <c r="H313" s="116"/>
      <c r="I313" s="116"/>
      <c r="L313" s="170">
        <v>42461</v>
      </c>
      <c r="M313" s="116">
        <v>236.95</v>
      </c>
      <c r="N313" s="116">
        <v>238</v>
      </c>
      <c r="O313" s="116">
        <v>229.2</v>
      </c>
      <c r="P313" s="116">
        <v>231.6</v>
      </c>
      <c r="Q313" s="116">
        <v>1184.75</v>
      </c>
      <c r="R313">
        <v>23935</v>
      </c>
    </row>
    <row r="314" spans="1:18" x14ac:dyDescent="0.25">
      <c r="A314" s="170">
        <v>42464</v>
      </c>
      <c r="B314" s="116">
        <v>238.74</v>
      </c>
      <c r="C314" s="116">
        <v>236.8</v>
      </c>
      <c r="D314" s="116">
        <v>235.4</v>
      </c>
      <c r="E314" s="116">
        <v>237.6</v>
      </c>
      <c r="F314" s="116">
        <v>1184</v>
      </c>
      <c r="G314">
        <v>3838</v>
      </c>
      <c r="H314" s="116"/>
      <c r="I314" s="116"/>
      <c r="L314" s="170">
        <v>42464</v>
      </c>
      <c r="M314" s="116">
        <v>237.57</v>
      </c>
      <c r="N314" s="116">
        <v>240</v>
      </c>
      <c r="O314" s="116">
        <v>234.2</v>
      </c>
      <c r="P314" s="116">
        <v>240</v>
      </c>
      <c r="Q314" s="116">
        <v>1187.8499999999999</v>
      </c>
      <c r="R314">
        <v>22326</v>
      </c>
    </row>
    <row r="315" spans="1:18" x14ac:dyDescent="0.25">
      <c r="A315" s="170">
        <v>42465</v>
      </c>
      <c r="B315" s="116">
        <v>237</v>
      </c>
      <c r="C315" s="116">
        <v>230.44</v>
      </c>
      <c r="D315" s="116">
        <v>229</v>
      </c>
      <c r="E315" s="116">
        <v>236.41</v>
      </c>
      <c r="F315" s="116">
        <v>1152.2</v>
      </c>
      <c r="G315">
        <v>3830</v>
      </c>
      <c r="H315" s="116"/>
      <c r="I315" s="116"/>
      <c r="L315" s="170">
        <v>42465</v>
      </c>
      <c r="M315" s="116">
        <v>229.85999999999999</v>
      </c>
      <c r="N315" s="116">
        <v>238.6</v>
      </c>
      <c r="O315" s="116">
        <v>228</v>
      </c>
      <c r="P315" s="116">
        <v>238.6</v>
      </c>
      <c r="Q315" s="116">
        <v>1149.3</v>
      </c>
      <c r="R315">
        <v>20942</v>
      </c>
    </row>
    <row r="316" spans="1:18" x14ac:dyDescent="0.25">
      <c r="A316" s="170">
        <v>42466</v>
      </c>
      <c r="B316" s="116">
        <v>235.59</v>
      </c>
      <c r="C316" s="116">
        <v>234.70999999999998</v>
      </c>
      <c r="D316" s="116">
        <v>227.76</v>
      </c>
      <c r="E316" s="116">
        <v>229</v>
      </c>
      <c r="F316" s="116">
        <v>1173.55</v>
      </c>
      <c r="G316">
        <v>1745</v>
      </c>
      <c r="H316" s="116"/>
      <c r="I316" s="116"/>
      <c r="L316" s="170">
        <v>42466</v>
      </c>
      <c r="M316" s="116">
        <v>234.56</v>
      </c>
      <c r="N316" s="116">
        <v>236</v>
      </c>
      <c r="O316" s="116">
        <v>227.68</v>
      </c>
      <c r="P316" s="116">
        <v>230</v>
      </c>
      <c r="Q316" s="116">
        <v>1172.8</v>
      </c>
      <c r="R316">
        <v>17624</v>
      </c>
    </row>
    <row r="317" spans="1:18" x14ac:dyDescent="0.25">
      <c r="A317" s="170">
        <v>42467</v>
      </c>
      <c r="B317" s="116">
        <v>236</v>
      </c>
      <c r="C317" s="116">
        <v>232.33</v>
      </c>
      <c r="D317" s="116">
        <v>229</v>
      </c>
      <c r="E317" s="116">
        <v>234</v>
      </c>
      <c r="F317" s="116">
        <v>1161.6500000000001</v>
      </c>
      <c r="G317">
        <v>2605</v>
      </c>
      <c r="H317" s="116"/>
      <c r="I317" s="116"/>
      <c r="L317" s="170">
        <v>42467</v>
      </c>
      <c r="M317" s="116">
        <v>231.56</v>
      </c>
      <c r="N317" s="116">
        <v>237</v>
      </c>
      <c r="O317" s="116">
        <v>228.8</v>
      </c>
      <c r="P317" s="116">
        <v>235</v>
      </c>
      <c r="Q317" s="116">
        <v>1157.8</v>
      </c>
      <c r="R317">
        <v>17385</v>
      </c>
    </row>
    <row r="318" spans="1:18" x14ac:dyDescent="0.25">
      <c r="A318" s="170">
        <v>42468</v>
      </c>
      <c r="B318" s="116">
        <v>232.9</v>
      </c>
      <c r="C318" s="116">
        <v>231.04000000000002</v>
      </c>
      <c r="D318" s="116">
        <v>229.60999999999999</v>
      </c>
      <c r="E318" s="116">
        <v>230.70999999999998</v>
      </c>
      <c r="F318" s="116">
        <v>1155.2</v>
      </c>
      <c r="G318">
        <v>1163</v>
      </c>
      <c r="H318" s="116"/>
      <c r="I318" s="116"/>
      <c r="L318" s="170">
        <v>42468</v>
      </c>
      <c r="M318" s="116">
        <v>230.42</v>
      </c>
      <c r="N318" s="116">
        <v>233</v>
      </c>
      <c r="O318" s="116">
        <v>229.01</v>
      </c>
      <c r="P318" s="116">
        <v>233</v>
      </c>
      <c r="Q318" s="116">
        <v>1152.0999999999999</v>
      </c>
      <c r="R318">
        <v>7645</v>
      </c>
    </row>
    <row r="319" spans="1:18" x14ac:dyDescent="0.25">
      <c r="A319" s="170">
        <v>42471</v>
      </c>
      <c r="B319" s="116">
        <v>236.8</v>
      </c>
      <c r="C319" s="116">
        <v>235.11999999999998</v>
      </c>
      <c r="D319" s="116">
        <v>230</v>
      </c>
      <c r="E319" s="116">
        <v>230.23000000000002</v>
      </c>
      <c r="F319" s="116">
        <v>1175.5999999999999</v>
      </c>
      <c r="G319">
        <v>926</v>
      </c>
      <c r="H319" s="116"/>
      <c r="I319" s="116"/>
      <c r="L319" s="170">
        <v>42471</v>
      </c>
      <c r="M319" s="116">
        <v>235.79000000000002</v>
      </c>
      <c r="N319" s="116">
        <v>237.6</v>
      </c>
      <c r="O319" s="116">
        <v>229.79000000000002</v>
      </c>
      <c r="P319" s="116">
        <v>232.95</v>
      </c>
      <c r="Q319" s="116">
        <v>1178.95</v>
      </c>
      <c r="R319">
        <v>8300</v>
      </c>
    </row>
    <row r="320" spans="1:18" x14ac:dyDescent="0.25">
      <c r="A320" s="170">
        <v>42472</v>
      </c>
      <c r="B320" s="116">
        <v>246</v>
      </c>
      <c r="C320" s="116">
        <v>243.32</v>
      </c>
      <c r="D320" s="116">
        <v>237.39000000000001</v>
      </c>
      <c r="E320" s="116">
        <v>237.6</v>
      </c>
      <c r="F320" s="116">
        <v>1216.5999999999999</v>
      </c>
      <c r="G320">
        <v>7924</v>
      </c>
      <c r="H320" s="116"/>
      <c r="I320" s="116"/>
      <c r="L320" s="170">
        <v>42472</v>
      </c>
      <c r="M320" s="116">
        <v>244.15</v>
      </c>
      <c r="N320" s="116">
        <v>245.6</v>
      </c>
      <c r="O320" s="116">
        <v>236</v>
      </c>
      <c r="P320" s="116">
        <v>238</v>
      </c>
      <c r="Q320" s="116">
        <v>1220.75</v>
      </c>
      <c r="R320">
        <v>46534</v>
      </c>
    </row>
    <row r="321" spans="1:18" x14ac:dyDescent="0.25">
      <c r="A321" s="170">
        <v>42473</v>
      </c>
      <c r="B321" s="116">
        <v>263.89999999999998</v>
      </c>
      <c r="C321" s="116">
        <v>261.95</v>
      </c>
      <c r="D321" s="116">
        <v>245.8</v>
      </c>
      <c r="E321" s="116">
        <v>245.8</v>
      </c>
      <c r="F321" s="116">
        <v>1309.75</v>
      </c>
      <c r="G321">
        <v>14607</v>
      </c>
      <c r="H321" s="116"/>
      <c r="I321" s="116"/>
      <c r="L321" s="170">
        <v>42473</v>
      </c>
      <c r="M321" s="116">
        <v>261.75</v>
      </c>
      <c r="N321" s="116">
        <v>263.78000000000003</v>
      </c>
      <c r="O321" s="116">
        <v>244.2</v>
      </c>
      <c r="P321" s="116">
        <v>244.2</v>
      </c>
      <c r="Q321" s="116">
        <v>1308.75</v>
      </c>
      <c r="R321">
        <v>120758</v>
      </c>
    </row>
    <row r="322" spans="1:18" x14ac:dyDescent="0.25">
      <c r="A322" s="170">
        <v>42478</v>
      </c>
      <c r="B322" s="116">
        <v>264.8</v>
      </c>
      <c r="C322" s="116">
        <v>248.68</v>
      </c>
      <c r="D322" s="116">
        <v>246.83</v>
      </c>
      <c r="E322" s="116">
        <v>261.8</v>
      </c>
      <c r="F322" s="116">
        <v>1243.4000000000001</v>
      </c>
      <c r="G322">
        <v>8509</v>
      </c>
      <c r="H322" s="116"/>
      <c r="I322" s="116"/>
      <c r="L322" s="170">
        <v>42478</v>
      </c>
      <c r="M322" s="116">
        <v>248.73000000000002</v>
      </c>
      <c r="N322" s="116">
        <v>264.95999999999998</v>
      </c>
      <c r="O322" s="116">
        <v>246.46999999999997</v>
      </c>
      <c r="P322" s="116">
        <v>256.02</v>
      </c>
      <c r="Q322" s="116">
        <v>1243.6500000000001</v>
      </c>
      <c r="R322">
        <v>63846</v>
      </c>
    </row>
    <row r="323" spans="1:18" x14ac:dyDescent="0.25">
      <c r="A323" s="170">
        <v>42480</v>
      </c>
      <c r="B323" s="116">
        <v>252</v>
      </c>
      <c r="C323" s="116">
        <v>245.31</v>
      </c>
      <c r="D323" s="116">
        <v>242.45999999999998</v>
      </c>
      <c r="E323" s="116">
        <v>250.42</v>
      </c>
      <c r="F323" s="116">
        <v>1226.55</v>
      </c>
      <c r="G323">
        <v>6817</v>
      </c>
      <c r="H323" s="116"/>
      <c r="I323" s="116"/>
      <c r="L323" s="170">
        <v>42480</v>
      </c>
      <c r="M323" s="116">
        <v>245.61999999999998</v>
      </c>
      <c r="N323" s="116">
        <v>252.4</v>
      </c>
      <c r="O323" s="116">
        <v>242.6</v>
      </c>
      <c r="P323" s="116">
        <v>252.4</v>
      </c>
      <c r="Q323" s="116">
        <v>1228.0999999999999</v>
      </c>
      <c r="R323">
        <v>40433</v>
      </c>
    </row>
    <row r="324" spans="1:18" x14ac:dyDescent="0.25">
      <c r="A324" s="170">
        <v>42481</v>
      </c>
      <c r="B324" s="116">
        <v>249</v>
      </c>
      <c r="C324" s="116">
        <v>240.29000000000002</v>
      </c>
      <c r="D324" s="116">
        <v>238</v>
      </c>
      <c r="E324" s="116">
        <v>248</v>
      </c>
      <c r="F324" s="116">
        <v>1201.45</v>
      </c>
      <c r="G324">
        <v>3436</v>
      </c>
      <c r="H324" s="116"/>
      <c r="I324" s="116"/>
      <c r="L324" s="170">
        <v>42481</v>
      </c>
      <c r="M324" s="116">
        <v>239.75</v>
      </c>
      <c r="N324" s="116">
        <v>249.6</v>
      </c>
      <c r="O324" s="116">
        <v>237.43</v>
      </c>
      <c r="P324" s="116">
        <v>245.61999999999998</v>
      </c>
      <c r="Q324" s="116">
        <v>1198.75</v>
      </c>
      <c r="R324">
        <v>25341</v>
      </c>
    </row>
    <row r="325" spans="1:18" x14ac:dyDescent="0.25">
      <c r="A325" s="170">
        <v>42482</v>
      </c>
      <c r="B325" s="116">
        <v>246</v>
      </c>
      <c r="C325" s="116">
        <v>243.35</v>
      </c>
      <c r="D325" s="116">
        <v>239.21999999999997</v>
      </c>
      <c r="E325" s="116">
        <v>239.21999999999997</v>
      </c>
      <c r="F325" s="116">
        <v>1216.75</v>
      </c>
      <c r="G325">
        <v>1098</v>
      </c>
      <c r="H325" s="116"/>
      <c r="I325" s="116"/>
      <c r="L325" s="170">
        <v>42482</v>
      </c>
      <c r="M325" s="116">
        <v>243.24</v>
      </c>
      <c r="N325" s="116">
        <v>246</v>
      </c>
      <c r="O325" s="116">
        <v>238.05</v>
      </c>
      <c r="P325" s="116">
        <v>239.75</v>
      </c>
      <c r="Q325" s="116">
        <v>1216.2</v>
      </c>
      <c r="R325">
        <v>19325</v>
      </c>
    </row>
    <row r="326" spans="1:18" x14ac:dyDescent="0.25">
      <c r="A326" s="170">
        <v>42485</v>
      </c>
      <c r="B326" s="116">
        <v>248.56</v>
      </c>
      <c r="C326" s="116">
        <v>244.5</v>
      </c>
      <c r="D326" s="116">
        <v>243</v>
      </c>
      <c r="E326" s="116">
        <v>245</v>
      </c>
      <c r="F326" s="116">
        <v>1222.5</v>
      </c>
      <c r="G326">
        <v>3157</v>
      </c>
      <c r="H326" s="116"/>
      <c r="I326" s="116"/>
      <c r="L326" s="170">
        <v>42485</v>
      </c>
      <c r="M326" s="116">
        <v>244.61999999999998</v>
      </c>
      <c r="N326" s="116">
        <v>248.65</v>
      </c>
      <c r="O326" s="116">
        <v>241.82</v>
      </c>
      <c r="P326" s="116">
        <v>241.82</v>
      </c>
      <c r="Q326" s="116">
        <v>1223.0999999999999</v>
      </c>
      <c r="R326">
        <v>30775</v>
      </c>
    </row>
    <row r="327" spans="1:18" x14ac:dyDescent="0.25">
      <c r="A327" s="170">
        <v>42486</v>
      </c>
      <c r="B327" s="116">
        <v>247</v>
      </c>
      <c r="C327" s="116">
        <v>244.81</v>
      </c>
      <c r="D327" s="116">
        <v>243</v>
      </c>
      <c r="E327" s="116">
        <v>246</v>
      </c>
      <c r="F327" s="116">
        <v>1224.05</v>
      </c>
      <c r="G327">
        <v>1953</v>
      </c>
      <c r="H327" s="116"/>
      <c r="I327" s="116"/>
      <c r="L327" s="170">
        <v>42486</v>
      </c>
      <c r="M327" s="116">
        <v>244.4</v>
      </c>
      <c r="N327" s="116">
        <v>247.8</v>
      </c>
      <c r="O327" s="116">
        <v>242</v>
      </c>
      <c r="P327" s="116">
        <v>244.4</v>
      </c>
      <c r="Q327" s="116">
        <v>1222</v>
      </c>
      <c r="R327">
        <v>26968</v>
      </c>
    </row>
    <row r="328" spans="1:18" x14ac:dyDescent="0.25">
      <c r="A328" s="170">
        <v>42487</v>
      </c>
      <c r="B328" s="116">
        <v>247.74</v>
      </c>
      <c r="C328" s="116">
        <v>244.74</v>
      </c>
      <c r="D328" s="116">
        <v>243.42</v>
      </c>
      <c r="E328" s="116">
        <v>247</v>
      </c>
      <c r="F328" s="116">
        <v>1223.7</v>
      </c>
      <c r="G328">
        <v>2128</v>
      </c>
      <c r="H328" s="116"/>
      <c r="I328" s="116"/>
      <c r="L328" s="170">
        <v>42487</v>
      </c>
      <c r="M328" s="116">
        <v>245.21999999999997</v>
      </c>
      <c r="N328" s="116">
        <v>247.76999999999998</v>
      </c>
      <c r="O328" s="116">
        <v>242.3</v>
      </c>
      <c r="P328" s="116">
        <v>247.35999999999999</v>
      </c>
      <c r="Q328" s="116">
        <v>1226.0999999999999</v>
      </c>
      <c r="R328">
        <v>20072</v>
      </c>
    </row>
    <row r="329" spans="1:18" x14ac:dyDescent="0.25">
      <c r="A329" s="170">
        <v>42488</v>
      </c>
      <c r="B329" s="116">
        <v>249.99</v>
      </c>
      <c r="C329" s="116">
        <v>236.8</v>
      </c>
      <c r="D329" s="116">
        <v>228</v>
      </c>
      <c r="E329" s="116">
        <v>246.35</v>
      </c>
      <c r="F329" s="116">
        <v>1184</v>
      </c>
      <c r="G329">
        <v>6739</v>
      </c>
      <c r="H329" s="116"/>
      <c r="I329" s="116"/>
      <c r="L329" s="170">
        <v>42488</v>
      </c>
      <c r="M329" s="116">
        <v>236.84</v>
      </c>
      <c r="N329" s="116">
        <v>250.23000000000002</v>
      </c>
      <c r="O329" s="116">
        <v>227.32</v>
      </c>
      <c r="P329" s="116">
        <v>246.66</v>
      </c>
      <c r="Q329" s="116">
        <v>1184.2</v>
      </c>
      <c r="R329">
        <v>67748</v>
      </c>
    </row>
    <row r="330" spans="1:18" x14ac:dyDescent="0.25">
      <c r="A330" s="170">
        <v>42489</v>
      </c>
      <c r="B330" s="116">
        <v>253</v>
      </c>
      <c r="C330" s="116">
        <v>240.7</v>
      </c>
      <c r="D330" s="116">
        <v>238.01999999999998</v>
      </c>
      <c r="E330" s="116">
        <v>251</v>
      </c>
      <c r="F330" s="116">
        <v>1203.5</v>
      </c>
      <c r="G330">
        <v>21709</v>
      </c>
      <c r="H330" s="116"/>
      <c r="I330" s="116"/>
      <c r="L330" s="170">
        <v>42489</v>
      </c>
      <c r="M330" s="116">
        <v>240.43</v>
      </c>
      <c r="N330" s="116">
        <v>253.6</v>
      </c>
      <c r="O330" s="116">
        <v>238</v>
      </c>
      <c r="P330" s="116">
        <v>252.07</v>
      </c>
      <c r="Q330" s="116">
        <v>1202.1500000000001</v>
      </c>
      <c r="R330">
        <v>220750</v>
      </c>
    </row>
    <row r="331" spans="1:18" x14ac:dyDescent="0.25">
      <c r="A331" s="170">
        <v>42492</v>
      </c>
      <c r="B331" s="116">
        <v>248.2</v>
      </c>
      <c r="C331" s="116">
        <v>246.39000000000001</v>
      </c>
      <c r="D331" s="116">
        <v>234</v>
      </c>
      <c r="E331" s="116">
        <v>240.6</v>
      </c>
      <c r="F331" s="116">
        <v>1231.95</v>
      </c>
      <c r="G331">
        <v>9165</v>
      </c>
      <c r="H331" s="116"/>
      <c r="I331" s="116"/>
      <c r="L331" s="170">
        <v>42492</v>
      </c>
      <c r="M331" s="116">
        <v>246.26</v>
      </c>
      <c r="N331" s="116">
        <v>247.55</v>
      </c>
      <c r="O331" s="116">
        <v>234</v>
      </c>
      <c r="P331" s="116">
        <v>240.4</v>
      </c>
      <c r="Q331" s="116">
        <v>1231.3</v>
      </c>
      <c r="R331">
        <v>64378</v>
      </c>
    </row>
    <row r="332" spans="1:18" x14ac:dyDescent="0.25">
      <c r="A332" s="170">
        <v>42493</v>
      </c>
      <c r="B332" s="116">
        <v>257</v>
      </c>
      <c r="C332" s="116">
        <v>253.95999999999998</v>
      </c>
      <c r="D332" s="116">
        <v>246.68</v>
      </c>
      <c r="E332" s="116">
        <v>246.8</v>
      </c>
      <c r="F332" s="116">
        <v>1269.8</v>
      </c>
      <c r="G332">
        <v>12513</v>
      </c>
      <c r="H332" s="116"/>
      <c r="I332" s="116"/>
      <c r="L332" s="170">
        <v>42493</v>
      </c>
      <c r="M332" s="116">
        <v>254.13000000000002</v>
      </c>
      <c r="N332" s="116">
        <v>257.12</v>
      </c>
      <c r="O332" s="116">
        <v>245.01</v>
      </c>
      <c r="P332" s="116">
        <v>246.58</v>
      </c>
      <c r="Q332" s="116">
        <v>1270.6500000000001</v>
      </c>
      <c r="R332">
        <v>123126</v>
      </c>
    </row>
    <row r="333" spans="1:18" x14ac:dyDescent="0.25">
      <c r="A333" s="170">
        <v>42494</v>
      </c>
      <c r="B333" s="116">
        <v>259</v>
      </c>
      <c r="C333" s="116">
        <v>246.79000000000002</v>
      </c>
      <c r="D333" s="116">
        <v>245</v>
      </c>
      <c r="E333" s="116">
        <v>254.2</v>
      </c>
      <c r="F333" s="116">
        <v>1233.95</v>
      </c>
      <c r="G333">
        <v>8903</v>
      </c>
      <c r="H333" s="116"/>
      <c r="I333" s="116"/>
      <c r="L333" s="170">
        <v>42494</v>
      </c>
      <c r="M333" s="116">
        <v>246.85999999999999</v>
      </c>
      <c r="N333" s="116">
        <v>259.2</v>
      </c>
      <c r="O333" s="116">
        <v>244.99</v>
      </c>
      <c r="P333" s="116">
        <v>254.19</v>
      </c>
      <c r="Q333" s="116">
        <v>1234.3</v>
      </c>
      <c r="R333">
        <v>69466</v>
      </c>
    </row>
    <row r="334" spans="1:18" x14ac:dyDescent="0.25">
      <c r="A334" s="170">
        <v>42495</v>
      </c>
      <c r="B334" s="116">
        <v>246.85999999999999</v>
      </c>
      <c r="C334" s="116">
        <v>238.41</v>
      </c>
      <c r="D334" s="116">
        <v>237.6</v>
      </c>
      <c r="E334" s="116">
        <v>246.85999999999999</v>
      </c>
      <c r="F334" s="116">
        <v>1192.05</v>
      </c>
      <c r="G334">
        <v>11166</v>
      </c>
      <c r="H334" s="116"/>
      <c r="I334" s="116"/>
      <c r="L334" s="170">
        <v>42495</v>
      </c>
      <c r="M334" s="116">
        <v>237.85</v>
      </c>
      <c r="N334" s="116">
        <v>247.8</v>
      </c>
      <c r="O334" s="116">
        <v>236.8</v>
      </c>
      <c r="P334" s="116">
        <v>247.8</v>
      </c>
      <c r="Q334" s="116">
        <v>1189.25</v>
      </c>
      <c r="R334">
        <v>101723</v>
      </c>
    </row>
    <row r="335" spans="1:18" x14ac:dyDescent="0.25">
      <c r="A335" s="170">
        <v>42496</v>
      </c>
      <c r="B335" s="116">
        <v>240</v>
      </c>
      <c r="C335" s="116">
        <v>236.42</v>
      </c>
      <c r="D335" s="116">
        <v>234.35999999999999</v>
      </c>
      <c r="E335" s="116">
        <v>238.56</v>
      </c>
      <c r="F335" s="116">
        <v>1182.0999999999999</v>
      </c>
      <c r="G335">
        <v>5363</v>
      </c>
      <c r="H335" s="116"/>
      <c r="I335" s="116"/>
      <c r="L335" s="170">
        <v>42496</v>
      </c>
      <c r="M335" s="116">
        <v>235.95</v>
      </c>
      <c r="N335" s="116">
        <v>240</v>
      </c>
      <c r="O335" s="116">
        <v>234</v>
      </c>
      <c r="P335" s="116">
        <v>236</v>
      </c>
      <c r="Q335" s="116">
        <v>1179.75</v>
      </c>
      <c r="R335">
        <v>52755</v>
      </c>
    </row>
    <row r="336" spans="1:18" x14ac:dyDescent="0.25">
      <c r="A336" s="170">
        <v>42499</v>
      </c>
      <c r="B336" s="116">
        <v>240.93</v>
      </c>
      <c r="C336" s="116">
        <v>236.41</v>
      </c>
      <c r="D336" s="116">
        <v>235.04000000000002</v>
      </c>
      <c r="E336" s="116">
        <v>239.6</v>
      </c>
      <c r="F336" s="116">
        <v>1182.05</v>
      </c>
      <c r="G336">
        <v>10821</v>
      </c>
      <c r="H336" s="116"/>
      <c r="I336" s="116"/>
      <c r="L336" s="170">
        <v>42499</v>
      </c>
      <c r="M336" s="116">
        <v>235.99</v>
      </c>
      <c r="N336" s="116">
        <v>239.95</v>
      </c>
      <c r="O336" s="116">
        <v>234.45</v>
      </c>
      <c r="P336" s="116">
        <v>236.55</v>
      </c>
      <c r="Q336" s="116">
        <v>1179.95</v>
      </c>
      <c r="R336">
        <v>52306</v>
      </c>
    </row>
    <row r="337" spans="1:18" x14ac:dyDescent="0.25">
      <c r="A337" s="170">
        <v>42500</v>
      </c>
      <c r="B337" s="116">
        <v>238.6</v>
      </c>
      <c r="C337" s="116">
        <v>235.83</v>
      </c>
      <c r="D337" s="116">
        <v>235</v>
      </c>
      <c r="E337" s="116">
        <v>236.67</v>
      </c>
      <c r="F337" s="116">
        <v>1179.1500000000001</v>
      </c>
      <c r="G337">
        <v>2596</v>
      </c>
      <c r="H337" s="116"/>
      <c r="I337" s="116"/>
      <c r="L337" s="170">
        <v>42500</v>
      </c>
      <c r="M337" s="116">
        <v>235.42</v>
      </c>
      <c r="N337" s="116">
        <v>238.6</v>
      </c>
      <c r="O337" s="116">
        <v>234.45</v>
      </c>
      <c r="P337" s="116">
        <v>237.8</v>
      </c>
      <c r="Q337" s="116">
        <v>1177.0999999999999</v>
      </c>
      <c r="R337">
        <v>40617</v>
      </c>
    </row>
    <row r="338" spans="1:18" x14ac:dyDescent="0.25">
      <c r="A338" s="170">
        <v>42501</v>
      </c>
      <c r="B338" s="116">
        <v>237.95999999999998</v>
      </c>
      <c r="C338" s="116">
        <v>233.55</v>
      </c>
      <c r="D338" s="116">
        <v>232.6</v>
      </c>
      <c r="E338" s="116">
        <v>235</v>
      </c>
      <c r="F338" s="116">
        <v>1167.75</v>
      </c>
      <c r="G338">
        <v>3694</v>
      </c>
      <c r="H338" s="116"/>
      <c r="I338" s="116"/>
      <c r="L338" s="170">
        <v>42501</v>
      </c>
      <c r="M338" s="116">
        <v>233.79000000000002</v>
      </c>
      <c r="N338" s="116">
        <v>238</v>
      </c>
      <c r="O338" s="116">
        <v>232</v>
      </c>
      <c r="P338" s="116">
        <v>235</v>
      </c>
      <c r="Q338" s="116">
        <v>1168.95</v>
      </c>
      <c r="R338">
        <v>37445</v>
      </c>
    </row>
    <row r="339" spans="1:18" x14ac:dyDescent="0.25">
      <c r="A339" s="170">
        <v>42502</v>
      </c>
      <c r="B339" s="116">
        <v>239.4</v>
      </c>
      <c r="C339" s="116">
        <v>237.69</v>
      </c>
      <c r="D339" s="116">
        <v>232.6</v>
      </c>
      <c r="E339" s="116">
        <v>234</v>
      </c>
      <c r="F339" s="116">
        <v>1188.45</v>
      </c>
      <c r="G339">
        <v>5113</v>
      </c>
      <c r="H339" s="116"/>
      <c r="I339" s="116"/>
      <c r="L339" s="170">
        <v>42502</v>
      </c>
      <c r="M339" s="116">
        <v>237.75</v>
      </c>
      <c r="N339" s="116">
        <v>239.4</v>
      </c>
      <c r="O339" s="116">
        <v>231.53000000000003</v>
      </c>
      <c r="P339" s="116">
        <v>235.38000000000002</v>
      </c>
      <c r="Q339" s="116">
        <v>1188.75</v>
      </c>
      <c r="R339">
        <v>32544</v>
      </c>
    </row>
    <row r="340" spans="1:18" x14ac:dyDescent="0.25">
      <c r="A340" s="170">
        <v>42503</v>
      </c>
      <c r="B340" s="116">
        <v>245</v>
      </c>
      <c r="C340" s="116">
        <v>243.75</v>
      </c>
      <c r="D340" s="116">
        <v>235.42</v>
      </c>
      <c r="E340" s="116">
        <v>235.42</v>
      </c>
      <c r="F340" s="116">
        <v>1218.75</v>
      </c>
      <c r="G340">
        <v>5686</v>
      </c>
      <c r="H340" s="116"/>
      <c r="I340" s="116"/>
      <c r="L340" s="170">
        <v>42503</v>
      </c>
      <c r="M340" s="116">
        <v>244.20999999999998</v>
      </c>
      <c r="N340" s="116">
        <v>245.2</v>
      </c>
      <c r="O340" s="116">
        <v>236.2</v>
      </c>
      <c r="P340" s="116">
        <v>237.38000000000002</v>
      </c>
      <c r="Q340" s="116">
        <v>1221.05</v>
      </c>
      <c r="R340">
        <v>36602</v>
      </c>
    </row>
    <row r="341" spans="1:18" x14ac:dyDescent="0.25">
      <c r="A341" s="170">
        <v>42506</v>
      </c>
      <c r="B341" s="116">
        <v>246</v>
      </c>
      <c r="C341" s="116">
        <v>243.57</v>
      </c>
      <c r="D341" s="116">
        <v>239.60999999999999</v>
      </c>
      <c r="E341" s="116">
        <v>243.6</v>
      </c>
      <c r="F341" s="116">
        <v>1217.8499999999999</v>
      </c>
      <c r="G341">
        <v>2211</v>
      </c>
      <c r="H341" s="116"/>
      <c r="I341" s="116"/>
      <c r="L341" s="170">
        <v>42506</v>
      </c>
      <c r="M341" s="116">
        <v>243.3</v>
      </c>
      <c r="N341" s="116">
        <v>246.55</v>
      </c>
      <c r="O341" s="116">
        <v>240.4</v>
      </c>
      <c r="P341" s="116">
        <v>245</v>
      </c>
      <c r="Q341" s="116">
        <v>1216.5</v>
      </c>
      <c r="R341">
        <v>23600</v>
      </c>
    </row>
    <row r="342" spans="1:18" x14ac:dyDescent="0.25">
      <c r="A342" s="170">
        <v>42507</v>
      </c>
      <c r="B342" s="116">
        <v>251</v>
      </c>
      <c r="C342" s="116">
        <v>242.88000000000002</v>
      </c>
      <c r="D342" s="116">
        <v>240.2</v>
      </c>
      <c r="E342" s="116">
        <v>243.8</v>
      </c>
      <c r="F342" s="116">
        <v>1214.4000000000001</v>
      </c>
      <c r="G342">
        <v>5101</v>
      </c>
      <c r="H342" s="116"/>
      <c r="I342" s="116"/>
      <c r="L342" s="170">
        <v>42507</v>
      </c>
      <c r="M342" s="116">
        <v>243.69</v>
      </c>
      <c r="N342" s="116">
        <v>251</v>
      </c>
      <c r="O342" s="116">
        <v>240.69</v>
      </c>
      <c r="P342" s="116">
        <v>243.35999999999999</v>
      </c>
      <c r="Q342" s="116">
        <v>1218.45</v>
      </c>
      <c r="R342">
        <v>26998</v>
      </c>
    </row>
    <row r="343" spans="1:18" x14ac:dyDescent="0.25">
      <c r="A343" s="170">
        <v>42508</v>
      </c>
      <c r="B343" s="116">
        <v>245.1</v>
      </c>
      <c r="C343" s="116">
        <v>243.21999999999997</v>
      </c>
      <c r="D343" s="116">
        <v>235.6</v>
      </c>
      <c r="E343" s="116">
        <v>235.6</v>
      </c>
      <c r="F343" s="116">
        <v>1216.0999999999999</v>
      </c>
      <c r="G343">
        <v>3549</v>
      </c>
      <c r="H343" s="116"/>
      <c r="I343" s="116"/>
      <c r="L343" s="170">
        <v>42508</v>
      </c>
      <c r="M343" s="116">
        <v>243.59</v>
      </c>
      <c r="N343" s="116">
        <v>246.17</v>
      </c>
      <c r="O343" s="116">
        <v>239</v>
      </c>
      <c r="P343" s="116">
        <v>246.17</v>
      </c>
      <c r="Q343" s="116">
        <v>1217.95</v>
      </c>
      <c r="R343">
        <v>22288</v>
      </c>
    </row>
    <row r="344" spans="1:18" x14ac:dyDescent="0.25">
      <c r="A344" s="170">
        <v>42509</v>
      </c>
      <c r="B344" s="116">
        <v>244.42</v>
      </c>
      <c r="C344" s="116">
        <v>239.91</v>
      </c>
      <c r="D344" s="116">
        <v>239.35</v>
      </c>
      <c r="E344" s="116">
        <v>242.94</v>
      </c>
      <c r="F344" s="116">
        <v>1199.55</v>
      </c>
      <c r="G344">
        <v>1989</v>
      </c>
      <c r="H344" s="116"/>
      <c r="I344" s="116"/>
      <c r="L344" s="170">
        <v>42509</v>
      </c>
      <c r="M344" s="116">
        <v>240.76</v>
      </c>
      <c r="N344" s="116">
        <v>246</v>
      </c>
      <c r="O344" s="116">
        <v>240</v>
      </c>
      <c r="P344" s="116">
        <v>246</v>
      </c>
      <c r="Q344" s="116">
        <v>1203.8</v>
      </c>
      <c r="R344">
        <v>16347</v>
      </c>
    </row>
    <row r="345" spans="1:18" x14ac:dyDescent="0.25">
      <c r="A345" s="170">
        <v>42510</v>
      </c>
      <c r="B345" s="116">
        <v>239.9</v>
      </c>
      <c r="C345" s="116">
        <v>236.88000000000002</v>
      </c>
      <c r="D345" s="116">
        <v>235.51</v>
      </c>
      <c r="E345" s="116">
        <v>238.6</v>
      </c>
      <c r="F345" s="116">
        <v>1184.4000000000001</v>
      </c>
      <c r="G345">
        <v>2946</v>
      </c>
      <c r="H345" s="116"/>
      <c r="I345" s="116"/>
      <c r="L345" s="170">
        <v>42510</v>
      </c>
      <c r="M345" s="116">
        <v>237.14000000000001</v>
      </c>
      <c r="N345" s="116">
        <v>240.54000000000002</v>
      </c>
      <c r="O345" s="116">
        <v>236</v>
      </c>
      <c r="P345" s="116">
        <v>238.01999999999998</v>
      </c>
      <c r="Q345" s="116">
        <v>1185.7</v>
      </c>
      <c r="R345">
        <v>16544</v>
      </c>
    </row>
    <row r="346" spans="1:18" x14ac:dyDescent="0.25">
      <c r="A346" s="170">
        <v>42513</v>
      </c>
      <c r="B346" s="116">
        <v>240.2</v>
      </c>
      <c r="C346" s="116">
        <v>233.24</v>
      </c>
      <c r="D346" s="116">
        <v>232.04000000000002</v>
      </c>
      <c r="E346" s="116">
        <v>238.71999999999997</v>
      </c>
      <c r="F346" s="116">
        <v>1166.2</v>
      </c>
      <c r="G346">
        <v>1943</v>
      </c>
      <c r="H346" s="116"/>
      <c r="I346" s="116"/>
      <c r="L346" s="170">
        <v>42513</v>
      </c>
      <c r="M346" s="116">
        <v>233.28000000000003</v>
      </c>
      <c r="N346" s="116">
        <v>240.71999999999997</v>
      </c>
      <c r="O346" s="116">
        <v>232.16</v>
      </c>
      <c r="P346" s="116">
        <v>239</v>
      </c>
      <c r="Q346" s="116">
        <v>1166.4000000000001</v>
      </c>
      <c r="R346">
        <v>16957</v>
      </c>
    </row>
    <row r="347" spans="1:18" x14ac:dyDescent="0.25">
      <c r="A347" s="170">
        <v>42514</v>
      </c>
      <c r="B347" s="116">
        <v>234.54000000000002</v>
      </c>
      <c r="C347" s="116">
        <v>227.34</v>
      </c>
      <c r="D347" s="116">
        <v>227.01999999999998</v>
      </c>
      <c r="E347" s="116">
        <v>233.99</v>
      </c>
      <c r="F347" s="116">
        <v>1136.7</v>
      </c>
      <c r="G347">
        <v>2357</v>
      </c>
      <c r="H347" s="116"/>
      <c r="I347" s="116"/>
      <c r="L347" s="170">
        <v>42514</v>
      </c>
      <c r="M347" s="116">
        <v>227.13000000000002</v>
      </c>
      <c r="N347" s="116">
        <v>236.38000000000002</v>
      </c>
      <c r="O347" s="116">
        <v>226.8</v>
      </c>
      <c r="P347" s="116">
        <v>236.38000000000002</v>
      </c>
      <c r="Q347" s="116">
        <v>1135.6500000000001</v>
      </c>
      <c r="R347">
        <v>22126</v>
      </c>
    </row>
    <row r="348" spans="1:18" x14ac:dyDescent="0.25">
      <c r="A348" s="170">
        <v>42515</v>
      </c>
      <c r="B348" s="116">
        <v>232.29000000000002</v>
      </c>
      <c r="C348" s="116">
        <v>228.85</v>
      </c>
      <c r="D348" s="116">
        <v>227.8</v>
      </c>
      <c r="E348" s="116">
        <v>230.2</v>
      </c>
      <c r="F348" s="116">
        <v>1144.25</v>
      </c>
      <c r="G348">
        <v>1710</v>
      </c>
      <c r="H348" s="116"/>
      <c r="I348" s="116"/>
      <c r="L348" s="170">
        <v>42515</v>
      </c>
      <c r="M348" s="116">
        <v>228.61999999999998</v>
      </c>
      <c r="N348" s="116">
        <v>232.98000000000002</v>
      </c>
      <c r="O348" s="116">
        <v>227</v>
      </c>
      <c r="P348" s="116">
        <v>229.98000000000002</v>
      </c>
      <c r="Q348" s="116">
        <v>1143.0999999999999</v>
      </c>
      <c r="R348">
        <v>19688</v>
      </c>
    </row>
    <row r="349" spans="1:18" x14ac:dyDescent="0.25">
      <c r="A349" s="170">
        <v>42516</v>
      </c>
      <c r="B349" s="116">
        <v>236.4</v>
      </c>
      <c r="C349" s="116">
        <v>233.14000000000001</v>
      </c>
      <c r="D349" s="116">
        <v>226.95</v>
      </c>
      <c r="E349" s="116">
        <v>230.4</v>
      </c>
      <c r="F349" s="116">
        <v>1165.7</v>
      </c>
      <c r="G349">
        <v>5331</v>
      </c>
      <c r="H349" s="116"/>
      <c r="I349" s="116"/>
      <c r="L349" s="170">
        <v>42516</v>
      </c>
      <c r="M349" s="116">
        <v>233.76999999999998</v>
      </c>
      <c r="N349" s="116">
        <v>236.8</v>
      </c>
      <c r="O349" s="116">
        <v>226.35999999999999</v>
      </c>
      <c r="P349" s="116">
        <v>229.6</v>
      </c>
      <c r="Q349" s="116">
        <v>1168.8499999999999</v>
      </c>
      <c r="R349">
        <v>36972</v>
      </c>
    </row>
    <row r="350" spans="1:18" x14ac:dyDescent="0.25">
      <c r="A350" s="170">
        <v>42517</v>
      </c>
      <c r="B350" s="116">
        <v>239.55</v>
      </c>
      <c r="C350" s="116">
        <v>234.31</v>
      </c>
      <c r="D350" s="116">
        <v>233.24</v>
      </c>
      <c r="E350" s="116">
        <v>233.51</v>
      </c>
      <c r="F350" s="116">
        <v>1171.55</v>
      </c>
      <c r="G350">
        <v>2034</v>
      </c>
      <c r="H350" s="116"/>
      <c r="I350" s="116"/>
      <c r="L350" s="170">
        <v>42517</v>
      </c>
      <c r="M350" s="116">
        <v>234.48000000000002</v>
      </c>
      <c r="N350" s="116">
        <v>239.6</v>
      </c>
      <c r="O350" s="116">
        <v>233.82</v>
      </c>
      <c r="P350" s="116">
        <v>233.98000000000002</v>
      </c>
      <c r="Q350" s="116">
        <v>1172.4000000000001</v>
      </c>
      <c r="R350">
        <v>31630</v>
      </c>
    </row>
    <row r="351" spans="1:18" x14ac:dyDescent="0.25">
      <c r="A351" s="170">
        <v>42520</v>
      </c>
      <c r="B351" s="116">
        <v>236.16</v>
      </c>
      <c r="C351" s="116">
        <v>235.26</v>
      </c>
      <c r="D351" s="116">
        <v>232</v>
      </c>
      <c r="E351" s="116">
        <v>236.16</v>
      </c>
      <c r="F351" s="116">
        <v>1176.3</v>
      </c>
      <c r="G351">
        <v>1902</v>
      </c>
      <c r="H351" s="116"/>
      <c r="I351" s="116"/>
      <c r="L351" s="170">
        <v>42520</v>
      </c>
      <c r="M351" s="116">
        <v>235.10999999999999</v>
      </c>
      <c r="N351" s="116">
        <v>237.8</v>
      </c>
      <c r="O351" s="116">
        <v>232.32</v>
      </c>
      <c r="P351" s="116">
        <v>237.8</v>
      </c>
      <c r="Q351" s="116">
        <v>1175.55</v>
      </c>
      <c r="R351">
        <v>14655</v>
      </c>
    </row>
    <row r="352" spans="1:18" x14ac:dyDescent="0.25">
      <c r="A352" s="170">
        <v>42521</v>
      </c>
      <c r="B352" s="116">
        <v>244</v>
      </c>
      <c r="C352" s="116">
        <v>241.54000000000002</v>
      </c>
      <c r="D352" s="116">
        <v>232.2</v>
      </c>
      <c r="E352" s="116">
        <v>236.01999999999998</v>
      </c>
      <c r="F352" s="116">
        <v>1207.7</v>
      </c>
      <c r="G352">
        <v>3456</v>
      </c>
      <c r="H352" s="116"/>
      <c r="I352" s="116"/>
      <c r="L352" s="170">
        <v>42521</v>
      </c>
      <c r="M352" s="116">
        <v>241.79000000000002</v>
      </c>
      <c r="N352" s="116">
        <v>244.8</v>
      </c>
      <c r="O352" s="116">
        <v>231.6</v>
      </c>
      <c r="P352" s="116">
        <v>235.98000000000002</v>
      </c>
      <c r="Q352" s="116">
        <v>1208.95</v>
      </c>
      <c r="R352">
        <v>77079</v>
      </c>
    </row>
    <row r="353" spans="1:18" x14ac:dyDescent="0.25">
      <c r="A353" s="170">
        <v>42522</v>
      </c>
      <c r="B353" s="116">
        <v>250.66</v>
      </c>
      <c r="C353" s="116">
        <v>241.49</v>
      </c>
      <c r="D353" s="116">
        <v>239.20999999999998</v>
      </c>
      <c r="E353" s="116">
        <v>240.2</v>
      </c>
      <c r="F353" s="116">
        <v>1207.45</v>
      </c>
      <c r="G353">
        <v>6146</v>
      </c>
      <c r="H353" s="116"/>
      <c r="I353" s="116"/>
      <c r="L353" s="170">
        <v>42522</v>
      </c>
      <c r="M353" s="116">
        <v>241.73000000000002</v>
      </c>
      <c r="N353" s="116">
        <v>251.4</v>
      </c>
      <c r="O353" s="116">
        <v>239.45999999999998</v>
      </c>
      <c r="P353" s="116">
        <v>242.6</v>
      </c>
      <c r="Q353" s="116">
        <v>1208.6500000000001</v>
      </c>
      <c r="R353">
        <v>61383</v>
      </c>
    </row>
    <row r="354" spans="1:18" x14ac:dyDescent="0.25">
      <c r="A354" s="170">
        <v>42523</v>
      </c>
      <c r="B354" s="116">
        <v>244.4</v>
      </c>
      <c r="C354" s="116">
        <v>239.17</v>
      </c>
      <c r="D354" s="116">
        <v>236.01999999999998</v>
      </c>
      <c r="E354" s="116">
        <v>240.8</v>
      </c>
      <c r="F354" s="116">
        <v>1195.8499999999999</v>
      </c>
      <c r="G354">
        <v>3360</v>
      </c>
      <c r="H354" s="116"/>
      <c r="I354" s="116"/>
      <c r="L354" s="170">
        <v>42523</v>
      </c>
      <c r="M354" s="116">
        <v>239.59</v>
      </c>
      <c r="N354" s="116">
        <v>244.98000000000002</v>
      </c>
      <c r="O354" s="116">
        <v>235.98000000000002</v>
      </c>
      <c r="P354" s="116">
        <v>242.59</v>
      </c>
      <c r="Q354" s="116">
        <v>1197.95</v>
      </c>
      <c r="R354">
        <v>23213</v>
      </c>
    </row>
    <row r="355" spans="1:18" x14ac:dyDescent="0.25">
      <c r="A355" s="170">
        <v>42524</v>
      </c>
      <c r="B355" s="116">
        <v>248.76</v>
      </c>
      <c r="C355" s="116">
        <v>242.96999999999997</v>
      </c>
      <c r="D355" s="116">
        <v>241.4</v>
      </c>
      <c r="E355" s="116">
        <v>241.8</v>
      </c>
      <c r="F355" s="116">
        <v>1214.8499999999999</v>
      </c>
      <c r="G355">
        <v>2800</v>
      </c>
      <c r="H355" s="116"/>
      <c r="I355" s="116"/>
      <c r="L355" s="170">
        <v>42524</v>
      </c>
      <c r="M355" s="116">
        <v>243.51999999999998</v>
      </c>
      <c r="N355" s="116">
        <v>249.6</v>
      </c>
      <c r="O355" s="116">
        <v>239.6</v>
      </c>
      <c r="P355" s="116">
        <v>239.6</v>
      </c>
      <c r="Q355" s="116">
        <v>1217.5999999999999</v>
      </c>
      <c r="R355">
        <v>31904</v>
      </c>
    </row>
    <row r="356" spans="1:18" x14ac:dyDescent="0.25">
      <c r="A356" s="170">
        <v>42527</v>
      </c>
      <c r="B356" s="116">
        <v>252</v>
      </c>
      <c r="C356" s="116">
        <v>247.9</v>
      </c>
      <c r="D356" s="116">
        <v>243.6</v>
      </c>
      <c r="E356" s="116">
        <v>245.11999999999998</v>
      </c>
      <c r="F356" s="116">
        <v>1239.5</v>
      </c>
      <c r="G356">
        <v>6730</v>
      </c>
      <c r="H356" s="116"/>
      <c r="I356" s="116"/>
      <c r="L356" s="170">
        <v>42527</v>
      </c>
      <c r="M356" s="116">
        <v>247.61999999999998</v>
      </c>
      <c r="N356" s="116">
        <v>252.2</v>
      </c>
      <c r="O356" s="116">
        <v>243.35999999999999</v>
      </c>
      <c r="P356" s="116">
        <v>243.4</v>
      </c>
      <c r="Q356" s="116">
        <v>1238.0999999999999</v>
      </c>
      <c r="R356">
        <v>62301</v>
      </c>
    </row>
    <row r="357" spans="1:18" x14ac:dyDescent="0.25">
      <c r="A357" s="170">
        <v>42528</v>
      </c>
      <c r="B357" s="116">
        <v>251.3</v>
      </c>
      <c r="C357" s="116">
        <v>244.01</v>
      </c>
      <c r="D357" s="116">
        <v>242.4</v>
      </c>
      <c r="E357" s="116">
        <v>248</v>
      </c>
      <c r="F357" s="116">
        <v>1220.05</v>
      </c>
      <c r="G357">
        <v>3147</v>
      </c>
      <c r="H357" s="116"/>
      <c r="I357" s="116"/>
      <c r="L357" s="170">
        <v>42528</v>
      </c>
      <c r="M357" s="116">
        <v>242.8</v>
      </c>
      <c r="N357" s="116">
        <v>251.01</v>
      </c>
      <c r="O357" s="116">
        <v>241.8</v>
      </c>
      <c r="P357" s="116">
        <v>248.45</v>
      </c>
      <c r="Q357" s="116">
        <v>1214</v>
      </c>
      <c r="R357">
        <v>30193</v>
      </c>
    </row>
    <row r="358" spans="1:18" x14ac:dyDescent="0.25">
      <c r="A358" s="170">
        <v>42529</v>
      </c>
      <c r="B358" s="116">
        <v>245.7</v>
      </c>
      <c r="C358" s="116">
        <v>243.11999999999998</v>
      </c>
      <c r="D358" s="116">
        <v>241.2</v>
      </c>
      <c r="E358" s="116">
        <v>244.56</v>
      </c>
      <c r="F358" s="116">
        <v>1215.5999999999999</v>
      </c>
      <c r="G358">
        <v>1591</v>
      </c>
      <c r="H358" s="116"/>
      <c r="I358" s="116"/>
      <c r="L358" s="170">
        <v>42529</v>
      </c>
      <c r="M358" s="116">
        <v>242.8</v>
      </c>
      <c r="N358" s="116">
        <v>245.66</v>
      </c>
      <c r="O358" s="116">
        <v>241.2</v>
      </c>
      <c r="P358" s="116">
        <v>243.06</v>
      </c>
      <c r="Q358" s="116">
        <v>1214</v>
      </c>
      <c r="R358">
        <v>21323</v>
      </c>
    </row>
    <row r="359" spans="1:18" x14ac:dyDescent="0.25">
      <c r="A359" s="170">
        <v>42530</v>
      </c>
      <c r="B359" s="116">
        <v>244.96999999999997</v>
      </c>
      <c r="C359" s="116">
        <v>240.10999999999999</v>
      </c>
      <c r="D359" s="116">
        <v>239.20999999999998</v>
      </c>
      <c r="E359" s="116">
        <v>244.96999999999997</v>
      </c>
      <c r="F359" s="116">
        <v>1200.55</v>
      </c>
      <c r="G359">
        <v>1519</v>
      </c>
      <c r="H359" s="116"/>
      <c r="I359" s="116"/>
      <c r="L359" s="170">
        <v>42530</v>
      </c>
      <c r="M359" s="116">
        <v>240.55</v>
      </c>
      <c r="N359" s="116">
        <v>245.8</v>
      </c>
      <c r="O359" s="116">
        <v>239.45999999999998</v>
      </c>
      <c r="P359" s="116">
        <v>245.8</v>
      </c>
      <c r="Q359" s="116">
        <v>1202.75</v>
      </c>
      <c r="R359">
        <v>17417</v>
      </c>
    </row>
    <row r="360" spans="1:18" x14ac:dyDescent="0.25">
      <c r="A360" s="170">
        <v>42531</v>
      </c>
      <c r="B360" s="116">
        <v>239.08</v>
      </c>
      <c r="C360" s="116">
        <v>235.13000000000002</v>
      </c>
      <c r="D360" s="116">
        <v>233.6</v>
      </c>
      <c r="E360" s="116">
        <v>239</v>
      </c>
      <c r="F360" s="116">
        <v>1175.6500000000001</v>
      </c>
      <c r="G360">
        <v>6691</v>
      </c>
      <c r="H360" s="116"/>
      <c r="I360" s="116"/>
      <c r="L360" s="170">
        <v>42531</v>
      </c>
      <c r="M360" s="116">
        <v>234.95999999999998</v>
      </c>
      <c r="N360" s="116">
        <v>240</v>
      </c>
      <c r="O360" s="116">
        <v>233.6</v>
      </c>
      <c r="P360" s="116">
        <v>239.99</v>
      </c>
      <c r="Q360" s="116">
        <v>1174.8</v>
      </c>
      <c r="R360">
        <v>32932</v>
      </c>
    </row>
    <row r="361" spans="1:18" x14ac:dyDescent="0.25">
      <c r="A361" s="170">
        <v>42534</v>
      </c>
      <c r="B361" s="116">
        <v>238.10999999999999</v>
      </c>
      <c r="C361" s="116">
        <v>236.96999999999997</v>
      </c>
      <c r="D361" s="116">
        <v>230</v>
      </c>
      <c r="E361" s="116">
        <v>230</v>
      </c>
      <c r="F361" s="116">
        <v>1184.8499999999999</v>
      </c>
      <c r="G361">
        <v>2134</v>
      </c>
      <c r="H361" s="116"/>
      <c r="I361" s="116"/>
      <c r="L361" s="170">
        <v>42534</v>
      </c>
      <c r="M361" s="116">
        <v>236.43</v>
      </c>
      <c r="N361" s="116">
        <v>237.6</v>
      </c>
      <c r="O361" s="116">
        <v>231.63000000000002</v>
      </c>
      <c r="P361" s="116">
        <v>233.92</v>
      </c>
      <c r="Q361" s="116">
        <v>1182.1500000000001</v>
      </c>
      <c r="R361">
        <v>13268</v>
      </c>
    </row>
    <row r="362" spans="1:18" x14ac:dyDescent="0.25">
      <c r="A362" s="170">
        <v>42535</v>
      </c>
      <c r="B362" s="116">
        <v>237.78000000000003</v>
      </c>
      <c r="C362" s="116">
        <v>236.66</v>
      </c>
      <c r="D362" s="116">
        <v>235.48000000000002</v>
      </c>
      <c r="E362" s="116">
        <v>237.23000000000002</v>
      </c>
      <c r="F362" s="116">
        <v>1183.3</v>
      </c>
      <c r="G362">
        <v>902</v>
      </c>
      <c r="H362" s="116"/>
      <c r="I362" s="116"/>
      <c r="L362" s="170">
        <v>42535</v>
      </c>
      <c r="M362" s="116">
        <v>235.53000000000003</v>
      </c>
      <c r="N362" s="116">
        <v>238.5</v>
      </c>
      <c r="O362" s="116">
        <v>234.48000000000002</v>
      </c>
      <c r="P362" s="116">
        <v>236.68</v>
      </c>
      <c r="Q362" s="116">
        <v>1177.6500000000001</v>
      </c>
      <c r="R362">
        <v>12082</v>
      </c>
    </row>
    <row r="363" spans="1:18" x14ac:dyDescent="0.25">
      <c r="A363" s="170">
        <v>42536</v>
      </c>
      <c r="B363" s="116">
        <v>240</v>
      </c>
      <c r="C363" s="116">
        <v>237.13000000000002</v>
      </c>
      <c r="D363" s="116">
        <v>235.33</v>
      </c>
      <c r="E363" s="116">
        <v>237.2</v>
      </c>
      <c r="F363" s="116">
        <v>1185.6500000000001</v>
      </c>
      <c r="G363">
        <v>1142</v>
      </c>
      <c r="H363" s="116"/>
      <c r="I363" s="116"/>
      <c r="L363" s="170">
        <v>42536</v>
      </c>
      <c r="M363" s="116">
        <v>236.1</v>
      </c>
      <c r="N363" s="116">
        <v>241</v>
      </c>
      <c r="O363" s="116">
        <v>235</v>
      </c>
      <c r="P363" s="116">
        <v>237.6</v>
      </c>
      <c r="Q363" s="116">
        <v>1180.5</v>
      </c>
      <c r="R363">
        <v>16170</v>
      </c>
    </row>
    <row r="364" spans="1:18" x14ac:dyDescent="0.25">
      <c r="A364" s="170">
        <v>42537</v>
      </c>
      <c r="B364" s="116">
        <v>238.88000000000002</v>
      </c>
      <c r="C364" s="116">
        <v>236.03000000000003</v>
      </c>
      <c r="D364" s="116">
        <v>234.71999999999997</v>
      </c>
      <c r="E364" s="116">
        <v>236.51</v>
      </c>
      <c r="F364" s="116">
        <v>1180.1500000000001</v>
      </c>
      <c r="G364">
        <v>2737</v>
      </c>
      <c r="H364" s="116"/>
      <c r="I364" s="116"/>
      <c r="L364" s="170">
        <v>42537</v>
      </c>
      <c r="M364" s="116">
        <v>235.69</v>
      </c>
      <c r="N364" s="116">
        <v>239.01</v>
      </c>
      <c r="O364" s="116">
        <v>234.66</v>
      </c>
      <c r="P364" s="116">
        <v>236.36999999999998</v>
      </c>
      <c r="Q364" s="116">
        <v>1178.45</v>
      </c>
      <c r="R364">
        <v>14444</v>
      </c>
    </row>
    <row r="365" spans="1:18" x14ac:dyDescent="0.25">
      <c r="A365" s="170">
        <v>42538</v>
      </c>
      <c r="B365" s="116">
        <v>237.98000000000002</v>
      </c>
      <c r="C365" s="116">
        <v>232.19</v>
      </c>
      <c r="D365" s="116">
        <v>231.18</v>
      </c>
      <c r="E365" s="116">
        <v>237.2</v>
      </c>
      <c r="F365" s="116">
        <v>1160.95</v>
      </c>
      <c r="G365">
        <v>3368</v>
      </c>
      <c r="H365" s="116"/>
      <c r="I365" s="116"/>
      <c r="L365" s="170">
        <v>42538</v>
      </c>
      <c r="M365" s="116">
        <v>231.94</v>
      </c>
      <c r="N365" s="116">
        <v>237.60999999999999</v>
      </c>
      <c r="O365" s="116">
        <v>230.36999999999998</v>
      </c>
      <c r="P365" s="116">
        <v>237.55</v>
      </c>
      <c r="Q365" s="116">
        <v>1159.7</v>
      </c>
      <c r="R365">
        <v>15265</v>
      </c>
    </row>
    <row r="366" spans="1:18" x14ac:dyDescent="0.25">
      <c r="A366" s="170">
        <v>42541</v>
      </c>
      <c r="B366" s="116">
        <v>233.46999999999997</v>
      </c>
      <c r="C366" s="116">
        <v>231.01</v>
      </c>
      <c r="D366" s="116">
        <v>230</v>
      </c>
      <c r="E366" s="116">
        <v>231</v>
      </c>
      <c r="F366" s="116">
        <v>1155.05</v>
      </c>
      <c r="G366">
        <v>2022</v>
      </c>
      <c r="H366" s="116"/>
      <c r="I366" s="116"/>
      <c r="L366" s="170">
        <v>42541</v>
      </c>
      <c r="M366" s="116">
        <v>231.19</v>
      </c>
      <c r="N366" s="116">
        <v>233.2</v>
      </c>
      <c r="O366" s="116">
        <v>229.11999999999998</v>
      </c>
      <c r="P366" s="116">
        <v>229.98000000000002</v>
      </c>
      <c r="Q366" s="116">
        <v>1155.95</v>
      </c>
      <c r="R366">
        <v>20170</v>
      </c>
    </row>
    <row r="367" spans="1:18" x14ac:dyDescent="0.25">
      <c r="A367" s="170">
        <v>42542</v>
      </c>
      <c r="B367" s="116">
        <v>231.2</v>
      </c>
      <c r="C367" s="116">
        <v>229.61999999999998</v>
      </c>
      <c r="D367" s="116">
        <v>229</v>
      </c>
      <c r="E367" s="116">
        <v>231.04000000000002</v>
      </c>
      <c r="F367" s="116">
        <v>1148.0999999999999</v>
      </c>
      <c r="G367">
        <v>1930</v>
      </c>
      <c r="H367" s="116"/>
      <c r="I367" s="116"/>
      <c r="L367" s="170">
        <v>42542</v>
      </c>
      <c r="M367" s="116">
        <v>229.01999999999998</v>
      </c>
      <c r="N367" s="116">
        <v>232.81</v>
      </c>
      <c r="O367" s="116">
        <v>228.2</v>
      </c>
      <c r="P367" s="116">
        <v>232.81</v>
      </c>
      <c r="Q367" s="116">
        <v>1145.0999999999999</v>
      </c>
      <c r="R367">
        <v>19580</v>
      </c>
    </row>
    <row r="368" spans="1:18" x14ac:dyDescent="0.25">
      <c r="A368" s="170">
        <v>42543</v>
      </c>
      <c r="B368" s="116">
        <v>230</v>
      </c>
      <c r="C368" s="116">
        <v>224.96999999999997</v>
      </c>
      <c r="D368" s="116">
        <v>224.4</v>
      </c>
      <c r="E368" s="116">
        <v>230</v>
      </c>
      <c r="F368" s="116">
        <v>1124.8499999999999</v>
      </c>
      <c r="G368">
        <v>2421</v>
      </c>
      <c r="H368" s="116"/>
      <c r="I368" s="116"/>
      <c r="L368" s="170">
        <v>42543</v>
      </c>
      <c r="M368" s="116">
        <v>224.55</v>
      </c>
      <c r="N368" s="116">
        <v>231.8</v>
      </c>
      <c r="O368" s="116">
        <v>223.6</v>
      </c>
      <c r="P368" s="116">
        <v>231.8</v>
      </c>
      <c r="Q368" s="116">
        <v>1122.75</v>
      </c>
      <c r="R368">
        <v>24850</v>
      </c>
    </row>
    <row r="369" spans="1:18" x14ac:dyDescent="0.25">
      <c r="A369" s="170">
        <v>42544</v>
      </c>
      <c r="B369" s="116">
        <v>232.18</v>
      </c>
      <c r="C369" s="116">
        <v>230.29000000000002</v>
      </c>
      <c r="D369" s="116">
        <v>221.59</v>
      </c>
      <c r="E369" s="116">
        <v>224.56</v>
      </c>
      <c r="F369" s="116">
        <v>1151.45</v>
      </c>
      <c r="G369">
        <v>1814</v>
      </c>
      <c r="H369" s="116"/>
      <c r="I369" s="116"/>
      <c r="L369" s="170">
        <v>42544</v>
      </c>
      <c r="M369" s="116">
        <v>230.55</v>
      </c>
      <c r="N369" s="116">
        <v>232.19</v>
      </c>
      <c r="O369" s="116">
        <v>221.3</v>
      </c>
      <c r="P369" s="116">
        <v>224.55</v>
      </c>
      <c r="Q369" s="116">
        <v>1152.75</v>
      </c>
      <c r="R369">
        <v>21203</v>
      </c>
    </row>
    <row r="370" spans="1:18" x14ac:dyDescent="0.25">
      <c r="A370" s="170">
        <v>42545</v>
      </c>
      <c r="B370" s="116">
        <v>234.70999999999998</v>
      </c>
      <c r="C370" s="116">
        <v>232.49</v>
      </c>
      <c r="D370" s="116">
        <v>215.96999999999997</v>
      </c>
      <c r="E370" s="116">
        <v>224.13000000000002</v>
      </c>
      <c r="F370" s="116">
        <v>1162.45</v>
      </c>
      <c r="G370">
        <v>5415</v>
      </c>
      <c r="H370" s="116"/>
      <c r="I370" s="116"/>
      <c r="L370" s="170">
        <v>42545</v>
      </c>
      <c r="M370" s="116">
        <v>233.14000000000001</v>
      </c>
      <c r="N370" s="116">
        <v>234.04000000000002</v>
      </c>
      <c r="O370" s="116">
        <v>216.4</v>
      </c>
      <c r="P370" s="116">
        <v>227.14000000000001</v>
      </c>
      <c r="Q370" s="116">
        <v>1165.7</v>
      </c>
      <c r="R370">
        <v>34130</v>
      </c>
    </row>
    <row r="371" spans="1:18" x14ac:dyDescent="0.25">
      <c r="A371" s="170">
        <v>42548</v>
      </c>
      <c r="B371" s="116">
        <v>236.81</v>
      </c>
      <c r="C371" s="116">
        <v>233.56</v>
      </c>
      <c r="D371" s="116">
        <v>230</v>
      </c>
      <c r="E371" s="116">
        <v>232.29000000000002</v>
      </c>
      <c r="F371" s="116">
        <v>1167.8</v>
      </c>
      <c r="G371">
        <v>3640</v>
      </c>
      <c r="H371" s="116"/>
      <c r="I371" s="116"/>
      <c r="L371" s="170">
        <v>42548</v>
      </c>
      <c r="M371" s="116">
        <v>233.42</v>
      </c>
      <c r="N371" s="116">
        <v>236</v>
      </c>
      <c r="O371" s="116">
        <v>229.28000000000003</v>
      </c>
      <c r="P371" s="116">
        <v>229.28000000000003</v>
      </c>
      <c r="Q371" s="116">
        <v>1167.0999999999999</v>
      </c>
      <c r="R371">
        <v>20324</v>
      </c>
    </row>
    <row r="372" spans="1:18" x14ac:dyDescent="0.25">
      <c r="A372" s="170">
        <v>42549</v>
      </c>
      <c r="B372" s="116">
        <v>237</v>
      </c>
      <c r="C372" s="116">
        <v>234.63000000000002</v>
      </c>
      <c r="D372" s="116">
        <v>231.69</v>
      </c>
      <c r="E372" s="116">
        <v>234.18</v>
      </c>
      <c r="F372" s="116">
        <v>1173.1500000000001</v>
      </c>
      <c r="G372">
        <v>10393</v>
      </c>
      <c r="H372" s="116"/>
      <c r="I372" s="116"/>
      <c r="L372" s="170">
        <v>42549</v>
      </c>
      <c r="M372" s="116">
        <v>234.21999999999997</v>
      </c>
      <c r="N372" s="116">
        <v>236.8</v>
      </c>
      <c r="O372" s="116">
        <v>231.5</v>
      </c>
      <c r="P372" s="116">
        <v>234.75</v>
      </c>
      <c r="Q372" s="116">
        <v>1171.0999999999999</v>
      </c>
      <c r="R372">
        <v>40802</v>
      </c>
    </row>
    <row r="373" spans="1:18" x14ac:dyDescent="0.25">
      <c r="A373" s="170">
        <v>42550</v>
      </c>
      <c r="B373" s="116">
        <v>245.8</v>
      </c>
      <c r="C373" s="116">
        <v>244.41</v>
      </c>
      <c r="D373" s="116">
        <v>233.16</v>
      </c>
      <c r="E373" s="116">
        <v>235.70999999999998</v>
      </c>
      <c r="F373" s="116">
        <v>1222.05</v>
      </c>
      <c r="G373">
        <v>6135</v>
      </c>
      <c r="H373" s="116"/>
      <c r="I373" s="116"/>
      <c r="L373" s="170">
        <v>42550</v>
      </c>
      <c r="M373" s="116">
        <v>244.2</v>
      </c>
      <c r="N373" s="116">
        <v>245.32</v>
      </c>
      <c r="O373" s="116">
        <v>233.4</v>
      </c>
      <c r="P373" s="116">
        <v>234.21999999999997</v>
      </c>
      <c r="Q373" s="116">
        <v>1221</v>
      </c>
      <c r="R373">
        <v>64242</v>
      </c>
    </row>
    <row r="374" spans="1:18" x14ac:dyDescent="0.25">
      <c r="A374" s="170">
        <v>42551</v>
      </c>
      <c r="B374" s="116">
        <v>246.70999999999998</v>
      </c>
      <c r="C374" s="116">
        <v>244.45</v>
      </c>
      <c r="D374" s="116">
        <v>243.25</v>
      </c>
      <c r="E374" s="116">
        <v>244.4</v>
      </c>
      <c r="F374" s="116">
        <v>1222.25</v>
      </c>
      <c r="G374">
        <v>3436</v>
      </c>
      <c r="H374" s="116"/>
      <c r="I374" s="116"/>
      <c r="L374" s="170">
        <v>42551</v>
      </c>
      <c r="M374" s="116">
        <v>244.45</v>
      </c>
      <c r="N374" s="116">
        <v>246.8</v>
      </c>
      <c r="O374" s="116">
        <v>242</v>
      </c>
      <c r="P374" s="116">
        <v>244.4</v>
      </c>
      <c r="Q374" s="116">
        <v>1222.25</v>
      </c>
      <c r="R374">
        <v>73943</v>
      </c>
    </row>
    <row r="375" spans="1:18" x14ac:dyDescent="0.25">
      <c r="A375" s="170">
        <v>42552</v>
      </c>
      <c r="B375" s="116">
        <v>246.41</v>
      </c>
      <c r="C375" s="116">
        <v>244.39000000000001</v>
      </c>
      <c r="D375" s="116">
        <v>243.2</v>
      </c>
      <c r="E375" s="116">
        <v>245</v>
      </c>
      <c r="F375" s="116">
        <v>1221.95</v>
      </c>
      <c r="G375">
        <v>4219</v>
      </c>
      <c r="H375" s="116"/>
      <c r="I375" s="116"/>
      <c r="L375" s="170">
        <v>42552</v>
      </c>
      <c r="M375" s="116">
        <v>243.85</v>
      </c>
      <c r="N375" s="116">
        <v>246.79000000000002</v>
      </c>
      <c r="O375" s="116">
        <v>242.2</v>
      </c>
      <c r="P375" s="116">
        <v>245.99</v>
      </c>
      <c r="Q375" s="116">
        <v>1219.25</v>
      </c>
      <c r="R375">
        <v>49432</v>
      </c>
    </row>
    <row r="376" spans="1:18" x14ac:dyDescent="0.25">
      <c r="A376" s="170">
        <v>42555</v>
      </c>
      <c r="B376" s="116">
        <v>245.48000000000002</v>
      </c>
      <c r="C376" s="116">
        <v>242.76</v>
      </c>
      <c r="D376" s="116">
        <v>241.8</v>
      </c>
      <c r="E376" s="116">
        <v>243.78000000000003</v>
      </c>
      <c r="F376" s="116">
        <v>1213.8</v>
      </c>
      <c r="G376">
        <v>2032</v>
      </c>
      <c r="H376" s="116"/>
      <c r="I376" s="116"/>
      <c r="L376" s="170">
        <v>42555</v>
      </c>
      <c r="M376" s="116">
        <v>242.51999999999998</v>
      </c>
      <c r="N376" s="116">
        <v>247.76</v>
      </c>
      <c r="O376" s="116">
        <v>241.25</v>
      </c>
      <c r="P376" s="116">
        <v>244</v>
      </c>
      <c r="Q376" s="116">
        <v>1212.5999999999999</v>
      </c>
      <c r="R376">
        <v>20915</v>
      </c>
    </row>
    <row r="377" spans="1:18" x14ac:dyDescent="0.25">
      <c r="A377" s="170">
        <v>42556</v>
      </c>
      <c r="B377" s="116">
        <v>242.3</v>
      </c>
      <c r="C377" s="116">
        <v>237.78000000000003</v>
      </c>
      <c r="D377" s="116">
        <v>237.11999999999998</v>
      </c>
      <c r="E377" s="116">
        <v>240.4</v>
      </c>
      <c r="F377" s="116">
        <v>1188.9000000000001</v>
      </c>
      <c r="G377">
        <v>7507</v>
      </c>
      <c r="H377" s="116"/>
      <c r="I377" s="116"/>
      <c r="L377" s="170">
        <v>42556</v>
      </c>
      <c r="M377" s="116">
        <v>237.9</v>
      </c>
      <c r="N377" s="116">
        <v>242.3</v>
      </c>
      <c r="O377" s="116">
        <v>237</v>
      </c>
      <c r="P377" s="116">
        <v>240</v>
      </c>
      <c r="Q377" s="116">
        <v>1189.5</v>
      </c>
      <c r="R377">
        <v>17158</v>
      </c>
    </row>
    <row r="378" spans="1:18" x14ac:dyDescent="0.25">
      <c r="A378" s="170">
        <v>42558</v>
      </c>
      <c r="B378" s="116">
        <v>243.42</v>
      </c>
      <c r="C378" s="116">
        <v>240.93</v>
      </c>
      <c r="D378" s="116">
        <v>239.01</v>
      </c>
      <c r="E378" s="116">
        <v>240</v>
      </c>
      <c r="F378" s="116">
        <v>1204.6500000000001</v>
      </c>
      <c r="G378">
        <v>1794</v>
      </c>
      <c r="H378" s="116"/>
      <c r="I378" s="116"/>
      <c r="L378" s="170">
        <v>42558</v>
      </c>
      <c r="M378" s="116">
        <v>241.55</v>
      </c>
      <c r="N378" s="116">
        <v>244.19</v>
      </c>
      <c r="O378" s="116">
        <v>238.2</v>
      </c>
      <c r="P378" s="116">
        <v>238.2</v>
      </c>
      <c r="Q378" s="116">
        <v>1207.75</v>
      </c>
      <c r="R378">
        <v>23219</v>
      </c>
    </row>
    <row r="379" spans="1:18" x14ac:dyDescent="0.25">
      <c r="A379" s="170">
        <v>42559</v>
      </c>
      <c r="B379" s="116">
        <v>244</v>
      </c>
      <c r="C379" s="116">
        <v>243.58</v>
      </c>
      <c r="D379" s="116">
        <v>240</v>
      </c>
      <c r="E379" s="116">
        <v>241</v>
      </c>
      <c r="F379" s="116">
        <v>1217.9000000000001</v>
      </c>
      <c r="G379">
        <v>2106</v>
      </c>
      <c r="H379" s="116"/>
      <c r="I379" s="116"/>
      <c r="L379" s="170">
        <v>42559</v>
      </c>
      <c r="M379" s="116">
        <v>243.3</v>
      </c>
      <c r="N379" s="116">
        <v>244.8</v>
      </c>
      <c r="O379" s="116">
        <v>240</v>
      </c>
      <c r="P379" s="116">
        <v>241</v>
      </c>
      <c r="Q379" s="116">
        <v>1216.5</v>
      </c>
      <c r="R379">
        <v>18941</v>
      </c>
    </row>
    <row r="380" spans="1:18" x14ac:dyDescent="0.25">
      <c r="A380" s="170">
        <v>42562</v>
      </c>
      <c r="B380" s="116">
        <v>245.59</v>
      </c>
      <c r="C380" s="116">
        <v>244.07</v>
      </c>
      <c r="D380" s="116">
        <v>242.75</v>
      </c>
      <c r="E380" s="116">
        <v>245.2</v>
      </c>
      <c r="F380" s="116">
        <v>1220.3499999999999</v>
      </c>
      <c r="G380">
        <v>6530</v>
      </c>
      <c r="H380" s="116"/>
      <c r="I380" s="116"/>
      <c r="L380" s="170">
        <v>42562</v>
      </c>
      <c r="M380" s="116">
        <v>243.60999999999999</v>
      </c>
      <c r="N380" s="116">
        <v>246</v>
      </c>
      <c r="O380" s="116">
        <v>242.39000000000001</v>
      </c>
      <c r="P380" s="116">
        <v>244.01</v>
      </c>
      <c r="Q380" s="116">
        <v>1218.05</v>
      </c>
      <c r="R380">
        <v>140220</v>
      </c>
    </row>
    <row r="381" spans="1:18" x14ac:dyDescent="0.25">
      <c r="A381" s="170">
        <v>42563</v>
      </c>
      <c r="B381" s="116">
        <v>246.63000000000002</v>
      </c>
      <c r="C381" s="116">
        <v>245.35</v>
      </c>
      <c r="D381" s="116">
        <v>243.8</v>
      </c>
      <c r="E381" s="116">
        <v>244.95</v>
      </c>
      <c r="F381" s="116">
        <v>1226.75</v>
      </c>
      <c r="G381">
        <v>2765</v>
      </c>
      <c r="H381" s="116"/>
      <c r="I381" s="116"/>
      <c r="L381" s="170">
        <v>42563</v>
      </c>
      <c r="M381" s="116">
        <v>244.45999999999998</v>
      </c>
      <c r="N381" s="116">
        <v>246</v>
      </c>
      <c r="O381" s="116">
        <v>243.8</v>
      </c>
      <c r="P381" s="116">
        <v>245</v>
      </c>
      <c r="Q381" s="116">
        <v>1222.3</v>
      </c>
      <c r="R381">
        <v>29936</v>
      </c>
    </row>
    <row r="382" spans="1:18" x14ac:dyDescent="0.25">
      <c r="A382" s="170">
        <v>42564</v>
      </c>
      <c r="B382" s="116">
        <v>246.2</v>
      </c>
      <c r="C382" s="116">
        <v>244.01</v>
      </c>
      <c r="D382" s="116">
        <v>240.51</v>
      </c>
      <c r="E382" s="116">
        <v>244.01999999999998</v>
      </c>
      <c r="F382" s="116">
        <v>1220.05</v>
      </c>
      <c r="G382">
        <v>4773</v>
      </c>
      <c r="H382" s="116"/>
      <c r="I382" s="116"/>
      <c r="L382" s="170">
        <v>42564</v>
      </c>
      <c r="M382" s="116">
        <v>243.71999999999997</v>
      </c>
      <c r="N382" s="116">
        <v>245.95999999999998</v>
      </c>
      <c r="O382" s="116">
        <v>240.01</v>
      </c>
      <c r="P382" s="116">
        <v>245.95999999999998</v>
      </c>
      <c r="Q382" s="116">
        <v>1218.5999999999999</v>
      </c>
      <c r="R382">
        <v>26511</v>
      </c>
    </row>
    <row r="383" spans="1:18" x14ac:dyDescent="0.25">
      <c r="A383" s="170">
        <v>42565</v>
      </c>
      <c r="B383" s="116">
        <v>255.4</v>
      </c>
      <c r="C383" s="116">
        <v>246.81</v>
      </c>
      <c r="D383" s="116">
        <v>241.4</v>
      </c>
      <c r="E383" s="116">
        <v>244.4</v>
      </c>
      <c r="F383" s="116">
        <v>1234.05</v>
      </c>
      <c r="G383">
        <v>42034</v>
      </c>
      <c r="H383" s="116"/>
      <c r="I383" s="116"/>
      <c r="L383" s="170">
        <v>42565</v>
      </c>
      <c r="M383" s="116">
        <v>246.51999999999998</v>
      </c>
      <c r="N383" s="116">
        <v>255.45999999999998</v>
      </c>
      <c r="O383" s="116">
        <v>243</v>
      </c>
      <c r="P383" s="116">
        <v>245.01999999999998</v>
      </c>
      <c r="Q383" s="116">
        <v>1232.5999999999999</v>
      </c>
      <c r="R383">
        <v>281509</v>
      </c>
    </row>
    <row r="384" spans="1:18" x14ac:dyDescent="0.25">
      <c r="A384" s="170">
        <v>42566</v>
      </c>
      <c r="B384" s="116">
        <v>251.92</v>
      </c>
      <c r="C384" s="116">
        <v>250.63000000000002</v>
      </c>
      <c r="D384" s="116">
        <v>246.46999999999997</v>
      </c>
      <c r="E384" s="116">
        <v>248</v>
      </c>
      <c r="F384" s="116">
        <v>1253.1500000000001</v>
      </c>
      <c r="G384">
        <v>13497</v>
      </c>
      <c r="H384" s="116"/>
      <c r="I384" s="116"/>
      <c r="L384" s="170">
        <v>42566</v>
      </c>
      <c r="M384" s="116">
        <v>251.29000000000002</v>
      </c>
      <c r="N384" s="116">
        <v>252</v>
      </c>
      <c r="O384" s="116">
        <v>247.18</v>
      </c>
      <c r="P384" s="116">
        <v>249.2</v>
      </c>
      <c r="Q384" s="116">
        <v>1256.45</v>
      </c>
      <c r="R384">
        <v>98764</v>
      </c>
    </row>
    <row r="385" spans="1:18" x14ac:dyDescent="0.25">
      <c r="A385" s="170">
        <v>42569</v>
      </c>
      <c r="B385" s="116">
        <v>253.1</v>
      </c>
      <c r="C385" s="116">
        <v>249.01</v>
      </c>
      <c r="D385" s="116">
        <v>248</v>
      </c>
      <c r="E385" s="116">
        <v>251.26</v>
      </c>
      <c r="F385" s="116">
        <v>1245.05</v>
      </c>
      <c r="G385">
        <v>5668</v>
      </c>
      <c r="H385" s="116"/>
      <c r="I385" s="116"/>
      <c r="L385" s="170">
        <v>42569</v>
      </c>
      <c r="M385" s="116">
        <v>249.3</v>
      </c>
      <c r="N385" s="116">
        <v>252.99</v>
      </c>
      <c r="O385" s="116">
        <v>247.42</v>
      </c>
      <c r="P385" s="116">
        <v>252</v>
      </c>
      <c r="Q385" s="116">
        <v>1246.5</v>
      </c>
      <c r="R385">
        <v>47294</v>
      </c>
    </row>
    <row r="386" spans="1:18" x14ac:dyDescent="0.25">
      <c r="A386" s="170">
        <v>42570</v>
      </c>
      <c r="B386" s="116">
        <v>250.6</v>
      </c>
      <c r="C386" s="116">
        <v>248.46999999999997</v>
      </c>
      <c r="D386" s="116">
        <v>245.51</v>
      </c>
      <c r="E386" s="116">
        <v>250</v>
      </c>
      <c r="F386" s="116">
        <v>1242.3499999999999</v>
      </c>
      <c r="G386">
        <v>3042</v>
      </c>
      <c r="H386" s="116"/>
      <c r="I386" s="116"/>
      <c r="L386" s="170">
        <v>42570</v>
      </c>
      <c r="M386" s="116">
        <v>248.93</v>
      </c>
      <c r="N386" s="116">
        <v>251.6</v>
      </c>
      <c r="O386" s="116">
        <v>246.89000000000001</v>
      </c>
      <c r="P386" s="116">
        <v>248.8</v>
      </c>
      <c r="Q386" s="116">
        <v>1244.6500000000001</v>
      </c>
      <c r="R386">
        <v>24280</v>
      </c>
    </row>
    <row r="387" spans="1:18" x14ac:dyDescent="0.25">
      <c r="A387" s="170">
        <v>42571</v>
      </c>
      <c r="B387" s="116">
        <v>255.8</v>
      </c>
      <c r="C387" s="116">
        <v>254.55</v>
      </c>
      <c r="D387" s="116">
        <v>248.9</v>
      </c>
      <c r="E387" s="116">
        <v>251.8</v>
      </c>
      <c r="F387" s="116">
        <v>1272.75</v>
      </c>
      <c r="G387">
        <v>11378</v>
      </c>
      <c r="H387" s="116"/>
      <c r="I387" s="116"/>
      <c r="L387" s="170">
        <v>42571</v>
      </c>
      <c r="M387" s="116">
        <v>253.9</v>
      </c>
      <c r="N387" s="116">
        <v>255.71999999999997</v>
      </c>
      <c r="O387" s="116">
        <v>249.2</v>
      </c>
      <c r="P387" s="116">
        <v>250.8</v>
      </c>
      <c r="Q387" s="116">
        <v>1269.5</v>
      </c>
      <c r="R387">
        <v>140305</v>
      </c>
    </row>
    <row r="388" spans="1:18" x14ac:dyDescent="0.25">
      <c r="A388" s="170">
        <v>42572</v>
      </c>
      <c r="B388" s="116">
        <v>257.5</v>
      </c>
      <c r="C388" s="116">
        <v>252.09</v>
      </c>
      <c r="D388" s="116">
        <v>246.2</v>
      </c>
      <c r="E388" s="116">
        <v>255</v>
      </c>
      <c r="F388" s="116">
        <v>1260.45</v>
      </c>
      <c r="G388">
        <v>14877</v>
      </c>
      <c r="H388" s="116"/>
      <c r="I388" s="116"/>
      <c r="L388" s="170">
        <v>42572</v>
      </c>
      <c r="M388" s="116">
        <v>254.25</v>
      </c>
      <c r="N388" s="116">
        <v>256.8</v>
      </c>
      <c r="O388" s="116">
        <v>252.78000000000003</v>
      </c>
      <c r="P388" s="116">
        <v>254.4</v>
      </c>
      <c r="Q388" s="116">
        <v>1271.25</v>
      </c>
      <c r="R388">
        <v>56246</v>
      </c>
    </row>
    <row r="389" spans="1:18" x14ac:dyDescent="0.25">
      <c r="A389" s="170">
        <v>42573</v>
      </c>
      <c r="B389" s="116">
        <v>256.2</v>
      </c>
      <c r="C389" s="116">
        <v>255.85</v>
      </c>
      <c r="D389" s="116">
        <v>252</v>
      </c>
      <c r="E389" s="116">
        <v>255.8</v>
      </c>
      <c r="F389" s="116">
        <v>1279.25</v>
      </c>
      <c r="G389">
        <v>4383</v>
      </c>
      <c r="H389" s="116"/>
      <c r="I389" s="116"/>
      <c r="L389" s="170">
        <v>42573</v>
      </c>
      <c r="M389" s="116">
        <v>255.91</v>
      </c>
      <c r="N389" s="116">
        <v>256.2</v>
      </c>
      <c r="O389" s="116">
        <v>252.13000000000002</v>
      </c>
      <c r="P389" s="116">
        <v>255</v>
      </c>
      <c r="Q389" s="116">
        <v>1279.55</v>
      </c>
      <c r="R389">
        <v>25719</v>
      </c>
    </row>
    <row r="390" spans="1:18" x14ac:dyDescent="0.25">
      <c r="A390" s="170">
        <v>42576</v>
      </c>
      <c r="B390" s="116">
        <v>260.01</v>
      </c>
      <c r="C390" s="116">
        <v>258.91999999999996</v>
      </c>
      <c r="D390" s="116">
        <v>254</v>
      </c>
      <c r="E390" s="116">
        <v>256</v>
      </c>
      <c r="F390" s="116">
        <v>1294.5999999999999</v>
      </c>
      <c r="G390">
        <v>8652</v>
      </c>
      <c r="H390" s="116"/>
      <c r="I390" s="116"/>
      <c r="L390" s="170">
        <v>42576</v>
      </c>
      <c r="M390" s="116">
        <v>258.20999999999998</v>
      </c>
      <c r="N390" s="116">
        <v>260</v>
      </c>
      <c r="O390" s="116">
        <v>253.01999999999998</v>
      </c>
      <c r="P390" s="116">
        <v>255.9</v>
      </c>
      <c r="Q390" s="116">
        <v>1291.05</v>
      </c>
      <c r="R390">
        <v>55315</v>
      </c>
    </row>
    <row r="391" spans="1:18" x14ac:dyDescent="0.25">
      <c r="A391" s="170">
        <v>42577</v>
      </c>
      <c r="B391" s="116">
        <v>263.90999999999997</v>
      </c>
      <c r="C391" s="116">
        <v>259.88</v>
      </c>
      <c r="D391" s="116">
        <v>257.2</v>
      </c>
      <c r="E391" s="116">
        <v>259.64</v>
      </c>
      <c r="F391" s="116">
        <v>1299.4000000000001</v>
      </c>
      <c r="G391">
        <v>9180</v>
      </c>
      <c r="H391" s="116"/>
      <c r="I391" s="116"/>
      <c r="L391" s="170">
        <v>42577</v>
      </c>
      <c r="M391" s="116">
        <v>259.36</v>
      </c>
      <c r="N391" s="116">
        <v>264</v>
      </c>
      <c r="O391" s="116">
        <v>256.73</v>
      </c>
      <c r="P391" s="116">
        <v>259</v>
      </c>
      <c r="Q391" s="116">
        <v>1296.8</v>
      </c>
      <c r="R391">
        <v>87609</v>
      </c>
    </row>
    <row r="392" spans="1:18" x14ac:dyDescent="0.25">
      <c r="A392" s="170">
        <v>42578</v>
      </c>
      <c r="B392" s="116">
        <v>263.5</v>
      </c>
      <c r="C392" s="116">
        <v>260.85000000000002</v>
      </c>
      <c r="D392" s="116">
        <v>258.5</v>
      </c>
      <c r="E392" s="116">
        <v>260.39999999999998</v>
      </c>
      <c r="F392" s="116">
        <v>1304.25</v>
      </c>
      <c r="G392">
        <v>4807</v>
      </c>
      <c r="H392" s="116"/>
      <c r="I392" s="116"/>
      <c r="L392" s="170">
        <v>42578</v>
      </c>
      <c r="M392" s="116">
        <v>260.41999999999996</v>
      </c>
      <c r="N392" s="116">
        <v>263.60000000000002</v>
      </c>
      <c r="O392" s="116">
        <v>258.2</v>
      </c>
      <c r="P392" s="116">
        <v>260</v>
      </c>
      <c r="Q392" s="116">
        <v>1302.0999999999999</v>
      </c>
      <c r="R392">
        <v>28988</v>
      </c>
    </row>
    <row r="393" spans="1:18" x14ac:dyDescent="0.25">
      <c r="A393" s="170">
        <v>42579</v>
      </c>
      <c r="B393" s="116">
        <v>267</v>
      </c>
      <c r="C393" s="116">
        <v>264.95999999999998</v>
      </c>
      <c r="D393" s="116">
        <v>260.8</v>
      </c>
      <c r="E393" s="116">
        <v>261.8</v>
      </c>
      <c r="F393" s="116">
        <v>1324.8</v>
      </c>
      <c r="G393">
        <v>11131</v>
      </c>
      <c r="H393" s="116"/>
      <c r="I393" s="116"/>
      <c r="L393" s="170">
        <v>42579</v>
      </c>
      <c r="M393" s="116">
        <v>264.61</v>
      </c>
      <c r="N393" s="116">
        <v>266.52</v>
      </c>
      <c r="O393" s="116">
        <v>260.39999999999998</v>
      </c>
      <c r="P393" s="116">
        <v>261</v>
      </c>
      <c r="Q393" s="116">
        <v>1323.05</v>
      </c>
      <c r="R393">
        <v>106948</v>
      </c>
    </row>
    <row r="394" spans="1:18" x14ac:dyDescent="0.25">
      <c r="A394" s="170">
        <v>42580</v>
      </c>
      <c r="B394" s="116">
        <v>271</v>
      </c>
      <c r="C394" s="116">
        <v>268.3</v>
      </c>
      <c r="D394" s="116">
        <v>266</v>
      </c>
      <c r="E394" s="116">
        <v>266.12</v>
      </c>
      <c r="F394" s="116">
        <v>1341.5</v>
      </c>
      <c r="G394">
        <v>15496</v>
      </c>
      <c r="H394" s="116"/>
      <c r="I394" s="116"/>
      <c r="L394" s="170">
        <v>42580</v>
      </c>
      <c r="M394" s="116">
        <v>267.38</v>
      </c>
      <c r="N394" s="116">
        <v>271</v>
      </c>
      <c r="O394" s="116">
        <v>265.62</v>
      </c>
      <c r="P394" s="116">
        <v>265.8</v>
      </c>
      <c r="Q394" s="116">
        <v>1336.9</v>
      </c>
      <c r="R394">
        <v>53726</v>
      </c>
    </row>
    <row r="395" spans="1:18" x14ac:dyDescent="0.25">
      <c r="A395" s="170">
        <v>42583</v>
      </c>
      <c r="B395" s="116">
        <v>282.8</v>
      </c>
      <c r="C395" s="116">
        <v>276.18</v>
      </c>
      <c r="D395" s="116">
        <v>263.60000000000002</v>
      </c>
      <c r="E395" s="116">
        <v>268.99</v>
      </c>
      <c r="F395" s="116">
        <v>1380.9</v>
      </c>
      <c r="G395">
        <v>15202</v>
      </c>
      <c r="H395" s="116"/>
      <c r="I395" s="116"/>
      <c r="L395" s="170">
        <v>42583</v>
      </c>
      <c r="M395" s="116">
        <v>276.40999999999997</v>
      </c>
      <c r="N395" s="116">
        <v>282.91999999999996</v>
      </c>
      <c r="O395" s="116">
        <v>263.38</v>
      </c>
      <c r="P395" s="116">
        <v>269.98</v>
      </c>
      <c r="Q395" s="116">
        <v>1382.05</v>
      </c>
      <c r="R395">
        <v>84693</v>
      </c>
    </row>
    <row r="396" spans="1:18" x14ac:dyDescent="0.25">
      <c r="A396" s="170">
        <v>42584</v>
      </c>
      <c r="B396" s="116">
        <v>285.99</v>
      </c>
      <c r="C396" s="116">
        <v>281.82</v>
      </c>
      <c r="D396" s="116">
        <v>278.39999999999998</v>
      </c>
      <c r="E396" s="116">
        <v>285</v>
      </c>
      <c r="F396" s="116">
        <v>1409.1</v>
      </c>
      <c r="G396">
        <v>10425</v>
      </c>
      <c r="H396" s="116"/>
      <c r="I396" s="116"/>
      <c r="L396" s="170">
        <v>42584</v>
      </c>
      <c r="M396" s="116">
        <v>281</v>
      </c>
      <c r="N396" s="116">
        <v>286</v>
      </c>
      <c r="O396" s="116">
        <v>278.02</v>
      </c>
      <c r="P396" s="116">
        <v>284.60000000000002</v>
      </c>
      <c r="Q396" s="116">
        <v>1405</v>
      </c>
      <c r="R396">
        <v>197273</v>
      </c>
    </row>
    <row r="397" spans="1:18" x14ac:dyDescent="0.25">
      <c r="A397" s="170">
        <v>42585</v>
      </c>
      <c r="B397" s="116">
        <v>279</v>
      </c>
      <c r="C397" s="116">
        <v>277.04000000000002</v>
      </c>
      <c r="D397" s="116">
        <v>270.93</v>
      </c>
      <c r="E397" s="116">
        <v>279</v>
      </c>
      <c r="F397" s="116">
        <v>1385.2</v>
      </c>
      <c r="G397">
        <v>6438</v>
      </c>
      <c r="H397" s="116"/>
      <c r="I397" s="116"/>
      <c r="L397" s="170">
        <v>42585</v>
      </c>
      <c r="M397" s="116">
        <v>277.76</v>
      </c>
      <c r="N397" s="116">
        <v>281</v>
      </c>
      <c r="O397" s="116">
        <v>270.10000000000002</v>
      </c>
      <c r="P397" s="116">
        <v>280.99</v>
      </c>
      <c r="Q397" s="116">
        <v>1388.8</v>
      </c>
      <c r="R397">
        <v>45146</v>
      </c>
    </row>
    <row r="398" spans="1:18" x14ac:dyDescent="0.25">
      <c r="A398" s="170">
        <v>42586</v>
      </c>
      <c r="B398" s="116">
        <v>279.3</v>
      </c>
      <c r="C398" s="116">
        <v>275.2</v>
      </c>
      <c r="D398" s="116">
        <v>272</v>
      </c>
      <c r="E398" s="116">
        <v>279</v>
      </c>
      <c r="F398" s="116">
        <v>1376</v>
      </c>
      <c r="G398">
        <v>4950</v>
      </c>
      <c r="H398" s="116"/>
      <c r="I398" s="116"/>
      <c r="L398" s="170">
        <v>42586</v>
      </c>
      <c r="M398" s="116">
        <v>275.29000000000002</v>
      </c>
      <c r="N398" s="116">
        <v>278.60000000000002</v>
      </c>
      <c r="O398" s="116">
        <v>272.01</v>
      </c>
      <c r="P398" s="116">
        <v>278.60000000000002</v>
      </c>
      <c r="Q398" s="116">
        <v>1376.45</v>
      </c>
      <c r="R398">
        <v>22804</v>
      </c>
    </row>
    <row r="399" spans="1:18" x14ac:dyDescent="0.25">
      <c r="A399" s="170">
        <v>42587</v>
      </c>
      <c r="B399" s="116">
        <v>286.19</v>
      </c>
      <c r="C399" s="116">
        <v>284.18</v>
      </c>
      <c r="D399" s="116">
        <v>275</v>
      </c>
      <c r="E399" s="116">
        <v>276.75</v>
      </c>
      <c r="F399" s="116">
        <v>1420.9</v>
      </c>
      <c r="G399">
        <v>10962</v>
      </c>
      <c r="H399" s="116"/>
      <c r="I399" s="116"/>
      <c r="L399" s="170">
        <v>42587</v>
      </c>
      <c r="M399" s="116">
        <v>284.29000000000002</v>
      </c>
      <c r="N399" s="116">
        <v>286</v>
      </c>
      <c r="O399" s="116">
        <v>275.2</v>
      </c>
      <c r="P399" s="116">
        <v>275.2</v>
      </c>
      <c r="Q399" s="116">
        <v>1421.45</v>
      </c>
      <c r="R399">
        <v>35706</v>
      </c>
    </row>
    <row r="400" spans="1:18" x14ac:dyDescent="0.25">
      <c r="A400" s="170">
        <v>42590</v>
      </c>
      <c r="B400" s="116">
        <v>290</v>
      </c>
      <c r="C400" s="116">
        <v>287.57</v>
      </c>
      <c r="D400" s="116">
        <v>284.28000000000003</v>
      </c>
      <c r="E400" s="116">
        <v>286</v>
      </c>
      <c r="F400" s="116">
        <v>1437.85</v>
      </c>
      <c r="G400">
        <v>4853</v>
      </c>
      <c r="H400" s="116"/>
      <c r="I400" s="116"/>
      <c r="L400" s="170">
        <v>42590</v>
      </c>
      <c r="M400" s="116">
        <v>287.01</v>
      </c>
      <c r="N400" s="116">
        <v>288.58000000000004</v>
      </c>
      <c r="O400" s="116">
        <v>284</v>
      </c>
      <c r="P400" s="116">
        <v>284.39999999999998</v>
      </c>
      <c r="Q400" s="116">
        <v>1435.05</v>
      </c>
      <c r="R400">
        <v>34700</v>
      </c>
    </row>
    <row r="401" spans="1:18" x14ac:dyDescent="0.25">
      <c r="A401" s="170">
        <v>42591</v>
      </c>
      <c r="B401" s="116">
        <v>288.39</v>
      </c>
      <c r="C401" s="116">
        <v>286.7</v>
      </c>
      <c r="D401" s="116">
        <v>281</v>
      </c>
      <c r="E401" s="116">
        <v>287.2</v>
      </c>
      <c r="F401" s="116">
        <v>1433.5</v>
      </c>
      <c r="G401">
        <v>5028</v>
      </c>
      <c r="H401" s="116"/>
      <c r="I401" s="116"/>
      <c r="L401" s="170">
        <v>42591</v>
      </c>
      <c r="M401" s="116">
        <v>287.58000000000004</v>
      </c>
      <c r="N401" s="116">
        <v>288.46999999999997</v>
      </c>
      <c r="O401" s="116">
        <v>280.10000000000002</v>
      </c>
      <c r="P401" s="116">
        <v>287.57</v>
      </c>
      <c r="Q401" s="116">
        <v>1437.9</v>
      </c>
      <c r="R401">
        <v>28004</v>
      </c>
    </row>
    <row r="402" spans="1:18" x14ac:dyDescent="0.25">
      <c r="A402" s="170">
        <v>42592</v>
      </c>
      <c r="B402" s="116">
        <v>287.68</v>
      </c>
      <c r="C402" s="116">
        <v>279.81</v>
      </c>
      <c r="D402" s="116">
        <v>274.39999999999998</v>
      </c>
      <c r="E402" s="116">
        <v>287.68</v>
      </c>
      <c r="F402" s="116">
        <v>1399.05</v>
      </c>
      <c r="G402">
        <v>3976</v>
      </c>
      <c r="H402" s="116"/>
      <c r="I402" s="116"/>
      <c r="L402" s="170">
        <v>42592</v>
      </c>
      <c r="M402" s="116">
        <v>279.2</v>
      </c>
      <c r="N402" s="116">
        <v>288</v>
      </c>
      <c r="O402" s="116">
        <v>278</v>
      </c>
      <c r="P402" s="116">
        <v>287.99</v>
      </c>
      <c r="Q402" s="116">
        <v>1396</v>
      </c>
      <c r="R402">
        <v>22966</v>
      </c>
    </row>
    <row r="403" spans="1:18" x14ac:dyDescent="0.25">
      <c r="A403" s="170">
        <v>42593</v>
      </c>
      <c r="B403" s="116">
        <v>283.93</v>
      </c>
      <c r="C403" s="116">
        <v>279.94</v>
      </c>
      <c r="D403" s="116">
        <v>276.63</v>
      </c>
      <c r="E403" s="116">
        <v>279.31</v>
      </c>
      <c r="F403" s="116">
        <v>1399.7</v>
      </c>
      <c r="G403">
        <v>2580</v>
      </c>
      <c r="H403" s="116"/>
      <c r="I403" s="116"/>
      <c r="L403" s="170">
        <v>42593</v>
      </c>
      <c r="M403" s="116">
        <v>280.64</v>
      </c>
      <c r="N403" s="116">
        <v>285.12</v>
      </c>
      <c r="O403" s="116">
        <v>276.39999999999998</v>
      </c>
      <c r="P403" s="116">
        <v>279.18</v>
      </c>
      <c r="Q403" s="116">
        <v>1403.2</v>
      </c>
      <c r="R403">
        <v>16301</v>
      </c>
    </row>
    <row r="404" spans="1:18" x14ac:dyDescent="0.25">
      <c r="A404" s="170">
        <v>42594</v>
      </c>
      <c r="B404" s="116">
        <v>289.25</v>
      </c>
      <c r="C404" s="116">
        <v>284.39</v>
      </c>
      <c r="D404" s="116">
        <v>280.66999999999996</v>
      </c>
      <c r="E404" s="116">
        <v>282.29000000000002</v>
      </c>
      <c r="F404" s="116">
        <v>1421.95</v>
      </c>
      <c r="G404">
        <v>9160</v>
      </c>
      <c r="H404" s="116"/>
      <c r="I404" s="116"/>
      <c r="L404" s="170">
        <v>42594</v>
      </c>
      <c r="M404" s="116">
        <v>284.73</v>
      </c>
      <c r="N404" s="116">
        <v>289.8</v>
      </c>
      <c r="O404" s="116">
        <v>280.60000000000002</v>
      </c>
      <c r="P404" s="116">
        <v>280.60000000000002</v>
      </c>
      <c r="Q404" s="116">
        <v>1423.65</v>
      </c>
      <c r="R404">
        <v>48757</v>
      </c>
    </row>
    <row r="405" spans="1:18" x14ac:dyDescent="0.25">
      <c r="A405" s="170">
        <v>42598</v>
      </c>
      <c r="B405" s="116">
        <v>288.89999999999998</v>
      </c>
      <c r="C405" s="116">
        <v>287.75</v>
      </c>
      <c r="D405" s="116">
        <v>285.39999999999998</v>
      </c>
      <c r="E405" s="116">
        <v>288.89999999999998</v>
      </c>
      <c r="F405" s="116">
        <v>1438.75</v>
      </c>
      <c r="G405">
        <v>2277</v>
      </c>
      <c r="H405" s="116"/>
      <c r="I405" s="116"/>
      <c r="L405" s="170">
        <v>42598</v>
      </c>
      <c r="M405" s="116">
        <v>287.84000000000003</v>
      </c>
      <c r="N405" s="116">
        <v>288</v>
      </c>
      <c r="O405" s="116">
        <v>284.73</v>
      </c>
      <c r="P405" s="116">
        <v>284.73</v>
      </c>
      <c r="Q405" s="116">
        <v>1439.2</v>
      </c>
      <c r="R405">
        <v>21390</v>
      </c>
    </row>
    <row r="406" spans="1:18" x14ac:dyDescent="0.25">
      <c r="A406" s="170">
        <v>42599</v>
      </c>
      <c r="B406" s="116">
        <v>289</v>
      </c>
      <c r="C406" s="116">
        <v>285.73</v>
      </c>
      <c r="D406" s="116">
        <v>283.7</v>
      </c>
      <c r="E406" s="116">
        <v>289</v>
      </c>
      <c r="F406" s="116">
        <v>1428.65</v>
      </c>
      <c r="G406">
        <v>3430</v>
      </c>
      <c r="H406" s="116"/>
      <c r="I406" s="116"/>
      <c r="L406" s="170">
        <v>42599</v>
      </c>
      <c r="M406" s="116">
        <v>286.93</v>
      </c>
      <c r="N406" s="116">
        <v>288.32</v>
      </c>
      <c r="O406" s="116">
        <v>283.01</v>
      </c>
      <c r="P406" s="116">
        <v>287.99</v>
      </c>
      <c r="Q406" s="116">
        <v>1434.65</v>
      </c>
      <c r="R406">
        <v>37982</v>
      </c>
    </row>
    <row r="407" spans="1:18" x14ac:dyDescent="0.25">
      <c r="A407" s="170">
        <v>42600</v>
      </c>
      <c r="B407" s="116">
        <v>288.82</v>
      </c>
      <c r="C407" s="116">
        <v>287.49</v>
      </c>
      <c r="D407" s="116">
        <v>285.2</v>
      </c>
      <c r="E407" s="116">
        <v>287.99</v>
      </c>
      <c r="F407" s="116">
        <v>1437.45</v>
      </c>
      <c r="G407">
        <v>1503</v>
      </c>
      <c r="H407" s="116"/>
      <c r="I407" s="116"/>
      <c r="L407" s="170">
        <v>42600</v>
      </c>
      <c r="M407" s="116">
        <v>287.45</v>
      </c>
      <c r="N407" s="116">
        <v>289</v>
      </c>
      <c r="O407" s="116">
        <v>285</v>
      </c>
      <c r="P407" s="116">
        <v>286.81</v>
      </c>
      <c r="Q407" s="116">
        <v>1437.25</v>
      </c>
      <c r="R407">
        <v>19583</v>
      </c>
    </row>
    <row r="408" spans="1:18" x14ac:dyDescent="0.25">
      <c r="A408" s="170">
        <v>42601</v>
      </c>
      <c r="B408" s="116">
        <v>287.75</v>
      </c>
      <c r="C408" s="116">
        <v>284.96999999999997</v>
      </c>
      <c r="D408" s="116">
        <v>283.39999999999998</v>
      </c>
      <c r="E408" s="116">
        <v>287.60000000000002</v>
      </c>
      <c r="F408" s="116">
        <v>1424.85</v>
      </c>
      <c r="G408">
        <v>4830</v>
      </c>
      <c r="H408" s="116"/>
      <c r="I408" s="116"/>
      <c r="L408" s="170">
        <v>42601</v>
      </c>
      <c r="M408" s="116">
        <v>284.78000000000003</v>
      </c>
      <c r="N408" s="116">
        <v>287.79000000000002</v>
      </c>
      <c r="O408" s="116">
        <v>283.60000000000002</v>
      </c>
      <c r="P408" s="116">
        <v>286.94</v>
      </c>
      <c r="Q408" s="116">
        <v>1423.9</v>
      </c>
      <c r="R408">
        <v>19620</v>
      </c>
    </row>
    <row r="409" spans="1:18" x14ac:dyDescent="0.25">
      <c r="A409" s="170">
        <v>42604</v>
      </c>
      <c r="B409" s="116">
        <v>288.93</v>
      </c>
      <c r="C409" s="116">
        <v>286.21999999999997</v>
      </c>
      <c r="D409" s="116">
        <v>281.49</v>
      </c>
      <c r="E409" s="116">
        <v>286</v>
      </c>
      <c r="F409" s="116">
        <v>1431.1</v>
      </c>
      <c r="G409">
        <v>1416</v>
      </c>
      <c r="H409" s="116"/>
      <c r="I409" s="116"/>
      <c r="L409" s="170">
        <v>42604</v>
      </c>
      <c r="M409" s="116">
        <v>286.59000000000003</v>
      </c>
      <c r="N409" s="116">
        <v>289.12</v>
      </c>
      <c r="O409" s="116">
        <v>281.02</v>
      </c>
      <c r="P409" s="116">
        <v>284.60000000000002</v>
      </c>
      <c r="Q409" s="116">
        <v>1432.95</v>
      </c>
      <c r="R409">
        <v>18024</v>
      </c>
    </row>
    <row r="410" spans="1:18" x14ac:dyDescent="0.25">
      <c r="A410" s="170">
        <v>42605</v>
      </c>
      <c r="B410" s="116">
        <v>299.95</v>
      </c>
      <c r="C410" s="116">
        <v>288.12</v>
      </c>
      <c r="D410" s="116">
        <v>284.39999999999998</v>
      </c>
      <c r="E410" s="116">
        <v>286.7</v>
      </c>
      <c r="F410" s="116">
        <v>1440.6</v>
      </c>
      <c r="G410">
        <v>9960</v>
      </c>
      <c r="H410" s="116"/>
      <c r="I410" s="116"/>
      <c r="L410" s="170">
        <v>42605</v>
      </c>
      <c r="M410" s="116">
        <v>288.07</v>
      </c>
      <c r="N410" s="116">
        <v>299.91999999999996</v>
      </c>
      <c r="O410" s="116">
        <v>284.39999999999998</v>
      </c>
      <c r="P410" s="116">
        <v>287.79000000000002</v>
      </c>
      <c r="Q410" s="116">
        <v>1440.35</v>
      </c>
      <c r="R410">
        <v>76991</v>
      </c>
    </row>
    <row r="411" spans="1:18" x14ac:dyDescent="0.25">
      <c r="A411" s="170">
        <v>42606</v>
      </c>
      <c r="B411" s="116">
        <v>298</v>
      </c>
      <c r="C411" s="116">
        <v>291.86</v>
      </c>
      <c r="D411" s="116">
        <v>288.81</v>
      </c>
      <c r="E411" s="116">
        <v>290</v>
      </c>
      <c r="F411" s="116">
        <v>1459.3</v>
      </c>
      <c r="G411">
        <v>13142</v>
      </c>
      <c r="H411" s="116"/>
      <c r="I411" s="116"/>
      <c r="L411" s="170">
        <v>42606</v>
      </c>
      <c r="M411" s="116">
        <v>292.95</v>
      </c>
      <c r="N411" s="116">
        <v>298</v>
      </c>
      <c r="O411" s="116">
        <v>288.39999999999998</v>
      </c>
      <c r="P411" s="116">
        <v>288.39999999999998</v>
      </c>
      <c r="Q411" s="116">
        <v>1464.75</v>
      </c>
      <c r="R411">
        <v>74734</v>
      </c>
    </row>
    <row r="412" spans="1:18" x14ac:dyDescent="0.25">
      <c r="A412" s="170">
        <v>42607</v>
      </c>
      <c r="B412" s="116">
        <v>299.8</v>
      </c>
      <c r="C412" s="116">
        <v>297.15999999999997</v>
      </c>
      <c r="D412" s="116">
        <v>293.48</v>
      </c>
      <c r="E412" s="116">
        <v>295.79000000000002</v>
      </c>
      <c r="F412" s="116">
        <v>1485.8</v>
      </c>
      <c r="G412">
        <v>8218</v>
      </c>
      <c r="H412" s="116"/>
      <c r="I412" s="116"/>
      <c r="L412" s="170">
        <v>42607</v>
      </c>
      <c r="M412" s="116">
        <v>297.10000000000002</v>
      </c>
      <c r="N412" s="116">
        <v>299.8</v>
      </c>
      <c r="O412" s="116">
        <v>293.12</v>
      </c>
      <c r="P412" s="116">
        <v>294.99</v>
      </c>
      <c r="Q412" s="116">
        <v>1485.5</v>
      </c>
      <c r="R412">
        <v>37410</v>
      </c>
    </row>
    <row r="413" spans="1:18" x14ac:dyDescent="0.25">
      <c r="A413" s="170">
        <v>42608</v>
      </c>
      <c r="B413" s="116">
        <v>301.91999999999996</v>
      </c>
      <c r="C413" s="116">
        <v>296.39999999999998</v>
      </c>
      <c r="D413" s="116">
        <v>293.60000000000002</v>
      </c>
      <c r="E413" s="116">
        <v>299.36</v>
      </c>
      <c r="F413" s="116">
        <v>1482</v>
      </c>
      <c r="G413">
        <v>5360</v>
      </c>
      <c r="H413" s="116"/>
      <c r="I413" s="116"/>
      <c r="L413" s="170">
        <v>42608</v>
      </c>
      <c r="M413" s="116">
        <v>295.25</v>
      </c>
      <c r="N413" s="116">
        <v>301.8</v>
      </c>
      <c r="O413" s="116">
        <v>293.20999999999998</v>
      </c>
      <c r="P413" s="116">
        <v>295.39999999999998</v>
      </c>
      <c r="Q413" s="116">
        <v>1476.25</v>
      </c>
      <c r="R413">
        <v>54642</v>
      </c>
    </row>
    <row r="414" spans="1:18" x14ac:dyDescent="0.25">
      <c r="A414" s="170">
        <v>42611</v>
      </c>
      <c r="B414" s="116">
        <v>300</v>
      </c>
      <c r="C414" s="116">
        <v>299.14999999999998</v>
      </c>
      <c r="D414" s="116">
        <v>287</v>
      </c>
      <c r="E414" s="116">
        <v>296.8</v>
      </c>
      <c r="F414" s="116">
        <v>1495.75</v>
      </c>
      <c r="G414">
        <v>5477</v>
      </c>
      <c r="H414" s="116"/>
      <c r="I414" s="116"/>
      <c r="L414" s="170">
        <v>42611</v>
      </c>
      <c r="M414" s="116">
        <v>299.37</v>
      </c>
      <c r="N414" s="116">
        <v>299.89999999999998</v>
      </c>
      <c r="O414" s="116">
        <v>292.39999999999998</v>
      </c>
      <c r="P414" s="116">
        <v>296</v>
      </c>
      <c r="Q414" s="116">
        <v>1496.85</v>
      </c>
      <c r="R414">
        <v>25445</v>
      </c>
    </row>
    <row r="415" spans="1:18" x14ac:dyDescent="0.25">
      <c r="A415" s="170">
        <v>42612</v>
      </c>
      <c r="B415" s="116">
        <v>300.45</v>
      </c>
      <c r="C415" s="116">
        <v>299.28000000000003</v>
      </c>
      <c r="D415" s="116">
        <v>296.61</v>
      </c>
      <c r="E415" s="116">
        <v>300.34000000000003</v>
      </c>
      <c r="F415" s="116">
        <v>1496.4</v>
      </c>
      <c r="G415">
        <v>2601</v>
      </c>
      <c r="H415" s="116"/>
      <c r="I415" s="116"/>
      <c r="L415" s="170">
        <v>42612</v>
      </c>
      <c r="M415" s="116">
        <v>299.37</v>
      </c>
      <c r="N415" s="116">
        <v>301</v>
      </c>
      <c r="O415" s="116">
        <v>296</v>
      </c>
      <c r="P415" s="116">
        <v>301</v>
      </c>
      <c r="Q415" s="116">
        <v>1496.85</v>
      </c>
      <c r="R415">
        <v>32872</v>
      </c>
    </row>
    <row r="416" spans="1:18" x14ac:dyDescent="0.25">
      <c r="A416" s="170">
        <v>42613</v>
      </c>
      <c r="B416" s="116">
        <v>301</v>
      </c>
      <c r="C416" s="116">
        <v>298.2</v>
      </c>
      <c r="D416" s="116">
        <v>296.8</v>
      </c>
      <c r="E416" s="116">
        <v>300.8</v>
      </c>
      <c r="F416" s="116">
        <v>1491</v>
      </c>
      <c r="G416">
        <v>4696</v>
      </c>
      <c r="H416" s="116"/>
      <c r="I416" s="116"/>
      <c r="L416" s="170">
        <v>42613</v>
      </c>
      <c r="M416" s="116">
        <v>298.27</v>
      </c>
      <c r="N416" s="116">
        <v>300.2</v>
      </c>
      <c r="O416" s="116">
        <v>297.39999999999998</v>
      </c>
      <c r="P416" s="116">
        <v>299.93</v>
      </c>
      <c r="Q416" s="116">
        <v>1491.35</v>
      </c>
      <c r="R416">
        <v>26159</v>
      </c>
    </row>
    <row r="417" spans="1:18" x14ac:dyDescent="0.25">
      <c r="A417" s="170">
        <v>42614</v>
      </c>
      <c r="B417" s="116">
        <v>304</v>
      </c>
      <c r="C417" s="116">
        <v>301.60000000000002</v>
      </c>
      <c r="D417" s="116">
        <v>298.2</v>
      </c>
      <c r="E417" s="116">
        <v>298.2</v>
      </c>
      <c r="F417" s="116">
        <v>1508</v>
      </c>
      <c r="G417">
        <v>18628</v>
      </c>
      <c r="H417" s="116"/>
      <c r="I417" s="116"/>
      <c r="L417" s="170">
        <v>42614</v>
      </c>
      <c r="M417" s="116">
        <v>301.76</v>
      </c>
      <c r="N417" s="116">
        <v>303.2</v>
      </c>
      <c r="O417" s="116">
        <v>299.60000000000002</v>
      </c>
      <c r="P417" s="116">
        <v>300.99</v>
      </c>
      <c r="Q417" s="116">
        <v>1508.8</v>
      </c>
      <c r="R417">
        <v>40705</v>
      </c>
    </row>
    <row r="418" spans="1:18" x14ac:dyDescent="0.25">
      <c r="A418" s="170">
        <v>42615</v>
      </c>
      <c r="B418" s="116">
        <v>308.88</v>
      </c>
      <c r="C418" s="116">
        <v>307.64999999999998</v>
      </c>
      <c r="D418" s="116">
        <v>302.01</v>
      </c>
      <c r="E418" s="116">
        <v>302.99</v>
      </c>
      <c r="F418" s="116">
        <v>1538.25</v>
      </c>
      <c r="G418">
        <v>6655</v>
      </c>
      <c r="H418" s="116"/>
      <c r="I418" s="116"/>
      <c r="L418" s="170">
        <v>42615</v>
      </c>
      <c r="M418" s="116">
        <v>307.25</v>
      </c>
      <c r="N418" s="116">
        <v>309</v>
      </c>
      <c r="O418" s="116">
        <v>302</v>
      </c>
      <c r="P418" s="116">
        <v>303.95</v>
      </c>
      <c r="Q418" s="116">
        <v>1536.25</v>
      </c>
      <c r="R418">
        <v>49425</v>
      </c>
    </row>
    <row r="419" spans="1:18" x14ac:dyDescent="0.25">
      <c r="A419" s="170">
        <v>42619</v>
      </c>
      <c r="B419" s="116">
        <v>357.27</v>
      </c>
      <c r="C419" s="116">
        <v>332.99</v>
      </c>
      <c r="D419" s="116">
        <v>307.60000000000002</v>
      </c>
      <c r="E419" s="116">
        <v>307.60000000000002</v>
      </c>
      <c r="F419" s="116">
        <v>1664.95</v>
      </c>
      <c r="G419">
        <v>51024</v>
      </c>
      <c r="H419" s="116"/>
      <c r="I419" s="116"/>
      <c r="L419" s="170">
        <v>42619</v>
      </c>
      <c r="M419" s="116">
        <v>332.91999999999996</v>
      </c>
      <c r="N419" s="116">
        <v>357.6</v>
      </c>
      <c r="O419" s="116">
        <v>306.56</v>
      </c>
      <c r="P419" s="116">
        <v>308</v>
      </c>
      <c r="Q419" s="116">
        <v>1664.6</v>
      </c>
      <c r="R419">
        <v>262921</v>
      </c>
    </row>
    <row r="420" spans="1:18" x14ac:dyDescent="0.25">
      <c r="A420" s="170">
        <v>42620</v>
      </c>
      <c r="B420" s="116">
        <v>335.96</v>
      </c>
      <c r="C420" s="116">
        <v>329.66999999999996</v>
      </c>
      <c r="D420" s="116">
        <v>322</v>
      </c>
      <c r="E420" s="116">
        <v>335.96</v>
      </c>
      <c r="F420" s="116">
        <v>1648.35</v>
      </c>
      <c r="G420">
        <v>14191</v>
      </c>
      <c r="H420" s="116"/>
      <c r="I420" s="116"/>
      <c r="L420" s="170">
        <v>42620</v>
      </c>
      <c r="M420" s="116">
        <v>329.39</v>
      </c>
      <c r="N420" s="116">
        <v>336.46</v>
      </c>
      <c r="O420" s="116">
        <v>323.01</v>
      </c>
      <c r="P420" s="116">
        <v>335.6</v>
      </c>
      <c r="Q420" s="116">
        <v>1646.95</v>
      </c>
      <c r="R420">
        <v>95306</v>
      </c>
    </row>
    <row r="421" spans="1:18" x14ac:dyDescent="0.25">
      <c r="A421" s="170">
        <v>42621</v>
      </c>
      <c r="B421" s="116">
        <v>340</v>
      </c>
      <c r="C421" s="116">
        <v>333.27</v>
      </c>
      <c r="D421" s="116">
        <v>329.49</v>
      </c>
      <c r="E421" s="116">
        <v>330.23</v>
      </c>
      <c r="F421" s="116">
        <v>1666.35</v>
      </c>
      <c r="G421">
        <v>9552</v>
      </c>
      <c r="H421" s="116"/>
      <c r="I421" s="116"/>
      <c r="L421" s="170">
        <v>42621</v>
      </c>
      <c r="M421" s="116">
        <v>333.33000000000004</v>
      </c>
      <c r="N421" s="116">
        <v>340</v>
      </c>
      <c r="O421" s="116">
        <v>329.2</v>
      </c>
      <c r="P421" s="116">
        <v>331.6</v>
      </c>
      <c r="Q421" s="116">
        <v>1666.65</v>
      </c>
      <c r="R421">
        <v>79046</v>
      </c>
    </row>
    <row r="422" spans="1:18" x14ac:dyDescent="0.25">
      <c r="A422" s="170">
        <v>42622</v>
      </c>
      <c r="B422" s="116">
        <v>339.37</v>
      </c>
      <c r="C422" s="116">
        <v>330.76</v>
      </c>
      <c r="D422" s="116">
        <v>329</v>
      </c>
      <c r="E422" s="116">
        <v>333.77</v>
      </c>
      <c r="F422" s="116">
        <v>1653.8</v>
      </c>
      <c r="G422">
        <v>7020</v>
      </c>
      <c r="H422" s="116"/>
      <c r="I422" s="116"/>
      <c r="L422" s="170">
        <v>42622</v>
      </c>
      <c r="M422" s="116">
        <v>331.63</v>
      </c>
      <c r="N422" s="116">
        <v>339.4</v>
      </c>
      <c r="O422" s="116">
        <v>329</v>
      </c>
      <c r="P422" s="116">
        <v>334.6</v>
      </c>
      <c r="Q422" s="116">
        <v>1658.15</v>
      </c>
      <c r="R422">
        <v>36108</v>
      </c>
    </row>
    <row r="423" spans="1:18" x14ac:dyDescent="0.25">
      <c r="A423" s="170">
        <v>42625</v>
      </c>
      <c r="B423" s="116">
        <v>334.77</v>
      </c>
      <c r="C423" s="116">
        <v>331.13</v>
      </c>
      <c r="D423" s="116">
        <v>318.66999999999996</v>
      </c>
      <c r="E423" s="116">
        <v>326</v>
      </c>
      <c r="F423" s="116">
        <v>1655.65</v>
      </c>
      <c r="G423">
        <v>5128</v>
      </c>
      <c r="H423" s="116"/>
      <c r="I423" s="116"/>
      <c r="L423" s="170">
        <v>42625</v>
      </c>
      <c r="M423" s="116">
        <v>331.85</v>
      </c>
      <c r="N423" s="116">
        <v>335</v>
      </c>
      <c r="O423" s="116">
        <v>318.34000000000003</v>
      </c>
      <c r="P423" s="116">
        <v>322.45</v>
      </c>
      <c r="Q423" s="116">
        <v>1659.25</v>
      </c>
      <c r="R423">
        <v>34680</v>
      </c>
    </row>
    <row r="424" spans="1:18" x14ac:dyDescent="0.25">
      <c r="A424" s="170">
        <v>42627</v>
      </c>
      <c r="B424" s="116">
        <v>334.18</v>
      </c>
      <c r="C424" s="116">
        <v>331.85</v>
      </c>
      <c r="D424" s="116">
        <v>325</v>
      </c>
      <c r="E424" s="116">
        <v>332</v>
      </c>
      <c r="F424" s="116">
        <v>1659.25</v>
      </c>
      <c r="G424">
        <v>8478</v>
      </c>
      <c r="H424" s="116"/>
      <c r="I424" s="116"/>
      <c r="L424" s="170">
        <v>42627</v>
      </c>
      <c r="M424" s="116">
        <v>332.15</v>
      </c>
      <c r="N424" s="116">
        <v>333.98</v>
      </c>
      <c r="O424" s="116">
        <v>327</v>
      </c>
      <c r="P424" s="116">
        <v>332</v>
      </c>
      <c r="Q424" s="116">
        <v>1660.75</v>
      </c>
      <c r="R424">
        <v>29136</v>
      </c>
    </row>
    <row r="425" spans="1:18" x14ac:dyDescent="0.25">
      <c r="A425" s="170">
        <v>42628</v>
      </c>
      <c r="B425" s="116">
        <v>336.1</v>
      </c>
      <c r="C425" s="116">
        <v>332.53000000000003</v>
      </c>
      <c r="D425" s="116">
        <v>330.21</v>
      </c>
      <c r="E425" s="116">
        <v>334</v>
      </c>
      <c r="F425" s="116">
        <v>1662.65</v>
      </c>
      <c r="G425">
        <v>3602</v>
      </c>
      <c r="H425" s="116"/>
      <c r="I425" s="116"/>
      <c r="L425" s="170">
        <v>42628</v>
      </c>
      <c r="M425" s="116">
        <v>331.77</v>
      </c>
      <c r="N425" s="116">
        <v>337.8</v>
      </c>
      <c r="O425" s="116">
        <v>330.21</v>
      </c>
      <c r="P425" s="116">
        <v>337.8</v>
      </c>
      <c r="Q425" s="116">
        <v>1658.85</v>
      </c>
      <c r="R425">
        <v>31389</v>
      </c>
    </row>
    <row r="426" spans="1:18" x14ac:dyDescent="0.25">
      <c r="A426" s="170">
        <v>42629</v>
      </c>
      <c r="B426" s="116">
        <v>339.96</v>
      </c>
      <c r="C426" s="116">
        <v>334.26</v>
      </c>
      <c r="D426" s="116">
        <v>330.13</v>
      </c>
      <c r="E426" s="116">
        <v>337.6</v>
      </c>
      <c r="F426" s="116">
        <v>1671.3</v>
      </c>
      <c r="G426">
        <v>4997</v>
      </c>
      <c r="H426" s="116"/>
      <c r="I426" s="116"/>
      <c r="L426" s="170">
        <v>42629</v>
      </c>
      <c r="M426" s="116">
        <v>334.05</v>
      </c>
      <c r="N426" s="116">
        <v>340</v>
      </c>
      <c r="O426" s="116">
        <v>331.6</v>
      </c>
      <c r="P426" s="116">
        <v>331.6</v>
      </c>
      <c r="Q426" s="116">
        <v>1670.25</v>
      </c>
      <c r="R426">
        <v>53720</v>
      </c>
    </row>
    <row r="427" spans="1:18" x14ac:dyDescent="0.25">
      <c r="A427" s="170">
        <v>42632</v>
      </c>
      <c r="B427" s="116">
        <v>338.8</v>
      </c>
      <c r="C427" s="116">
        <v>329.87</v>
      </c>
      <c r="D427" s="116">
        <v>327.20999999999998</v>
      </c>
      <c r="E427" s="116">
        <v>330.2</v>
      </c>
      <c r="F427" s="116">
        <v>1649.35</v>
      </c>
      <c r="G427">
        <v>4912</v>
      </c>
      <c r="H427" s="116"/>
      <c r="I427" s="116"/>
      <c r="L427" s="170">
        <v>42632</v>
      </c>
      <c r="M427" s="116">
        <v>330.21999999999997</v>
      </c>
      <c r="N427" s="116">
        <v>340</v>
      </c>
      <c r="O427" s="116">
        <v>327.41999999999996</v>
      </c>
      <c r="P427" s="116">
        <v>336.96</v>
      </c>
      <c r="Q427" s="116">
        <v>1651.1</v>
      </c>
      <c r="R427">
        <v>41093</v>
      </c>
    </row>
    <row r="428" spans="1:18" x14ac:dyDescent="0.25">
      <c r="A428" s="170">
        <v>42633</v>
      </c>
      <c r="B428" s="116">
        <v>334</v>
      </c>
      <c r="C428" s="116">
        <v>326.03000000000003</v>
      </c>
      <c r="D428" s="116">
        <v>325</v>
      </c>
      <c r="E428" s="116">
        <v>331.96999999999997</v>
      </c>
      <c r="F428" s="116">
        <v>1630.15</v>
      </c>
      <c r="G428">
        <v>10425</v>
      </c>
      <c r="H428" s="116"/>
      <c r="I428" s="116"/>
      <c r="L428" s="170">
        <v>42633</v>
      </c>
      <c r="M428" s="116">
        <v>326.52</v>
      </c>
      <c r="N428" s="116">
        <v>334.8</v>
      </c>
      <c r="O428" s="116">
        <v>325</v>
      </c>
      <c r="P428" s="116">
        <v>330.62</v>
      </c>
      <c r="Q428" s="116">
        <v>1632.6</v>
      </c>
      <c r="R428">
        <v>41787</v>
      </c>
    </row>
    <row r="429" spans="1:18" x14ac:dyDescent="0.25">
      <c r="A429" s="170">
        <v>42634</v>
      </c>
      <c r="B429" s="116">
        <v>329.8</v>
      </c>
      <c r="C429" s="116">
        <v>327.49</v>
      </c>
      <c r="D429" s="116">
        <v>325.10000000000002</v>
      </c>
      <c r="E429" s="116">
        <v>327.19</v>
      </c>
      <c r="F429" s="116">
        <v>1637.45</v>
      </c>
      <c r="G429">
        <v>4799</v>
      </c>
      <c r="H429" s="116"/>
      <c r="I429" s="116"/>
      <c r="L429" s="170">
        <v>42634</v>
      </c>
      <c r="M429" s="116">
        <v>327.85</v>
      </c>
      <c r="N429" s="116">
        <v>330.4</v>
      </c>
      <c r="O429" s="116">
        <v>325.61</v>
      </c>
      <c r="P429" s="116">
        <v>326.77</v>
      </c>
      <c r="Q429" s="116">
        <v>1639.25</v>
      </c>
      <c r="R429">
        <v>27382</v>
      </c>
    </row>
    <row r="430" spans="1:18" x14ac:dyDescent="0.25">
      <c r="A430" s="170">
        <v>42635</v>
      </c>
      <c r="B430" s="116">
        <v>336</v>
      </c>
      <c r="C430" s="116">
        <v>331.27</v>
      </c>
      <c r="D430" s="116">
        <v>328.68</v>
      </c>
      <c r="E430" s="116">
        <v>329.96999999999997</v>
      </c>
      <c r="F430" s="116">
        <v>1656.35</v>
      </c>
      <c r="G430">
        <v>3697</v>
      </c>
      <c r="H430" s="116"/>
      <c r="I430" s="116"/>
      <c r="L430" s="170">
        <v>42635</v>
      </c>
      <c r="M430" s="116">
        <v>332.14</v>
      </c>
      <c r="N430" s="116">
        <v>336</v>
      </c>
      <c r="O430" s="116">
        <v>329.41999999999996</v>
      </c>
      <c r="P430" s="116">
        <v>330</v>
      </c>
      <c r="Q430" s="116">
        <v>1660.7</v>
      </c>
      <c r="R430">
        <v>42362</v>
      </c>
    </row>
    <row r="431" spans="1:18" x14ac:dyDescent="0.25">
      <c r="A431" s="170">
        <v>42636</v>
      </c>
      <c r="B431" s="116">
        <v>336.2</v>
      </c>
      <c r="C431" s="116">
        <v>333.51</v>
      </c>
      <c r="D431" s="116">
        <v>330.4</v>
      </c>
      <c r="E431" s="116">
        <v>330.4</v>
      </c>
      <c r="F431" s="116">
        <v>1667.55</v>
      </c>
      <c r="G431">
        <v>5807</v>
      </c>
      <c r="H431" s="116"/>
      <c r="I431" s="116"/>
      <c r="L431" s="170">
        <v>42636</v>
      </c>
      <c r="M431" s="116">
        <v>333.14</v>
      </c>
      <c r="N431" s="116">
        <v>335.4</v>
      </c>
      <c r="O431" s="116">
        <v>330.8</v>
      </c>
      <c r="P431" s="116">
        <v>332</v>
      </c>
      <c r="Q431" s="116">
        <v>1665.7</v>
      </c>
      <c r="R431">
        <v>32410</v>
      </c>
    </row>
    <row r="432" spans="1:18" x14ac:dyDescent="0.25">
      <c r="A432" s="170">
        <v>42639</v>
      </c>
      <c r="B432" s="116">
        <v>332.15</v>
      </c>
      <c r="C432" s="116">
        <v>328.65999999999997</v>
      </c>
      <c r="D432" s="116">
        <v>323.8</v>
      </c>
      <c r="E432" s="116">
        <v>331.21</v>
      </c>
      <c r="F432" s="116">
        <v>1643.3</v>
      </c>
      <c r="G432">
        <v>3389</v>
      </c>
      <c r="H432" s="116"/>
      <c r="I432" s="116"/>
      <c r="L432" s="170">
        <v>42639</v>
      </c>
      <c r="M432" s="116">
        <v>329.82</v>
      </c>
      <c r="N432" s="116">
        <v>333</v>
      </c>
      <c r="O432" s="116">
        <v>325.06</v>
      </c>
      <c r="P432" s="116">
        <v>333</v>
      </c>
      <c r="Q432" s="116">
        <v>1649.1</v>
      </c>
      <c r="R432">
        <v>21230</v>
      </c>
    </row>
    <row r="433" spans="1:18" x14ac:dyDescent="0.25">
      <c r="A433" s="170">
        <v>42640</v>
      </c>
      <c r="B433" s="116">
        <v>330.71</v>
      </c>
      <c r="C433" s="116">
        <v>327.52</v>
      </c>
      <c r="D433" s="116">
        <v>324.8</v>
      </c>
      <c r="E433" s="116">
        <v>330.71</v>
      </c>
      <c r="F433" s="116">
        <v>1637.6</v>
      </c>
      <c r="G433">
        <v>2604</v>
      </c>
      <c r="H433" s="116"/>
      <c r="I433" s="116"/>
      <c r="L433" s="170">
        <v>42640</v>
      </c>
      <c r="M433" s="116">
        <v>328.32</v>
      </c>
      <c r="N433" s="116">
        <v>330</v>
      </c>
      <c r="O433" s="116">
        <v>324.39999999999998</v>
      </c>
      <c r="P433" s="116">
        <v>329.8</v>
      </c>
      <c r="Q433" s="116">
        <v>1641.6</v>
      </c>
      <c r="R433">
        <v>23517</v>
      </c>
    </row>
    <row r="434" spans="1:18" x14ac:dyDescent="0.25">
      <c r="A434" s="170">
        <v>42641</v>
      </c>
      <c r="B434" s="116">
        <v>330</v>
      </c>
      <c r="C434" s="116">
        <v>329</v>
      </c>
      <c r="D434" s="116">
        <v>327.85</v>
      </c>
      <c r="E434" s="116">
        <v>328.99</v>
      </c>
      <c r="F434" s="116">
        <v>1645</v>
      </c>
      <c r="G434">
        <v>1718</v>
      </c>
      <c r="H434" s="116"/>
      <c r="I434" s="116"/>
      <c r="L434" s="170">
        <v>42641</v>
      </c>
      <c r="M434" s="116">
        <v>329.64</v>
      </c>
      <c r="N434" s="116">
        <v>330.2</v>
      </c>
      <c r="O434" s="116">
        <v>326.32</v>
      </c>
      <c r="P434" s="116">
        <v>327.8</v>
      </c>
      <c r="Q434" s="116">
        <v>1648.2</v>
      </c>
      <c r="R434">
        <v>20115</v>
      </c>
    </row>
    <row r="435" spans="1:18" x14ac:dyDescent="0.25">
      <c r="A435" s="170">
        <v>42642</v>
      </c>
      <c r="B435" s="116">
        <v>339.8</v>
      </c>
      <c r="C435" s="116">
        <v>325.34000000000003</v>
      </c>
      <c r="D435" s="116">
        <v>319.10000000000002</v>
      </c>
      <c r="E435" s="116">
        <v>331</v>
      </c>
      <c r="F435" s="116">
        <v>1626.7</v>
      </c>
      <c r="G435">
        <v>9128</v>
      </c>
      <c r="H435" s="116"/>
      <c r="I435" s="116"/>
      <c r="L435" s="170">
        <v>42642</v>
      </c>
      <c r="M435" s="116">
        <v>325.89999999999998</v>
      </c>
      <c r="N435" s="116">
        <v>339.58000000000004</v>
      </c>
      <c r="O435" s="116">
        <v>320</v>
      </c>
      <c r="P435" s="116">
        <v>330.11</v>
      </c>
      <c r="Q435" s="116">
        <v>1629.5</v>
      </c>
      <c r="R435">
        <v>53883</v>
      </c>
    </row>
    <row r="436" spans="1:18" x14ac:dyDescent="0.25">
      <c r="A436" s="170">
        <v>42643</v>
      </c>
      <c r="B436" s="116">
        <v>330</v>
      </c>
      <c r="C436" s="116">
        <v>326.87</v>
      </c>
      <c r="D436" s="116">
        <v>320.60000000000002</v>
      </c>
      <c r="E436" s="116">
        <v>327</v>
      </c>
      <c r="F436" s="116">
        <v>1634.35</v>
      </c>
      <c r="G436">
        <v>6240</v>
      </c>
      <c r="H436" s="116"/>
      <c r="I436" s="116"/>
      <c r="L436" s="170">
        <v>42643</v>
      </c>
      <c r="M436" s="116">
        <v>325.04000000000002</v>
      </c>
      <c r="N436" s="116">
        <v>331.08000000000004</v>
      </c>
      <c r="O436" s="116">
        <v>320</v>
      </c>
      <c r="P436" s="116">
        <v>322.43</v>
      </c>
      <c r="Q436" s="116">
        <v>1625.2</v>
      </c>
      <c r="R436">
        <v>51347</v>
      </c>
    </row>
    <row r="437" spans="1:18" x14ac:dyDescent="0.25">
      <c r="A437" s="170">
        <v>42646</v>
      </c>
      <c r="B437" s="116">
        <v>338.88</v>
      </c>
      <c r="C437" s="116">
        <v>336.26</v>
      </c>
      <c r="D437" s="116">
        <v>328</v>
      </c>
      <c r="E437" s="116">
        <v>330.96</v>
      </c>
      <c r="F437" s="116">
        <v>1681.3</v>
      </c>
      <c r="G437">
        <v>6776</v>
      </c>
      <c r="H437" s="116"/>
      <c r="I437" s="116"/>
      <c r="L437" s="170">
        <v>42646</v>
      </c>
      <c r="M437" s="116">
        <v>336.45</v>
      </c>
      <c r="N437" s="116">
        <v>339.2</v>
      </c>
      <c r="O437" s="116">
        <v>328.01</v>
      </c>
      <c r="P437" s="116">
        <v>330</v>
      </c>
      <c r="Q437" s="116">
        <v>1682.25</v>
      </c>
      <c r="R437">
        <v>43510</v>
      </c>
    </row>
    <row r="438" spans="1:18" x14ac:dyDescent="0.25">
      <c r="A438" s="170">
        <v>42647</v>
      </c>
      <c r="B438" s="116">
        <v>347.2</v>
      </c>
      <c r="C438" s="116">
        <v>345.24</v>
      </c>
      <c r="D438" s="116">
        <v>338.01</v>
      </c>
      <c r="E438" s="116">
        <v>339.8</v>
      </c>
      <c r="F438" s="116">
        <v>1726.2</v>
      </c>
      <c r="G438">
        <v>6579</v>
      </c>
      <c r="H438" s="116"/>
      <c r="I438" s="116"/>
      <c r="L438" s="170">
        <v>42647</v>
      </c>
      <c r="M438" s="116">
        <v>345.03000000000003</v>
      </c>
      <c r="N438" s="116">
        <v>346.99</v>
      </c>
      <c r="O438" s="116">
        <v>338.8</v>
      </c>
      <c r="P438" s="116">
        <v>340.6</v>
      </c>
      <c r="Q438" s="116">
        <v>1725.15</v>
      </c>
      <c r="R438">
        <v>74952</v>
      </c>
    </row>
    <row r="439" spans="1:18" x14ac:dyDescent="0.25">
      <c r="A439" s="170">
        <v>42648</v>
      </c>
      <c r="B439" s="116">
        <v>351.52</v>
      </c>
      <c r="C439" s="116">
        <v>346.45</v>
      </c>
      <c r="D439" s="116">
        <v>342</v>
      </c>
      <c r="E439" s="116">
        <v>349.59000000000003</v>
      </c>
      <c r="F439" s="116">
        <v>1732.25</v>
      </c>
      <c r="G439">
        <v>13502</v>
      </c>
      <c r="H439" s="116"/>
      <c r="I439" s="116"/>
      <c r="L439" s="170">
        <v>42648</v>
      </c>
      <c r="M439" s="116">
        <v>345.16999999999996</v>
      </c>
      <c r="N439" s="116">
        <v>351</v>
      </c>
      <c r="O439" s="116">
        <v>341.61</v>
      </c>
      <c r="P439" s="116">
        <v>347</v>
      </c>
      <c r="Q439" s="116">
        <v>1725.85</v>
      </c>
      <c r="R439">
        <v>36867</v>
      </c>
    </row>
    <row r="440" spans="1:18" x14ac:dyDescent="0.25">
      <c r="A440" s="170">
        <v>42649</v>
      </c>
      <c r="B440" s="116">
        <v>348.4</v>
      </c>
      <c r="C440" s="116">
        <v>345.41999999999996</v>
      </c>
      <c r="D440" s="116">
        <v>342</v>
      </c>
      <c r="E440" s="116">
        <v>347.36</v>
      </c>
      <c r="F440" s="116">
        <v>1727.1</v>
      </c>
      <c r="G440">
        <v>7934</v>
      </c>
      <c r="H440" s="116"/>
      <c r="I440" s="116"/>
      <c r="L440" s="170">
        <v>42649</v>
      </c>
      <c r="M440" s="116">
        <v>346.94</v>
      </c>
      <c r="N440" s="116">
        <v>349.99</v>
      </c>
      <c r="O440" s="116">
        <v>342</v>
      </c>
      <c r="P440" s="116">
        <v>345.01</v>
      </c>
      <c r="Q440" s="116">
        <v>1734.7</v>
      </c>
      <c r="R440">
        <v>22311</v>
      </c>
    </row>
    <row r="441" spans="1:18" x14ac:dyDescent="0.25">
      <c r="A441" s="170">
        <v>42650</v>
      </c>
      <c r="B441" s="116">
        <v>349</v>
      </c>
      <c r="C441" s="116">
        <v>348.18</v>
      </c>
      <c r="D441" s="116">
        <v>340.6</v>
      </c>
      <c r="E441" s="116">
        <v>347</v>
      </c>
      <c r="F441" s="116">
        <v>1740.9</v>
      </c>
      <c r="G441">
        <v>3362</v>
      </c>
      <c r="H441" s="116"/>
      <c r="I441" s="116"/>
      <c r="L441" s="170">
        <v>42650</v>
      </c>
      <c r="M441" s="116">
        <v>348.78000000000003</v>
      </c>
      <c r="N441" s="116">
        <v>350.77</v>
      </c>
      <c r="O441" s="116">
        <v>345</v>
      </c>
      <c r="P441" s="116">
        <v>350.77</v>
      </c>
      <c r="Q441" s="116">
        <v>1743.9</v>
      </c>
      <c r="R441">
        <v>17074</v>
      </c>
    </row>
    <row r="442" spans="1:18" x14ac:dyDescent="0.25">
      <c r="A442" s="170">
        <v>42653</v>
      </c>
      <c r="B442" s="116">
        <v>351.33000000000004</v>
      </c>
      <c r="C442" s="116">
        <v>349.94</v>
      </c>
      <c r="D442" s="116">
        <v>347</v>
      </c>
      <c r="E442" s="116">
        <v>349.45</v>
      </c>
      <c r="F442" s="116">
        <v>1749.7</v>
      </c>
      <c r="G442">
        <v>3424</v>
      </c>
      <c r="H442" s="116"/>
      <c r="I442" s="116"/>
      <c r="L442" s="170">
        <v>42653</v>
      </c>
      <c r="M442" s="116">
        <v>350.48</v>
      </c>
      <c r="N442" s="116">
        <v>352</v>
      </c>
      <c r="O442" s="116">
        <v>346</v>
      </c>
      <c r="P442" s="116">
        <v>350.1</v>
      </c>
      <c r="Q442" s="116">
        <v>1752.4</v>
      </c>
      <c r="R442">
        <v>19751</v>
      </c>
    </row>
    <row r="443" spans="1:18" x14ac:dyDescent="0.25">
      <c r="A443" s="170">
        <v>42656</v>
      </c>
      <c r="B443" s="116">
        <v>351.6</v>
      </c>
      <c r="C443" s="116">
        <v>347.78000000000003</v>
      </c>
      <c r="D443" s="116">
        <v>340.73</v>
      </c>
      <c r="E443" s="116">
        <v>350.48</v>
      </c>
      <c r="F443" s="116">
        <v>1738.9</v>
      </c>
      <c r="G443">
        <v>4169</v>
      </c>
      <c r="H443" s="116"/>
      <c r="I443" s="116"/>
      <c r="L443" s="170">
        <v>42656</v>
      </c>
      <c r="M443" s="116">
        <v>349.90999999999997</v>
      </c>
      <c r="N443" s="116">
        <v>354</v>
      </c>
      <c r="O443" s="116">
        <v>341</v>
      </c>
      <c r="P443" s="116">
        <v>349.78000000000003</v>
      </c>
      <c r="Q443" s="116">
        <v>1749.55</v>
      </c>
      <c r="R443">
        <v>21305</v>
      </c>
    </row>
    <row r="444" spans="1:18" x14ac:dyDescent="0.25">
      <c r="A444" s="170">
        <v>42657</v>
      </c>
      <c r="B444" s="116">
        <v>372.84000000000003</v>
      </c>
      <c r="C444" s="116">
        <v>365.29</v>
      </c>
      <c r="D444" s="116">
        <v>349.21999999999997</v>
      </c>
      <c r="E444" s="116">
        <v>350</v>
      </c>
      <c r="F444" s="116">
        <v>1826.45</v>
      </c>
      <c r="G444">
        <v>18532</v>
      </c>
      <c r="H444" s="116"/>
      <c r="I444" s="116"/>
      <c r="L444" s="170">
        <v>42657</v>
      </c>
      <c r="M444" s="116">
        <v>365.90999999999997</v>
      </c>
      <c r="N444" s="116">
        <v>372.74</v>
      </c>
      <c r="O444" s="116">
        <v>348.6</v>
      </c>
      <c r="P444" s="116">
        <v>352</v>
      </c>
      <c r="Q444" s="116">
        <v>1829.55</v>
      </c>
      <c r="R444">
        <v>100739</v>
      </c>
    </row>
    <row r="445" spans="1:18" x14ac:dyDescent="0.25">
      <c r="A445" s="170">
        <v>42660</v>
      </c>
      <c r="B445" s="116">
        <v>375.8</v>
      </c>
      <c r="C445" s="116">
        <v>369.39</v>
      </c>
      <c r="D445" s="116">
        <v>367.6</v>
      </c>
      <c r="E445" s="116">
        <v>368</v>
      </c>
      <c r="F445" s="116">
        <v>1846.95</v>
      </c>
      <c r="G445">
        <v>13695</v>
      </c>
      <c r="H445" s="116"/>
      <c r="I445" s="116"/>
      <c r="L445" s="170">
        <v>42660</v>
      </c>
      <c r="M445" s="116">
        <v>369.13</v>
      </c>
      <c r="N445" s="116">
        <v>375.6</v>
      </c>
      <c r="O445" s="116">
        <v>366</v>
      </c>
      <c r="P445" s="116">
        <v>367.98</v>
      </c>
      <c r="Q445" s="116">
        <v>1845.65</v>
      </c>
      <c r="R445">
        <v>84105</v>
      </c>
    </row>
    <row r="446" spans="1:18" x14ac:dyDescent="0.25">
      <c r="A446" s="170">
        <v>42661</v>
      </c>
      <c r="B446" s="116">
        <v>377.4</v>
      </c>
      <c r="C446" s="116">
        <v>365.12</v>
      </c>
      <c r="D446" s="116">
        <v>352.3</v>
      </c>
      <c r="E446" s="116">
        <v>373.4</v>
      </c>
      <c r="F446" s="116">
        <v>1825.6</v>
      </c>
      <c r="G446">
        <v>58790</v>
      </c>
      <c r="H446" s="116"/>
      <c r="I446" s="116"/>
      <c r="L446" s="170">
        <v>42661</v>
      </c>
      <c r="M446" s="116">
        <v>366.31</v>
      </c>
      <c r="N446" s="116">
        <v>377.96999999999997</v>
      </c>
      <c r="O446" s="116">
        <v>352.8</v>
      </c>
      <c r="P446" s="116">
        <v>370</v>
      </c>
      <c r="Q446" s="116">
        <v>1831.55</v>
      </c>
      <c r="R446">
        <v>440947</v>
      </c>
    </row>
    <row r="447" spans="1:18" x14ac:dyDescent="0.25">
      <c r="A447" s="170">
        <v>42662</v>
      </c>
      <c r="B447" s="116">
        <v>370.6</v>
      </c>
      <c r="C447" s="116">
        <v>365.27</v>
      </c>
      <c r="D447" s="116">
        <v>361.01</v>
      </c>
      <c r="E447" s="116">
        <v>369.96</v>
      </c>
      <c r="F447" s="116">
        <v>1826.35</v>
      </c>
      <c r="G447">
        <v>17902</v>
      </c>
      <c r="H447" s="116"/>
      <c r="I447" s="116"/>
      <c r="L447" s="170">
        <v>42662</v>
      </c>
      <c r="M447" s="116">
        <v>364.95</v>
      </c>
      <c r="N447" s="116">
        <v>370.14</v>
      </c>
      <c r="O447" s="116">
        <v>361.11</v>
      </c>
      <c r="P447" s="116">
        <v>369.78000000000003</v>
      </c>
      <c r="Q447" s="116">
        <v>1824.75</v>
      </c>
      <c r="R447">
        <v>104264</v>
      </c>
    </row>
    <row r="448" spans="1:18" x14ac:dyDescent="0.25">
      <c r="A448" s="170">
        <v>42663</v>
      </c>
      <c r="B448" s="116">
        <v>368.6</v>
      </c>
      <c r="C448" s="116">
        <v>366.88</v>
      </c>
      <c r="D448" s="116">
        <v>363</v>
      </c>
      <c r="E448" s="116">
        <v>367.23</v>
      </c>
      <c r="F448" s="116">
        <v>1834.4</v>
      </c>
      <c r="G448">
        <v>5729</v>
      </c>
      <c r="H448" s="116"/>
      <c r="I448" s="116"/>
      <c r="L448" s="170">
        <v>42663</v>
      </c>
      <c r="M448" s="116">
        <v>367.66999999999996</v>
      </c>
      <c r="N448" s="116">
        <v>368.78000000000003</v>
      </c>
      <c r="O448" s="116">
        <v>363</v>
      </c>
      <c r="P448" s="116">
        <v>367.59000000000003</v>
      </c>
      <c r="Q448" s="116">
        <v>1838.35</v>
      </c>
      <c r="R448">
        <v>52689</v>
      </c>
    </row>
    <row r="449" spans="1:18" x14ac:dyDescent="0.25">
      <c r="A449" s="170">
        <v>42664</v>
      </c>
      <c r="B449" s="116">
        <v>368</v>
      </c>
      <c r="C449" s="116">
        <v>366.06</v>
      </c>
      <c r="D449" s="116">
        <v>362.2</v>
      </c>
      <c r="E449" s="116">
        <v>367</v>
      </c>
      <c r="F449" s="116">
        <v>1830.3</v>
      </c>
      <c r="G449">
        <v>4455</v>
      </c>
      <c r="H449" s="116"/>
      <c r="I449" s="116"/>
      <c r="L449" s="170">
        <v>42664</v>
      </c>
      <c r="M449" s="116">
        <v>365.98</v>
      </c>
      <c r="N449" s="116">
        <v>367.58000000000004</v>
      </c>
      <c r="O449" s="116">
        <v>362.21</v>
      </c>
      <c r="P449" s="116">
        <v>367.58000000000004</v>
      </c>
      <c r="Q449" s="116">
        <v>1829.9</v>
      </c>
      <c r="R449">
        <v>25866</v>
      </c>
    </row>
    <row r="450" spans="1:18" x14ac:dyDescent="0.25">
      <c r="A450" s="170">
        <v>42667</v>
      </c>
      <c r="B450" s="116">
        <v>370.6</v>
      </c>
      <c r="C450" s="116">
        <v>369.21999999999997</v>
      </c>
      <c r="D450" s="116">
        <v>363</v>
      </c>
      <c r="E450" s="116">
        <v>366.2</v>
      </c>
      <c r="F450" s="116">
        <v>1846.1</v>
      </c>
      <c r="G450">
        <v>8434</v>
      </c>
      <c r="H450" s="116"/>
      <c r="I450" s="116"/>
      <c r="L450" s="170">
        <v>42667</v>
      </c>
      <c r="M450" s="116">
        <v>369.51</v>
      </c>
      <c r="N450" s="116">
        <v>370</v>
      </c>
      <c r="O450" s="116">
        <v>363</v>
      </c>
      <c r="P450" s="116">
        <v>366.2</v>
      </c>
      <c r="Q450" s="116">
        <v>1847.55</v>
      </c>
      <c r="R450">
        <v>41369</v>
      </c>
    </row>
    <row r="451" spans="1:18" x14ac:dyDescent="0.25">
      <c r="A451" s="170">
        <v>42668</v>
      </c>
      <c r="B451" s="116">
        <v>370</v>
      </c>
      <c r="C451" s="116">
        <v>367.8</v>
      </c>
      <c r="D451" s="116">
        <v>364</v>
      </c>
      <c r="E451" s="116">
        <v>369.28000000000003</v>
      </c>
      <c r="F451" s="116">
        <v>1839</v>
      </c>
      <c r="G451">
        <v>4996</v>
      </c>
      <c r="H451" s="116"/>
      <c r="I451" s="116"/>
      <c r="L451" s="170">
        <v>42668</v>
      </c>
      <c r="M451" s="116">
        <v>369.28000000000003</v>
      </c>
      <c r="N451" s="116">
        <v>370</v>
      </c>
      <c r="O451" s="116">
        <v>365.21999999999997</v>
      </c>
      <c r="P451" s="116">
        <v>369.57</v>
      </c>
      <c r="Q451" s="116">
        <v>1846.4</v>
      </c>
      <c r="R451">
        <v>32589</v>
      </c>
    </row>
    <row r="452" spans="1:18" x14ac:dyDescent="0.25">
      <c r="A452" s="170">
        <v>42669</v>
      </c>
      <c r="B452" s="116">
        <v>368.98</v>
      </c>
      <c r="C452" s="116">
        <v>363.75</v>
      </c>
      <c r="D452" s="116">
        <v>362</v>
      </c>
      <c r="E452" s="116">
        <v>368.98</v>
      </c>
      <c r="F452" s="116">
        <v>1818.75</v>
      </c>
      <c r="G452">
        <v>4134</v>
      </c>
      <c r="H452" s="116"/>
      <c r="I452" s="116"/>
      <c r="L452" s="170">
        <v>42669</v>
      </c>
      <c r="M452" s="116">
        <v>364.65</v>
      </c>
      <c r="N452" s="116">
        <v>368.6</v>
      </c>
      <c r="O452" s="116">
        <v>363</v>
      </c>
      <c r="P452" s="116">
        <v>368.6</v>
      </c>
      <c r="Q452" s="116">
        <v>1823.25</v>
      </c>
      <c r="R452">
        <v>37831</v>
      </c>
    </row>
    <row r="453" spans="1:18" x14ac:dyDescent="0.25">
      <c r="A453" s="170">
        <v>42670</v>
      </c>
      <c r="B453" s="116">
        <v>366.79</v>
      </c>
      <c r="C453" s="116">
        <v>358.79</v>
      </c>
      <c r="D453" s="116">
        <v>347.35</v>
      </c>
      <c r="E453" s="116">
        <v>363.04</v>
      </c>
      <c r="F453" s="116">
        <v>1793.95</v>
      </c>
      <c r="G453">
        <v>4010</v>
      </c>
      <c r="H453" s="116"/>
      <c r="I453" s="116"/>
      <c r="L453" s="170">
        <v>42670</v>
      </c>
      <c r="M453" s="116">
        <v>359.43</v>
      </c>
      <c r="N453" s="116">
        <v>367</v>
      </c>
      <c r="O453" s="116">
        <v>354.81</v>
      </c>
      <c r="P453" s="116">
        <v>364</v>
      </c>
      <c r="Q453" s="116">
        <v>1797.15</v>
      </c>
      <c r="R453">
        <v>44386</v>
      </c>
    </row>
    <row r="454" spans="1:18" x14ac:dyDescent="0.25">
      <c r="A454" s="170">
        <v>42671</v>
      </c>
      <c r="B454" s="116">
        <v>366.59000000000003</v>
      </c>
      <c r="C454" s="116">
        <v>364.68</v>
      </c>
      <c r="D454" s="116">
        <v>355.4</v>
      </c>
      <c r="E454" s="116">
        <v>355.4</v>
      </c>
      <c r="F454" s="116">
        <v>1823.4</v>
      </c>
      <c r="G454">
        <v>4257</v>
      </c>
      <c r="H454" s="116"/>
      <c r="I454" s="116"/>
      <c r="L454" s="170">
        <v>42671</v>
      </c>
      <c r="M454" s="116">
        <v>365.79</v>
      </c>
      <c r="N454" s="116">
        <v>367.4</v>
      </c>
      <c r="O454" s="116">
        <v>357.44</v>
      </c>
      <c r="P454" s="116">
        <v>360</v>
      </c>
      <c r="Q454" s="116">
        <v>1828.95</v>
      </c>
      <c r="R454">
        <v>41460</v>
      </c>
    </row>
    <row r="455" spans="1:18" x14ac:dyDescent="0.25">
      <c r="A455" s="170">
        <v>42673</v>
      </c>
      <c r="B455" s="116">
        <v>373.2</v>
      </c>
      <c r="C455" s="116">
        <v>372.4</v>
      </c>
      <c r="D455" s="116">
        <v>367</v>
      </c>
      <c r="E455" s="116">
        <v>368</v>
      </c>
      <c r="F455" s="116">
        <v>1862</v>
      </c>
      <c r="G455">
        <v>2389</v>
      </c>
      <c r="H455" s="116"/>
      <c r="I455" s="116"/>
      <c r="L455" s="170">
        <v>42673</v>
      </c>
      <c r="M455" s="116">
        <v>372.85</v>
      </c>
      <c r="N455" s="116">
        <v>374</v>
      </c>
      <c r="O455" s="116">
        <v>367</v>
      </c>
      <c r="P455" s="116">
        <v>368</v>
      </c>
      <c r="Q455" s="116">
        <v>1864.25</v>
      </c>
      <c r="R455">
        <v>21383</v>
      </c>
    </row>
    <row r="456" spans="1:18" x14ac:dyDescent="0.25">
      <c r="A456" s="170">
        <v>42675</v>
      </c>
      <c r="B456" s="116">
        <v>374.4</v>
      </c>
      <c r="C456" s="116">
        <v>371.85</v>
      </c>
      <c r="D456" s="116">
        <v>367</v>
      </c>
      <c r="E456" s="116">
        <v>371</v>
      </c>
      <c r="F456" s="116">
        <v>1859.25</v>
      </c>
      <c r="G456">
        <v>3102</v>
      </c>
      <c r="H456" s="116"/>
      <c r="I456" s="116"/>
      <c r="L456" s="170">
        <v>42675</v>
      </c>
      <c r="M456" s="116">
        <v>372.41999999999996</v>
      </c>
      <c r="N456" s="116">
        <v>374.2</v>
      </c>
      <c r="O456" s="116">
        <v>369.88</v>
      </c>
      <c r="P456" s="116">
        <v>374</v>
      </c>
      <c r="Q456" s="116">
        <v>1862.1</v>
      </c>
      <c r="R456">
        <v>43010</v>
      </c>
    </row>
    <row r="457" spans="1:18" x14ac:dyDescent="0.25">
      <c r="A457" s="170">
        <v>42676</v>
      </c>
      <c r="B457" s="116">
        <v>371.79</v>
      </c>
      <c r="C457" s="116">
        <v>367.52</v>
      </c>
      <c r="D457" s="116">
        <v>366</v>
      </c>
      <c r="E457" s="116">
        <v>371.79</v>
      </c>
      <c r="F457" s="116">
        <v>1837.6</v>
      </c>
      <c r="G457">
        <v>3530</v>
      </c>
      <c r="H457" s="116"/>
      <c r="I457" s="116"/>
      <c r="L457" s="170">
        <v>42676</v>
      </c>
      <c r="M457" s="116">
        <v>367.3</v>
      </c>
      <c r="N457" s="116">
        <v>370.58000000000004</v>
      </c>
      <c r="O457" s="116">
        <v>365.4</v>
      </c>
      <c r="P457" s="116">
        <v>368.98</v>
      </c>
      <c r="Q457" s="116">
        <v>1836.5</v>
      </c>
      <c r="R457">
        <v>23637</v>
      </c>
    </row>
    <row r="458" spans="1:18" x14ac:dyDescent="0.25">
      <c r="A458" s="170">
        <v>42677</v>
      </c>
      <c r="B458" s="116">
        <v>371</v>
      </c>
      <c r="C458" s="116">
        <v>361.03000000000003</v>
      </c>
      <c r="D458" s="116">
        <v>360</v>
      </c>
      <c r="E458" s="116">
        <v>366</v>
      </c>
      <c r="F458" s="116">
        <v>1805.15</v>
      </c>
      <c r="G458">
        <v>3351</v>
      </c>
      <c r="H458" s="116"/>
      <c r="I458" s="116"/>
      <c r="L458" s="170">
        <v>42677</v>
      </c>
      <c r="M458" s="116">
        <v>362.77</v>
      </c>
      <c r="N458" s="116">
        <v>372</v>
      </c>
      <c r="O458" s="116">
        <v>360</v>
      </c>
      <c r="P458" s="116">
        <v>366.98</v>
      </c>
      <c r="Q458" s="116">
        <v>1813.85</v>
      </c>
      <c r="R458">
        <v>36951</v>
      </c>
    </row>
    <row r="459" spans="1:18" x14ac:dyDescent="0.25">
      <c r="A459" s="170">
        <v>42678</v>
      </c>
      <c r="B459" s="116">
        <v>360.62</v>
      </c>
      <c r="C459" s="116">
        <v>347.62</v>
      </c>
      <c r="D459" s="116">
        <v>343.6</v>
      </c>
      <c r="E459" s="116">
        <v>360.02</v>
      </c>
      <c r="F459" s="116">
        <v>1738.1</v>
      </c>
      <c r="G459">
        <v>7019</v>
      </c>
      <c r="H459" s="116"/>
      <c r="I459" s="116"/>
      <c r="L459" s="170">
        <v>42678</v>
      </c>
      <c r="M459" s="116">
        <v>347.4</v>
      </c>
      <c r="N459" s="116">
        <v>364</v>
      </c>
      <c r="O459" s="116">
        <v>342.43</v>
      </c>
      <c r="P459" s="116">
        <v>363.98</v>
      </c>
      <c r="Q459" s="116">
        <v>1737</v>
      </c>
      <c r="R459">
        <v>44416</v>
      </c>
    </row>
    <row r="460" spans="1:18" x14ac:dyDescent="0.25">
      <c r="A460" s="170">
        <v>42681</v>
      </c>
      <c r="B460" s="116">
        <v>360.1</v>
      </c>
      <c r="C460" s="116">
        <v>345.55</v>
      </c>
      <c r="D460" s="116">
        <v>342</v>
      </c>
      <c r="E460" s="116">
        <v>348</v>
      </c>
      <c r="F460" s="116">
        <v>1727.75</v>
      </c>
      <c r="G460">
        <v>6511</v>
      </c>
      <c r="H460" s="116"/>
      <c r="I460" s="116"/>
      <c r="L460" s="170">
        <v>42681</v>
      </c>
      <c r="M460" s="116">
        <v>344.78000000000003</v>
      </c>
      <c r="N460" s="116">
        <v>356.59000000000003</v>
      </c>
      <c r="O460" s="116">
        <v>341.2</v>
      </c>
      <c r="P460" s="116">
        <v>356.59000000000003</v>
      </c>
      <c r="Q460" s="116">
        <v>1723.9</v>
      </c>
      <c r="R460">
        <v>46874</v>
      </c>
    </row>
    <row r="461" spans="1:18" x14ac:dyDescent="0.25">
      <c r="A461" s="170">
        <v>42682</v>
      </c>
      <c r="B461" s="116">
        <v>349</v>
      </c>
      <c r="C461" s="116">
        <v>343.11</v>
      </c>
      <c r="D461" s="116">
        <v>341</v>
      </c>
      <c r="E461" s="116">
        <v>346.58000000000004</v>
      </c>
      <c r="F461" s="116">
        <v>1715.55</v>
      </c>
      <c r="G461">
        <v>2752</v>
      </c>
      <c r="H461" s="116"/>
      <c r="I461" s="116"/>
      <c r="L461" s="170">
        <v>42682</v>
      </c>
      <c r="M461" s="116">
        <v>342.21999999999997</v>
      </c>
      <c r="N461" s="116">
        <v>348.4</v>
      </c>
      <c r="O461" s="116">
        <v>339.2</v>
      </c>
      <c r="P461" s="116">
        <v>346.01</v>
      </c>
      <c r="Q461" s="116">
        <v>1711.1</v>
      </c>
      <c r="R461">
        <v>35277</v>
      </c>
    </row>
    <row r="462" spans="1:18" x14ac:dyDescent="0.25">
      <c r="A462" s="170">
        <v>42683</v>
      </c>
      <c r="B462" s="116">
        <v>339</v>
      </c>
      <c r="C462" s="116">
        <v>334.43</v>
      </c>
      <c r="D462" s="116">
        <v>282.91999999999996</v>
      </c>
      <c r="E462" s="116">
        <v>334</v>
      </c>
      <c r="F462" s="116">
        <v>1672.15</v>
      </c>
      <c r="G462">
        <v>11798</v>
      </c>
      <c r="H462" s="116"/>
      <c r="I462" s="116"/>
      <c r="L462" s="170">
        <v>42683</v>
      </c>
      <c r="M462" s="116">
        <v>335.21999999999997</v>
      </c>
      <c r="N462" s="116">
        <v>339.98</v>
      </c>
      <c r="O462" s="116">
        <v>282.25</v>
      </c>
      <c r="P462" s="116">
        <v>320</v>
      </c>
      <c r="Q462" s="116">
        <v>1676.1</v>
      </c>
      <c r="R462">
        <v>70942</v>
      </c>
    </row>
    <row r="463" spans="1:18" x14ac:dyDescent="0.25">
      <c r="A463" s="170">
        <v>42684</v>
      </c>
      <c r="B463" s="116">
        <v>344.99</v>
      </c>
      <c r="C463" s="116">
        <v>337.88</v>
      </c>
      <c r="D463" s="116">
        <v>334.71999999999997</v>
      </c>
      <c r="E463" s="116">
        <v>338</v>
      </c>
      <c r="F463" s="116">
        <v>1689.4</v>
      </c>
      <c r="G463">
        <v>5252</v>
      </c>
      <c r="H463" s="116"/>
      <c r="I463" s="116"/>
      <c r="L463" s="170">
        <v>42684</v>
      </c>
      <c r="M463" s="116">
        <v>339.81</v>
      </c>
      <c r="N463" s="116">
        <v>345</v>
      </c>
      <c r="O463" s="116">
        <v>334.91999999999996</v>
      </c>
      <c r="P463" s="116">
        <v>343.7</v>
      </c>
      <c r="Q463" s="116">
        <v>1699.05</v>
      </c>
      <c r="R463">
        <v>36103</v>
      </c>
    </row>
    <row r="464" spans="1:18" x14ac:dyDescent="0.25">
      <c r="A464" s="170">
        <v>42685</v>
      </c>
      <c r="B464" s="116">
        <v>338</v>
      </c>
      <c r="C464" s="116">
        <v>313.01</v>
      </c>
      <c r="D464" s="116">
        <v>305.79000000000002</v>
      </c>
      <c r="E464" s="116">
        <v>338</v>
      </c>
      <c r="F464" s="116">
        <v>1565.05</v>
      </c>
      <c r="G464">
        <v>10710</v>
      </c>
      <c r="H464" s="116"/>
      <c r="I464" s="116"/>
      <c r="L464" s="170">
        <v>42685</v>
      </c>
      <c r="M464" s="116">
        <v>314.96999999999997</v>
      </c>
      <c r="N464" s="116">
        <v>338.99</v>
      </c>
      <c r="O464" s="116">
        <v>305</v>
      </c>
      <c r="P464" s="116">
        <v>335</v>
      </c>
      <c r="Q464" s="116">
        <v>1574.85</v>
      </c>
      <c r="R464">
        <v>98332</v>
      </c>
    </row>
    <row r="465" spans="1:18" x14ac:dyDescent="0.25">
      <c r="A465" s="170">
        <v>42689</v>
      </c>
      <c r="B465" s="116">
        <v>311.98</v>
      </c>
      <c r="C465" s="116">
        <v>250.41</v>
      </c>
      <c r="D465" s="116">
        <v>250.41</v>
      </c>
      <c r="E465" s="116">
        <v>311.98</v>
      </c>
      <c r="F465" s="116">
        <v>1252.05</v>
      </c>
      <c r="G465">
        <v>99530</v>
      </c>
      <c r="H465" s="116"/>
      <c r="I465" s="116"/>
      <c r="L465" s="170">
        <v>42689</v>
      </c>
      <c r="M465" s="116">
        <v>251.98000000000002</v>
      </c>
      <c r="N465" s="116">
        <v>307.2</v>
      </c>
      <c r="O465" s="116">
        <v>251.98000000000002</v>
      </c>
      <c r="P465" s="116">
        <v>307.2</v>
      </c>
      <c r="Q465" s="116">
        <v>1259.9000000000001</v>
      </c>
      <c r="R465">
        <v>348473</v>
      </c>
    </row>
    <row r="466" spans="1:18" x14ac:dyDescent="0.25">
      <c r="A466" s="170">
        <v>42690</v>
      </c>
      <c r="B466" s="116">
        <v>291.8</v>
      </c>
      <c r="C466" s="116">
        <v>277.61</v>
      </c>
      <c r="D466" s="116">
        <v>251.8</v>
      </c>
      <c r="E466" s="116">
        <v>251.8</v>
      </c>
      <c r="F466" s="116">
        <v>1388.05</v>
      </c>
      <c r="G466">
        <v>80960</v>
      </c>
      <c r="H466" s="116"/>
      <c r="I466" s="116"/>
      <c r="L466" s="170">
        <v>42690</v>
      </c>
      <c r="M466" s="116">
        <v>277.69</v>
      </c>
      <c r="N466" s="116">
        <v>292.01</v>
      </c>
      <c r="O466" s="116">
        <v>252</v>
      </c>
      <c r="P466" s="116">
        <v>252.2</v>
      </c>
      <c r="Q466" s="116">
        <v>1388.45</v>
      </c>
      <c r="R466">
        <v>709076</v>
      </c>
    </row>
    <row r="467" spans="1:18" x14ac:dyDescent="0.25">
      <c r="A467" s="170">
        <v>42691</v>
      </c>
      <c r="B467" s="116">
        <v>291.8</v>
      </c>
      <c r="C467" s="116">
        <v>274.02</v>
      </c>
      <c r="D467" s="116">
        <v>268.61</v>
      </c>
      <c r="E467" s="116">
        <v>279</v>
      </c>
      <c r="F467" s="116">
        <v>1370.1</v>
      </c>
      <c r="G467">
        <v>16502</v>
      </c>
      <c r="H467" s="116"/>
      <c r="I467" s="116"/>
      <c r="L467" s="170">
        <v>42691</v>
      </c>
      <c r="M467" s="116">
        <v>274.32</v>
      </c>
      <c r="N467" s="116">
        <v>292</v>
      </c>
      <c r="O467" s="116">
        <v>268.52</v>
      </c>
      <c r="P467" s="116">
        <v>277.60000000000002</v>
      </c>
      <c r="Q467" s="116">
        <v>1371.6</v>
      </c>
      <c r="R467">
        <v>129526</v>
      </c>
    </row>
    <row r="468" spans="1:18" x14ac:dyDescent="0.25">
      <c r="A468" s="170">
        <v>42692</v>
      </c>
      <c r="B468" s="116">
        <v>309</v>
      </c>
      <c r="C468" s="116">
        <v>301.57</v>
      </c>
      <c r="D468" s="116">
        <v>275.07</v>
      </c>
      <c r="E468" s="116">
        <v>280.82</v>
      </c>
      <c r="F468" s="116">
        <v>1507.85</v>
      </c>
      <c r="G468">
        <v>26512</v>
      </c>
      <c r="H468" s="116"/>
      <c r="I468" s="116"/>
      <c r="L468" s="170">
        <v>42692</v>
      </c>
      <c r="M468" s="116">
        <v>300.74</v>
      </c>
      <c r="N468" s="116">
        <v>307.8</v>
      </c>
      <c r="O468" s="116">
        <v>274</v>
      </c>
      <c r="P468" s="116">
        <v>275.18</v>
      </c>
      <c r="Q468" s="116">
        <v>1503.7</v>
      </c>
      <c r="R468">
        <v>175085</v>
      </c>
    </row>
    <row r="469" spans="1:18" x14ac:dyDescent="0.25">
      <c r="A469" s="170">
        <v>42695</v>
      </c>
      <c r="B469" s="116">
        <v>315.63</v>
      </c>
      <c r="C469" s="116">
        <v>304.34000000000003</v>
      </c>
      <c r="D469" s="116">
        <v>295.32</v>
      </c>
      <c r="E469" s="116">
        <v>304.78000000000003</v>
      </c>
      <c r="F469" s="116">
        <v>1521.7</v>
      </c>
      <c r="G469">
        <v>27819</v>
      </c>
      <c r="H469" s="116"/>
      <c r="I469" s="116"/>
      <c r="L469" s="170">
        <v>42695</v>
      </c>
      <c r="M469" s="116">
        <v>304.64999999999998</v>
      </c>
      <c r="N469" s="116">
        <v>317.55</v>
      </c>
      <c r="O469" s="116">
        <v>294.60000000000002</v>
      </c>
      <c r="P469" s="116">
        <v>300</v>
      </c>
      <c r="Q469" s="116">
        <v>1523.25</v>
      </c>
      <c r="R469">
        <v>235153</v>
      </c>
    </row>
    <row r="470" spans="1:18" x14ac:dyDescent="0.25">
      <c r="A470" s="170">
        <v>42696</v>
      </c>
      <c r="B470" s="116">
        <v>313.36</v>
      </c>
      <c r="C470" s="116">
        <v>305.89999999999998</v>
      </c>
      <c r="D470" s="116">
        <v>296</v>
      </c>
      <c r="E470" s="116">
        <v>304.78000000000003</v>
      </c>
      <c r="F470" s="116">
        <v>1529.5</v>
      </c>
      <c r="G470">
        <v>18098</v>
      </c>
      <c r="H470" s="116"/>
      <c r="I470" s="116"/>
      <c r="L470" s="170">
        <v>42696</v>
      </c>
      <c r="M470" s="116">
        <v>306.49</v>
      </c>
      <c r="N470" s="116">
        <v>313.98</v>
      </c>
      <c r="O470" s="116">
        <v>295.32</v>
      </c>
      <c r="P470" s="116">
        <v>303.88</v>
      </c>
      <c r="Q470" s="116">
        <v>1532.45</v>
      </c>
      <c r="R470">
        <v>126667</v>
      </c>
    </row>
    <row r="471" spans="1:18" x14ac:dyDescent="0.25">
      <c r="A471" s="170">
        <v>42697</v>
      </c>
      <c r="B471" s="116">
        <v>312</v>
      </c>
      <c r="C471" s="116">
        <v>302.44</v>
      </c>
      <c r="D471" s="116">
        <v>295.99</v>
      </c>
      <c r="E471" s="116">
        <v>312</v>
      </c>
      <c r="F471" s="116">
        <v>1512.2</v>
      </c>
      <c r="G471">
        <v>16620</v>
      </c>
      <c r="H471" s="116"/>
      <c r="I471" s="116"/>
      <c r="L471" s="170">
        <v>42697</v>
      </c>
      <c r="M471" s="116">
        <v>303.54000000000002</v>
      </c>
      <c r="N471" s="116">
        <v>312</v>
      </c>
      <c r="O471" s="116">
        <v>295.85000000000002</v>
      </c>
      <c r="P471" s="116">
        <v>309.8</v>
      </c>
      <c r="Q471" s="116">
        <v>1517.7</v>
      </c>
      <c r="R471">
        <v>80759</v>
      </c>
    </row>
    <row r="472" spans="1:18" x14ac:dyDescent="0.25">
      <c r="A472" s="170">
        <v>42698</v>
      </c>
      <c r="B472" s="116">
        <v>306.2</v>
      </c>
      <c r="C472" s="116">
        <v>300.93</v>
      </c>
      <c r="D472" s="116">
        <v>296</v>
      </c>
      <c r="E472" s="116">
        <v>300</v>
      </c>
      <c r="F472" s="116">
        <v>1504.65</v>
      </c>
      <c r="G472">
        <v>10780</v>
      </c>
      <c r="H472" s="116"/>
      <c r="I472" s="116"/>
      <c r="L472" s="170">
        <v>42698</v>
      </c>
      <c r="M472" s="116">
        <v>302.14</v>
      </c>
      <c r="N472" s="116">
        <v>307</v>
      </c>
      <c r="O472" s="116">
        <v>294.09000000000003</v>
      </c>
      <c r="P472" s="116">
        <v>299.8</v>
      </c>
      <c r="Q472" s="116">
        <v>1510.7</v>
      </c>
      <c r="R472">
        <v>73458</v>
      </c>
    </row>
    <row r="473" spans="1:18" x14ac:dyDescent="0.25">
      <c r="A473" s="170">
        <v>42699</v>
      </c>
      <c r="B473" s="116">
        <v>307.01</v>
      </c>
      <c r="C473" s="116">
        <v>304.20999999999998</v>
      </c>
      <c r="D473" s="116">
        <v>303.2</v>
      </c>
      <c r="E473" s="116">
        <v>304.70999999999998</v>
      </c>
      <c r="F473" s="116">
        <v>1521.05</v>
      </c>
      <c r="G473">
        <v>3066</v>
      </c>
      <c r="H473" s="116"/>
      <c r="I473" s="116"/>
      <c r="L473" s="170">
        <v>42699</v>
      </c>
      <c r="M473" s="116">
        <v>305.02</v>
      </c>
      <c r="N473" s="116">
        <v>307</v>
      </c>
      <c r="O473" s="116">
        <v>302.84000000000003</v>
      </c>
      <c r="P473" s="116">
        <v>302.84000000000003</v>
      </c>
      <c r="Q473" s="116">
        <v>1525.1</v>
      </c>
      <c r="R473">
        <v>32755</v>
      </c>
    </row>
    <row r="474" spans="1:18" x14ac:dyDescent="0.25">
      <c r="A474" s="170">
        <v>42702</v>
      </c>
      <c r="B474" s="116">
        <v>308.71999999999997</v>
      </c>
      <c r="C474" s="116">
        <v>304.5</v>
      </c>
      <c r="D474" s="116">
        <v>302.21999999999997</v>
      </c>
      <c r="E474" s="116">
        <v>304</v>
      </c>
      <c r="F474" s="116">
        <v>1522.5</v>
      </c>
      <c r="G474">
        <v>4023</v>
      </c>
      <c r="H474" s="116"/>
      <c r="I474" s="116"/>
      <c r="L474" s="170">
        <v>42702</v>
      </c>
      <c r="M474" s="116">
        <v>305.53000000000003</v>
      </c>
      <c r="N474" s="116">
        <v>307.96999999999997</v>
      </c>
      <c r="O474" s="116">
        <v>302.40999999999997</v>
      </c>
      <c r="P474" s="116">
        <v>305.35000000000002</v>
      </c>
      <c r="Q474" s="116">
        <v>1527.65</v>
      </c>
      <c r="R474">
        <v>26139</v>
      </c>
    </row>
    <row r="475" spans="1:18" x14ac:dyDescent="0.25">
      <c r="A475" s="170">
        <v>42703</v>
      </c>
      <c r="B475" s="116">
        <v>348.86</v>
      </c>
      <c r="C475" s="116">
        <v>331.59000000000003</v>
      </c>
      <c r="D475" s="116">
        <v>307.20999999999998</v>
      </c>
      <c r="E475" s="116">
        <v>307.20999999999998</v>
      </c>
      <c r="F475" s="116">
        <v>1657.95</v>
      </c>
      <c r="G475">
        <v>59680</v>
      </c>
      <c r="H475" s="116"/>
      <c r="I475" s="116"/>
      <c r="L475" s="170">
        <v>42703</v>
      </c>
      <c r="M475" s="116">
        <v>331.74</v>
      </c>
      <c r="N475" s="116">
        <v>349</v>
      </c>
      <c r="O475" s="116">
        <v>305.60000000000002</v>
      </c>
      <c r="P475" s="116">
        <v>305.60000000000002</v>
      </c>
      <c r="Q475" s="116">
        <v>1658.7</v>
      </c>
      <c r="R475">
        <v>325438</v>
      </c>
    </row>
    <row r="476" spans="1:18" x14ac:dyDescent="0.25">
      <c r="A476" s="170">
        <v>42704</v>
      </c>
      <c r="B476" s="116">
        <v>345.28000000000003</v>
      </c>
      <c r="C476" s="116">
        <v>337.41999999999996</v>
      </c>
      <c r="D476" s="116">
        <v>330.04</v>
      </c>
      <c r="E476" s="116">
        <v>335.7</v>
      </c>
      <c r="F476" s="116">
        <v>1687.1</v>
      </c>
      <c r="G476">
        <v>18180</v>
      </c>
      <c r="H476" s="116"/>
      <c r="I476" s="116"/>
      <c r="L476" s="170">
        <v>42704</v>
      </c>
      <c r="M476" s="116">
        <v>338.55</v>
      </c>
      <c r="N476" s="116">
        <v>345.8</v>
      </c>
      <c r="O476" s="116">
        <v>330.32</v>
      </c>
      <c r="P476" s="116">
        <v>335.8</v>
      </c>
      <c r="Q476" s="116">
        <v>1692.75</v>
      </c>
      <c r="R476">
        <v>115886</v>
      </c>
    </row>
    <row r="477" spans="1:18" x14ac:dyDescent="0.25">
      <c r="A477" s="170">
        <v>42705</v>
      </c>
      <c r="B477" s="116">
        <v>342.76</v>
      </c>
      <c r="C477" s="116">
        <v>338.66999999999996</v>
      </c>
      <c r="D477" s="116">
        <v>329.03000000000003</v>
      </c>
      <c r="E477" s="116">
        <v>340</v>
      </c>
      <c r="F477" s="116">
        <v>1693.35</v>
      </c>
      <c r="G477">
        <v>7592</v>
      </c>
      <c r="H477" s="116"/>
      <c r="I477" s="116"/>
      <c r="L477" s="170">
        <v>42705</v>
      </c>
      <c r="M477" s="116">
        <v>338.76</v>
      </c>
      <c r="N477" s="116">
        <v>343.21</v>
      </c>
      <c r="O477" s="116">
        <v>325</v>
      </c>
      <c r="P477" s="116">
        <v>342</v>
      </c>
      <c r="Q477" s="116">
        <v>1693.8</v>
      </c>
      <c r="R477">
        <v>46582</v>
      </c>
    </row>
    <row r="478" spans="1:18" x14ac:dyDescent="0.25">
      <c r="A478" s="170">
        <v>42706</v>
      </c>
      <c r="B478" s="116">
        <v>337.6</v>
      </c>
      <c r="C478" s="116">
        <v>326</v>
      </c>
      <c r="D478" s="116">
        <v>325</v>
      </c>
      <c r="E478" s="116">
        <v>336.8</v>
      </c>
      <c r="F478" s="116">
        <v>1630</v>
      </c>
      <c r="G478">
        <v>7582</v>
      </c>
      <c r="H478" s="116"/>
      <c r="I478" s="116"/>
      <c r="L478" s="170">
        <v>42706</v>
      </c>
      <c r="M478" s="116">
        <v>326.95</v>
      </c>
      <c r="N478" s="116">
        <v>338.39</v>
      </c>
      <c r="O478" s="116">
        <v>325.58000000000004</v>
      </c>
      <c r="P478" s="116">
        <v>334</v>
      </c>
      <c r="Q478" s="116">
        <v>1634.75</v>
      </c>
      <c r="R478">
        <v>35786</v>
      </c>
    </row>
    <row r="479" spans="1:18" x14ac:dyDescent="0.25">
      <c r="A479" s="170">
        <v>42709</v>
      </c>
      <c r="B479" s="116">
        <v>330</v>
      </c>
      <c r="C479" s="116">
        <v>328.07</v>
      </c>
      <c r="D479" s="116">
        <v>325</v>
      </c>
      <c r="E479" s="116">
        <v>327.65999999999997</v>
      </c>
      <c r="F479" s="116">
        <v>1640.35</v>
      </c>
      <c r="G479">
        <v>2763</v>
      </c>
      <c r="H479" s="116"/>
      <c r="I479" s="116"/>
      <c r="L479" s="170">
        <v>42709</v>
      </c>
      <c r="M479" s="116">
        <v>328.51</v>
      </c>
      <c r="N479" s="116">
        <v>331.99</v>
      </c>
      <c r="O479" s="116">
        <v>324.24</v>
      </c>
      <c r="P479" s="116">
        <v>331.99</v>
      </c>
      <c r="Q479" s="116">
        <v>1642.55</v>
      </c>
      <c r="R479">
        <v>21434</v>
      </c>
    </row>
    <row r="480" spans="1:18" x14ac:dyDescent="0.25">
      <c r="A480" s="170">
        <v>42710</v>
      </c>
      <c r="B480" s="116">
        <v>344</v>
      </c>
      <c r="C480" s="116">
        <v>333.01</v>
      </c>
      <c r="D480" s="116">
        <v>330.2</v>
      </c>
      <c r="E480" s="116">
        <v>336.79</v>
      </c>
      <c r="F480" s="116">
        <v>1665.05</v>
      </c>
      <c r="G480">
        <v>17361</v>
      </c>
      <c r="H480" s="116"/>
      <c r="I480" s="116"/>
      <c r="L480" s="170">
        <v>42710</v>
      </c>
      <c r="M480" s="116">
        <v>333.98</v>
      </c>
      <c r="N480" s="116">
        <v>343.96</v>
      </c>
      <c r="O480" s="116">
        <v>331.13</v>
      </c>
      <c r="P480" s="116">
        <v>333.8</v>
      </c>
      <c r="Q480" s="116">
        <v>1669.9</v>
      </c>
      <c r="R480">
        <v>74411</v>
      </c>
    </row>
    <row r="481" spans="1:18" x14ac:dyDescent="0.25">
      <c r="A481" s="170">
        <v>42711</v>
      </c>
      <c r="B481" s="116">
        <v>339.82</v>
      </c>
      <c r="C481" s="116">
        <v>332.52</v>
      </c>
      <c r="D481" s="116">
        <v>329.4</v>
      </c>
      <c r="E481" s="116">
        <v>339</v>
      </c>
      <c r="F481" s="116">
        <v>1662.6</v>
      </c>
      <c r="G481">
        <v>4303</v>
      </c>
      <c r="H481" s="116"/>
      <c r="I481" s="116"/>
      <c r="L481" s="170">
        <v>42711</v>
      </c>
      <c r="M481" s="116">
        <v>333.07</v>
      </c>
      <c r="N481" s="116">
        <v>339.8</v>
      </c>
      <c r="O481" s="116">
        <v>329.8</v>
      </c>
      <c r="P481" s="116">
        <v>337.62</v>
      </c>
      <c r="Q481" s="116">
        <v>1665.35</v>
      </c>
      <c r="R481">
        <v>33188</v>
      </c>
    </row>
    <row r="482" spans="1:18" x14ac:dyDescent="0.25">
      <c r="A482" s="170">
        <v>42712</v>
      </c>
      <c r="B482" s="116">
        <v>339.8</v>
      </c>
      <c r="C482" s="116">
        <v>336.73</v>
      </c>
      <c r="D482" s="116">
        <v>335.01</v>
      </c>
      <c r="E482" s="116">
        <v>336.99</v>
      </c>
      <c r="F482" s="116">
        <v>1683.65</v>
      </c>
      <c r="G482">
        <v>2306</v>
      </c>
      <c r="H482" s="116"/>
      <c r="I482" s="116"/>
      <c r="L482" s="170">
        <v>42712</v>
      </c>
      <c r="M482" s="116">
        <v>336.94</v>
      </c>
      <c r="N482" s="116">
        <v>338.99</v>
      </c>
      <c r="O482" s="116">
        <v>333.99</v>
      </c>
      <c r="P482" s="116">
        <v>334.2</v>
      </c>
      <c r="Q482" s="116">
        <v>1684.7</v>
      </c>
      <c r="R482">
        <v>17982</v>
      </c>
    </row>
    <row r="483" spans="1:18" x14ac:dyDescent="0.25">
      <c r="A483" s="170">
        <v>42713</v>
      </c>
      <c r="B483" s="116">
        <v>339</v>
      </c>
      <c r="C483" s="116">
        <v>337.7</v>
      </c>
      <c r="D483" s="116">
        <v>334.93</v>
      </c>
      <c r="E483" s="116">
        <v>338.07</v>
      </c>
      <c r="F483" s="116">
        <v>1688.5</v>
      </c>
      <c r="G483">
        <v>2568</v>
      </c>
      <c r="H483" s="116"/>
      <c r="I483" s="116"/>
      <c r="L483" s="170">
        <v>42713</v>
      </c>
      <c r="M483" s="116">
        <v>338.77</v>
      </c>
      <c r="N483" s="116">
        <v>339.98</v>
      </c>
      <c r="O483" s="116">
        <v>335</v>
      </c>
      <c r="P483" s="116">
        <v>337.3</v>
      </c>
      <c r="Q483" s="116">
        <v>1693.85</v>
      </c>
      <c r="R483">
        <v>16125</v>
      </c>
    </row>
    <row r="484" spans="1:18" x14ac:dyDescent="0.25">
      <c r="A484" s="170">
        <v>42716</v>
      </c>
      <c r="B484" s="116">
        <v>338</v>
      </c>
      <c r="C484" s="116">
        <v>328.25</v>
      </c>
      <c r="D484" s="116">
        <v>327.01</v>
      </c>
      <c r="E484" s="116">
        <v>336.8</v>
      </c>
      <c r="F484" s="116">
        <v>1641.25</v>
      </c>
      <c r="G484">
        <v>4115</v>
      </c>
      <c r="H484" s="116"/>
      <c r="I484" s="116"/>
      <c r="L484" s="170">
        <v>42716</v>
      </c>
      <c r="M484" s="116">
        <v>328.99</v>
      </c>
      <c r="N484" s="116">
        <v>339</v>
      </c>
      <c r="O484" s="116">
        <v>327.2</v>
      </c>
      <c r="P484" s="116">
        <v>334.40999999999997</v>
      </c>
      <c r="Q484" s="116">
        <v>1644.95</v>
      </c>
      <c r="R484">
        <v>13857</v>
      </c>
    </row>
    <row r="485" spans="1:18" x14ac:dyDescent="0.25">
      <c r="A485" s="170">
        <v>42717</v>
      </c>
      <c r="B485" s="116">
        <v>327.83000000000004</v>
      </c>
      <c r="C485" s="116">
        <v>322.33000000000004</v>
      </c>
      <c r="D485" s="116">
        <v>321.39999999999998</v>
      </c>
      <c r="E485" s="116">
        <v>327</v>
      </c>
      <c r="F485" s="116">
        <v>1611.65</v>
      </c>
      <c r="G485">
        <v>2516</v>
      </c>
      <c r="H485" s="116"/>
      <c r="I485" s="116"/>
      <c r="L485" s="170">
        <v>42717</v>
      </c>
      <c r="M485" s="116">
        <v>322.38</v>
      </c>
      <c r="N485" s="116">
        <v>328.98</v>
      </c>
      <c r="O485" s="116">
        <v>320.81</v>
      </c>
      <c r="P485" s="116">
        <v>328.2</v>
      </c>
      <c r="Q485" s="116">
        <v>1611.9</v>
      </c>
      <c r="R485">
        <v>12717</v>
      </c>
    </row>
    <row r="486" spans="1:18" x14ac:dyDescent="0.25">
      <c r="A486" s="170">
        <v>42718</v>
      </c>
      <c r="B486" s="116">
        <v>325.2</v>
      </c>
      <c r="C486" s="116">
        <v>318.46999999999997</v>
      </c>
      <c r="D486" s="116">
        <v>315.39999999999998</v>
      </c>
      <c r="E486" s="116">
        <v>324</v>
      </c>
      <c r="F486" s="116">
        <v>1592.35</v>
      </c>
      <c r="G486">
        <v>2992</v>
      </c>
      <c r="H486" s="116"/>
      <c r="I486" s="116"/>
      <c r="L486" s="170">
        <v>42718</v>
      </c>
      <c r="M486" s="116">
        <v>318.39</v>
      </c>
      <c r="N486" s="116">
        <v>326.01</v>
      </c>
      <c r="O486" s="116">
        <v>316</v>
      </c>
      <c r="P486" s="116">
        <v>319</v>
      </c>
      <c r="Q486" s="116">
        <v>1591.95</v>
      </c>
      <c r="R486">
        <v>14043</v>
      </c>
    </row>
    <row r="487" spans="1:18" x14ac:dyDescent="0.25">
      <c r="A487" s="170">
        <v>42719</v>
      </c>
      <c r="B487" s="116">
        <v>334</v>
      </c>
      <c r="C487" s="116">
        <v>330.66999999999996</v>
      </c>
      <c r="D487" s="116">
        <v>310.99</v>
      </c>
      <c r="E487" s="116">
        <v>316</v>
      </c>
      <c r="F487" s="116">
        <v>1653.35</v>
      </c>
      <c r="G487">
        <v>14093</v>
      </c>
      <c r="H487" s="116"/>
      <c r="I487" s="116"/>
      <c r="L487" s="170">
        <v>42719</v>
      </c>
      <c r="M487" s="116">
        <v>330.46</v>
      </c>
      <c r="N487" s="116">
        <v>334.96</v>
      </c>
      <c r="O487" s="116">
        <v>310.01</v>
      </c>
      <c r="P487" s="116">
        <v>315.99</v>
      </c>
      <c r="Q487" s="116">
        <v>1652.3</v>
      </c>
      <c r="R487">
        <v>62954</v>
      </c>
    </row>
    <row r="488" spans="1:18" x14ac:dyDescent="0.25">
      <c r="A488" s="170">
        <v>42720</v>
      </c>
      <c r="B488" s="116">
        <v>339</v>
      </c>
      <c r="C488" s="116">
        <v>337.74</v>
      </c>
      <c r="D488" s="116">
        <v>328</v>
      </c>
      <c r="E488" s="116">
        <v>331.85</v>
      </c>
      <c r="F488" s="116">
        <v>1688.7</v>
      </c>
      <c r="G488">
        <v>9200</v>
      </c>
      <c r="H488" s="116"/>
      <c r="I488" s="116"/>
      <c r="L488" s="170">
        <v>42720</v>
      </c>
      <c r="M488" s="116">
        <v>338.12</v>
      </c>
      <c r="N488" s="116">
        <v>339.6</v>
      </c>
      <c r="O488" s="116">
        <v>328.21999999999997</v>
      </c>
      <c r="P488" s="116">
        <v>332.4</v>
      </c>
      <c r="Q488" s="116">
        <v>1690.6</v>
      </c>
      <c r="R488">
        <v>59038</v>
      </c>
    </row>
    <row r="489" spans="1:18" x14ac:dyDescent="0.25">
      <c r="A489" s="170">
        <v>42723</v>
      </c>
      <c r="B489" s="116">
        <v>343</v>
      </c>
      <c r="C489" s="116">
        <v>338.64</v>
      </c>
      <c r="D489" s="116">
        <v>331.2</v>
      </c>
      <c r="E489" s="116">
        <v>333.6</v>
      </c>
      <c r="F489" s="116">
        <v>1693.2</v>
      </c>
      <c r="G489">
        <v>3383</v>
      </c>
      <c r="H489" s="116"/>
      <c r="I489" s="116"/>
      <c r="L489" s="170">
        <v>42723</v>
      </c>
      <c r="M489" s="116">
        <v>339.57</v>
      </c>
      <c r="N489" s="116">
        <v>343.6</v>
      </c>
      <c r="O489" s="116">
        <v>330.4</v>
      </c>
      <c r="P489" s="116">
        <v>339.4</v>
      </c>
      <c r="Q489" s="116">
        <v>1697.85</v>
      </c>
      <c r="R489">
        <v>46939</v>
      </c>
    </row>
    <row r="490" spans="1:18" x14ac:dyDescent="0.25">
      <c r="A490" s="170">
        <v>42724</v>
      </c>
      <c r="B490" s="116">
        <v>340.4</v>
      </c>
      <c r="C490" s="116">
        <v>333.54</v>
      </c>
      <c r="D490" s="116">
        <v>331.04</v>
      </c>
      <c r="E490" s="116">
        <v>339.6</v>
      </c>
      <c r="F490" s="116">
        <v>1667.7</v>
      </c>
      <c r="G490">
        <v>4559</v>
      </c>
      <c r="H490" s="116"/>
      <c r="I490" s="116"/>
      <c r="L490" s="170">
        <v>42724</v>
      </c>
      <c r="M490" s="116">
        <v>334.43</v>
      </c>
      <c r="N490" s="116">
        <v>341.98</v>
      </c>
      <c r="O490" s="116">
        <v>332</v>
      </c>
      <c r="P490" s="116">
        <v>337</v>
      </c>
      <c r="Q490" s="116">
        <v>1672.15</v>
      </c>
      <c r="R490">
        <v>39437</v>
      </c>
    </row>
    <row r="491" spans="1:18" x14ac:dyDescent="0.25">
      <c r="A491" s="170">
        <v>42725</v>
      </c>
      <c r="B491" s="116">
        <v>337.15999999999997</v>
      </c>
      <c r="C491" s="116">
        <v>329.32</v>
      </c>
      <c r="D491" s="116">
        <v>326.24</v>
      </c>
      <c r="E491" s="116">
        <v>337</v>
      </c>
      <c r="F491" s="116">
        <v>1646.6</v>
      </c>
      <c r="G491">
        <v>2204</v>
      </c>
      <c r="H491" s="116"/>
      <c r="I491" s="116"/>
      <c r="L491" s="170">
        <v>42725</v>
      </c>
      <c r="M491" s="116">
        <v>328.82</v>
      </c>
      <c r="N491" s="116">
        <v>339</v>
      </c>
      <c r="O491" s="116">
        <v>327</v>
      </c>
      <c r="P491" s="116">
        <v>339</v>
      </c>
      <c r="Q491" s="116">
        <v>1644.1</v>
      </c>
      <c r="R491">
        <v>13541</v>
      </c>
    </row>
    <row r="492" spans="1:18" x14ac:dyDescent="0.25">
      <c r="A492" s="170">
        <v>42726</v>
      </c>
      <c r="B492" s="116">
        <v>328.74</v>
      </c>
      <c r="C492" s="116">
        <v>321.73</v>
      </c>
      <c r="D492" s="116">
        <v>311.37</v>
      </c>
      <c r="E492" s="116">
        <v>328.74</v>
      </c>
      <c r="F492" s="116">
        <v>1608.65</v>
      </c>
      <c r="G492">
        <v>5019</v>
      </c>
      <c r="H492" s="116"/>
      <c r="I492" s="116"/>
      <c r="L492" s="170">
        <v>42726</v>
      </c>
      <c r="M492" s="116">
        <v>324.20999999999998</v>
      </c>
      <c r="N492" s="116">
        <v>330.01</v>
      </c>
      <c r="O492" s="116">
        <v>314.45</v>
      </c>
      <c r="P492" s="116">
        <v>330.01</v>
      </c>
      <c r="Q492" s="116">
        <v>1621.05</v>
      </c>
      <c r="R492">
        <v>29175</v>
      </c>
    </row>
    <row r="493" spans="1:18" x14ac:dyDescent="0.25">
      <c r="A493" s="170">
        <v>42727</v>
      </c>
      <c r="B493" s="116">
        <v>325</v>
      </c>
      <c r="C493" s="116">
        <v>319.23</v>
      </c>
      <c r="D493" s="116">
        <v>315.32</v>
      </c>
      <c r="E493" s="116">
        <v>323.52</v>
      </c>
      <c r="F493" s="116">
        <v>1596.15</v>
      </c>
      <c r="G493">
        <v>1194</v>
      </c>
      <c r="H493" s="116"/>
      <c r="I493" s="116"/>
      <c r="L493" s="170">
        <v>42727</v>
      </c>
      <c r="M493" s="116">
        <v>317.91999999999996</v>
      </c>
      <c r="N493" s="116">
        <v>326.99</v>
      </c>
      <c r="O493" s="116">
        <v>314</v>
      </c>
      <c r="P493" s="116">
        <v>320.93</v>
      </c>
      <c r="Q493" s="116">
        <v>1589.6</v>
      </c>
      <c r="R493">
        <v>26664</v>
      </c>
    </row>
    <row r="494" spans="1:18" x14ac:dyDescent="0.25">
      <c r="A494" s="170">
        <v>42730</v>
      </c>
      <c r="B494" s="116">
        <v>314</v>
      </c>
      <c r="C494" s="116">
        <v>291.12</v>
      </c>
      <c r="D494" s="116">
        <v>285</v>
      </c>
      <c r="E494" s="116">
        <v>314</v>
      </c>
      <c r="F494" s="116">
        <v>1455.6</v>
      </c>
      <c r="G494">
        <v>16118</v>
      </c>
      <c r="H494" s="116"/>
      <c r="I494" s="116"/>
      <c r="L494" s="170">
        <v>42730</v>
      </c>
      <c r="M494" s="116">
        <v>289.40999999999997</v>
      </c>
      <c r="N494" s="116">
        <v>322</v>
      </c>
      <c r="O494" s="116">
        <v>282.44</v>
      </c>
      <c r="P494" s="116">
        <v>322</v>
      </c>
      <c r="Q494" s="116">
        <v>1447.05</v>
      </c>
      <c r="R494">
        <v>96976</v>
      </c>
    </row>
    <row r="495" spans="1:18" x14ac:dyDescent="0.25">
      <c r="A495" s="170">
        <v>42731</v>
      </c>
      <c r="B495" s="116">
        <v>304.88</v>
      </c>
      <c r="C495" s="116">
        <v>291.83000000000004</v>
      </c>
      <c r="D495" s="116">
        <v>278</v>
      </c>
      <c r="E495" s="116">
        <v>291.12</v>
      </c>
      <c r="F495" s="116">
        <v>1459.15</v>
      </c>
      <c r="G495">
        <v>11633</v>
      </c>
      <c r="H495" s="116"/>
      <c r="I495" s="116"/>
      <c r="L495" s="170">
        <v>42731</v>
      </c>
      <c r="M495" s="116">
        <v>292.02</v>
      </c>
      <c r="N495" s="116">
        <v>304.78000000000003</v>
      </c>
      <c r="O495" s="116">
        <v>277.60000000000002</v>
      </c>
      <c r="P495" s="116">
        <v>289.8</v>
      </c>
      <c r="Q495" s="116">
        <v>1460.1</v>
      </c>
      <c r="R495">
        <v>86402</v>
      </c>
    </row>
    <row r="496" spans="1:18" x14ac:dyDescent="0.25">
      <c r="A496" s="170">
        <v>42732</v>
      </c>
      <c r="B496" s="116">
        <v>303.19</v>
      </c>
      <c r="C496" s="116">
        <v>298.16999999999996</v>
      </c>
      <c r="D496" s="116">
        <v>296</v>
      </c>
      <c r="E496" s="116">
        <v>296</v>
      </c>
      <c r="F496" s="116">
        <v>1490.85</v>
      </c>
      <c r="G496">
        <v>8867</v>
      </c>
      <c r="H496" s="116"/>
      <c r="I496" s="116"/>
      <c r="L496" s="170">
        <v>42732</v>
      </c>
      <c r="M496" s="116">
        <v>298.11</v>
      </c>
      <c r="N496" s="116">
        <v>303.60000000000002</v>
      </c>
      <c r="O496" s="116">
        <v>294</v>
      </c>
      <c r="P496" s="116">
        <v>296.77</v>
      </c>
      <c r="Q496" s="116">
        <v>1490.55</v>
      </c>
      <c r="R496">
        <v>69686</v>
      </c>
    </row>
    <row r="497" spans="1:18" x14ac:dyDescent="0.25">
      <c r="A497" s="170">
        <v>42733</v>
      </c>
      <c r="B497" s="116">
        <v>300.86</v>
      </c>
      <c r="C497" s="116">
        <v>295.44</v>
      </c>
      <c r="D497" s="116">
        <v>293.20999999999998</v>
      </c>
      <c r="E497" s="116">
        <v>298.2</v>
      </c>
      <c r="F497" s="116">
        <v>1477.2</v>
      </c>
      <c r="G497">
        <v>3463</v>
      </c>
      <c r="H497" s="116"/>
      <c r="I497" s="116"/>
      <c r="L497" s="170">
        <v>42733</v>
      </c>
      <c r="M497" s="116">
        <v>295.2</v>
      </c>
      <c r="N497" s="116">
        <v>301.8</v>
      </c>
      <c r="O497" s="116">
        <v>292.41999999999996</v>
      </c>
      <c r="P497" s="116">
        <v>297.8</v>
      </c>
      <c r="Q497" s="116">
        <v>1476</v>
      </c>
      <c r="R497">
        <v>29940</v>
      </c>
    </row>
    <row r="498" spans="1:18" x14ac:dyDescent="0.25">
      <c r="A498" s="170">
        <v>42734</v>
      </c>
      <c r="B498" s="116">
        <v>318.78000000000003</v>
      </c>
      <c r="C498" s="116">
        <v>316.28000000000003</v>
      </c>
      <c r="D498" s="116">
        <v>296.91999999999996</v>
      </c>
      <c r="E498" s="116">
        <v>296.91999999999996</v>
      </c>
      <c r="F498" s="116">
        <v>1581.4</v>
      </c>
      <c r="G498">
        <v>15782</v>
      </c>
      <c r="H498" s="116"/>
      <c r="I498" s="116"/>
      <c r="L498" s="170">
        <v>42734</v>
      </c>
      <c r="M498" s="116">
        <v>316.23</v>
      </c>
      <c r="N498" s="116">
        <v>319</v>
      </c>
      <c r="O498" s="116">
        <v>296.2</v>
      </c>
      <c r="P498" s="116">
        <v>296.2</v>
      </c>
      <c r="Q498" s="116">
        <v>1581.15</v>
      </c>
      <c r="R498">
        <v>110138</v>
      </c>
    </row>
    <row r="499" spans="1:18" x14ac:dyDescent="0.25">
      <c r="A499" s="170">
        <v>42737</v>
      </c>
      <c r="B499" s="116">
        <v>346</v>
      </c>
      <c r="C499" s="116">
        <v>329.96999999999997</v>
      </c>
      <c r="D499" s="116">
        <v>321.5</v>
      </c>
      <c r="E499" s="116">
        <v>321.5</v>
      </c>
      <c r="F499" s="116">
        <v>1649.85</v>
      </c>
      <c r="G499">
        <v>24039</v>
      </c>
      <c r="H499" s="116"/>
      <c r="I499" s="116"/>
      <c r="L499" s="170">
        <v>42737</v>
      </c>
      <c r="M499" s="116">
        <v>330.1</v>
      </c>
      <c r="N499" s="116">
        <v>348</v>
      </c>
      <c r="O499" s="116">
        <v>321.10000000000002</v>
      </c>
      <c r="P499" s="116">
        <v>321.10000000000002</v>
      </c>
      <c r="Q499" s="116">
        <v>1650.5</v>
      </c>
      <c r="R499">
        <v>191205</v>
      </c>
    </row>
    <row r="500" spans="1:18" x14ac:dyDescent="0.25">
      <c r="A500" s="170">
        <v>42738</v>
      </c>
      <c r="B500" s="116">
        <v>338</v>
      </c>
      <c r="C500" s="116">
        <v>331.27</v>
      </c>
      <c r="D500" s="116">
        <v>330</v>
      </c>
      <c r="E500" s="116">
        <v>332</v>
      </c>
      <c r="F500" s="116">
        <v>1656.35</v>
      </c>
      <c r="G500">
        <v>5284</v>
      </c>
      <c r="H500" s="116"/>
      <c r="I500" s="116"/>
      <c r="L500" s="170">
        <v>42738</v>
      </c>
      <c r="M500" s="116">
        <v>331.57</v>
      </c>
      <c r="N500" s="116">
        <v>339</v>
      </c>
      <c r="O500" s="116">
        <v>330.13</v>
      </c>
      <c r="P500" s="116">
        <v>330.73</v>
      </c>
      <c r="Q500" s="116">
        <v>1657.85</v>
      </c>
      <c r="R500">
        <v>93352</v>
      </c>
    </row>
    <row r="501" spans="1:18" x14ac:dyDescent="0.25">
      <c r="A501" s="170">
        <v>42739</v>
      </c>
      <c r="B501" s="116">
        <v>336.52</v>
      </c>
      <c r="C501" s="116">
        <v>333.25</v>
      </c>
      <c r="D501" s="116">
        <v>331</v>
      </c>
      <c r="E501" s="116">
        <v>332.99</v>
      </c>
      <c r="F501" s="116">
        <v>1666.25</v>
      </c>
      <c r="G501">
        <v>4877</v>
      </c>
      <c r="H501" s="116"/>
      <c r="I501" s="116"/>
      <c r="L501" s="170">
        <v>42739</v>
      </c>
      <c r="M501" s="116">
        <v>333.89</v>
      </c>
      <c r="N501" s="116">
        <v>336</v>
      </c>
      <c r="O501" s="116">
        <v>331.37</v>
      </c>
      <c r="P501" s="116">
        <v>333.21</v>
      </c>
      <c r="Q501" s="116">
        <v>1669.45</v>
      </c>
      <c r="R501">
        <v>44645</v>
      </c>
    </row>
    <row r="502" spans="1:18" x14ac:dyDescent="0.25">
      <c r="A502" s="170">
        <v>42740</v>
      </c>
      <c r="B502" s="116">
        <v>339.2</v>
      </c>
      <c r="C502" s="116">
        <v>336.71</v>
      </c>
      <c r="D502" s="116">
        <v>334.06</v>
      </c>
      <c r="E502" s="116">
        <v>335</v>
      </c>
      <c r="F502" s="116">
        <v>1683.55</v>
      </c>
      <c r="G502">
        <v>5105</v>
      </c>
      <c r="H502" s="116"/>
      <c r="I502" s="116"/>
      <c r="L502" s="170">
        <v>42740</v>
      </c>
      <c r="M502" s="116">
        <v>337.84000000000003</v>
      </c>
      <c r="N502" s="116">
        <v>339.25</v>
      </c>
      <c r="O502" s="116">
        <v>334.41999999999996</v>
      </c>
      <c r="P502" s="116">
        <v>334.41999999999996</v>
      </c>
      <c r="Q502" s="116">
        <v>1689.2</v>
      </c>
      <c r="R502">
        <v>31949</v>
      </c>
    </row>
    <row r="503" spans="1:18" x14ac:dyDescent="0.25">
      <c r="A503" s="170">
        <v>42741</v>
      </c>
      <c r="B503" s="116">
        <v>349.83000000000004</v>
      </c>
      <c r="C503" s="116">
        <v>342.37</v>
      </c>
      <c r="D503" s="116">
        <v>338.4</v>
      </c>
      <c r="E503" s="116">
        <v>339</v>
      </c>
      <c r="F503" s="116">
        <v>1711.85</v>
      </c>
      <c r="G503">
        <v>12711</v>
      </c>
      <c r="H503" s="116"/>
      <c r="I503" s="116"/>
      <c r="L503" s="170">
        <v>42741</v>
      </c>
      <c r="M503" s="116">
        <v>342.5</v>
      </c>
      <c r="N503" s="116">
        <v>349.65999999999997</v>
      </c>
      <c r="O503" s="116">
        <v>338.01</v>
      </c>
      <c r="P503" s="116">
        <v>338.8</v>
      </c>
      <c r="Q503" s="116">
        <v>1712.5</v>
      </c>
      <c r="R503">
        <v>74850</v>
      </c>
    </row>
    <row r="504" spans="1:18" x14ac:dyDescent="0.25">
      <c r="A504" s="170">
        <v>42744</v>
      </c>
      <c r="B504" s="116">
        <v>350.4</v>
      </c>
      <c r="C504" s="116">
        <v>344</v>
      </c>
      <c r="D504" s="116">
        <v>342.4</v>
      </c>
      <c r="E504" s="116">
        <v>343.94</v>
      </c>
      <c r="F504" s="116">
        <v>1720</v>
      </c>
      <c r="G504">
        <v>8341</v>
      </c>
      <c r="H504" s="116"/>
      <c r="I504" s="116"/>
      <c r="L504" s="170">
        <v>42744</v>
      </c>
      <c r="M504" s="116">
        <v>344.78000000000003</v>
      </c>
      <c r="N504" s="116">
        <v>350</v>
      </c>
      <c r="O504" s="116">
        <v>341.12</v>
      </c>
      <c r="P504" s="116">
        <v>345.2</v>
      </c>
      <c r="Q504" s="116">
        <v>1723.9</v>
      </c>
      <c r="R504">
        <v>62329</v>
      </c>
    </row>
    <row r="505" spans="1:18" x14ac:dyDescent="0.25">
      <c r="A505" s="170">
        <v>42745</v>
      </c>
      <c r="B505" s="116">
        <v>344.2</v>
      </c>
      <c r="C505" s="116">
        <v>339.28000000000003</v>
      </c>
      <c r="D505" s="116">
        <v>338.04</v>
      </c>
      <c r="E505" s="116">
        <v>344.2</v>
      </c>
      <c r="F505" s="116">
        <v>1696.4</v>
      </c>
      <c r="G505">
        <v>4248</v>
      </c>
      <c r="H505" s="116"/>
      <c r="I505" s="116"/>
      <c r="L505" s="170">
        <v>42745</v>
      </c>
      <c r="M505" s="116">
        <v>339.33000000000004</v>
      </c>
      <c r="N505" s="116">
        <v>346</v>
      </c>
      <c r="O505" s="116">
        <v>338.39</v>
      </c>
      <c r="P505" s="116">
        <v>346</v>
      </c>
      <c r="Q505" s="116">
        <v>1696.65</v>
      </c>
      <c r="R505">
        <v>33021</v>
      </c>
    </row>
    <row r="506" spans="1:18" x14ac:dyDescent="0.25">
      <c r="A506" s="170">
        <v>42746</v>
      </c>
      <c r="B506" s="116">
        <v>342.39</v>
      </c>
      <c r="C506" s="116">
        <v>339.37</v>
      </c>
      <c r="D506" s="116">
        <v>338.1</v>
      </c>
      <c r="E506" s="116">
        <v>341.4</v>
      </c>
      <c r="F506" s="116">
        <v>1696.85</v>
      </c>
      <c r="G506">
        <v>3601</v>
      </c>
      <c r="H506" s="116"/>
      <c r="I506" s="116"/>
      <c r="L506" s="170">
        <v>42746</v>
      </c>
      <c r="M506" s="116">
        <v>339.44</v>
      </c>
      <c r="N506" s="116">
        <v>342.54</v>
      </c>
      <c r="O506" s="116">
        <v>338.2</v>
      </c>
      <c r="P506" s="116">
        <v>340.99</v>
      </c>
      <c r="Q506" s="116">
        <v>1697.2</v>
      </c>
      <c r="R506">
        <v>22917</v>
      </c>
    </row>
    <row r="507" spans="1:18" x14ac:dyDescent="0.25">
      <c r="A507" s="170">
        <v>42747</v>
      </c>
      <c r="B507" s="116">
        <v>345.03000000000003</v>
      </c>
      <c r="C507" s="116">
        <v>339.51</v>
      </c>
      <c r="D507" s="116">
        <v>338.49</v>
      </c>
      <c r="E507" s="116">
        <v>341</v>
      </c>
      <c r="F507" s="116">
        <v>1697.55</v>
      </c>
      <c r="G507">
        <v>2780</v>
      </c>
      <c r="H507" s="116"/>
      <c r="I507" s="116"/>
      <c r="L507" s="170">
        <v>42747</v>
      </c>
      <c r="M507" s="116">
        <v>339.59000000000003</v>
      </c>
      <c r="N507" s="116">
        <v>345.4</v>
      </c>
      <c r="O507" s="116">
        <v>338.53000000000003</v>
      </c>
      <c r="P507" s="116">
        <v>340.2</v>
      </c>
      <c r="Q507" s="116">
        <v>1697.95</v>
      </c>
      <c r="R507">
        <v>24358</v>
      </c>
    </row>
    <row r="508" spans="1:18" x14ac:dyDescent="0.25">
      <c r="A508" s="170">
        <v>42748</v>
      </c>
      <c r="B508" s="116">
        <v>343.53000000000003</v>
      </c>
      <c r="C508" s="116">
        <v>335.45</v>
      </c>
      <c r="D508" s="116">
        <v>330</v>
      </c>
      <c r="E508" s="116">
        <v>340</v>
      </c>
      <c r="F508" s="116">
        <v>1677.25</v>
      </c>
      <c r="G508">
        <v>5989</v>
      </c>
      <c r="H508" s="116"/>
      <c r="I508" s="116"/>
      <c r="L508" s="170">
        <v>42748</v>
      </c>
      <c r="M508" s="116">
        <v>335.78000000000003</v>
      </c>
      <c r="N508" s="116">
        <v>343.9</v>
      </c>
      <c r="O508" s="116">
        <v>330.2</v>
      </c>
      <c r="P508" s="116">
        <v>339.95</v>
      </c>
      <c r="Q508" s="116">
        <v>1678.9</v>
      </c>
      <c r="R508">
        <v>27681</v>
      </c>
    </row>
    <row r="509" spans="1:18" x14ac:dyDescent="0.25">
      <c r="A509" s="170">
        <v>42751</v>
      </c>
      <c r="B509" s="116">
        <v>349.38</v>
      </c>
      <c r="C509" s="116">
        <v>346.83000000000004</v>
      </c>
      <c r="D509" s="116">
        <v>335.1</v>
      </c>
      <c r="E509" s="116">
        <v>342</v>
      </c>
      <c r="F509" s="116">
        <v>1734.15</v>
      </c>
      <c r="G509">
        <v>10157</v>
      </c>
      <c r="H509" s="116"/>
      <c r="I509" s="116"/>
      <c r="L509" s="170">
        <v>42751</v>
      </c>
      <c r="M509" s="116">
        <v>346.99</v>
      </c>
      <c r="N509" s="116">
        <v>349.6</v>
      </c>
      <c r="O509" s="116">
        <v>335</v>
      </c>
      <c r="P509" s="116">
        <v>337.79</v>
      </c>
      <c r="Q509" s="116">
        <v>1734.95</v>
      </c>
      <c r="R509">
        <v>78257</v>
      </c>
    </row>
    <row r="510" spans="1:18" x14ac:dyDescent="0.25">
      <c r="A510" s="170">
        <v>42752</v>
      </c>
      <c r="B510" s="116">
        <v>357</v>
      </c>
      <c r="C510" s="116">
        <v>343.77</v>
      </c>
      <c r="D510" s="116">
        <v>340.1</v>
      </c>
      <c r="E510" s="116">
        <v>350</v>
      </c>
      <c r="F510" s="116">
        <v>1718.85</v>
      </c>
      <c r="G510">
        <v>41624</v>
      </c>
      <c r="H510" s="116"/>
      <c r="I510" s="116"/>
      <c r="L510" s="170">
        <v>42752</v>
      </c>
      <c r="M510" s="116">
        <v>343.15999999999997</v>
      </c>
      <c r="N510" s="116">
        <v>357</v>
      </c>
      <c r="O510" s="116">
        <v>341.06</v>
      </c>
      <c r="P510" s="116">
        <v>350</v>
      </c>
      <c r="Q510" s="116">
        <v>1715.8</v>
      </c>
      <c r="R510">
        <v>283337</v>
      </c>
    </row>
    <row r="511" spans="1:18" x14ac:dyDescent="0.25">
      <c r="A511" s="170">
        <v>42753</v>
      </c>
      <c r="B511" s="116">
        <v>351.38</v>
      </c>
      <c r="C511" s="116">
        <v>343.02</v>
      </c>
      <c r="D511" s="116">
        <v>340.31</v>
      </c>
      <c r="E511" s="116">
        <v>350.8</v>
      </c>
      <c r="F511" s="116">
        <v>1715.1</v>
      </c>
      <c r="G511">
        <v>13135</v>
      </c>
      <c r="H511" s="116"/>
      <c r="I511" s="116"/>
      <c r="L511" s="170">
        <v>42753</v>
      </c>
      <c r="M511" s="116">
        <v>342.64</v>
      </c>
      <c r="N511" s="116">
        <v>351</v>
      </c>
      <c r="O511" s="116">
        <v>341</v>
      </c>
      <c r="P511" s="116">
        <v>347.78000000000003</v>
      </c>
      <c r="Q511" s="116">
        <v>1713.2</v>
      </c>
      <c r="R511">
        <v>79314</v>
      </c>
    </row>
    <row r="512" spans="1:18" x14ac:dyDescent="0.25">
      <c r="A512" s="170">
        <v>42754</v>
      </c>
      <c r="B512" s="116">
        <v>343.4</v>
      </c>
      <c r="C512" s="116">
        <v>338.74</v>
      </c>
      <c r="D512" s="116">
        <v>337.4</v>
      </c>
      <c r="E512" s="116">
        <v>343.4</v>
      </c>
      <c r="F512" s="116">
        <v>1693.7</v>
      </c>
      <c r="G512">
        <v>3763</v>
      </c>
      <c r="H512" s="116"/>
      <c r="I512" s="116"/>
      <c r="L512" s="170">
        <v>42754</v>
      </c>
      <c r="M512" s="116">
        <v>337.90999999999997</v>
      </c>
      <c r="N512" s="116">
        <v>342.96</v>
      </c>
      <c r="O512" s="116">
        <v>337</v>
      </c>
      <c r="P512" s="116">
        <v>340</v>
      </c>
      <c r="Q512" s="116">
        <v>1689.55</v>
      </c>
      <c r="R512">
        <v>35136</v>
      </c>
    </row>
    <row r="513" spans="1:18" x14ac:dyDescent="0.25">
      <c r="A513" s="170">
        <v>42755</v>
      </c>
      <c r="B513" s="116">
        <v>341.2</v>
      </c>
      <c r="C513" s="116">
        <v>336.25</v>
      </c>
      <c r="D513" s="116">
        <v>335.01</v>
      </c>
      <c r="E513" s="116">
        <v>338</v>
      </c>
      <c r="F513" s="116">
        <v>1681.25</v>
      </c>
      <c r="G513">
        <v>2401</v>
      </c>
      <c r="H513" s="116"/>
      <c r="I513" s="116"/>
      <c r="L513" s="170">
        <v>42755</v>
      </c>
      <c r="M513" s="116">
        <v>337.62</v>
      </c>
      <c r="N513" s="116">
        <v>341.6</v>
      </c>
      <c r="O513" s="116">
        <v>335.2</v>
      </c>
      <c r="P513" s="116">
        <v>338.6</v>
      </c>
      <c r="Q513" s="116">
        <v>1688.1</v>
      </c>
      <c r="R513">
        <v>29395</v>
      </c>
    </row>
    <row r="514" spans="1:18" x14ac:dyDescent="0.25">
      <c r="A514" s="170">
        <v>42758</v>
      </c>
      <c r="B514" s="116">
        <v>346</v>
      </c>
      <c r="C514" s="116">
        <v>340.99</v>
      </c>
      <c r="D514" s="116">
        <v>334.41999999999996</v>
      </c>
      <c r="E514" s="116">
        <v>338.96</v>
      </c>
      <c r="F514" s="116">
        <v>1704.95</v>
      </c>
      <c r="G514">
        <v>8651</v>
      </c>
      <c r="H514" s="116"/>
      <c r="I514" s="116"/>
      <c r="L514" s="170">
        <v>42758</v>
      </c>
      <c r="M514" s="116">
        <v>341.7</v>
      </c>
      <c r="N514" s="116">
        <v>346.79</v>
      </c>
      <c r="O514" s="116">
        <v>335</v>
      </c>
      <c r="P514" s="116">
        <v>335</v>
      </c>
      <c r="Q514" s="116">
        <v>1708.5</v>
      </c>
      <c r="R514">
        <v>34886</v>
      </c>
    </row>
    <row r="515" spans="1:18" x14ac:dyDescent="0.25">
      <c r="A515" s="170">
        <v>42759</v>
      </c>
      <c r="B515" s="116">
        <v>346.98</v>
      </c>
      <c r="C515" s="116">
        <v>345.86</v>
      </c>
      <c r="D515" s="116">
        <v>340.54</v>
      </c>
      <c r="E515" s="116">
        <v>342</v>
      </c>
      <c r="F515" s="116">
        <v>1729.3</v>
      </c>
      <c r="G515">
        <v>3084</v>
      </c>
      <c r="H515" s="116"/>
      <c r="I515" s="116"/>
      <c r="L515" s="170">
        <v>42759</v>
      </c>
      <c r="M515" s="116">
        <v>346.09000000000003</v>
      </c>
      <c r="N515" s="116">
        <v>346.6</v>
      </c>
      <c r="O515" s="116">
        <v>340</v>
      </c>
      <c r="P515" s="116">
        <v>342.07</v>
      </c>
      <c r="Q515" s="116">
        <v>1730.45</v>
      </c>
      <c r="R515">
        <v>28216</v>
      </c>
    </row>
    <row r="516" spans="1:18" x14ac:dyDescent="0.25">
      <c r="A516" s="170">
        <v>42760</v>
      </c>
      <c r="B516" s="116">
        <v>349.4</v>
      </c>
      <c r="C516" s="116">
        <v>345.5</v>
      </c>
      <c r="D516" s="116">
        <v>341</v>
      </c>
      <c r="E516" s="116">
        <v>349.4</v>
      </c>
      <c r="F516" s="116">
        <v>1727.5</v>
      </c>
      <c r="G516">
        <v>13876</v>
      </c>
      <c r="H516" s="116"/>
      <c r="I516" s="116"/>
      <c r="L516" s="170">
        <v>42760</v>
      </c>
      <c r="M516" s="116">
        <v>347.28000000000003</v>
      </c>
      <c r="N516" s="116">
        <v>349.6</v>
      </c>
      <c r="O516" s="116">
        <v>340.52</v>
      </c>
      <c r="P516" s="116">
        <v>347.57</v>
      </c>
      <c r="Q516" s="116">
        <v>1736.4</v>
      </c>
      <c r="R516">
        <v>57300</v>
      </c>
    </row>
    <row r="517" spans="1:18" x14ac:dyDescent="0.25">
      <c r="A517" s="170">
        <v>42762</v>
      </c>
      <c r="B517" s="116">
        <v>354.16999999999996</v>
      </c>
      <c r="C517" s="116">
        <v>352.61</v>
      </c>
      <c r="D517" s="116">
        <v>347</v>
      </c>
      <c r="E517" s="116">
        <v>347</v>
      </c>
      <c r="F517" s="116">
        <v>1763.05</v>
      </c>
      <c r="G517">
        <v>11593</v>
      </c>
      <c r="H517" s="116"/>
      <c r="I517" s="116"/>
      <c r="L517" s="170">
        <v>42762</v>
      </c>
      <c r="M517" s="116">
        <v>352.69</v>
      </c>
      <c r="N517" s="116">
        <v>354.2</v>
      </c>
      <c r="O517" s="116">
        <v>345</v>
      </c>
      <c r="P517" s="116">
        <v>346.99</v>
      </c>
      <c r="Q517" s="116">
        <v>1763.45</v>
      </c>
      <c r="R517">
        <v>59054</v>
      </c>
    </row>
    <row r="518" spans="1:18" x14ac:dyDescent="0.25">
      <c r="A518" s="170">
        <v>42765</v>
      </c>
      <c r="B518" s="116">
        <v>368.4</v>
      </c>
      <c r="C518" s="116">
        <v>366.29</v>
      </c>
      <c r="D518" s="116">
        <v>350</v>
      </c>
      <c r="E518" s="116">
        <v>353</v>
      </c>
      <c r="F518" s="116">
        <v>1831.45</v>
      </c>
      <c r="G518">
        <v>12598</v>
      </c>
      <c r="H518" s="116"/>
      <c r="I518" s="116"/>
      <c r="L518" s="170">
        <v>42765</v>
      </c>
      <c r="M518" s="116">
        <v>366.18</v>
      </c>
      <c r="N518" s="116">
        <v>369</v>
      </c>
      <c r="O518" s="116">
        <v>350.24</v>
      </c>
      <c r="P518" s="116">
        <v>353</v>
      </c>
      <c r="Q518" s="116">
        <v>1830.9</v>
      </c>
      <c r="R518">
        <v>103472</v>
      </c>
    </row>
    <row r="519" spans="1:18" x14ac:dyDescent="0.25">
      <c r="A519" s="170">
        <v>42766</v>
      </c>
      <c r="B519" s="116">
        <v>376.87</v>
      </c>
      <c r="C519" s="116">
        <v>371.08000000000004</v>
      </c>
      <c r="D519" s="116">
        <v>367.59000000000003</v>
      </c>
      <c r="E519" s="116">
        <v>369</v>
      </c>
      <c r="F519" s="116">
        <v>1855.4</v>
      </c>
      <c r="G519">
        <v>17957</v>
      </c>
      <c r="H519" s="116"/>
      <c r="I519" s="116"/>
      <c r="L519" s="170">
        <v>42766</v>
      </c>
      <c r="M519" s="116">
        <v>372.06</v>
      </c>
      <c r="N519" s="116">
        <v>377.4</v>
      </c>
      <c r="O519" s="116">
        <v>366.2</v>
      </c>
      <c r="P519" s="116">
        <v>366.2</v>
      </c>
      <c r="Q519" s="116">
        <v>1860.3</v>
      </c>
      <c r="R519">
        <v>131198</v>
      </c>
    </row>
    <row r="520" spans="1:18" x14ac:dyDescent="0.25">
      <c r="A520" s="170">
        <v>42767</v>
      </c>
      <c r="B520" s="116">
        <v>384.96</v>
      </c>
      <c r="C520" s="116">
        <v>379.26</v>
      </c>
      <c r="D520" s="116">
        <v>373.2</v>
      </c>
      <c r="E520" s="116">
        <v>373.2</v>
      </c>
      <c r="F520" s="116">
        <v>1896.3</v>
      </c>
      <c r="G520">
        <v>24830</v>
      </c>
      <c r="H520" s="116"/>
      <c r="I520" s="116"/>
      <c r="L520" s="170">
        <v>42767</v>
      </c>
      <c r="M520" s="116">
        <v>380.04</v>
      </c>
      <c r="N520" s="116">
        <v>385</v>
      </c>
      <c r="O520" s="116">
        <v>372.2</v>
      </c>
      <c r="P520" s="116">
        <v>372.96999999999997</v>
      </c>
      <c r="Q520" s="116">
        <v>1900.2</v>
      </c>
      <c r="R520">
        <v>261343</v>
      </c>
    </row>
    <row r="521" spans="1:18" x14ac:dyDescent="0.25">
      <c r="A521" s="170">
        <v>42768</v>
      </c>
      <c r="B521" s="116">
        <v>403.94</v>
      </c>
      <c r="C521" s="116">
        <v>398.63</v>
      </c>
      <c r="D521" s="116">
        <v>380</v>
      </c>
      <c r="E521" s="116">
        <v>383.2</v>
      </c>
      <c r="F521" s="116">
        <v>1993.15</v>
      </c>
      <c r="G521">
        <v>25557</v>
      </c>
      <c r="H521" s="116"/>
      <c r="I521" s="116"/>
      <c r="L521" s="170">
        <v>42768</v>
      </c>
      <c r="M521" s="116">
        <v>399.58000000000004</v>
      </c>
      <c r="N521" s="116">
        <v>405</v>
      </c>
      <c r="O521" s="116">
        <v>379.40999999999997</v>
      </c>
      <c r="P521" s="116">
        <v>380</v>
      </c>
      <c r="Q521" s="116">
        <v>1997.9</v>
      </c>
      <c r="R521">
        <v>251922</v>
      </c>
    </row>
    <row r="522" spans="1:18" x14ac:dyDescent="0.25">
      <c r="A522" s="170">
        <v>42769</v>
      </c>
      <c r="B522" s="116">
        <v>402.8</v>
      </c>
      <c r="C522" s="116">
        <v>399.69</v>
      </c>
      <c r="D522" s="116">
        <v>397.71</v>
      </c>
      <c r="E522" s="116">
        <v>399.6</v>
      </c>
      <c r="F522" s="116">
        <v>1998.45</v>
      </c>
      <c r="G522">
        <v>6360</v>
      </c>
      <c r="H522" s="116"/>
      <c r="I522" s="116"/>
      <c r="L522" s="170">
        <v>42769</v>
      </c>
      <c r="M522" s="116">
        <v>400.28000000000003</v>
      </c>
      <c r="N522" s="116">
        <v>403</v>
      </c>
      <c r="O522" s="116">
        <v>397.05</v>
      </c>
      <c r="P522" s="116">
        <v>397.83000000000004</v>
      </c>
      <c r="Q522" s="116">
        <v>2001.4</v>
      </c>
      <c r="R522">
        <v>86843</v>
      </c>
    </row>
    <row r="523" spans="1:18" x14ac:dyDescent="0.25">
      <c r="A523" s="170">
        <v>42772</v>
      </c>
      <c r="B523" s="116">
        <v>410.8</v>
      </c>
      <c r="C523" s="116">
        <v>408.31</v>
      </c>
      <c r="D523" s="116">
        <v>399.31</v>
      </c>
      <c r="E523" s="116">
        <v>401.01</v>
      </c>
      <c r="F523" s="116">
        <v>2041.55</v>
      </c>
      <c r="G523">
        <v>9778</v>
      </c>
      <c r="H523" s="116"/>
      <c r="I523" s="116"/>
      <c r="L523" s="170">
        <v>42772</v>
      </c>
      <c r="M523" s="116">
        <v>408.98</v>
      </c>
      <c r="N523" s="116">
        <v>410</v>
      </c>
      <c r="O523" s="116">
        <v>399.01</v>
      </c>
      <c r="P523" s="116">
        <v>400.4</v>
      </c>
      <c r="Q523" s="116">
        <v>2044.9</v>
      </c>
      <c r="R523">
        <v>71225</v>
      </c>
    </row>
    <row r="524" spans="1:18" x14ac:dyDescent="0.25">
      <c r="A524" s="170">
        <v>42773</v>
      </c>
      <c r="B524" s="116">
        <v>415.8</v>
      </c>
      <c r="C524" s="116">
        <v>408.02</v>
      </c>
      <c r="D524" s="116">
        <v>403.4</v>
      </c>
      <c r="E524" s="116">
        <v>408.39</v>
      </c>
      <c r="F524" s="116">
        <v>2040.1</v>
      </c>
      <c r="G524">
        <v>6918</v>
      </c>
      <c r="H524" s="116"/>
      <c r="I524" s="116"/>
      <c r="L524" s="170">
        <v>42773</v>
      </c>
      <c r="M524" s="116">
        <v>408.36</v>
      </c>
      <c r="N524" s="116">
        <v>416</v>
      </c>
      <c r="O524" s="116">
        <v>403</v>
      </c>
      <c r="P524" s="116">
        <v>404.82</v>
      </c>
      <c r="Q524" s="116">
        <v>2041.8</v>
      </c>
      <c r="R524">
        <v>195000</v>
      </c>
    </row>
    <row r="525" spans="1:18" x14ac:dyDescent="0.25">
      <c r="A525" s="170">
        <v>42774</v>
      </c>
      <c r="B525" s="116">
        <v>411.18999999999994</v>
      </c>
      <c r="C525" s="116">
        <v>402.03000000000003</v>
      </c>
      <c r="D525" s="116">
        <v>400.27</v>
      </c>
      <c r="E525" s="116">
        <v>406.2</v>
      </c>
      <c r="F525" s="116">
        <v>2010.15</v>
      </c>
      <c r="G525">
        <v>5958</v>
      </c>
      <c r="H525" s="116"/>
      <c r="I525" s="116"/>
      <c r="L525" s="170">
        <v>42774</v>
      </c>
      <c r="M525" s="116">
        <v>401.93</v>
      </c>
      <c r="N525" s="116">
        <v>411.39</v>
      </c>
      <c r="O525" s="116">
        <v>400.2</v>
      </c>
      <c r="P525" s="116">
        <v>408</v>
      </c>
      <c r="Q525" s="116">
        <v>2009.65</v>
      </c>
      <c r="R525">
        <v>81913</v>
      </c>
    </row>
    <row r="526" spans="1:18" x14ac:dyDescent="0.25">
      <c r="A526" s="170">
        <v>42775</v>
      </c>
      <c r="B526" s="116">
        <v>403.2</v>
      </c>
      <c r="C526" s="116">
        <v>398.1</v>
      </c>
      <c r="D526" s="116">
        <v>394.51</v>
      </c>
      <c r="E526" s="116">
        <v>400.2</v>
      </c>
      <c r="F526" s="116">
        <v>1990.5</v>
      </c>
      <c r="G526">
        <v>4109</v>
      </c>
      <c r="H526" s="116"/>
      <c r="I526" s="116"/>
      <c r="L526" s="170">
        <v>42775</v>
      </c>
      <c r="M526" s="116">
        <v>398.37</v>
      </c>
      <c r="N526" s="116">
        <v>403.98</v>
      </c>
      <c r="O526" s="116">
        <v>395</v>
      </c>
      <c r="P526" s="116">
        <v>402</v>
      </c>
      <c r="Q526" s="116">
        <v>1991.85</v>
      </c>
      <c r="R526">
        <v>51310</v>
      </c>
    </row>
    <row r="527" spans="1:18" x14ac:dyDescent="0.25">
      <c r="A527" s="170">
        <v>42776</v>
      </c>
      <c r="B527" s="116">
        <v>399.4</v>
      </c>
      <c r="C527" s="116">
        <v>394.96999999999997</v>
      </c>
      <c r="D527" s="116">
        <v>393.99</v>
      </c>
      <c r="E527" s="116">
        <v>397.19</v>
      </c>
      <c r="F527" s="116">
        <v>1974.85</v>
      </c>
      <c r="G527">
        <v>1778</v>
      </c>
      <c r="H527" s="116"/>
      <c r="I527" s="116"/>
      <c r="L527" s="170">
        <v>42776</v>
      </c>
      <c r="M527" s="116">
        <v>395.82</v>
      </c>
      <c r="N527" s="116">
        <v>399.99</v>
      </c>
      <c r="O527" s="116">
        <v>395</v>
      </c>
      <c r="P527" s="116">
        <v>397.02</v>
      </c>
      <c r="Q527" s="116">
        <v>1979.1</v>
      </c>
      <c r="R527">
        <v>28107</v>
      </c>
    </row>
    <row r="528" spans="1:18" x14ac:dyDescent="0.25">
      <c r="A528" s="170">
        <v>42779</v>
      </c>
      <c r="B528" s="116">
        <v>396</v>
      </c>
      <c r="C528" s="116">
        <v>385.86</v>
      </c>
      <c r="D528" s="116">
        <v>384.02</v>
      </c>
      <c r="E528" s="116">
        <v>395.98</v>
      </c>
      <c r="F528" s="116">
        <v>1929.3</v>
      </c>
      <c r="G528">
        <v>2831</v>
      </c>
      <c r="H528" s="116"/>
      <c r="I528" s="116"/>
      <c r="L528" s="170">
        <v>42779</v>
      </c>
      <c r="M528" s="116">
        <v>384.71999999999997</v>
      </c>
      <c r="N528" s="116">
        <v>396.99</v>
      </c>
      <c r="O528" s="116">
        <v>383</v>
      </c>
      <c r="P528" s="116">
        <v>396.8</v>
      </c>
      <c r="Q528" s="116">
        <v>1923.6</v>
      </c>
      <c r="R528">
        <v>30914</v>
      </c>
    </row>
    <row r="529" spans="1:18" x14ac:dyDescent="0.25">
      <c r="A529" s="170">
        <v>42780</v>
      </c>
      <c r="B529" s="116">
        <v>386.8</v>
      </c>
      <c r="C529" s="116">
        <v>381.89</v>
      </c>
      <c r="D529" s="116">
        <v>379.96999999999997</v>
      </c>
      <c r="E529" s="116">
        <v>386.8</v>
      </c>
      <c r="F529" s="116">
        <v>1909.45</v>
      </c>
      <c r="G529">
        <v>3990</v>
      </c>
      <c r="H529" s="116"/>
      <c r="I529" s="116"/>
      <c r="L529" s="170">
        <v>42780</v>
      </c>
      <c r="M529" s="116">
        <v>383.07</v>
      </c>
      <c r="N529" s="116">
        <v>389.78000000000003</v>
      </c>
      <c r="O529" s="116">
        <v>380</v>
      </c>
      <c r="P529" s="116">
        <v>386.96</v>
      </c>
      <c r="Q529" s="116">
        <v>1915.35</v>
      </c>
      <c r="R529">
        <v>38749</v>
      </c>
    </row>
    <row r="530" spans="1:18" x14ac:dyDescent="0.25">
      <c r="A530" s="170">
        <v>42781</v>
      </c>
      <c r="B530" s="116">
        <v>405.28000000000003</v>
      </c>
      <c r="C530" s="116">
        <v>397.82</v>
      </c>
      <c r="D530" s="116">
        <v>380</v>
      </c>
      <c r="E530" s="116">
        <v>381.1</v>
      </c>
      <c r="F530" s="116">
        <v>1989.1</v>
      </c>
      <c r="G530">
        <v>21136</v>
      </c>
      <c r="H530" s="116"/>
      <c r="I530" s="116"/>
      <c r="L530" s="170">
        <v>42781</v>
      </c>
      <c r="M530" s="116">
        <v>398.54</v>
      </c>
      <c r="N530" s="116">
        <v>406</v>
      </c>
      <c r="O530" s="116">
        <v>381.4</v>
      </c>
      <c r="P530" s="116">
        <v>383.59000000000003</v>
      </c>
      <c r="Q530" s="116">
        <v>1992.7</v>
      </c>
      <c r="R530">
        <v>172399</v>
      </c>
    </row>
    <row r="531" spans="1:18" x14ac:dyDescent="0.25">
      <c r="A531" s="170">
        <v>42782</v>
      </c>
      <c r="B531" s="116">
        <v>404.65999999999997</v>
      </c>
      <c r="C531" s="116">
        <v>401.78000000000003</v>
      </c>
      <c r="D531" s="116">
        <v>400</v>
      </c>
      <c r="E531" s="116">
        <v>401.79</v>
      </c>
      <c r="F531" s="116">
        <v>2008.9</v>
      </c>
      <c r="G531">
        <v>6979</v>
      </c>
      <c r="H531" s="116"/>
      <c r="I531" s="116"/>
      <c r="L531" s="170">
        <v>42782</v>
      </c>
      <c r="M531" s="116">
        <v>402.62</v>
      </c>
      <c r="N531" s="116">
        <v>405</v>
      </c>
      <c r="O531" s="116">
        <v>399.8</v>
      </c>
      <c r="P531" s="116">
        <v>400.78000000000003</v>
      </c>
      <c r="Q531" s="116">
        <v>2013.1</v>
      </c>
      <c r="R531">
        <v>82616</v>
      </c>
    </row>
    <row r="532" spans="1:18" x14ac:dyDescent="0.25">
      <c r="A532" s="170">
        <v>42783</v>
      </c>
      <c r="B532" s="116">
        <v>403.9</v>
      </c>
      <c r="C532" s="116">
        <v>395.71999999999997</v>
      </c>
      <c r="D532" s="116">
        <v>392.54</v>
      </c>
      <c r="E532" s="116">
        <v>402.8</v>
      </c>
      <c r="F532" s="116">
        <v>1978.6</v>
      </c>
      <c r="G532">
        <v>2541</v>
      </c>
      <c r="H532" s="116"/>
      <c r="I532" s="116"/>
      <c r="L532" s="170">
        <v>42783</v>
      </c>
      <c r="M532" s="116">
        <v>394.43</v>
      </c>
      <c r="N532" s="116">
        <v>404</v>
      </c>
      <c r="O532" s="116">
        <v>392.02</v>
      </c>
      <c r="P532" s="116">
        <v>401.78000000000003</v>
      </c>
      <c r="Q532" s="116">
        <v>1972.15</v>
      </c>
      <c r="R532">
        <v>52811</v>
      </c>
    </row>
    <row r="533" spans="1:18" x14ac:dyDescent="0.25">
      <c r="A533" s="170">
        <v>42786</v>
      </c>
      <c r="B533" s="116">
        <v>397.6</v>
      </c>
      <c r="C533" s="116">
        <v>395.82</v>
      </c>
      <c r="D533" s="116">
        <v>390.74</v>
      </c>
      <c r="E533" s="116">
        <v>396.16999999999996</v>
      </c>
      <c r="F533" s="116">
        <v>1979.1</v>
      </c>
      <c r="G533">
        <v>2682</v>
      </c>
      <c r="H533" s="116"/>
      <c r="I533" s="116"/>
      <c r="L533" s="170">
        <v>42786</v>
      </c>
      <c r="M533" s="116">
        <v>395.38</v>
      </c>
      <c r="N533" s="116">
        <v>397.4</v>
      </c>
      <c r="O533" s="116">
        <v>390.6</v>
      </c>
      <c r="P533" s="116">
        <v>392.6</v>
      </c>
      <c r="Q533" s="116">
        <v>1976.9</v>
      </c>
      <c r="R533">
        <v>28507</v>
      </c>
    </row>
    <row r="534" spans="1:18" x14ac:dyDescent="0.25">
      <c r="A534" s="170">
        <v>42787</v>
      </c>
      <c r="B534" s="116">
        <v>404</v>
      </c>
      <c r="C534" s="116">
        <v>397.96999999999997</v>
      </c>
      <c r="D534" s="116">
        <v>394.40999999999997</v>
      </c>
      <c r="E534" s="116">
        <v>394.75</v>
      </c>
      <c r="F534" s="116">
        <v>1989.85</v>
      </c>
      <c r="G534">
        <v>2828</v>
      </c>
      <c r="H534" s="116"/>
      <c r="I534" s="116"/>
      <c r="L534" s="170">
        <v>42787</v>
      </c>
      <c r="M534" s="116">
        <v>397.68</v>
      </c>
      <c r="N534" s="116">
        <v>404.4</v>
      </c>
      <c r="O534" s="116">
        <v>391</v>
      </c>
      <c r="P534" s="116">
        <v>391</v>
      </c>
      <c r="Q534" s="116">
        <v>1988.4</v>
      </c>
      <c r="R534">
        <v>26926</v>
      </c>
    </row>
    <row r="535" spans="1:18" x14ac:dyDescent="0.25">
      <c r="A535" s="170">
        <v>42788</v>
      </c>
      <c r="B535" s="116">
        <v>403.8</v>
      </c>
      <c r="C535" s="116">
        <v>402.85</v>
      </c>
      <c r="D535" s="116">
        <v>397</v>
      </c>
      <c r="E535" s="116">
        <v>401.74</v>
      </c>
      <c r="F535" s="116">
        <v>2014.25</v>
      </c>
      <c r="G535">
        <v>3044</v>
      </c>
      <c r="H535" s="116"/>
      <c r="I535" s="116"/>
      <c r="L535" s="170">
        <v>42788</v>
      </c>
      <c r="M535" s="116">
        <v>402.52</v>
      </c>
      <c r="N535" s="116">
        <v>404</v>
      </c>
      <c r="O535" s="116">
        <v>396.69</v>
      </c>
      <c r="P535" s="116">
        <v>401.49</v>
      </c>
      <c r="Q535" s="116">
        <v>2012.6</v>
      </c>
      <c r="R535">
        <v>49475</v>
      </c>
    </row>
    <row r="536" spans="1:18" x14ac:dyDescent="0.25">
      <c r="A536" s="170">
        <v>42789</v>
      </c>
      <c r="B536" s="116">
        <v>404.8</v>
      </c>
      <c r="C536" s="116">
        <v>398.61</v>
      </c>
      <c r="D536" s="116">
        <v>398.03000000000003</v>
      </c>
      <c r="E536" s="116">
        <v>400.4</v>
      </c>
      <c r="F536" s="116">
        <v>1993.05</v>
      </c>
      <c r="G536">
        <v>7275</v>
      </c>
      <c r="H536" s="116"/>
      <c r="I536" s="116"/>
      <c r="L536" s="170">
        <v>42789</v>
      </c>
      <c r="M536" s="116">
        <v>399.08000000000004</v>
      </c>
      <c r="N536" s="116">
        <v>404.78000000000003</v>
      </c>
      <c r="O536" s="116">
        <v>398.21999999999997</v>
      </c>
      <c r="P536" s="116">
        <v>404.78000000000003</v>
      </c>
      <c r="Q536" s="116">
        <v>1995.4</v>
      </c>
      <c r="R536">
        <v>31521</v>
      </c>
    </row>
    <row r="537" spans="1:18" x14ac:dyDescent="0.25">
      <c r="A537" s="170">
        <v>42793</v>
      </c>
      <c r="B537" s="116">
        <v>399.74</v>
      </c>
      <c r="C537" s="116">
        <v>385.99</v>
      </c>
      <c r="D537" s="116">
        <v>384.4</v>
      </c>
      <c r="E537" s="116">
        <v>398.83000000000004</v>
      </c>
      <c r="F537" s="116">
        <v>1929.95</v>
      </c>
      <c r="G537">
        <v>12051</v>
      </c>
      <c r="H537" s="116"/>
      <c r="I537" s="116"/>
      <c r="L537" s="170">
        <v>42793</v>
      </c>
      <c r="M537" s="116">
        <v>387.04</v>
      </c>
      <c r="N537" s="116">
        <v>400</v>
      </c>
      <c r="O537" s="116">
        <v>385.61</v>
      </c>
      <c r="P537" s="116">
        <v>399.09000000000003</v>
      </c>
      <c r="Q537" s="116">
        <v>1935.2</v>
      </c>
      <c r="R537">
        <v>39040</v>
      </c>
    </row>
    <row r="538" spans="1:18" x14ac:dyDescent="0.25">
      <c r="A538" s="170">
        <v>42794</v>
      </c>
      <c r="B538" s="116">
        <v>392.6</v>
      </c>
      <c r="C538" s="116">
        <v>387.59000000000003</v>
      </c>
      <c r="D538" s="116">
        <v>386.6</v>
      </c>
      <c r="E538" s="116">
        <v>388</v>
      </c>
      <c r="F538" s="116">
        <v>1937.95</v>
      </c>
      <c r="G538">
        <v>7515</v>
      </c>
      <c r="H538" s="116"/>
      <c r="I538" s="116"/>
      <c r="L538" s="170">
        <v>42794</v>
      </c>
      <c r="M538" s="116">
        <v>387.03000000000003</v>
      </c>
      <c r="N538" s="116">
        <v>392.34000000000003</v>
      </c>
      <c r="O538" s="116">
        <v>385.8</v>
      </c>
      <c r="P538" s="116">
        <v>389.99</v>
      </c>
      <c r="Q538" s="116">
        <v>1935.15</v>
      </c>
      <c r="R538">
        <v>28112</v>
      </c>
    </row>
    <row r="539" spans="1:18" x14ac:dyDescent="0.25">
      <c r="A539" s="170">
        <v>42795</v>
      </c>
      <c r="B539" s="116">
        <v>400.76</v>
      </c>
      <c r="C539" s="116">
        <v>396.91999999999996</v>
      </c>
      <c r="D539" s="116">
        <v>390</v>
      </c>
      <c r="E539" s="116">
        <v>390</v>
      </c>
      <c r="F539" s="116">
        <v>1984.6</v>
      </c>
      <c r="G539">
        <v>6546</v>
      </c>
      <c r="H539" s="116"/>
      <c r="I539" s="116"/>
      <c r="L539" s="170">
        <v>42795</v>
      </c>
      <c r="M539" s="116">
        <v>397.88</v>
      </c>
      <c r="N539" s="116">
        <v>401.35</v>
      </c>
      <c r="O539" s="116">
        <v>390.2</v>
      </c>
      <c r="P539" s="116">
        <v>390.4</v>
      </c>
      <c r="Q539" s="116">
        <v>1989.4</v>
      </c>
      <c r="R539">
        <v>52448</v>
      </c>
    </row>
    <row r="540" spans="1:18" x14ac:dyDescent="0.25">
      <c r="A540" s="170">
        <v>42796</v>
      </c>
      <c r="B540" s="116">
        <v>407.79</v>
      </c>
      <c r="C540" s="116">
        <v>392.83000000000004</v>
      </c>
      <c r="D540" s="116">
        <v>392.05</v>
      </c>
      <c r="E540" s="116">
        <v>399</v>
      </c>
      <c r="F540" s="116">
        <v>1964.15</v>
      </c>
      <c r="G540">
        <v>7877</v>
      </c>
      <c r="H540" s="116"/>
      <c r="I540" s="116"/>
      <c r="L540" s="170">
        <v>42796</v>
      </c>
      <c r="M540" s="116">
        <v>393.01</v>
      </c>
      <c r="N540" s="116">
        <v>408.21999999999997</v>
      </c>
      <c r="O540" s="116">
        <v>391.84000000000003</v>
      </c>
      <c r="P540" s="116">
        <v>399.99</v>
      </c>
      <c r="Q540" s="116">
        <v>1965.05</v>
      </c>
      <c r="R540">
        <v>94510</v>
      </c>
    </row>
    <row r="541" spans="1:18" x14ac:dyDescent="0.25">
      <c r="A541" s="170">
        <v>42797</v>
      </c>
      <c r="B541" s="116">
        <v>396.34000000000003</v>
      </c>
      <c r="C541" s="116">
        <v>389.84000000000003</v>
      </c>
      <c r="D541" s="116">
        <v>387</v>
      </c>
      <c r="E541" s="116">
        <v>391.98</v>
      </c>
      <c r="F541" s="116">
        <v>1949.2</v>
      </c>
      <c r="G541">
        <v>3896</v>
      </c>
      <c r="H541" s="116"/>
      <c r="I541" s="116"/>
      <c r="L541" s="170">
        <v>42797</v>
      </c>
      <c r="M541" s="116">
        <v>390.82</v>
      </c>
      <c r="N541" s="116">
        <v>397.14</v>
      </c>
      <c r="O541" s="116">
        <v>388</v>
      </c>
      <c r="P541" s="116">
        <v>391.58000000000004</v>
      </c>
      <c r="Q541" s="116">
        <v>1954.1</v>
      </c>
      <c r="R541">
        <v>31502</v>
      </c>
    </row>
    <row r="542" spans="1:18" x14ac:dyDescent="0.25">
      <c r="A542" s="170">
        <v>42800</v>
      </c>
      <c r="B542" s="116">
        <v>394.52</v>
      </c>
      <c r="C542" s="116">
        <v>379</v>
      </c>
      <c r="D542" s="116">
        <v>376</v>
      </c>
      <c r="E542" s="116">
        <v>390.98</v>
      </c>
      <c r="F542" s="116">
        <v>1895</v>
      </c>
      <c r="G542">
        <v>7726</v>
      </c>
      <c r="H542" s="116"/>
      <c r="I542" s="116"/>
      <c r="L542" s="170">
        <v>42800</v>
      </c>
      <c r="M542" s="116">
        <v>378.74</v>
      </c>
      <c r="N542" s="116">
        <v>394.51</v>
      </c>
      <c r="O542" s="116">
        <v>376.41999999999996</v>
      </c>
      <c r="P542" s="116">
        <v>390</v>
      </c>
      <c r="Q542" s="116">
        <v>1893.7</v>
      </c>
      <c r="R542">
        <v>86294</v>
      </c>
    </row>
    <row r="543" spans="1:18" x14ac:dyDescent="0.25">
      <c r="A543" s="170">
        <v>42801</v>
      </c>
      <c r="B543" s="116">
        <v>393.2</v>
      </c>
      <c r="C543" s="116">
        <v>390.63</v>
      </c>
      <c r="D543" s="116">
        <v>379.8</v>
      </c>
      <c r="E543" s="116">
        <v>381.8</v>
      </c>
      <c r="F543" s="116">
        <v>1953.15</v>
      </c>
      <c r="G543">
        <v>6585</v>
      </c>
      <c r="H543" s="116"/>
      <c r="I543" s="116"/>
      <c r="L543" s="170">
        <v>42801</v>
      </c>
      <c r="M543" s="116">
        <v>391.32</v>
      </c>
      <c r="N543" s="116">
        <v>394.96</v>
      </c>
      <c r="O543" s="116">
        <v>379</v>
      </c>
      <c r="P543" s="116">
        <v>381.6</v>
      </c>
      <c r="Q543" s="116">
        <v>1956.6</v>
      </c>
      <c r="R543">
        <v>88156</v>
      </c>
    </row>
    <row r="544" spans="1:18" x14ac:dyDescent="0.25">
      <c r="A544" s="170">
        <v>42802</v>
      </c>
      <c r="B544" s="116">
        <v>392.88</v>
      </c>
      <c r="C544" s="116">
        <v>386.05</v>
      </c>
      <c r="D544" s="116">
        <v>382</v>
      </c>
      <c r="E544" s="116">
        <v>392.88</v>
      </c>
      <c r="F544" s="116">
        <v>1930.25</v>
      </c>
      <c r="G544">
        <v>3015</v>
      </c>
      <c r="H544" s="116"/>
      <c r="I544" s="116"/>
      <c r="L544" s="170">
        <v>42802</v>
      </c>
      <c r="M544" s="116">
        <v>385.96</v>
      </c>
      <c r="N544" s="116">
        <v>393</v>
      </c>
      <c r="O544" s="116">
        <v>382.05</v>
      </c>
      <c r="P544" s="116">
        <v>390.41999999999996</v>
      </c>
      <c r="Q544" s="116">
        <v>1929.8</v>
      </c>
      <c r="R544">
        <v>30685</v>
      </c>
    </row>
    <row r="545" spans="1:18" x14ac:dyDescent="0.25">
      <c r="A545" s="170">
        <v>42803</v>
      </c>
      <c r="B545" s="116">
        <v>390.16999999999996</v>
      </c>
      <c r="C545" s="116">
        <v>387.36</v>
      </c>
      <c r="D545" s="116">
        <v>382</v>
      </c>
      <c r="E545" s="116">
        <v>384</v>
      </c>
      <c r="F545" s="116">
        <v>1936.8</v>
      </c>
      <c r="G545">
        <v>1142</v>
      </c>
      <c r="H545" s="116"/>
      <c r="I545" s="116"/>
      <c r="L545" s="170">
        <v>42803</v>
      </c>
      <c r="M545" s="116">
        <v>388.40999999999997</v>
      </c>
      <c r="N545" s="116">
        <v>389.93</v>
      </c>
      <c r="O545" s="116">
        <v>382.4</v>
      </c>
      <c r="P545" s="116">
        <v>385.75</v>
      </c>
      <c r="Q545" s="116">
        <v>1942.05</v>
      </c>
      <c r="R545">
        <v>53366</v>
      </c>
    </row>
    <row r="546" spans="1:18" x14ac:dyDescent="0.25">
      <c r="A546" s="170">
        <v>42804</v>
      </c>
      <c r="B546" s="116">
        <v>397.4</v>
      </c>
      <c r="C546" s="116">
        <v>395.53000000000003</v>
      </c>
      <c r="D546" s="116">
        <v>387.36</v>
      </c>
      <c r="E546" s="116">
        <v>390.4</v>
      </c>
      <c r="F546" s="116">
        <v>1977.65</v>
      </c>
      <c r="G546">
        <v>9985</v>
      </c>
      <c r="H546" s="116"/>
      <c r="I546" s="116"/>
      <c r="L546" s="170">
        <v>42804</v>
      </c>
      <c r="M546" s="116">
        <v>395.24</v>
      </c>
      <c r="N546" s="116">
        <v>398</v>
      </c>
      <c r="O546" s="116">
        <v>386.61</v>
      </c>
      <c r="P546" s="116">
        <v>390</v>
      </c>
      <c r="Q546" s="116">
        <v>1976.2</v>
      </c>
      <c r="R546">
        <v>102318</v>
      </c>
    </row>
    <row r="547" spans="1:18" x14ac:dyDescent="0.25">
      <c r="A547" s="170">
        <v>42808</v>
      </c>
      <c r="B547" s="116">
        <v>421.77</v>
      </c>
      <c r="C547" s="116">
        <v>415.75</v>
      </c>
      <c r="D547" s="116">
        <v>398.2</v>
      </c>
      <c r="E547" s="116">
        <v>398.2</v>
      </c>
      <c r="F547" s="116">
        <v>2078.75</v>
      </c>
      <c r="G547">
        <v>39700</v>
      </c>
      <c r="H547" s="116"/>
      <c r="I547" s="116"/>
      <c r="L547" s="170">
        <v>42808</v>
      </c>
      <c r="M547" s="116">
        <v>416.16999999999996</v>
      </c>
      <c r="N547" s="116">
        <v>421.76000000000005</v>
      </c>
      <c r="O547" s="116">
        <v>399</v>
      </c>
      <c r="P547" s="116">
        <v>399</v>
      </c>
      <c r="Q547" s="116">
        <v>2080.85</v>
      </c>
      <c r="R547">
        <v>237028</v>
      </c>
    </row>
    <row r="548" spans="1:18" x14ac:dyDescent="0.25">
      <c r="A548" s="170">
        <v>42809</v>
      </c>
      <c r="B548" s="116">
        <v>424.48</v>
      </c>
      <c r="C548" s="116">
        <v>419.28000000000003</v>
      </c>
      <c r="D548" s="116">
        <v>413.82</v>
      </c>
      <c r="E548" s="116">
        <v>416</v>
      </c>
      <c r="F548" s="116">
        <v>2096.4</v>
      </c>
      <c r="G548">
        <v>15246</v>
      </c>
      <c r="H548" s="116"/>
      <c r="I548" s="116"/>
      <c r="L548" s="170">
        <v>42809</v>
      </c>
      <c r="M548" s="116">
        <v>419.61</v>
      </c>
      <c r="N548" s="116">
        <v>424.8</v>
      </c>
      <c r="O548" s="116">
        <v>414.09</v>
      </c>
      <c r="P548" s="116">
        <v>415.1</v>
      </c>
      <c r="Q548" s="116">
        <v>2098.0500000000002</v>
      </c>
      <c r="R548">
        <v>106504</v>
      </c>
    </row>
    <row r="549" spans="1:18" x14ac:dyDescent="0.25">
      <c r="A549" s="170">
        <v>42810</v>
      </c>
      <c r="B549" s="116">
        <v>424.2</v>
      </c>
      <c r="C549" s="116">
        <v>421.84</v>
      </c>
      <c r="D549" s="116">
        <v>419.01000000000005</v>
      </c>
      <c r="E549" s="116">
        <v>419.55</v>
      </c>
      <c r="F549" s="116">
        <v>2109.1999999999998</v>
      </c>
      <c r="G549">
        <v>12775</v>
      </c>
      <c r="H549" s="116"/>
      <c r="I549" s="116"/>
      <c r="L549" s="170">
        <v>42810</v>
      </c>
      <c r="M549" s="116">
        <v>421.82</v>
      </c>
      <c r="N549" s="116">
        <v>424.43999999999994</v>
      </c>
      <c r="O549" s="116">
        <v>419.03999999999996</v>
      </c>
      <c r="P549" s="116">
        <v>419.6</v>
      </c>
      <c r="Q549" s="116">
        <v>2109.1</v>
      </c>
      <c r="R549">
        <v>75440</v>
      </c>
    </row>
    <row r="550" spans="1:18" x14ac:dyDescent="0.25">
      <c r="A550" s="170">
        <v>42811</v>
      </c>
      <c r="B550" s="116">
        <v>423.8</v>
      </c>
      <c r="C550" s="116">
        <v>419.08000000000004</v>
      </c>
      <c r="D550" s="116">
        <v>415</v>
      </c>
      <c r="E550" s="116">
        <v>421.78999999999996</v>
      </c>
      <c r="F550" s="116">
        <v>2095.4</v>
      </c>
      <c r="G550">
        <v>4926</v>
      </c>
      <c r="H550" s="116"/>
      <c r="I550" s="116"/>
      <c r="L550" s="170">
        <v>42811</v>
      </c>
      <c r="M550" s="116">
        <v>418.8</v>
      </c>
      <c r="N550" s="116">
        <v>423.93999999999994</v>
      </c>
      <c r="O550" s="116">
        <v>415.2</v>
      </c>
      <c r="P550" s="116">
        <v>420</v>
      </c>
      <c r="Q550" s="116">
        <v>2094</v>
      </c>
      <c r="R550">
        <v>29843</v>
      </c>
    </row>
    <row r="551" spans="1:18" x14ac:dyDescent="0.25">
      <c r="A551" s="170">
        <v>42814</v>
      </c>
      <c r="B551" s="116">
        <v>431.4</v>
      </c>
      <c r="C551" s="116">
        <v>417.93999999999994</v>
      </c>
      <c r="D551" s="116">
        <v>415.03000000000003</v>
      </c>
      <c r="E551" s="116">
        <v>420</v>
      </c>
      <c r="F551" s="116">
        <v>2089.6999999999998</v>
      </c>
      <c r="G551">
        <v>9463</v>
      </c>
      <c r="H551" s="116"/>
      <c r="I551" s="116"/>
      <c r="L551" s="170">
        <v>42814</v>
      </c>
      <c r="M551" s="116">
        <v>418.16</v>
      </c>
      <c r="N551" s="116">
        <v>431.18</v>
      </c>
      <c r="O551" s="116">
        <v>415.2</v>
      </c>
      <c r="P551" s="116">
        <v>419.6</v>
      </c>
      <c r="Q551" s="116">
        <v>2090.8000000000002</v>
      </c>
      <c r="R551">
        <v>105262</v>
      </c>
    </row>
    <row r="552" spans="1:18" x14ac:dyDescent="0.25">
      <c r="A552" s="170">
        <v>42815</v>
      </c>
      <c r="B552" s="116">
        <v>421.98999999999995</v>
      </c>
      <c r="C552" s="116">
        <v>420.06000000000006</v>
      </c>
      <c r="D552" s="116">
        <v>407.55</v>
      </c>
      <c r="E552" s="116">
        <v>417.95</v>
      </c>
      <c r="F552" s="116">
        <v>2100.3000000000002</v>
      </c>
      <c r="G552">
        <v>12813</v>
      </c>
      <c r="H552" s="116"/>
      <c r="I552" s="116"/>
      <c r="L552" s="170">
        <v>42815</v>
      </c>
      <c r="M552" s="116">
        <v>419.8</v>
      </c>
      <c r="N552" s="116">
        <v>422.2</v>
      </c>
      <c r="O552" s="116">
        <v>407.77</v>
      </c>
      <c r="P552" s="116">
        <v>417.98</v>
      </c>
      <c r="Q552" s="116">
        <v>2099</v>
      </c>
      <c r="R552">
        <v>57762</v>
      </c>
    </row>
    <row r="553" spans="1:18" x14ac:dyDescent="0.25">
      <c r="A553" s="170">
        <v>42816</v>
      </c>
      <c r="B553" s="116">
        <v>421.2</v>
      </c>
      <c r="C553" s="116">
        <v>416.03000000000003</v>
      </c>
      <c r="D553" s="116">
        <v>414.2</v>
      </c>
      <c r="E553" s="116">
        <v>415.46999999999997</v>
      </c>
      <c r="F553" s="116">
        <v>2080.15</v>
      </c>
      <c r="G553">
        <v>21593</v>
      </c>
      <c r="H553" s="116"/>
      <c r="I553" s="116"/>
      <c r="L553" s="170">
        <v>42816</v>
      </c>
      <c r="M553" s="116">
        <v>416.63</v>
      </c>
      <c r="N553" s="116">
        <v>421.2</v>
      </c>
      <c r="O553" s="116">
        <v>412.23999999999995</v>
      </c>
      <c r="P553" s="116">
        <v>417.6</v>
      </c>
      <c r="Q553" s="116">
        <v>2083.15</v>
      </c>
      <c r="R553">
        <v>172149</v>
      </c>
    </row>
    <row r="554" spans="1:18" x14ac:dyDescent="0.25">
      <c r="A554" s="170">
        <v>42817</v>
      </c>
      <c r="B554" s="116">
        <v>421.8</v>
      </c>
      <c r="C554" s="116">
        <v>414.18</v>
      </c>
      <c r="D554" s="116">
        <v>412.2</v>
      </c>
      <c r="E554" s="116">
        <v>419.05</v>
      </c>
      <c r="F554" s="116">
        <v>2070.9</v>
      </c>
      <c r="G554">
        <v>26513</v>
      </c>
      <c r="H554" s="116"/>
      <c r="I554" s="116"/>
      <c r="L554" s="170">
        <v>42817</v>
      </c>
      <c r="M554" s="116">
        <v>413.68999999999994</v>
      </c>
      <c r="N554" s="116">
        <v>421.95</v>
      </c>
      <c r="O554" s="116">
        <v>412.41999999999996</v>
      </c>
      <c r="P554" s="116">
        <v>416.62</v>
      </c>
      <c r="Q554" s="116">
        <v>2068.4499999999998</v>
      </c>
      <c r="R554">
        <v>163631</v>
      </c>
    </row>
    <row r="555" spans="1:18" x14ac:dyDescent="0.25">
      <c r="A555" s="170">
        <v>42818</v>
      </c>
      <c r="B555" s="116">
        <v>421.31000000000006</v>
      </c>
      <c r="C555" s="116">
        <v>412.91999999999996</v>
      </c>
      <c r="D555" s="116">
        <v>410</v>
      </c>
      <c r="E555" s="116">
        <v>416.32</v>
      </c>
      <c r="F555" s="116">
        <v>2064.6</v>
      </c>
      <c r="G555">
        <v>29723</v>
      </c>
      <c r="H555" s="116"/>
      <c r="I555" s="116"/>
      <c r="L555" s="170">
        <v>42818</v>
      </c>
      <c r="M555" s="116">
        <v>416.03000000000003</v>
      </c>
      <c r="N555" s="116">
        <v>421.4</v>
      </c>
      <c r="O555" s="116">
        <v>412.2</v>
      </c>
      <c r="P555" s="116">
        <v>414.13</v>
      </c>
      <c r="Q555" s="116">
        <v>2080.15</v>
      </c>
      <c r="R555">
        <v>190948</v>
      </c>
    </row>
    <row r="556" spans="1:18" x14ac:dyDescent="0.25">
      <c r="A556" s="170">
        <v>42821</v>
      </c>
      <c r="B556" s="116">
        <v>418.8</v>
      </c>
      <c r="C556" s="116">
        <v>413.93</v>
      </c>
      <c r="D556" s="116">
        <v>408.88</v>
      </c>
      <c r="E556" s="116">
        <v>417.83000000000004</v>
      </c>
      <c r="F556" s="116">
        <v>2069.65</v>
      </c>
      <c r="G556">
        <v>2288</v>
      </c>
      <c r="H556" s="116"/>
      <c r="I556" s="116"/>
      <c r="L556" s="170">
        <v>42821</v>
      </c>
      <c r="M556" s="116">
        <v>416.16999999999996</v>
      </c>
      <c r="N556" s="116">
        <v>419</v>
      </c>
      <c r="O556" s="116">
        <v>408.43</v>
      </c>
      <c r="P556" s="116">
        <v>418.4</v>
      </c>
      <c r="Q556" s="116">
        <v>2080.85</v>
      </c>
      <c r="R556">
        <v>121796</v>
      </c>
    </row>
    <row r="557" spans="1:18" x14ac:dyDescent="0.25">
      <c r="A557" s="170">
        <v>42822</v>
      </c>
      <c r="B557" s="116">
        <v>418.6</v>
      </c>
      <c r="C557" s="116">
        <v>414.16</v>
      </c>
      <c r="D557" s="116">
        <v>412.46000000000004</v>
      </c>
      <c r="E557" s="116">
        <v>416.39</v>
      </c>
      <c r="F557" s="116">
        <v>2070.8000000000002</v>
      </c>
      <c r="G557">
        <v>2888</v>
      </c>
      <c r="H557" s="116"/>
      <c r="I557" s="116"/>
      <c r="L557" s="170">
        <v>42822</v>
      </c>
      <c r="M557" s="116">
        <v>415.05</v>
      </c>
      <c r="N557" s="116">
        <v>420</v>
      </c>
      <c r="O557" s="116">
        <v>412.73999999999995</v>
      </c>
      <c r="P557" s="116">
        <v>417.4</v>
      </c>
      <c r="Q557" s="116">
        <v>2075.25</v>
      </c>
      <c r="R557">
        <v>52670</v>
      </c>
    </row>
    <row r="558" spans="1:18" x14ac:dyDescent="0.25">
      <c r="A558" s="170">
        <v>42823</v>
      </c>
      <c r="B558" s="116">
        <v>417.06000000000006</v>
      </c>
      <c r="C558" s="116">
        <v>412.8</v>
      </c>
      <c r="D558" s="116">
        <v>410.91</v>
      </c>
      <c r="E558" s="116">
        <v>416.45</v>
      </c>
      <c r="F558" s="116">
        <v>2064</v>
      </c>
      <c r="G558">
        <v>1584</v>
      </c>
      <c r="H558" s="116"/>
      <c r="I558" s="116"/>
      <c r="L558" s="170">
        <v>42823</v>
      </c>
      <c r="M558" s="116">
        <v>414.38</v>
      </c>
      <c r="N558" s="116">
        <v>417.93999999999994</v>
      </c>
      <c r="O558" s="116">
        <v>411</v>
      </c>
      <c r="P558" s="116">
        <v>417.8</v>
      </c>
      <c r="Q558" s="116">
        <v>2071.9</v>
      </c>
      <c r="R558">
        <v>165925</v>
      </c>
    </row>
    <row r="559" spans="1:18" x14ac:dyDescent="0.25">
      <c r="A559" s="170">
        <v>42824</v>
      </c>
      <c r="B559" s="116">
        <v>419.78999999999996</v>
      </c>
      <c r="C559" s="116">
        <v>417.98999999999995</v>
      </c>
      <c r="D559" s="116">
        <v>413.87</v>
      </c>
      <c r="E559" s="116">
        <v>414.28000000000003</v>
      </c>
      <c r="F559" s="116">
        <v>2089.9499999999998</v>
      </c>
      <c r="G559">
        <v>2091</v>
      </c>
      <c r="H559" s="116"/>
      <c r="I559" s="116"/>
      <c r="L559" s="170">
        <v>42824</v>
      </c>
      <c r="M559" s="116">
        <v>418.39</v>
      </c>
      <c r="N559" s="116">
        <v>420</v>
      </c>
      <c r="O559" s="116">
        <v>412.25</v>
      </c>
      <c r="P559" s="116">
        <v>413.71999999999997</v>
      </c>
      <c r="Q559" s="116">
        <v>2091.9499999999998</v>
      </c>
      <c r="R559">
        <v>27354</v>
      </c>
    </row>
    <row r="560" spans="1:18" x14ac:dyDescent="0.25">
      <c r="A560" s="170">
        <v>42825</v>
      </c>
      <c r="B560" s="116">
        <v>424.98999999999995</v>
      </c>
      <c r="C560" s="116">
        <v>423.25</v>
      </c>
      <c r="D560" s="116">
        <v>413.21000000000004</v>
      </c>
      <c r="E560" s="116">
        <v>417.98999999999995</v>
      </c>
      <c r="F560" s="116">
        <v>2116.25</v>
      </c>
      <c r="G560">
        <v>3040</v>
      </c>
      <c r="H560" s="116"/>
      <c r="I560" s="116"/>
      <c r="L560" s="170">
        <v>42825</v>
      </c>
      <c r="M560" s="116">
        <v>424.28999999999996</v>
      </c>
      <c r="N560" s="116">
        <v>425.9</v>
      </c>
      <c r="O560" s="116">
        <v>414.21000000000004</v>
      </c>
      <c r="P560" s="116">
        <v>418.53999999999996</v>
      </c>
      <c r="Q560" s="116">
        <v>2121.4499999999998</v>
      </c>
      <c r="R560">
        <v>36974</v>
      </c>
    </row>
    <row r="561" spans="1:18" x14ac:dyDescent="0.25">
      <c r="A561" s="170">
        <v>42828</v>
      </c>
      <c r="B561" s="116">
        <v>474</v>
      </c>
      <c r="C561" s="116">
        <v>464.31000000000006</v>
      </c>
      <c r="D561" s="116">
        <v>422.4</v>
      </c>
      <c r="E561" s="116">
        <v>424</v>
      </c>
      <c r="F561" s="116">
        <v>2321.5500000000002</v>
      </c>
      <c r="G561">
        <v>28313</v>
      </c>
      <c r="H561" s="116"/>
      <c r="I561" s="116"/>
      <c r="L561" s="170">
        <v>42828</v>
      </c>
      <c r="M561" s="116">
        <v>464.86</v>
      </c>
      <c r="N561" s="116">
        <v>474.59</v>
      </c>
      <c r="O561" s="116">
        <v>420.71999999999997</v>
      </c>
      <c r="P561" s="116">
        <v>427</v>
      </c>
      <c r="Q561" s="116">
        <v>2324.3000000000002</v>
      </c>
      <c r="R561">
        <v>246496</v>
      </c>
    </row>
    <row r="562" spans="1:18" x14ac:dyDescent="0.25">
      <c r="A562" s="170">
        <v>42830</v>
      </c>
      <c r="B562" s="116">
        <v>470.8</v>
      </c>
      <c r="C562" s="116">
        <v>465.4</v>
      </c>
      <c r="D562" s="116">
        <v>462</v>
      </c>
      <c r="E562" s="116">
        <v>465</v>
      </c>
      <c r="F562" s="116">
        <v>2327</v>
      </c>
      <c r="G562">
        <v>6992</v>
      </c>
      <c r="H562" s="116"/>
      <c r="I562" s="116"/>
      <c r="L562" s="170">
        <v>42830</v>
      </c>
      <c r="M562" s="116">
        <v>466.55</v>
      </c>
      <c r="N562" s="116">
        <v>470.8</v>
      </c>
      <c r="O562" s="116">
        <v>461.13</v>
      </c>
      <c r="P562" s="116">
        <v>467.76000000000005</v>
      </c>
      <c r="Q562" s="116">
        <v>2332.75</v>
      </c>
      <c r="R562">
        <v>78157</v>
      </c>
    </row>
    <row r="563" spans="1:18" x14ac:dyDescent="0.25">
      <c r="A563" s="170">
        <v>42831</v>
      </c>
      <c r="B563" s="116">
        <v>479.91999999999996</v>
      </c>
      <c r="C563" s="116">
        <v>468.41</v>
      </c>
      <c r="D563" s="116">
        <v>463.46999999999997</v>
      </c>
      <c r="E563" s="116">
        <v>463.46999999999997</v>
      </c>
      <c r="F563" s="116">
        <v>2342.0500000000002</v>
      </c>
      <c r="G563">
        <v>15946</v>
      </c>
      <c r="H563" s="116"/>
      <c r="I563" s="116"/>
      <c r="L563" s="170">
        <v>42831</v>
      </c>
      <c r="M563" s="116">
        <v>470.06000000000006</v>
      </c>
      <c r="N563" s="116">
        <v>478.8</v>
      </c>
      <c r="O563" s="116">
        <v>463.93</v>
      </c>
      <c r="P563" s="116">
        <v>467</v>
      </c>
      <c r="Q563" s="116">
        <v>2350.3000000000002</v>
      </c>
      <c r="R563">
        <v>125603</v>
      </c>
    </row>
    <row r="564" spans="1:18" x14ac:dyDescent="0.25">
      <c r="A564" s="170">
        <v>42832</v>
      </c>
      <c r="B564" s="116">
        <v>477.4</v>
      </c>
      <c r="C564" s="116">
        <v>466.33000000000004</v>
      </c>
      <c r="D564" s="116">
        <v>460.2</v>
      </c>
      <c r="E564" s="116">
        <v>466.56000000000006</v>
      </c>
      <c r="F564" s="116">
        <v>2331.65</v>
      </c>
      <c r="G564">
        <v>7249</v>
      </c>
      <c r="H564" s="116"/>
      <c r="I564" s="116"/>
      <c r="L564" s="170">
        <v>42832</v>
      </c>
      <c r="M564" s="116">
        <v>467.81000000000006</v>
      </c>
      <c r="N564" s="116">
        <v>477.6</v>
      </c>
      <c r="O564" s="116">
        <v>465</v>
      </c>
      <c r="P564" s="116">
        <v>469.4</v>
      </c>
      <c r="Q564" s="116">
        <v>2339.0500000000002</v>
      </c>
      <c r="R564">
        <v>58608</v>
      </c>
    </row>
    <row r="565" spans="1:18" x14ac:dyDescent="0.25">
      <c r="A565" s="170">
        <v>42835</v>
      </c>
      <c r="B565" s="116">
        <v>470.2</v>
      </c>
      <c r="C565" s="116">
        <v>467.93</v>
      </c>
      <c r="D565" s="116">
        <v>464</v>
      </c>
      <c r="E565" s="116">
        <v>468</v>
      </c>
      <c r="F565" s="116">
        <v>2339.65</v>
      </c>
      <c r="G565">
        <v>2142</v>
      </c>
      <c r="H565" s="116"/>
      <c r="I565" s="116"/>
      <c r="L565" s="170">
        <v>42835</v>
      </c>
      <c r="M565" s="116">
        <v>467.78999999999996</v>
      </c>
      <c r="N565" s="116">
        <v>471.18</v>
      </c>
      <c r="O565" s="116">
        <v>464</v>
      </c>
      <c r="P565" s="116">
        <v>465.02</v>
      </c>
      <c r="Q565" s="116">
        <v>2338.9499999999998</v>
      </c>
      <c r="R565">
        <v>33880</v>
      </c>
    </row>
    <row r="566" spans="1:18" x14ac:dyDescent="0.25">
      <c r="A566" s="170">
        <v>42836</v>
      </c>
      <c r="B566" s="116">
        <v>477.6</v>
      </c>
      <c r="C566" s="116">
        <v>473.96999999999997</v>
      </c>
      <c r="D566" s="116">
        <v>466.4</v>
      </c>
      <c r="E566" s="116">
        <v>468.01000000000005</v>
      </c>
      <c r="F566" s="116">
        <v>2369.85</v>
      </c>
      <c r="G566">
        <v>13728</v>
      </c>
      <c r="H566" s="116"/>
      <c r="I566" s="116"/>
      <c r="L566" s="170">
        <v>42836</v>
      </c>
      <c r="M566" s="116">
        <v>473.82</v>
      </c>
      <c r="N566" s="116">
        <v>477.89</v>
      </c>
      <c r="O566" s="116">
        <v>465.4</v>
      </c>
      <c r="P566" s="116">
        <v>467.98999999999995</v>
      </c>
      <c r="Q566" s="116">
        <v>2369.1</v>
      </c>
      <c r="R566">
        <v>112742</v>
      </c>
    </row>
    <row r="567" spans="1:18" x14ac:dyDescent="0.25">
      <c r="A567" s="170">
        <v>42837</v>
      </c>
      <c r="B567" s="116">
        <v>525.6</v>
      </c>
      <c r="C567" s="116">
        <v>512.58999999999992</v>
      </c>
      <c r="D567" s="116">
        <v>476.96000000000004</v>
      </c>
      <c r="E567" s="116">
        <v>477.01000000000005</v>
      </c>
      <c r="F567" s="116">
        <v>2562.9499999999998</v>
      </c>
      <c r="G567">
        <v>51330</v>
      </c>
      <c r="H567" s="116"/>
      <c r="I567" s="116"/>
      <c r="L567" s="170">
        <v>42837</v>
      </c>
      <c r="M567" s="116">
        <v>514.29</v>
      </c>
      <c r="N567" s="116">
        <v>525.4</v>
      </c>
      <c r="O567" s="116">
        <v>476</v>
      </c>
      <c r="P567" s="116">
        <v>476</v>
      </c>
      <c r="Q567" s="116">
        <v>2571.4499999999998</v>
      </c>
      <c r="R567">
        <v>384031</v>
      </c>
    </row>
    <row r="568" spans="1:18" x14ac:dyDescent="0.25">
      <c r="A568" s="170">
        <v>42838</v>
      </c>
      <c r="B568" s="116">
        <v>533.91000000000008</v>
      </c>
      <c r="C568" s="116">
        <v>517.22</v>
      </c>
      <c r="D568" s="116">
        <v>510</v>
      </c>
      <c r="E568" s="116">
        <v>514</v>
      </c>
      <c r="F568" s="116">
        <v>2586.1</v>
      </c>
      <c r="G568">
        <v>25185</v>
      </c>
      <c r="H568" s="116"/>
      <c r="I568" s="116"/>
      <c r="L568" s="170">
        <v>42838</v>
      </c>
      <c r="M568" s="116">
        <v>517.18000000000006</v>
      </c>
      <c r="N568" s="116">
        <v>533.39</v>
      </c>
      <c r="O568" s="116">
        <v>508.6</v>
      </c>
      <c r="P568" s="116">
        <v>519.18999999999994</v>
      </c>
      <c r="Q568" s="116">
        <v>2585.9</v>
      </c>
      <c r="R568">
        <v>222055</v>
      </c>
    </row>
    <row r="569" spans="1:18" x14ac:dyDescent="0.25">
      <c r="A569" s="170">
        <v>42842</v>
      </c>
      <c r="B569" s="116">
        <v>515</v>
      </c>
      <c r="C569" s="116">
        <v>500.06000000000006</v>
      </c>
      <c r="D569" s="116">
        <v>497.2</v>
      </c>
      <c r="E569" s="116">
        <v>512.01</v>
      </c>
      <c r="F569" s="116">
        <v>2500.3000000000002</v>
      </c>
      <c r="G569">
        <v>11475</v>
      </c>
      <c r="H569" s="116"/>
      <c r="I569" s="116"/>
      <c r="L569" s="170">
        <v>42842</v>
      </c>
      <c r="M569" s="116">
        <v>501.45</v>
      </c>
      <c r="N569" s="116">
        <v>515.02</v>
      </c>
      <c r="O569" s="116">
        <v>498</v>
      </c>
      <c r="P569" s="116">
        <v>513.96</v>
      </c>
      <c r="Q569" s="116">
        <v>2507.25</v>
      </c>
      <c r="R569">
        <v>80492</v>
      </c>
    </row>
    <row r="570" spans="1:18" x14ac:dyDescent="0.25">
      <c r="A570" s="170">
        <v>42843</v>
      </c>
      <c r="B570" s="116">
        <v>517.15</v>
      </c>
      <c r="C570" s="116">
        <v>487.11</v>
      </c>
      <c r="D570" s="116">
        <v>480.46999999999997</v>
      </c>
      <c r="E570" s="116">
        <v>508.98999999999995</v>
      </c>
      <c r="F570" s="116">
        <v>2435.5500000000002</v>
      </c>
      <c r="G570">
        <v>7082</v>
      </c>
      <c r="H570" s="116"/>
      <c r="I570" s="116"/>
      <c r="L570" s="170">
        <v>42843</v>
      </c>
      <c r="M570" s="116">
        <v>487.52</v>
      </c>
      <c r="N570" s="116">
        <v>517.26</v>
      </c>
      <c r="O570" s="116">
        <v>480.41999999999996</v>
      </c>
      <c r="P570" s="116">
        <v>502.46999999999997</v>
      </c>
      <c r="Q570" s="116">
        <v>2437.6</v>
      </c>
      <c r="R570">
        <v>89714</v>
      </c>
    </row>
    <row r="571" spans="1:18" x14ac:dyDescent="0.25">
      <c r="A571" s="170">
        <v>42844</v>
      </c>
      <c r="B571" s="116">
        <v>501.2</v>
      </c>
      <c r="C571" s="116">
        <v>496.78000000000003</v>
      </c>
      <c r="D571" s="116">
        <v>482</v>
      </c>
      <c r="E571" s="116">
        <v>488.95</v>
      </c>
      <c r="F571" s="116">
        <v>2483.9</v>
      </c>
      <c r="G571">
        <v>13769</v>
      </c>
      <c r="H571" s="116"/>
      <c r="I571" s="116"/>
      <c r="L571" s="170">
        <v>42844</v>
      </c>
      <c r="M571" s="116">
        <v>496.78999999999996</v>
      </c>
      <c r="N571" s="116">
        <v>501.8</v>
      </c>
      <c r="O571" s="116">
        <v>481.45</v>
      </c>
      <c r="P571" s="116">
        <v>490.98999999999995</v>
      </c>
      <c r="Q571" s="116">
        <v>2483.9499999999998</v>
      </c>
      <c r="R571">
        <v>89103</v>
      </c>
    </row>
    <row r="572" spans="1:18" x14ac:dyDescent="0.25">
      <c r="A572" s="170">
        <v>42845</v>
      </c>
      <c r="B572" s="116">
        <v>509.75</v>
      </c>
      <c r="C572" s="116">
        <v>503.28000000000003</v>
      </c>
      <c r="D572" s="116">
        <v>501.31000000000006</v>
      </c>
      <c r="E572" s="116">
        <v>507.6</v>
      </c>
      <c r="F572" s="116">
        <v>2516.4</v>
      </c>
      <c r="G572">
        <v>10646</v>
      </c>
      <c r="H572" s="116"/>
      <c r="I572" s="116"/>
      <c r="L572" s="170">
        <v>42845</v>
      </c>
      <c r="M572" s="116">
        <v>502.63</v>
      </c>
      <c r="N572" s="116">
        <v>510</v>
      </c>
      <c r="O572" s="116">
        <v>500.4</v>
      </c>
      <c r="P572" s="116">
        <v>503</v>
      </c>
      <c r="Q572" s="116">
        <v>2513.15</v>
      </c>
      <c r="R572">
        <v>84591</v>
      </c>
    </row>
    <row r="573" spans="1:18" x14ac:dyDescent="0.25">
      <c r="A573" s="170">
        <v>42846</v>
      </c>
      <c r="B573" s="116">
        <v>514</v>
      </c>
      <c r="C573" s="116">
        <v>508.91</v>
      </c>
      <c r="D573" s="116">
        <v>499</v>
      </c>
      <c r="E573" s="116">
        <v>507.78999999999996</v>
      </c>
      <c r="F573" s="116">
        <v>2544.5500000000002</v>
      </c>
      <c r="G573">
        <v>9357</v>
      </c>
      <c r="H573" s="116"/>
      <c r="I573" s="116"/>
      <c r="L573" s="170">
        <v>42846</v>
      </c>
      <c r="M573" s="116">
        <v>510.03999999999996</v>
      </c>
      <c r="N573" s="116">
        <v>515.6</v>
      </c>
      <c r="O573" s="116">
        <v>498.91</v>
      </c>
      <c r="P573" s="116">
        <v>504</v>
      </c>
      <c r="Q573" s="116">
        <v>2550.1999999999998</v>
      </c>
      <c r="R573">
        <v>72393</v>
      </c>
    </row>
    <row r="574" spans="1:18" x14ac:dyDescent="0.25">
      <c r="A574" s="170">
        <v>42849</v>
      </c>
      <c r="B574" s="116">
        <v>520</v>
      </c>
      <c r="C574" s="116">
        <v>516.29</v>
      </c>
      <c r="D574" s="116">
        <v>511.02</v>
      </c>
      <c r="E574" s="116">
        <v>515</v>
      </c>
      <c r="F574" s="116">
        <v>2581.4499999999998</v>
      </c>
      <c r="G574">
        <v>8614</v>
      </c>
      <c r="H574" s="116"/>
      <c r="I574" s="116"/>
      <c r="L574" s="170">
        <v>42849</v>
      </c>
      <c r="M574" s="116">
        <v>516.65</v>
      </c>
      <c r="N574" s="116">
        <v>519.43999999999994</v>
      </c>
      <c r="O574" s="116">
        <v>510.4</v>
      </c>
      <c r="P574" s="116">
        <v>510.4</v>
      </c>
      <c r="Q574" s="116">
        <v>2583.25</v>
      </c>
      <c r="R574">
        <v>59629</v>
      </c>
    </row>
    <row r="575" spans="1:18" x14ac:dyDescent="0.25">
      <c r="A575" s="170">
        <v>42850</v>
      </c>
      <c r="B575" s="116">
        <v>530.79999999999995</v>
      </c>
      <c r="C575" s="116">
        <v>516.81000000000006</v>
      </c>
      <c r="D575" s="116">
        <v>511.05</v>
      </c>
      <c r="E575" s="116">
        <v>520</v>
      </c>
      <c r="F575" s="116">
        <v>2584.0500000000002</v>
      </c>
      <c r="G575">
        <v>44126</v>
      </c>
      <c r="H575" s="116"/>
      <c r="I575" s="116"/>
      <c r="L575" s="170">
        <v>42850</v>
      </c>
      <c r="M575" s="116">
        <v>516.88</v>
      </c>
      <c r="N575" s="116">
        <v>531.6</v>
      </c>
      <c r="O575" s="116">
        <v>505</v>
      </c>
      <c r="P575" s="116">
        <v>520</v>
      </c>
      <c r="Q575" s="116">
        <v>2584.4</v>
      </c>
      <c r="R575">
        <v>474020</v>
      </c>
    </row>
    <row r="576" spans="1:18" x14ac:dyDescent="0.25">
      <c r="A576" s="170">
        <v>42851</v>
      </c>
      <c r="B576" s="116">
        <v>523.93000000000006</v>
      </c>
      <c r="C576" s="116">
        <v>508.93</v>
      </c>
      <c r="D576" s="116">
        <v>500.31000000000006</v>
      </c>
      <c r="E576" s="116">
        <v>520</v>
      </c>
      <c r="F576" s="116">
        <v>2544.65</v>
      </c>
      <c r="G576">
        <v>14350</v>
      </c>
      <c r="H576" s="116"/>
      <c r="I576" s="116"/>
      <c r="L576" s="170">
        <v>42851</v>
      </c>
      <c r="M576" s="116">
        <v>509.91999999999996</v>
      </c>
      <c r="N576" s="116">
        <v>523.79999999999995</v>
      </c>
      <c r="O576" s="116">
        <v>506.4</v>
      </c>
      <c r="P576" s="116">
        <v>520.20000000000005</v>
      </c>
      <c r="Q576" s="116">
        <v>2549.6</v>
      </c>
      <c r="R576">
        <v>86177</v>
      </c>
    </row>
    <row r="577" spans="1:18" x14ac:dyDescent="0.25">
      <c r="A577" s="170">
        <v>42852</v>
      </c>
      <c r="B577" s="116">
        <v>523</v>
      </c>
      <c r="C577" s="116">
        <v>519.25</v>
      </c>
      <c r="D577" s="116">
        <v>506.41999999999996</v>
      </c>
      <c r="E577" s="116">
        <v>510.55</v>
      </c>
      <c r="F577" s="116">
        <v>2596.25</v>
      </c>
      <c r="G577">
        <v>11127</v>
      </c>
      <c r="H577" s="116"/>
      <c r="I577" s="116"/>
      <c r="L577" s="170">
        <v>42852</v>
      </c>
      <c r="M577" s="116">
        <v>519.46</v>
      </c>
      <c r="N577" s="116">
        <v>523.6</v>
      </c>
      <c r="O577" s="116">
        <v>506</v>
      </c>
      <c r="P577" s="116">
        <v>511.98</v>
      </c>
      <c r="Q577" s="116">
        <v>2597.3000000000002</v>
      </c>
      <c r="R577">
        <v>179306</v>
      </c>
    </row>
    <row r="578" spans="1:18" x14ac:dyDescent="0.25">
      <c r="A578" s="170">
        <v>42853</v>
      </c>
      <c r="B578" s="116">
        <v>532.77</v>
      </c>
      <c r="C578" s="116">
        <v>523.15</v>
      </c>
      <c r="D578" s="116">
        <v>520</v>
      </c>
      <c r="E578" s="116">
        <v>522</v>
      </c>
      <c r="F578" s="116">
        <v>2615.75</v>
      </c>
      <c r="G578">
        <v>20485</v>
      </c>
      <c r="H578" s="116"/>
      <c r="I578" s="116"/>
      <c r="L578" s="170">
        <v>42853</v>
      </c>
      <c r="M578" s="116">
        <v>523.45000000000005</v>
      </c>
      <c r="N578" s="116">
        <v>533.6</v>
      </c>
      <c r="O578" s="116">
        <v>520.21</v>
      </c>
      <c r="P578" s="116">
        <v>523.58000000000004</v>
      </c>
      <c r="Q578" s="116">
        <v>2617.25</v>
      </c>
      <c r="R578">
        <v>241402</v>
      </c>
    </row>
    <row r="579" spans="1:18" x14ac:dyDescent="0.25">
      <c r="A579" s="170">
        <v>42857</v>
      </c>
      <c r="B579" s="116">
        <v>571</v>
      </c>
      <c r="C579" s="116">
        <v>566.58999999999992</v>
      </c>
      <c r="D579" s="116">
        <v>521.47</v>
      </c>
      <c r="E579" s="116">
        <v>525</v>
      </c>
      <c r="F579" s="116">
        <v>2832.95</v>
      </c>
      <c r="G579">
        <v>59246</v>
      </c>
      <c r="H579" s="116"/>
      <c r="I579" s="116"/>
      <c r="L579" s="170">
        <v>42857</v>
      </c>
      <c r="M579" s="116">
        <v>567.25</v>
      </c>
      <c r="N579" s="116">
        <v>571.79999999999995</v>
      </c>
      <c r="O579" s="116">
        <v>520.79999999999995</v>
      </c>
      <c r="P579" s="116">
        <v>524</v>
      </c>
      <c r="Q579" s="116">
        <v>2836.25</v>
      </c>
      <c r="R579">
        <v>517937</v>
      </c>
    </row>
    <row r="580" spans="1:18" x14ac:dyDescent="0.25">
      <c r="A580" s="170">
        <v>42858</v>
      </c>
      <c r="B580" s="116">
        <v>574.79</v>
      </c>
      <c r="C580" s="116">
        <v>559.98</v>
      </c>
      <c r="D580" s="116">
        <v>554.83999999999992</v>
      </c>
      <c r="E580" s="116">
        <v>574.77</v>
      </c>
      <c r="F580" s="116">
        <v>2799.9</v>
      </c>
      <c r="G580">
        <v>19284</v>
      </c>
      <c r="H580" s="116"/>
      <c r="I580" s="116"/>
      <c r="L580" s="170">
        <v>42858</v>
      </c>
      <c r="M580" s="116">
        <v>561.01</v>
      </c>
      <c r="N580" s="116">
        <v>572.24</v>
      </c>
      <c r="O580" s="116">
        <v>556.21</v>
      </c>
      <c r="P580" s="116">
        <v>570</v>
      </c>
      <c r="Q580" s="116">
        <v>2805.05</v>
      </c>
      <c r="R580">
        <v>161106</v>
      </c>
    </row>
    <row r="581" spans="1:18" x14ac:dyDescent="0.25">
      <c r="A581" s="170">
        <v>42859</v>
      </c>
      <c r="B581" s="116">
        <v>579.4</v>
      </c>
      <c r="C581" s="116">
        <v>568.36</v>
      </c>
      <c r="D581" s="116">
        <v>562.31999999999994</v>
      </c>
      <c r="E581" s="116">
        <v>567.98</v>
      </c>
      <c r="F581" s="116">
        <v>2841.8</v>
      </c>
      <c r="G581">
        <v>20672</v>
      </c>
      <c r="H581" s="116"/>
      <c r="I581" s="116"/>
      <c r="L581" s="170">
        <v>42859</v>
      </c>
      <c r="M581" s="116">
        <v>568.25</v>
      </c>
      <c r="N581" s="116">
        <v>579.99</v>
      </c>
      <c r="O581" s="116">
        <v>562</v>
      </c>
      <c r="P581" s="116">
        <v>562.78</v>
      </c>
      <c r="Q581" s="116">
        <v>2841.25</v>
      </c>
      <c r="R581">
        <v>221317</v>
      </c>
    </row>
    <row r="582" spans="1:18" x14ac:dyDescent="0.25">
      <c r="A582" s="170">
        <v>42860</v>
      </c>
      <c r="B582" s="116">
        <v>574.43999999999994</v>
      </c>
      <c r="C582" s="116">
        <v>566.12</v>
      </c>
      <c r="D582" s="116">
        <v>558.45000000000005</v>
      </c>
      <c r="E582" s="116">
        <v>569.93999999999994</v>
      </c>
      <c r="F582" s="116">
        <v>2830.6</v>
      </c>
      <c r="G582">
        <v>11536</v>
      </c>
      <c r="H582" s="116"/>
      <c r="I582" s="116"/>
      <c r="L582" s="170">
        <v>42860</v>
      </c>
      <c r="M582" s="116">
        <v>567.04999999999995</v>
      </c>
      <c r="N582" s="116">
        <v>575</v>
      </c>
      <c r="O582" s="116">
        <v>558.22</v>
      </c>
      <c r="P582" s="116">
        <v>567.99</v>
      </c>
      <c r="Q582" s="116">
        <v>2835.25</v>
      </c>
      <c r="R582">
        <v>125630</v>
      </c>
    </row>
    <row r="583" spans="1:18" x14ac:dyDescent="0.25">
      <c r="A583" s="170">
        <v>42863</v>
      </c>
      <c r="B583" s="116">
        <v>574.20000000000005</v>
      </c>
      <c r="C583" s="116">
        <v>568.04</v>
      </c>
      <c r="D583" s="116">
        <v>565.08000000000004</v>
      </c>
      <c r="E583" s="116">
        <v>569.98</v>
      </c>
      <c r="F583" s="116">
        <v>2840.2</v>
      </c>
      <c r="G583">
        <v>5881</v>
      </c>
      <c r="H583" s="116"/>
      <c r="I583" s="116"/>
      <c r="L583" s="170">
        <v>42863</v>
      </c>
      <c r="M583" s="116">
        <v>569</v>
      </c>
      <c r="N583" s="116">
        <v>574.51</v>
      </c>
      <c r="O583" s="116">
        <v>566.20000000000005</v>
      </c>
      <c r="P583" s="116">
        <v>569.6</v>
      </c>
      <c r="Q583" s="116">
        <v>2845</v>
      </c>
      <c r="R583">
        <v>68290</v>
      </c>
    </row>
    <row r="584" spans="1:18" x14ac:dyDescent="0.25">
      <c r="A584" s="170">
        <v>42864</v>
      </c>
      <c r="B584" s="116">
        <v>569.98</v>
      </c>
      <c r="C584" s="116">
        <v>559.75</v>
      </c>
      <c r="D584" s="116">
        <v>556</v>
      </c>
      <c r="E584" s="116">
        <v>569</v>
      </c>
      <c r="F584" s="116">
        <v>2798.75</v>
      </c>
      <c r="G584">
        <v>22063</v>
      </c>
      <c r="H584" s="116"/>
      <c r="I584" s="116"/>
      <c r="L584" s="170">
        <v>42864</v>
      </c>
      <c r="M584" s="116">
        <v>558.71</v>
      </c>
      <c r="N584" s="116">
        <v>570.68999999999994</v>
      </c>
      <c r="O584" s="116">
        <v>556.41000000000008</v>
      </c>
      <c r="P584" s="116">
        <v>570.4</v>
      </c>
      <c r="Q584" s="116">
        <v>2793.55</v>
      </c>
      <c r="R584">
        <v>85188</v>
      </c>
    </row>
    <row r="585" spans="1:18" x14ac:dyDescent="0.25">
      <c r="A585" s="170">
        <v>42865</v>
      </c>
      <c r="B585" s="116">
        <v>574.18999999999994</v>
      </c>
      <c r="C585" s="116">
        <v>561.72</v>
      </c>
      <c r="D585" s="116">
        <v>557.08999999999992</v>
      </c>
      <c r="E585" s="116">
        <v>558.20000000000005</v>
      </c>
      <c r="F585" s="116">
        <v>2808.6</v>
      </c>
      <c r="G585">
        <v>10624</v>
      </c>
      <c r="H585" s="116"/>
      <c r="I585" s="116"/>
      <c r="L585" s="170">
        <v>42865</v>
      </c>
      <c r="M585" s="116">
        <v>560.98</v>
      </c>
      <c r="N585" s="116">
        <v>573.6</v>
      </c>
      <c r="O585" s="116">
        <v>556.02</v>
      </c>
      <c r="P585" s="116">
        <v>556.02</v>
      </c>
      <c r="Q585" s="116">
        <v>2804.9</v>
      </c>
      <c r="R585">
        <v>152608</v>
      </c>
    </row>
    <row r="586" spans="1:18" x14ac:dyDescent="0.25">
      <c r="A586" s="170">
        <v>42866</v>
      </c>
      <c r="B586" s="116">
        <v>566</v>
      </c>
      <c r="C586" s="116">
        <v>548.58000000000004</v>
      </c>
      <c r="D586" s="116">
        <v>544.79999999999995</v>
      </c>
      <c r="E586" s="116">
        <v>561.72</v>
      </c>
      <c r="F586" s="116">
        <v>2742.9</v>
      </c>
      <c r="G586">
        <v>8426</v>
      </c>
      <c r="H586" s="116"/>
      <c r="I586" s="116"/>
      <c r="L586" s="170">
        <v>42866</v>
      </c>
      <c r="M586" s="116">
        <v>548.1</v>
      </c>
      <c r="N586" s="116">
        <v>566.58999999999992</v>
      </c>
      <c r="O586" s="116">
        <v>544</v>
      </c>
      <c r="P586" s="116">
        <v>561.49</v>
      </c>
      <c r="Q586" s="116">
        <v>2740.5</v>
      </c>
      <c r="R586">
        <v>111819</v>
      </c>
    </row>
    <row r="587" spans="1:18" x14ac:dyDescent="0.25">
      <c r="A587" s="170">
        <v>42867</v>
      </c>
      <c r="B587" s="116">
        <v>550.61</v>
      </c>
      <c r="C587" s="116">
        <v>532.25</v>
      </c>
      <c r="D587" s="116">
        <v>527.49</v>
      </c>
      <c r="E587" s="116">
        <v>550</v>
      </c>
      <c r="F587" s="116">
        <v>2661.25</v>
      </c>
      <c r="G587">
        <v>12356</v>
      </c>
      <c r="H587" s="116"/>
      <c r="I587" s="116"/>
      <c r="L587" s="170">
        <v>42867</v>
      </c>
      <c r="M587" s="116">
        <v>532.16999999999996</v>
      </c>
      <c r="N587" s="116">
        <v>550.71</v>
      </c>
      <c r="O587" s="116">
        <v>527</v>
      </c>
      <c r="P587" s="116">
        <v>548.1</v>
      </c>
      <c r="Q587" s="116">
        <v>2660.85</v>
      </c>
      <c r="R587">
        <v>119282</v>
      </c>
    </row>
    <row r="588" spans="1:18" x14ac:dyDescent="0.25">
      <c r="A588" s="170">
        <v>42870</v>
      </c>
      <c r="B588" s="116">
        <v>560.70000000000005</v>
      </c>
      <c r="C588" s="116">
        <v>556.48</v>
      </c>
      <c r="D588" s="116">
        <v>538.1</v>
      </c>
      <c r="E588" s="116">
        <v>539.79999999999995</v>
      </c>
      <c r="F588" s="116">
        <v>2782.4</v>
      </c>
      <c r="G588">
        <v>12166</v>
      </c>
      <c r="H588" s="116"/>
      <c r="I588" s="116"/>
      <c r="L588" s="170">
        <v>42870</v>
      </c>
      <c r="M588" s="116">
        <v>556.46</v>
      </c>
      <c r="N588" s="116">
        <v>561.58000000000004</v>
      </c>
      <c r="O588" s="116">
        <v>537.99</v>
      </c>
      <c r="P588" s="116">
        <v>537.99</v>
      </c>
      <c r="Q588" s="116">
        <v>2782.3</v>
      </c>
      <c r="R588">
        <v>179276</v>
      </c>
    </row>
    <row r="589" spans="1:18" x14ac:dyDescent="0.25">
      <c r="A589" s="170">
        <v>42871</v>
      </c>
      <c r="B589" s="116">
        <v>560.36</v>
      </c>
      <c r="C589" s="116">
        <v>551.81999999999994</v>
      </c>
      <c r="D589" s="116">
        <v>547.49</v>
      </c>
      <c r="E589" s="116">
        <v>560.08999999999992</v>
      </c>
      <c r="F589" s="116">
        <v>2759.1</v>
      </c>
      <c r="G589">
        <v>5049</v>
      </c>
      <c r="H589" s="116"/>
      <c r="I589" s="116"/>
      <c r="L589" s="170">
        <v>42871</v>
      </c>
      <c r="M589" s="116">
        <v>553.08999999999992</v>
      </c>
      <c r="N589" s="116">
        <v>560</v>
      </c>
      <c r="O589" s="116">
        <v>546.4</v>
      </c>
      <c r="P589" s="116">
        <v>558.79999999999995</v>
      </c>
      <c r="Q589" s="116">
        <v>2765.45</v>
      </c>
      <c r="R589">
        <v>71294</v>
      </c>
    </row>
    <row r="590" spans="1:18" x14ac:dyDescent="0.25">
      <c r="A590" s="170">
        <v>42872</v>
      </c>
      <c r="B590" s="116">
        <v>558.58000000000004</v>
      </c>
      <c r="C590" s="116">
        <v>551.74</v>
      </c>
      <c r="D590" s="116">
        <v>534.79</v>
      </c>
      <c r="E590" s="116">
        <v>555.11</v>
      </c>
      <c r="F590" s="116">
        <v>2758.7</v>
      </c>
      <c r="G590">
        <v>9840</v>
      </c>
      <c r="H590" s="116"/>
      <c r="I590" s="116"/>
      <c r="L590" s="170">
        <v>42872</v>
      </c>
      <c r="M590" s="116">
        <v>551.79</v>
      </c>
      <c r="N590" s="116">
        <v>559.29999999999995</v>
      </c>
      <c r="O590" s="116">
        <v>547.61</v>
      </c>
      <c r="P590" s="116">
        <v>555.4</v>
      </c>
      <c r="Q590" s="116">
        <v>2758.95</v>
      </c>
      <c r="R590">
        <v>109124</v>
      </c>
    </row>
    <row r="591" spans="1:18" x14ac:dyDescent="0.25">
      <c r="A591" s="170">
        <v>42873</v>
      </c>
      <c r="B591" s="116">
        <v>552.87</v>
      </c>
      <c r="C591" s="116">
        <v>534.72</v>
      </c>
      <c r="D591" s="116">
        <v>530</v>
      </c>
      <c r="E591" s="116">
        <v>545.79999999999995</v>
      </c>
      <c r="F591" s="116">
        <v>2673.6</v>
      </c>
      <c r="G591">
        <v>7782</v>
      </c>
      <c r="H591" s="116"/>
      <c r="I591" s="116"/>
      <c r="L591" s="170">
        <v>42873</v>
      </c>
      <c r="M591" s="116">
        <v>534.23</v>
      </c>
      <c r="N591" s="116">
        <v>552.47</v>
      </c>
      <c r="O591" s="116">
        <v>529.79999999999995</v>
      </c>
      <c r="P591" s="116">
        <v>545</v>
      </c>
      <c r="Q591" s="116">
        <v>2671.15</v>
      </c>
      <c r="R591">
        <v>107200</v>
      </c>
    </row>
    <row r="592" spans="1:18" x14ac:dyDescent="0.25">
      <c r="A592" s="170">
        <v>42874</v>
      </c>
      <c r="B592" s="116">
        <v>542.20000000000005</v>
      </c>
      <c r="C592" s="116">
        <v>522.48</v>
      </c>
      <c r="D592" s="116">
        <v>514.79</v>
      </c>
      <c r="E592" s="116">
        <v>534.79999999999995</v>
      </c>
      <c r="F592" s="116">
        <v>2612.4</v>
      </c>
      <c r="G592">
        <v>13584</v>
      </c>
      <c r="H592" s="116"/>
      <c r="I592" s="116"/>
      <c r="L592" s="170">
        <v>42874</v>
      </c>
      <c r="M592" s="116">
        <v>523.91000000000008</v>
      </c>
      <c r="N592" s="116">
        <v>542.79999999999995</v>
      </c>
      <c r="O592" s="116">
        <v>514</v>
      </c>
      <c r="P592" s="116">
        <v>531.41999999999996</v>
      </c>
      <c r="Q592" s="116">
        <v>2619.5500000000002</v>
      </c>
      <c r="R592">
        <v>118052</v>
      </c>
    </row>
    <row r="593" spans="1:18" x14ac:dyDescent="0.25">
      <c r="A593" s="170">
        <v>42877</v>
      </c>
      <c r="B593" s="116">
        <v>529.06999999999994</v>
      </c>
      <c r="C593" s="116">
        <v>505.63</v>
      </c>
      <c r="D593" s="116">
        <v>501.77</v>
      </c>
      <c r="E593" s="116">
        <v>528.35</v>
      </c>
      <c r="F593" s="116">
        <v>2528.15</v>
      </c>
      <c r="G593">
        <v>12369</v>
      </c>
      <c r="H593" s="116"/>
      <c r="I593" s="116"/>
      <c r="L593" s="170">
        <v>42877</v>
      </c>
      <c r="M593" s="116">
        <v>505.57</v>
      </c>
      <c r="N593" s="116">
        <v>530.20000000000005</v>
      </c>
      <c r="O593" s="116">
        <v>501.6</v>
      </c>
      <c r="P593" s="116">
        <v>526.74</v>
      </c>
      <c r="Q593" s="116">
        <v>2527.85</v>
      </c>
      <c r="R593">
        <v>91727</v>
      </c>
    </row>
    <row r="594" spans="1:18" x14ac:dyDescent="0.25">
      <c r="A594" s="170">
        <v>42878</v>
      </c>
      <c r="B594" s="116">
        <v>534.16999999999996</v>
      </c>
      <c r="C594" s="116">
        <v>516.64</v>
      </c>
      <c r="D594" s="116">
        <v>489.4</v>
      </c>
      <c r="E594" s="116">
        <v>512</v>
      </c>
      <c r="F594" s="116">
        <v>2583.1999999999998</v>
      </c>
      <c r="G594">
        <v>27501</v>
      </c>
      <c r="H594" s="116"/>
      <c r="I594" s="116"/>
      <c r="L594" s="170">
        <v>42878</v>
      </c>
      <c r="M594" s="116">
        <v>517.9</v>
      </c>
      <c r="N594" s="116">
        <v>534.79999999999995</v>
      </c>
      <c r="O594" s="116">
        <v>489.03999999999996</v>
      </c>
      <c r="P594" s="116">
        <v>510</v>
      </c>
      <c r="Q594" s="116">
        <v>2589.5</v>
      </c>
      <c r="R594">
        <v>203719</v>
      </c>
    </row>
    <row r="595" spans="1:18" x14ac:dyDescent="0.25">
      <c r="A595" s="170">
        <v>42879</v>
      </c>
      <c r="B595" s="116">
        <v>528.29</v>
      </c>
      <c r="C595" s="116">
        <v>513.22</v>
      </c>
      <c r="D595" s="116">
        <v>506</v>
      </c>
      <c r="E595" s="116">
        <v>520.1</v>
      </c>
      <c r="F595" s="116">
        <v>2566.1</v>
      </c>
      <c r="G595">
        <v>17684</v>
      </c>
      <c r="H595" s="116"/>
      <c r="I595" s="116"/>
      <c r="L595" s="170">
        <v>42879</v>
      </c>
      <c r="M595" s="116">
        <v>514.72</v>
      </c>
      <c r="N595" s="116">
        <v>527.99</v>
      </c>
      <c r="O595" s="116">
        <v>505.41</v>
      </c>
      <c r="P595" s="116">
        <v>519.99</v>
      </c>
      <c r="Q595" s="116">
        <v>2573.6</v>
      </c>
      <c r="R595">
        <v>105887</v>
      </c>
    </row>
    <row r="596" spans="1:18" x14ac:dyDescent="0.25">
      <c r="A596" s="170">
        <v>42880</v>
      </c>
      <c r="B596" s="116">
        <v>531.54999999999995</v>
      </c>
      <c r="C596" s="116">
        <v>527.76</v>
      </c>
      <c r="D596" s="116">
        <v>516.91000000000008</v>
      </c>
      <c r="E596" s="116">
        <v>517.81000000000006</v>
      </c>
      <c r="F596" s="116">
        <v>2638.8</v>
      </c>
      <c r="G596">
        <v>9951</v>
      </c>
      <c r="H596" s="116"/>
      <c r="I596" s="116"/>
      <c r="L596" s="170">
        <v>42880</v>
      </c>
      <c r="M596" s="116">
        <v>528.23</v>
      </c>
      <c r="N596" s="116">
        <v>531.77</v>
      </c>
      <c r="O596" s="116">
        <v>516.01</v>
      </c>
      <c r="P596" s="116">
        <v>519.79999999999995</v>
      </c>
      <c r="Q596" s="116">
        <v>2641.15</v>
      </c>
      <c r="R596">
        <v>84294</v>
      </c>
    </row>
    <row r="597" spans="1:18" x14ac:dyDescent="0.25">
      <c r="A597" s="170">
        <v>42881</v>
      </c>
      <c r="B597" s="116">
        <v>533.66000000000008</v>
      </c>
      <c r="C597" s="116">
        <v>525.9</v>
      </c>
      <c r="D597" s="116">
        <v>513.74</v>
      </c>
      <c r="E597" s="116">
        <v>528</v>
      </c>
      <c r="F597" s="116">
        <v>2629.5</v>
      </c>
      <c r="G597">
        <v>11683</v>
      </c>
      <c r="H597" s="116"/>
      <c r="I597" s="116"/>
      <c r="L597" s="170">
        <v>42881</v>
      </c>
      <c r="M597" s="116">
        <v>526.27</v>
      </c>
      <c r="N597" s="116">
        <v>534.01</v>
      </c>
      <c r="O597" s="116">
        <v>514.04</v>
      </c>
      <c r="P597" s="116">
        <v>527.88</v>
      </c>
      <c r="Q597" s="116">
        <v>2631.35</v>
      </c>
      <c r="R597">
        <v>118527</v>
      </c>
    </row>
    <row r="598" spans="1:18" x14ac:dyDescent="0.25">
      <c r="A598" s="170">
        <v>42884</v>
      </c>
      <c r="B598" s="116">
        <v>532.15</v>
      </c>
      <c r="C598" s="116">
        <v>524.24</v>
      </c>
      <c r="D598" s="116">
        <v>518.31999999999994</v>
      </c>
      <c r="E598" s="116">
        <v>529.79999999999995</v>
      </c>
      <c r="F598" s="116">
        <v>2621.1999999999998</v>
      </c>
      <c r="G598">
        <v>4685</v>
      </c>
      <c r="H598" s="116"/>
      <c r="I598" s="116"/>
      <c r="L598" s="170">
        <v>42884</v>
      </c>
      <c r="M598" s="116">
        <v>524</v>
      </c>
      <c r="N598" s="116">
        <v>532.11</v>
      </c>
      <c r="O598" s="116">
        <v>518</v>
      </c>
      <c r="P598" s="116">
        <v>522</v>
      </c>
      <c r="Q598" s="116">
        <v>2620</v>
      </c>
      <c r="R598">
        <v>62984</v>
      </c>
    </row>
    <row r="599" spans="1:18" x14ac:dyDescent="0.25">
      <c r="A599" s="170">
        <v>42885</v>
      </c>
      <c r="B599" s="116">
        <v>547.20000000000005</v>
      </c>
      <c r="C599" s="116">
        <v>545.5</v>
      </c>
      <c r="D599" s="116">
        <v>521.18999999999994</v>
      </c>
      <c r="E599" s="116">
        <v>521.18999999999994</v>
      </c>
      <c r="F599" s="116">
        <v>2727.5</v>
      </c>
      <c r="G599">
        <v>11759</v>
      </c>
      <c r="H599" s="116"/>
      <c r="I599" s="116"/>
      <c r="L599" s="170">
        <v>42885</v>
      </c>
      <c r="M599" s="116">
        <v>545.54</v>
      </c>
      <c r="N599" s="116">
        <v>547.58000000000004</v>
      </c>
      <c r="O599" s="116">
        <v>521</v>
      </c>
      <c r="P599" s="116">
        <v>522.96</v>
      </c>
      <c r="Q599" s="116">
        <v>2727.7</v>
      </c>
      <c r="R599">
        <v>124961</v>
      </c>
    </row>
    <row r="600" spans="1:18" x14ac:dyDescent="0.25">
      <c r="A600" s="170">
        <v>42886</v>
      </c>
      <c r="B600" s="116">
        <v>550.4</v>
      </c>
      <c r="C600" s="116">
        <v>542.54999999999995</v>
      </c>
      <c r="D600" s="116">
        <v>534</v>
      </c>
      <c r="E600" s="116">
        <v>548</v>
      </c>
      <c r="F600" s="116">
        <v>2712.75</v>
      </c>
      <c r="G600">
        <v>15162</v>
      </c>
      <c r="H600" s="116"/>
      <c r="I600" s="116"/>
      <c r="L600" s="170">
        <v>42886</v>
      </c>
      <c r="M600" s="116">
        <v>542.75</v>
      </c>
      <c r="N600" s="116">
        <v>550.4</v>
      </c>
      <c r="O600" s="116">
        <v>533.72</v>
      </c>
      <c r="P600" s="116">
        <v>546.79999999999995</v>
      </c>
      <c r="Q600" s="116">
        <v>2713.75</v>
      </c>
      <c r="R600">
        <v>170189</v>
      </c>
    </row>
    <row r="601" spans="1:18" x14ac:dyDescent="0.25">
      <c r="A601" s="170">
        <v>42887</v>
      </c>
      <c r="B601" s="116">
        <v>551.41000000000008</v>
      </c>
      <c r="C601" s="116">
        <v>547.65</v>
      </c>
      <c r="D601" s="116">
        <v>542.58000000000004</v>
      </c>
      <c r="E601" s="116">
        <v>542.79999999999995</v>
      </c>
      <c r="F601" s="116">
        <v>2738.25</v>
      </c>
      <c r="G601">
        <v>19088</v>
      </c>
      <c r="H601" s="116"/>
      <c r="I601" s="116"/>
      <c r="L601" s="170">
        <v>42887</v>
      </c>
      <c r="M601" s="116">
        <v>549.08999999999992</v>
      </c>
      <c r="N601" s="116">
        <v>551.79999999999995</v>
      </c>
      <c r="O601" s="116">
        <v>535.75</v>
      </c>
      <c r="P601" s="116">
        <v>539.01</v>
      </c>
      <c r="Q601" s="116">
        <v>2745.45</v>
      </c>
      <c r="R601">
        <v>94569</v>
      </c>
    </row>
    <row r="602" spans="1:18" x14ac:dyDescent="0.25">
      <c r="A602" s="170">
        <v>42888</v>
      </c>
      <c r="B602" s="116">
        <v>551.79999999999995</v>
      </c>
      <c r="C602" s="116">
        <v>544.66000000000008</v>
      </c>
      <c r="D602" s="116">
        <v>543</v>
      </c>
      <c r="E602" s="116">
        <v>551.20000000000005</v>
      </c>
      <c r="F602" s="116">
        <v>2723.3</v>
      </c>
      <c r="G602">
        <v>4396</v>
      </c>
      <c r="H602" s="116"/>
      <c r="I602" s="116"/>
      <c r="L602" s="170">
        <v>42888</v>
      </c>
      <c r="M602" s="116">
        <v>545.31999999999994</v>
      </c>
      <c r="N602" s="116">
        <v>552.99</v>
      </c>
      <c r="O602" s="116">
        <v>544</v>
      </c>
      <c r="P602" s="116">
        <v>552.79999999999995</v>
      </c>
      <c r="Q602" s="116">
        <v>2726.6</v>
      </c>
      <c r="R602">
        <v>48890</v>
      </c>
    </row>
    <row r="603" spans="1:18" x14ac:dyDescent="0.25">
      <c r="A603" s="170">
        <v>42891</v>
      </c>
      <c r="B603" s="116">
        <v>560.06000000000006</v>
      </c>
      <c r="C603" s="116">
        <v>555.22</v>
      </c>
      <c r="D603" s="116">
        <v>547.16999999999996</v>
      </c>
      <c r="E603" s="116">
        <v>550</v>
      </c>
      <c r="F603" s="116">
        <v>2776.1</v>
      </c>
      <c r="G603">
        <v>13894</v>
      </c>
      <c r="H603" s="116"/>
      <c r="I603" s="116"/>
      <c r="L603" s="170">
        <v>42891</v>
      </c>
      <c r="M603" s="116">
        <v>556.99</v>
      </c>
      <c r="N603" s="116">
        <v>560</v>
      </c>
      <c r="O603" s="116">
        <v>547</v>
      </c>
      <c r="P603" s="116">
        <v>550.4</v>
      </c>
      <c r="Q603" s="116">
        <v>2784.95</v>
      </c>
      <c r="R603">
        <v>99492</v>
      </c>
    </row>
    <row r="604" spans="1:18" x14ac:dyDescent="0.25">
      <c r="A604" s="170">
        <v>42892</v>
      </c>
      <c r="B604" s="116">
        <v>559.46</v>
      </c>
      <c r="C604" s="116">
        <v>553.26</v>
      </c>
      <c r="D604" s="116">
        <v>547</v>
      </c>
      <c r="E604" s="116">
        <v>558.6</v>
      </c>
      <c r="F604" s="116">
        <v>2766.3</v>
      </c>
      <c r="G604">
        <v>5628</v>
      </c>
      <c r="H604" s="116"/>
      <c r="I604" s="116"/>
      <c r="L604" s="170">
        <v>42892</v>
      </c>
      <c r="M604" s="116">
        <v>553.81999999999994</v>
      </c>
      <c r="N604" s="116">
        <v>559.96</v>
      </c>
      <c r="O604" s="116">
        <v>546.79999999999995</v>
      </c>
      <c r="P604" s="116">
        <v>555.4</v>
      </c>
      <c r="Q604" s="116">
        <v>2769.1</v>
      </c>
      <c r="R604">
        <v>46533</v>
      </c>
    </row>
    <row r="605" spans="1:18" x14ac:dyDescent="0.25">
      <c r="A605" s="170">
        <v>42893</v>
      </c>
      <c r="B605" s="116">
        <v>589</v>
      </c>
      <c r="C605" s="116">
        <v>582.18000000000006</v>
      </c>
      <c r="D605" s="116">
        <v>553.18999999999994</v>
      </c>
      <c r="E605" s="116">
        <v>553.9</v>
      </c>
      <c r="F605" s="116">
        <v>2910.9</v>
      </c>
      <c r="G605">
        <v>33964</v>
      </c>
      <c r="H605" s="116"/>
      <c r="I605" s="116"/>
      <c r="L605" s="170">
        <v>42893</v>
      </c>
      <c r="M605" s="116">
        <v>581.65</v>
      </c>
      <c r="N605" s="116">
        <v>589.41000000000008</v>
      </c>
      <c r="O605" s="116">
        <v>553.16999999999996</v>
      </c>
      <c r="P605" s="116">
        <v>554.4</v>
      </c>
      <c r="Q605" s="116">
        <v>2908.25</v>
      </c>
      <c r="R605">
        <v>375804</v>
      </c>
    </row>
    <row r="606" spans="1:18" x14ac:dyDescent="0.25">
      <c r="A606" s="170">
        <v>42894</v>
      </c>
      <c r="B606" s="116">
        <v>588.79999999999995</v>
      </c>
      <c r="C606" s="116">
        <v>578.81000000000006</v>
      </c>
      <c r="D606" s="116">
        <v>575.20000000000005</v>
      </c>
      <c r="E606" s="116">
        <v>588.79999999999995</v>
      </c>
      <c r="F606" s="116">
        <v>2894.05</v>
      </c>
      <c r="G606">
        <v>13315</v>
      </c>
      <c r="H606" s="116"/>
      <c r="I606" s="116"/>
      <c r="L606" s="170">
        <v>42894</v>
      </c>
      <c r="M606" s="116">
        <v>580.01</v>
      </c>
      <c r="N606" s="116">
        <v>588.01</v>
      </c>
      <c r="O606" s="116">
        <v>574</v>
      </c>
      <c r="P606" s="116">
        <v>587.6</v>
      </c>
      <c r="Q606" s="116">
        <v>2900.05</v>
      </c>
      <c r="R606">
        <v>152775</v>
      </c>
    </row>
    <row r="607" spans="1:18" x14ac:dyDescent="0.25">
      <c r="A607" s="170">
        <v>42895</v>
      </c>
      <c r="B607" s="116">
        <v>601.5</v>
      </c>
      <c r="C607" s="116">
        <v>597.65</v>
      </c>
      <c r="D607" s="116">
        <v>574.53</v>
      </c>
      <c r="E607" s="116">
        <v>578</v>
      </c>
      <c r="F607" s="116">
        <v>2988.25</v>
      </c>
      <c r="G607">
        <v>23335</v>
      </c>
      <c r="H607" s="116"/>
      <c r="I607" s="116"/>
      <c r="L607" s="170">
        <v>42895</v>
      </c>
      <c r="M607" s="116">
        <v>597.89</v>
      </c>
      <c r="N607" s="116">
        <v>602</v>
      </c>
      <c r="O607" s="116">
        <v>574.22</v>
      </c>
      <c r="P607" s="116">
        <v>581.76</v>
      </c>
      <c r="Q607" s="116">
        <v>2989.45</v>
      </c>
      <c r="R607">
        <v>199674</v>
      </c>
    </row>
    <row r="608" spans="1:18" x14ac:dyDescent="0.25">
      <c r="A608" s="170">
        <v>42898</v>
      </c>
      <c r="B608" s="116">
        <v>615.6</v>
      </c>
      <c r="C608" s="116">
        <v>605.21</v>
      </c>
      <c r="D608" s="116">
        <v>597.81999999999994</v>
      </c>
      <c r="E608" s="116">
        <v>599</v>
      </c>
      <c r="F608" s="116">
        <v>3026.05</v>
      </c>
      <c r="G608">
        <v>39194</v>
      </c>
      <c r="H608" s="116"/>
      <c r="I608" s="116"/>
      <c r="L608" s="170">
        <v>42898</v>
      </c>
      <c r="M608" s="116">
        <v>604.96</v>
      </c>
      <c r="N608" s="116">
        <v>615.20000000000005</v>
      </c>
      <c r="O608" s="116">
        <v>597.38</v>
      </c>
      <c r="P608" s="116">
        <v>597.4</v>
      </c>
      <c r="Q608" s="116">
        <v>3024.8</v>
      </c>
      <c r="R608">
        <v>299499</v>
      </c>
    </row>
    <row r="609" spans="1:18" x14ac:dyDescent="0.25">
      <c r="A609" s="170">
        <v>42899</v>
      </c>
      <c r="B609" s="116">
        <v>618.73</v>
      </c>
      <c r="C609" s="116">
        <v>610.47</v>
      </c>
      <c r="D609" s="116">
        <v>605</v>
      </c>
      <c r="E609" s="116">
        <v>616</v>
      </c>
      <c r="F609" s="116">
        <v>3052.35</v>
      </c>
      <c r="G609">
        <v>26627</v>
      </c>
      <c r="H609" s="116"/>
      <c r="I609" s="116"/>
      <c r="L609" s="170">
        <v>42899</v>
      </c>
      <c r="M609" s="116">
        <v>610.93999999999994</v>
      </c>
      <c r="N609" s="116">
        <v>619</v>
      </c>
      <c r="O609" s="116">
        <v>604.1</v>
      </c>
      <c r="P609" s="116">
        <v>604.79999999999995</v>
      </c>
      <c r="Q609" s="116">
        <v>3054.7</v>
      </c>
      <c r="R609">
        <v>150189</v>
      </c>
    </row>
    <row r="610" spans="1:18" x14ac:dyDescent="0.25">
      <c r="A610" s="170">
        <v>42900</v>
      </c>
      <c r="B610" s="116">
        <v>616.99</v>
      </c>
      <c r="C610" s="116">
        <v>612.25</v>
      </c>
      <c r="D610" s="116">
        <v>605.33999999999992</v>
      </c>
      <c r="E610" s="116">
        <v>614.76</v>
      </c>
      <c r="F610" s="116">
        <v>3061.25</v>
      </c>
      <c r="G610">
        <v>7836</v>
      </c>
      <c r="H610" s="116"/>
      <c r="I610" s="116"/>
      <c r="L610" s="170">
        <v>42900</v>
      </c>
      <c r="M610" s="116">
        <v>613.04</v>
      </c>
      <c r="N610" s="116">
        <v>616</v>
      </c>
      <c r="O610" s="116">
        <v>604.70000000000005</v>
      </c>
      <c r="P610" s="116">
        <v>611.22</v>
      </c>
      <c r="Q610" s="116">
        <v>3065.2</v>
      </c>
      <c r="R610">
        <v>84799</v>
      </c>
    </row>
    <row r="611" spans="1:18" x14ac:dyDescent="0.25">
      <c r="A611" s="170">
        <v>42901</v>
      </c>
      <c r="B611" s="116">
        <v>629.37</v>
      </c>
      <c r="C611" s="116">
        <v>625.88</v>
      </c>
      <c r="D611" s="116">
        <v>613</v>
      </c>
      <c r="E611" s="116">
        <v>613.56000000000006</v>
      </c>
      <c r="F611" s="116">
        <v>3129.4</v>
      </c>
      <c r="G611">
        <v>12937</v>
      </c>
      <c r="H611" s="116"/>
      <c r="I611" s="116"/>
      <c r="L611" s="170">
        <v>42901</v>
      </c>
      <c r="M611" s="116">
        <v>624.38</v>
      </c>
      <c r="N611" s="116">
        <v>629.79999999999995</v>
      </c>
      <c r="O611" s="116">
        <v>612.22</v>
      </c>
      <c r="P611" s="116">
        <v>614.79999999999995</v>
      </c>
      <c r="Q611" s="116">
        <v>3121.9</v>
      </c>
      <c r="R611">
        <v>158480</v>
      </c>
    </row>
    <row r="612" spans="1:18" x14ac:dyDescent="0.25">
      <c r="A612" s="170">
        <v>42902</v>
      </c>
      <c r="B612" s="116">
        <v>632.89</v>
      </c>
      <c r="C612" s="116">
        <v>628.74</v>
      </c>
      <c r="D612" s="116">
        <v>623.73</v>
      </c>
      <c r="E612" s="116">
        <v>627</v>
      </c>
      <c r="F612" s="116">
        <v>3143.7</v>
      </c>
      <c r="G612">
        <v>13144</v>
      </c>
      <c r="H612" s="116"/>
      <c r="I612" s="116"/>
      <c r="L612" s="170">
        <v>42902</v>
      </c>
      <c r="M612" s="116">
        <v>628.24</v>
      </c>
      <c r="N612" s="116">
        <v>632.91999999999996</v>
      </c>
      <c r="O612" s="116">
        <v>624.4</v>
      </c>
      <c r="P612" s="116">
        <v>628</v>
      </c>
      <c r="Q612" s="116">
        <v>3141.2</v>
      </c>
      <c r="R612">
        <v>102674</v>
      </c>
    </row>
    <row r="613" spans="1:18" x14ac:dyDescent="0.25">
      <c r="A613" s="170">
        <v>42905</v>
      </c>
      <c r="B613" s="116">
        <v>639</v>
      </c>
      <c r="C613" s="116">
        <v>626.54999999999995</v>
      </c>
      <c r="D613" s="116">
        <v>624.01</v>
      </c>
      <c r="E613" s="116">
        <v>639</v>
      </c>
      <c r="F613" s="116">
        <v>3132.75</v>
      </c>
      <c r="G613">
        <v>7931</v>
      </c>
      <c r="H613" s="116"/>
      <c r="I613" s="116"/>
      <c r="L613" s="170">
        <v>42905</v>
      </c>
      <c r="M613" s="116">
        <v>627.27</v>
      </c>
      <c r="N613" s="116">
        <v>634</v>
      </c>
      <c r="O613" s="116">
        <v>623.41000000000008</v>
      </c>
      <c r="P613" s="116">
        <v>634</v>
      </c>
      <c r="Q613" s="116">
        <v>3136.35</v>
      </c>
      <c r="R613">
        <v>73387</v>
      </c>
    </row>
    <row r="614" spans="1:18" x14ac:dyDescent="0.25">
      <c r="A614" s="170">
        <v>42906</v>
      </c>
      <c r="B614" s="116">
        <v>643.53</v>
      </c>
      <c r="C614" s="116">
        <v>640.51</v>
      </c>
      <c r="D614" s="116">
        <v>624.47</v>
      </c>
      <c r="E614" s="116">
        <v>628.21</v>
      </c>
      <c r="F614" s="116">
        <v>3202.55</v>
      </c>
      <c r="G614">
        <v>14062</v>
      </c>
      <c r="H614" s="116"/>
      <c r="I614" s="116"/>
      <c r="L614" s="170">
        <v>42906</v>
      </c>
      <c r="M614" s="116">
        <v>639.93999999999994</v>
      </c>
      <c r="N614" s="116">
        <v>643.6</v>
      </c>
      <c r="O614" s="116">
        <v>624.01</v>
      </c>
      <c r="P614" s="116">
        <v>629</v>
      </c>
      <c r="Q614" s="116">
        <v>3199.7</v>
      </c>
      <c r="R614">
        <v>160263</v>
      </c>
    </row>
    <row r="615" spans="1:18" x14ac:dyDescent="0.25">
      <c r="A615" s="170">
        <v>42907</v>
      </c>
      <c r="B615" s="116">
        <v>659.97</v>
      </c>
      <c r="C615" s="116">
        <v>651.91000000000008</v>
      </c>
      <c r="D615" s="116">
        <v>638.37</v>
      </c>
      <c r="E615" s="116">
        <v>645</v>
      </c>
      <c r="F615" s="116">
        <v>3259.55</v>
      </c>
      <c r="G615">
        <v>21855</v>
      </c>
      <c r="H615" s="116"/>
      <c r="I615" s="116"/>
      <c r="L615" s="170">
        <v>42907</v>
      </c>
      <c r="M615" s="116">
        <v>651.93999999999994</v>
      </c>
      <c r="N615" s="116">
        <v>660</v>
      </c>
      <c r="O615" s="116">
        <v>638</v>
      </c>
      <c r="P615" s="116">
        <v>639.79999999999995</v>
      </c>
      <c r="Q615" s="116">
        <v>3259.7</v>
      </c>
      <c r="R615">
        <v>238946</v>
      </c>
    </row>
    <row r="616" spans="1:18" x14ac:dyDescent="0.25">
      <c r="A616" s="170">
        <v>42908</v>
      </c>
      <c r="B616" s="116">
        <v>666.6</v>
      </c>
      <c r="C616" s="116">
        <v>649.97</v>
      </c>
      <c r="D616" s="116">
        <v>645.81000000000006</v>
      </c>
      <c r="E616" s="116">
        <v>656.61</v>
      </c>
      <c r="F616" s="116">
        <v>3249.85</v>
      </c>
      <c r="G616">
        <v>19634</v>
      </c>
      <c r="H616" s="116"/>
      <c r="I616" s="116"/>
      <c r="L616" s="170">
        <v>42908</v>
      </c>
      <c r="M616" s="116">
        <v>650.95000000000005</v>
      </c>
      <c r="N616" s="116">
        <v>666</v>
      </c>
      <c r="O616" s="116">
        <v>646</v>
      </c>
      <c r="P616" s="116">
        <v>658.38</v>
      </c>
      <c r="Q616" s="116">
        <v>3254.75</v>
      </c>
      <c r="R616">
        <v>225633</v>
      </c>
    </row>
    <row r="617" spans="1:18" x14ac:dyDescent="0.25">
      <c r="A617" s="170">
        <v>42909</v>
      </c>
      <c r="B617" s="116">
        <v>656.7</v>
      </c>
      <c r="C617" s="116">
        <v>636.46</v>
      </c>
      <c r="D617" s="116">
        <v>619.06000000000006</v>
      </c>
      <c r="E617" s="116">
        <v>656</v>
      </c>
      <c r="F617" s="116">
        <v>3182.3</v>
      </c>
      <c r="G617">
        <v>35376</v>
      </c>
      <c r="H617" s="116"/>
      <c r="I617" s="116"/>
      <c r="L617" s="170">
        <v>42909</v>
      </c>
      <c r="M617" s="116">
        <v>636.49</v>
      </c>
      <c r="N617" s="116">
        <v>658</v>
      </c>
      <c r="O617" s="116">
        <v>618.66000000000008</v>
      </c>
      <c r="P617" s="116">
        <v>656.12</v>
      </c>
      <c r="Q617" s="116">
        <v>3182.45</v>
      </c>
      <c r="R617">
        <v>396557</v>
      </c>
    </row>
    <row r="618" spans="1:18" x14ac:dyDescent="0.25">
      <c r="A618" s="170">
        <v>42913</v>
      </c>
      <c r="B618" s="116">
        <v>642</v>
      </c>
      <c r="C618" s="116">
        <v>613.37</v>
      </c>
      <c r="D618" s="116">
        <v>609.31000000000006</v>
      </c>
      <c r="E618" s="116">
        <v>641.79999999999995</v>
      </c>
      <c r="F618" s="116">
        <v>3066.85</v>
      </c>
      <c r="G618">
        <v>18155</v>
      </c>
      <c r="H618" s="116"/>
      <c r="I618" s="116"/>
      <c r="L618" s="170">
        <v>42913</v>
      </c>
      <c r="M618" s="116">
        <v>613.25</v>
      </c>
      <c r="N618" s="116">
        <v>635.39</v>
      </c>
      <c r="O618" s="116">
        <v>609.01</v>
      </c>
      <c r="P618" s="116">
        <v>632.01</v>
      </c>
      <c r="Q618" s="116">
        <v>3066.25</v>
      </c>
      <c r="R618">
        <v>147605</v>
      </c>
    </row>
    <row r="619" spans="1:18" x14ac:dyDescent="0.25">
      <c r="A619" s="170">
        <v>42914</v>
      </c>
      <c r="B619" s="116">
        <v>626.41000000000008</v>
      </c>
      <c r="C619" s="116">
        <v>621.65</v>
      </c>
      <c r="D619" s="116">
        <v>601.13</v>
      </c>
      <c r="E619" s="116">
        <v>610.20000000000005</v>
      </c>
      <c r="F619" s="116">
        <v>3108.25</v>
      </c>
      <c r="G619">
        <v>23715</v>
      </c>
      <c r="H619" s="116"/>
      <c r="I619" s="116"/>
      <c r="L619" s="170">
        <v>42914</v>
      </c>
      <c r="M619" s="116">
        <v>621.87</v>
      </c>
      <c r="N619" s="116">
        <v>625</v>
      </c>
      <c r="O619" s="116">
        <v>600</v>
      </c>
      <c r="P619" s="116">
        <v>607</v>
      </c>
      <c r="Q619" s="116">
        <v>3109.35</v>
      </c>
      <c r="R619">
        <v>187811</v>
      </c>
    </row>
    <row r="620" spans="1:18" x14ac:dyDescent="0.25">
      <c r="A620" s="170">
        <v>42915</v>
      </c>
      <c r="B620" s="116">
        <v>640</v>
      </c>
      <c r="C620" s="116">
        <v>637.91999999999996</v>
      </c>
      <c r="D620" s="116">
        <v>625.83000000000004</v>
      </c>
      <c r="E620" s="116">
        <v>627</v>
      </c>
      <c r="F620" s="116">
        <v>3189.6</v>
      </c>
      <c r="G620">
        <v>16931</v>
      </c>
      <c r="H620" s="116"/>
      <c r="I620" s="116"/>
      <c r="L620" s="170">
        <v>42915</v>
      </c>
      <c r="M620" s="116">
        <v>638.78</v>
      </c>
      <c r="N620" s="116">
        <v>641.6</v>
      </c>
      <c r="O620" s="116">
        <v>624.4</v>
      </c>
      <c r="P620" s="116">
        <v>627.74</v>
      </c>
      <c r="Q620" s="116">
        <v>3193.9</v>
      </c>
      <c r="R620">
        <v>208776</v>
      </c>
    </row>
    <row r="621" spans="1:18" x14ac:dyDescent="0.25">
      <c r="A621" s="170">
        <v>42916</v>
      </c>
      <c r="B621" s="116">
        <v>647.24</v>
      </c>
      <c r="C621" s="116">
        <v>644.85</v>
      </c>
      <c r="D621" s="116">
        <v>628.41999999999996</v>
      </c>
      <c r="E621" s="116">
        <v>633.47</v>
      </c>
      <c r="F621" s="116">
        <v>3224.25</v>
      </c>
      <c r="G621">
        <v>14830</v>
      </c>
      <c r="H621" s="116"/>
      <c r="I621" s="116"/>
      <c r="L621" s="170">
        <v>42916</v>
      </c>
      <c r="M621" s="116">
        <v>646.51</v>
      </c>
      <c r="N621" s="116">
        <v>648.18000000000006</v>
      </c>
      <c r="O621" s="116">
        <v>627.93999999999994</v>
      </c>
      <c r="P621" s="116">
        <v>633</v>
      </c>
      <c r="Q621" s="116">
        <v>3232.55</v>
      </c>
      <c r="R621">
        <v>174848</v>
      </c>
    </row>
    <row r="622" spans="1:18" x14ac:dyDescent="0.25">
      <c r="A622" s="170">
        <v>42919</v>
      </c>
      <c r="B622" s="116">
        <v>649.33999999999992</v>
      </c>
      <c r="C622" s="116">
        <v>642.41999999999996</v>
      </c>
      <c r="D622" s="116">
        <v>640.12</v>
      </c>
      <c r="E622" s="116">
        <v>646.51</v>
      </c>
      <c r="F622" s="116">
        <v>3212.1</v>
      </c>
      <c r="G622">
        <v>13116</v>
      </c>
      <c r="H622" s="116"/>
      <c r="I622" s="116"/>
      <c r="L622" s="170">
        <v>42919</v>
      </c>
      <c r="M622" s="116">
        <v>643.81000000000006</v>
      </c>
      <c r="N622" s="116">
        <v>649.79999999999995</v>
      </c>
      <c r="O622" s="116">
        <v>640</v>
      </c>
      <c r="P622" s="116">
        <v>645.4</v>
      </c>
      <c r="Q622" s="116">
        <v>3219.05</v>
      </c>
      <c r="R622">
        <v>95066</v>
      </c>
    </row>
    <row r="623" spans="1:18" x14ac:dyDescent="0.25">
      <c r="A623" s="170">
        <v>42920</v>
      </c>
      <c r="B623" s="116">
        <v>651.38</v>
      </c>
      <c r="C623" s="116">
        <v>638.62</v>
      </c>
      <c r="D623" s="116">
        <v>636.6</v>
      </c>
      <c r="E623" s="116">
        <v>643.01</v>
      </c>
      <c r="F623" s="116">
        <v>3193.1</v>
      </c>
      <c r="G623">
        <v>11814</v>
      </c>
      <c r="H623" s="116"/>
      <c r="I623" s="116"/>
      <c r="L623" s="170">
        <v>42920</v>
      </c>
      <c r="M623" s="116">
        <v>640.28</v>
      </c>
      <c r="N623" s="116">
        <v>651.18000000000006</v>
      </c>
      <c r="O623" s="116">
        <v>637</v>
      </c>
      <c r="P623" s="116">
        <v>644</v>
      </c>
      <c r="Q623" s="116">
        <v>3201.4</v>
      </c>
      <c r="R623">
        <v>86806</v>
      </c>
    </row>
    <row r="624" spans="1:18" x14ac:dyDescent="0.25">
      <c r="A624" s="170">
        <v>42921</v>
      </c>
      <c r="B624" s="116">
        <v>655</v>
      </c>
      <c r="C624" s="116">
        <v>646.41999999999996</v>
      </c>
      <c r="D624" s="116">
        <v>637.31000000000006</v>
      </c>
      <c r="E624" s="116">
        <v>640.23</v>
      </c>
      <c r="F624" s="116">
        <v>3232.1</v>
      </c>
      <c r="G624">
        <v>10582</v>
      </c>
      <c r="H624" s="116"/>
      <c r="I624" s="116"/>
      <c r="L624" s="170">
        <v>42921</v>
      </c>
      <c r="M624" s="116">
        <v>646.14</v>
      </c>
      <c r="N624" s="116">
        <v>655.74</v>
      </c>
      <c r="O624" s="116">
        <v>636.4</v>
      </c>
      <c r="P624" s="116">
        <v>643.4</v>
      </c>
      <c r="Q624" s="116">
        <v>3230.7</v>
      </c>
      <c r="R624">
        <v>137463</v>
      </c>
    </row>
    <row r="625" spans="1:18" x14ac:dyDescent="0.25">
      <c r="A625" s="170">
        <v>42922</v>
      </c>
      <c r="B625" s="116">
        <v>653.5</v>
      </c>
      <c r="C625" s="116">
        <v>643.83000000000004</v>
      </c>
      <c r="D625" s="116">
        <v>641.99</v>
      </c>
      <c r="E625" s="116">
        <v>647.79</v>
      </c>
      <c r="F625" s="116">
        <v>3219.15</v>
      </c>
      <c r="G625">
        <v>9130</v>
      </c>
      <c r="H625" s="116"/>
      <c r="I625" s="116"/>
      <c r="L625" s="170">
        <v>42922</v>
      </c>
      <c r="M625" s="116">
        <v>644.93999999999994</v>
      </c>
      <c r="N625" s="116">
        <v>653.99</v>
      </c>
      <c r="O625" s="116">
        <v>642</v>
      </c>
      <c r="P625" s="116">
        <v>646</v>
      </c>
      <c r="Q625" s="116">
        <v>3224.7</v>
      </c>
      <c r="R625">
        <v>72483</v>
      </c>
    </row>
    <row r="626" spans="1:18" x14ac:dyDescent="0.25">
      <c r="A626" s="170">
        <v>42923</v>
      </c>
      <c r="B626" s="116">
        <v>656.01</v>
      </c>
      <c r="C626" s="116">
        <v>650.33000000000004</v>
      </c>
      <c r="D626" s="116">
        <v>645.76</v>
      </c>
      <c r="E626" s="116">
        <v>645.81999999999994</v>
      </c>
      <c r="F626" s="116">
        <v>3251.65</v>
      </c>
      <c r="G626">
        <v>16865</v>
      </c>
      <c r="H626" s="116"/>
      <c r="I626" s="116"/>
      <c r="L626" s="170">
        <v>42923</v>
      </c>
      <c r="M626" s="116">
        <v>650.61</v>
      </c>
      <c r="N626" s="116">
        <v>656.72</v>
      </c>
      <c r="O626" s="116">
        <v>643.36</v>
      </c>
      <c r="P626" s="116">
        <v>644.4</v>
      </c>
      <c r="Q626" s="116">
        <v>3253.05</v>
      </c>
      <c r="R626">
        <v>97341</v>
      </c>
    </row>
    <row r="627" spans="1:18" x14ac:dyDescent="0.25">
      <c r="A627" s="170">
        <v>42926</v>
      </c>
      <c r="B627" s="116">
        <v>665</v>
      </c>
      <c r="C627" s="116">
        <v>646.04</v>
      </c>
      <c r="D627" s="116">
        <v>634</v>
      </c>
      <c r="E627" s="116">
        <v>660</v>
      </c>
      <c r="F627" s="116">
        <v>3230.2</v>
      </c>
      <c r="G627">
        <v>29779</v>
      </c>
      <c r="H627" s="116"/>
      <c r="I627" s="116"/>
      <c r="L627" s="170">
        <v>42926</v>
      </c>
      <c r="M627" s="116">
        <v>648.91000000000008</v>
      </c>
      <c r="N627" s="116">
        <v>656.48</v>
      </c>
      <c r="O627" s="116">
        <v>602.02</v>
      </c>
      <c r="P627" s="116">
        <v>640</v>
      </c>
      <c r="Q627" s="116">
        <v>3244.55</v>
      </c>
      <c r="R627">
        <v>27690</v>
      </c>
    </row>
    <row r="628" spans="1:18" x14ac:dyDescent="0.25">
      <c r="A628" s="170">
        <v>42927</v>
      </c>
      <c r="B628" s="116">
        <v>653.52</v>
      </c>
      <c r="C628" s="116">
        <v>640.41999999999996</v>
      </c>
      <c r="D628" s="116">
        <v>638.51</v>
      </c>
      <c r="E628" s="116">
        <v>651.1</v>
      </c>
      <c r="F628" s="116">
        <v>3202.1</v>
      </c>
      <c r="G628">
        <v>8496</v>
      </c>
      <c r="H628" s="116"/>
      <c r="I628" s="116"/>
      <c r="L628" s="170">
        <v>42927</v>
      </c>
      <c r="M628" s="116">
        <v>642.20000000000005</v>
      </c>
      <c r="N628" s="116">
        <v>653.99</v>
      </c>
      <c r="O628" s="116">
        <v>640</v>
      </c>
      <c r="P628" s="116">
        <v>651.78</v>
      </c>
      <c r="Q628" s="116">
        <v>3211</v>
      </c>
      <c r="R628">
        <v>54935</v>
      </c>
    </row>
    <row r="629" spans="1:18" x14ac:dyDescent="0.25">
      <c r="A629" s="170">
        <v>42928</v>
      </c>
      <c r="B629" s="116">
        <v>647.20000000000005</v>
      </c>
      <c r="C629" s="116">
        <v>641.03</v>
      </c>
      <c r="D629" s="116">
        <v>638.01</v>
      </c>
      <c r="E629" s="116">
        <v>638.01</v>
      </c>
      <c r="F629" s="116">
        <v>3205.15</v>
      </c>
      <c r="G629">
        <v>6488</v>
      </c>
      <c r="H629" s="116"/>
      <c r="I629" s="116"/>
      <c r="L629" s="170">
        <v>42928</v>
      </c>
      <c r="M629" s="116">
        <v>640.31000000000006</v>
      </c>
      <c r="N629" s="116">
        <v>647.89</v>
      </c>
      <c r="O629" s="116">
        <v>637.56000000000006</v>
      </c>
      <c r="P629" s="116">
        <v>644.4</v>
      </c>
      <c r="Q629" s="116">
        <v>3201.55</v>
      </c>
      <c r="R629">
        <v>66837</v>
      </c>
    </row>
    <row r="630" spans="1:18" x14ac:dyDescent="0.25">
      <c r="A630" s="170">
        <v>42929</v>
      </c>
      <c r="B630" s="116">
        <v>647.52</v>
      </c>
      <c r="C630" s="116">
        <v>640.21</v>
      </c>
      <c r="D630" s="116">
        <v>637.75</v>
      </c>
      <c r="E630" s="116">
        <v>643.93000000000006</v>
      </c>
      <c r="F630" s="116">
        <v>3201.05</v>
      </c>
      <c r="G630">
        <v>5399</v>
      </c>
      <c r="H630" s="116"/>
      <c r="I630" s="116"/>
      <c r="L630" s="170">
        <v>42929</v>
      </c>
      <c r="M630" s="116">
        <v>641.20000000000005</v>
      </c>
      <c r="N630" s="116">
        <v>647.78</v>
      </c>
      <c r="O630" s="116">
        <v>638.11</v>
      </c>
      <c r="P630" s="116">
        <v>644</v>
      </c>
      <c r="Q630" s="116">
        <v>3206</v>
      </c>
      <c r="R630">
        <v>72431</v>
      </c>
    </row>
    <row r="631" spans="1:18" x14ac:dyDescent="0.25">
      <c r="A631" s="170">
        <v>42930</v>
      </c>
      <c r="B631" s="116">
        <v>649</v>
      </c>
      <c r="C631" s="116">
        <v>640</v>
      </c>
      <c r="D631" s="116">
        <v>637</v>
      </c>
      <c r="E631" s="116">
        <v>640.81999999999994</v>
      </c>
      <c r="F631" s="116">
        <v>3200</v>
      </c>
      <c r="G631">
        <v>5406</v>
      </c>
      <c r="H631" s="116"/>
      <c r="I631" s="116"/>
      <c r="L631" s="170">
        <v>42930</v>
      </c>
      <c r="M631" s="116">
        <v>641.21</v>
      </c>
      <c r="N631" s="116">
        <v>649</v>
      </c>
      <c r="O631" s="116">
        <v>637</v>
      </c>
      <c r="P631" s="116">
        <v>640</v>
      </c>
      <c r="Q631" s="116">
        <v>3206.05</v>
      </c>
      <c r="R631">
        <v>105990</v>
      </c>
    </row>
    <row r="632" spans="1:18" x14ac:dyDescent="0.25">
      <c r="A632" s="170">
        <v>42933</v>
      </c>
      <c r="B632" s="116">
        <v>645</v>
      </c>
      <c r="C632" s="116">
        <v>638.16000000000008</v>
      </c>
      <c r="D632" s="116">
        <v>636.5</v>
      </c>
      <c r="E632" s="116">
        <v>644</v>
      </c>
      <c r="F632" s="116">
        <v>3190.8</v>
      </c>
      <c r="G632">
        <v>8773</v>
      </c>
      <c r="H632" s="116"/>
      <c r="I632" s="116"/>
      <c r="L632" s="170">
        <v>42933</v>
      </c>
      <c r="M632" s="116">
        <v>638.98</v>
      </c>
      <c r="N632" s="116">
        <v>645.81000000000006</v>
      </c>
      <c r="O632" s="116">
        <v>637</v>
      </c>
      <c r="P632" s="116">
        <v>644</v>
      </c>
      <c r="Q632" s="116">
        <v>3194.9</v>
      </c>
      <c r="R632">
        <v>77932</v>
      </c>
    </row>
    <row r="633" spans="1:18" x14ac:dyDescent="0.25">
      <c r="A633" s="170">
        <v>42934</v>
      </c>
      <c r="B633" s="116">
        <v>649.79999999999995</v>
      </c>
      <c r="C633" s="116">
        <v>632.43999999999994</v>
      </c>
      <c r="D633" s="116">
        <v>629.11</v>
      </c>
      <c r="E633" s="116">
        <v>638.51</v>
      </c>
      <c r="F633" s="116">
        <v>3162.2</v>
      </c>
      <c r="G633">
        <v>11758</v>
      </c>
      <c r="H633" s="116"/>
      <c r="I633" s="116"/>
      <c r="L633" s="170">
        <v>42934</v>
      </c>
      <c r="M633" s="116">
        <v>632.26</v>
      </c>
      <c r="N633" s="116">
        <v>650.56999999999994</v>
      </c>
      <c r="O633" s="116">
        <v>628.81999999999994</v>
      </c>
      <c r="P633" s="116">
        <v>637.96</v>
      </c>
      <c r="Q633" s="116">
        <v>3161.3</v>
      </c>
      <c r="R633">
        <v>174482</v>
      </c>
    </row>
    <row r="634" spans="1:18" x14ac:dyDescent="0.25">
      <c r="A634" s="170">
        <v>42935</v>
      </c>
      <c r="B634" s="116">
        <v>638.6</v>
      </c>
      <c r="C634" s="116">
        <v>636.61</v>
      </c>
      <c r="D634" s="116">
        <v>624.4</v>
      </c>
      <c r="E634" s="116">
        <v>634.93999999999994</v>
      </c>
      <c r="F634" s="116">
        <v>3183.05</v>
      </c>
      <c r="G634">
        <v>6568</v>
      </c>
      <c r="H634" s="116"/>
      <c r="I634" s="116"/>
      <c r="L634" s="170">
        <v>42935</v>
      </c>
      <c r="M634" s="116">
        <v>636.6</v>
      </c>
      <c r="N634" s="116">
        <v>638.04999999999995</v>
      </c>
      <c r="O634" s="116">
        <v>624.39</v>
      </c>
      <c r="P634" s="116">
        <v>633.20000000000005</v>
      </c>
      <c r="Q634" s="116">
        <v>3183</v>
      </c>
      <c r="R634">
        <v>84597</v>
      </c>
    </row>
    <row r="635" spans="1:18" x14ac:dyDescent="0.25">
      <c r="A635" s="170">
        <v>42936</v>
      </c>
      <c r="B635" s="116">
        <v>645.79999999999995</v>
      </c>
      <c r="C635" s="116">
        <v>643.51</v>
      </c>
      <c r="D635" s="116">
        <v>636</v>
      </c>
      <c r="E635" s="116">
        <v>637.31999999999994</v>
      </c>
      <c r="F635" s="116">
        <v>3217.55</v>
      </c>
      <c r="G635">
        <v>6543</v>
      </c>
      <c r="H635" s="116"/>
      <c r="I635" s="116"/>
      <c r="L635" s="170">
        <v>42936</v>
      </c>
      <c r="M635" s="116">
        <v>643.43000000000006</v>
      </c>
      <c r="N635" s="116">
        <v>646.58000000000004</v>
      </c>
      <c r="O635" s="116">
        <v>636</v>
      </c>
      <c r="P635" s="116">
        <v>638.96</v>
      </c>
      <c r="Q635" s="116">
        <v>3217.15</v>
      </c>
      <c r="R635">
        <v>113440</v>
      </c>
    </row>
    <row r="636" spans="1:18" x14ac:dyDescent="0.25">
      <c r="A636" s="170">
        <v>42937</v>
      </c>
      <c r="B636" s="116">
        <v>648.79999999999995</v>
      </c>
      <c r="C636" s="116">
        <v>629.20000000000005</v>
      </c>
      <c r="D636" s="116">
        <v>625</v>
      </c>
      <c r="E636" s="116">
        <v>648.79999999999995</v>
      </c>
      <c r="F636" s="116">
        <v>3146</v>
      </c>
      <c r="G636">
        <v>33250</v>
      </c>
      <c r="H636" s="116"/>
      <c r="I636" s="116"/>
      <c r="L636" s="170">
        <v>42937</v>
      </c>
      <c r="M636" s="116">
        <v>628.99</v>
      </c>
      <c r="N636" s="116">
        <v>647.81999999999994</v>
      </c>
      <c r="O636" s="116">
        <v>625.73</v>
      </c>
      <c r="P636" s="116">
        <v>646.4</v>
      </c>
      <c r="Q636" s="116">
        <v>3144.95</v>
      </c>
      <c r="R636">
        <v>280666</v>
      </c>
    </row>
    <row r="637" spans="1:18" x14ac:dyDescent="0.25">
      <c r="A637" s="170">
        <v>42940</v>
      </c>
      <c r="B637" s="116">
        <v>647.99</v>
      </c>
      <c r="C637" s="116">
        <v>612.28</v>
      </c>
      <c r="D637" s="116">
        <v>607.6</v>
      </c>
      <c r="E637" s="116">
        <v>631</v>
      </c>
      <c r="F637" s="116">
        <v>3061.4</v>
      </c>
      <c r="G637">
        <v>25265</v>
      </c>
      <c r="H637" s="116"/>
      <c r="I637" s="116"/>
      <c r="L637" s="170">
        <v>42940</v>
      </c>
      <c r="M637" s="116">
        <v>611.56999999999994</v>
      </c>
      <c r="N637" s="116">
        <v>633.28</v>
      </c>
      <c r="O637" s="116">
        <v>608</v>
      </c>
      <c r="P637" s="116">
        <v>629.99</v>
      </c>
      <c r="Q637" s="116">
        <v>3057.85</v>
      </c>
      <c r="R637">
        <v>158894</v>
      </c>
    </row>
    <row r="638" spans="1:18" x14ac:dyDescent="0.25">
      <c r="A638" s="170">
        <v>42941</v>
      </c>
      <c r="B638" s="116">
        <v>620.20000000000005</v>
      </c>
      <c r="C638" s="116">
        <v>617.41000000000008</v>
      </c>
      <c r="D638" s="116">
        <v>609.6</v>
      </c>
      <c r="E638" s="116">
        <v>609.6</v>
      </c>
      <c r="F638" s="116">
        <v>3087.05</v>
      </c>
      <c r="G638">
        <v>10055</v>
      </c>
      <c r="H638" s="116"/>
      <c r="I638" s="116"/>
      <c r="L638" s="170">
        <v>42941</v>
      </c>
      <c r="M638" s="116">
        <v>617.37</v>
      </c>
      <c r="N638" s="116">
        <v>621.4</v>
      </c>
      <c r="O638" s="116">
        <v>607.93000000000006</v>
      </c>
      <c r="P638" s="116">
        <v>608</v>
      </c>
      <c r="Q638" s="116">
        <v>3086.85</v>
      </c>
      <c r="R638">
        <v>100114</v>
      </c>
    </row>
    <row r="639" spans="1:18" x14ac:dyDescent="0.25">
      <c r="A639" s="170">
        <v>42942</v>
      </c>
      <c r="B639" s="116">
        <v>619.97</v>
      </c>
      <c r="C639" s="116">
        <v>608.81999999999994</v>
      </c>
      <c r="D639" s="116">
        <v>606.24</v>
      </c>
      <c r="E639" s="116">
        <v>618.20000000000005</v>
      </c>
      <c r="F639" s="116">
        <v>3044.1</v>
      </c>
      <c r="G639">
        <v>14690</v>
      </c>
      <c r="H639" s="116"/>
      <c r="I639" s="116"/>
      <c r="L639" s="170">
        <v>42942</v>
      </c>
      <c r="M639" s="116">
        <v>609.9</v>
      </c>
      <c r="N639" s="116">
        <v>618.6</v>
      </c>
      <c r="O639" s="116">
        <v>607</v>
      </c>
      <c r="P639" s="116">
        <v>617.4</v>
      </c>
      <c r="Q639" s="116">
        <v>3049.5</v>
      </c>
      <c r="R639">
        <v>85282</v>
      </c>
    </row>
    <row r="640" spans="1:18" x14ac:dyDescent="0.25">
      <c r="A640" s="170">
        <v>42943</v>
      </c>
      <c r="B640" s="116">
        <v>630</v>
      </c>
      <c r="C640" s="116">
        <v>622.18000000000006</v>
      </c>
      <c r="D640" s="116">
        <v>608.20000000000005</v>
      </c>
      <c r="E640" s="116">
        <v>609.95000000000005</v>
      </c>
      <c r="F640" s="116">
        <v>3110.9</v>
      </c>
      <c r="G640">
        <v>12296</v>
      </c>
      <c r="H640" s="116"/>
      <c r="I640" s="116"/>
      <c r="L640" s="170">
        <v>42943</v>
      </c>
      <c r="M640" s="116">
        <v>623.02</v>
      </c>
      <c r="N640" s="116">
        <v>631</v>
      </c>
      <c r="O640" s="116">
        <v>608.02</v>
      </c>
      <c r="P640" s="116">
        <v>614.95000000000005</v>
      </c>
      <c r="Q640" s="116">
        <v>3115.1</v>
      </c>
      <c r="R640">
        <v>164132</v>
      </c>
    </row>
    <row r="641" spans="1:18" x14ac:dyDescent="0.25">
      <c r="A641" s="170">
        <v>42944</v>
      </c>
      <c r="B641" s="116">
        <v>626.79999999999995</v>
      </c>
      <c r="C641" s="116">
        <v>620.61</v>
      </c>
      <c r="D641" s="116">
        <v>616.76</v>
      </c>
      <c r="E641" s="116">
        <v>620.66000000000008</v>
      </c>
      <c r="F641" s="116">
        <v>3103.05</v>
      </c>
      <c r="G641">
        <v>8100</v>
      </c>
      <c r="H641" s="116"/>
      <c r="I641" s="116"/>
      <c r="L641" s="170">
        <v>42944</v>
      </c>
      <c r="M641" s="116">
        <v>621.45000000000005</v>
      </c>
      <c r="N641" s="116">
        <v>627.35</v>
      </c>
      <c r="O641" s="116">
        <v>616.93999999999994</v>
      </c>
      <c r="P641" s="116">
        <v>622</v>
      </c>
      <c r="Q641" s="116">
        <v>3107.25</v>
      </c>
      <c r="R641">
        <v>50491</v>
      </c>
    </row>
    <row r="642" spans="1:18" x14ac:dyDescent="0.25">
      <c r="A642" s="170">
        <v>42947</v>
      </c>
      <c r="B642" s="116">
        <v>622.91999999999996</v>
      </c>
      <c r="C642" s="116">
        <v>615.83000000000004</v>
      </c>
      <c r="D642" s="116">
        <v>609.5</v>
      </c>
      <c r="E642" s="116">
        <v>621.4</v>
      </c>
      <c r="F642" s="116">
        <v>3079.15</v>
      </c>
      <c r="G642">
        <v>7758</v>
      </c>
      <c r="H642" s="116"/>
      <c r="I642" s="116"/>
      <c r="L642" s="170">
        <v>42947</v>
      </c>
      <c r="M642" s="116">
        <v>617.78</v>
      </c>
      <c r="N642" s="116">
        <v>625.93999999999994</v>
      </c>
      <c r="O642" s="116">
        <v>608.61</v>
      </c>
      <c r="P642" s="116">
        <v>621.4</v>
      </c>
      <c r="Q642" s="116">
        <v>3088.9</v>
      </c>
      <c r="R642">
        <v>55737</v>
      </c>
    </row>
    <row r="643" spans="1:18" x14ac:dyDescent="0.25">
      <c r="A643" s="170">
        <v>42948</v>
      </c>
      <c r="B643" s="116">
        <v>624.4</v>
      </c>
      <c r="C643" s="116">
        <v>616.43000000000006</v>
      </c>
      <c r="D643" s="116">
        <v>613</v>
      </c>
      <c r="E643" s="116">
        <v>623.46</v>
      </c>
      <c r="F643" s="116">
        <v>3082.15</v>
      </c>
      <c r="G643">
        <v>6371</v>
      </c>
      <c r="H643" s="116"/>
      <c r="I643" s="116"/>
      <c r="L643" s="170">
        <v>42948</v>
      </c>
      <c r="M643" s="116">
        <v>617.37</v>
      </c>
      <c r="N643" s="116">
        <v>625.79999999999995</v>
      </c>
      <c r="O643" s="116">
        <v>613</v>
      </c>
      <c r="P643" s="116">
        <v>622.38</v>
      </c>
      <c r="Q643" s="116">
        <v>3086.85</v>
      </c>
      <c r="R643">
        <v>61977</v>
      </c>
    </row>
    <row r="644" spans="1:18" x14ac:dyDescent="0.25">
      <c r="A644" s="170">
        <v>42949</v>
      </c>
      <c r="B644" s="116">
        <v>621.9</v>
      </c>
      <c r="C644" s="116">
        <v>614.66000000000008</v>
      </c>
      <c r="D644" s="116">
        <v>611.6</v>
      </c>
      <c r="E644" s="116">
        <v>619.99</v>
      </c>
      <c r="F644" s="116">
        <v>3073.3</v>
      </c>
      <c r="G644">
        <v>5747</v>
      </c>
      <c r="H644" s="116"/>
      <c r="I644" s="116"/>
      <c r="L644" s="170">
        <v>42949</v>
      </c>
      <c r="M644" s="116">
        <v>614.62</v>
      </c>
      <c r="N644" s="116">
        <v>620.97</v>
      </c>
      <c r="O644" s="116">
        <v>610.61</v>
      </c>
      <c r="P644" s="116">
        <v>619.79</v>
      </c>
      <c r="Q644" s="116">
        <v>3073.1</v>
      </c>
      <c r="R644">
        <v>44420</v>
      </c>
    </row>
    <row r="645" spans="1:18" x14ac:dyDescent="0.25">
      <c r="A645" s="170">
        <v>42950</v>
      </c>
      <c r="B645" s="116">
        <v>612.53</v>
      </c>
      <c r="C645" s="116">
        <v>597.83999999999992</v>
      </c>
      <c r="D645" s="116">
        <v>594.02</v>
      </c>
      <c r="E645" s="116">
        <v>611</v>
      </c>
      <c r="F645" s="116">
        <v>2989.2</v>
      </c>
      <c r="G645">
        <v>15879</v>
      </c>
      <c r="H645" s="116"/>
      <c r="I645" s="116"/>
      <c r="L645" s="170">
        <v>42950</v>
      </c>
      <c r="M645" s="116">
        <v>598.38</v>
      </c>
      <c r="N645" s="116">
        <v>613.66999999999996</v>
      </c>
      <c r="O645" s="116">
        <v>594.52</v>
      </c>
      <c r="P645" s="116">
        <v>611</v>
      </c>
      <c r="Q645" s="116">
        <v>2991.9</v>
      </c>
      <c r="R645">
        <v>96050</v>
      </c>
    </row>
    <row r="646" spans="1:18" x14ac:dyDescent="0.25">
      <c r="A646" s="170">
        <v>42951</v>
      </c>
      <c r="B646" s="116">
        <v>601.43999999999994</v>
      </c>
      <c r="C646" s="116">
        <v>597</v>
      </c>
      <c r="D646" s="116">
        <v>586.70000000000005</v>
      </c>
      <c r="E646" s="116">
        <v>597</v>
      </c>
      <c r="F646" s="116">
        <v>2985</v>
      </c>
      <c r="G646">
        <v>8420</v>
      </c>
      <c r="H646" s="116"/>
      <c r="I646" s="116"/>
      <c r="L646" s="170">
        <v>42951</v>
      </c>
      <c r="M646" s="116">
        <v>595.79999999999995</v>
      </c>
      <c r="N646" s="116">
        <v>601.79999999999995</v>
      </c>
      <c r="O646" s="116">
        <v>586.73</v>
      </c>
      <c r="P646" s="116">
        <v>594.20000000000005</v>
      </c>
      <c r="Q646" s="116">
        <v>2979</v>
      </c>
      <c r="R646">
        <v>126778</v>
      </c>
    </row>
    <row r="647" spans="1:18" x14ac:dyDescent="0.25">
      <c r="A647" s="170">
        <v>42954</v>
      </c>
      <c r="B647" s="116">
        <v>598.79999999999995</v>
      </c>
      <c r="C647" s="116">
        <v>588.87</v>
      </c>
      <c r="D647" s="116">
        <v>579.20000000000005</v>
      </c>
      <c r="E647" s="116">
        <v>598</v>
      </c>
      <c r="F647" s="116">
        <v>2944.35</v>
      </c>
      <c r="G647">
        <v>13642</v>
      </c>
      <c r="H647" s="116"/>
      <c r="I647" s="116"/>
      <c r="L647" s="170">
        <v>42954</v>
      </c>
      <c r="M647" s="116">
        <v>589.03</v>
      </c>
      <c r="N647" s="116">
        <v>600.20000000000005</v>
      </c>
      <c r="O647" s="116">
        <v>579</v>
      </c>
      <c r="P647" s="116">
        <v>600</v>
      </c>
      <c r="Q647" s="116">
        <v>2945.15</v>
      </c>
      <c r="R647">
        <v>198091</v>
      </c>
    </row>
    <row r="648" spans="1:18" x14ac:dyDescent="0.25">
      <c r="A648" s="170">
        <v>42955</v>
      </c>
      <c r="B648" s="116">
        <v>593.87</v>
      </c>
      <c r="C648" s="116">
        <v>584.48</v>
      </c>
      <c r="D648" s="116">
        <v>580.66000000000008</v>
      </c>
      <c r="E648" s="116">
        <v>591.54</v>
      </c>
      <c r="F648" s="116">
        <v>2922.4</v>
      </c>
      <c r="G648">
        <v>6201</v>
      </c>
      <c r="H648" s="116"/>
      <c r="I648" s="116"/>
      <c r="L648" s="170">
        <v>42955</v>
      </c>
      <c r="M648" s="116">
        <v>584.29999999999995</v>
      </c>
      <c r="N648" s="116">
        <v>593.88</v>
      </c>
      <c r="O648" s="116">
        <v>580.56000000000006</v>
      </c>
      <c r="P648" s="116">
        <v>593</v>
      </c>
      <c r="Q648" s="116">
        <v>2921.5</v>
      </c>
      <c r="R648">
        <v>74213</v>
      </c>
    </row>
    <row r="649" spans="1:18" x14ac:dyDescent="0.25">
      <c r="A649" s="170">
        <v>42956</v>
      </c>
      <c r="B649" s="116">
        <v>588</v>
      </c>
      <c r="C649" s="116">
        <v>572.81999999999994</v>
      </c>
      <c r="D649" s="116">
        <v>568</v>
      </c>
      <c r="E649" s="116">
        <v>584.95000000000005</v>
      </c>
      <c r="F649" s="116">
        <v>2864.1</v>
      </c>
      <c r="G649">
        <v>10520</v>
      </c>
      <c r="H649" s="116"/>
      <c r="I649" s="116"/>
      <c r="L649" s="170">
        <v>42956</v>
      </c>
      <c r="M649" s="116">
        <v>571.99</v>
      </c>
      <c r="N649" s="116">
        <v>589</v>
      </c>
      <c r="O649" s="116">
        <v>566.1</v>
      </c>
      <c r="P649" s="116">
        <v>583.20000000000005</v>
      </c>
      <c r="Q649" s="116">
        <v>2859.95</v>
      </c>
      <c r="R649">
        <v>90168</v>
      </c>
    </row>
    <row r="650" spans="1:18" x14ac:dyDescent="0.25">
      <c r="A650" s="170">
        <v>42957</v>
      </c>
      <c r="B650" s="116">
        <v>580.52</v>
      </c>
      <c r="C650" s="116">
        <v>566.9</v>
      </c>
      <c r="D650" s="116">
        <v>553.6</v>
      </c>
      <c r="E650" s="116">
        <v>566.88</v>
      </c>
      <c r="F650" s="116">
        <v>2834.5</v>
      </c>
      <c r="G650">
        <v>14697</v>
      </c>
      <c r="H650" s="116"/>
      <c r="I650" s="116"/>
      <c r="L650" s="170">
        <v>42957</v>
      </c>
      <c r="M650" s="116">
        <v>566.47</v>
      </c>
      <c r="N650" s="116">
        <v>582</v>
      </c>
      <c r="O650" s="116">
        <v>554.20000000000005</v>
      </c>
      <c r="P650" s="116">
        <v>571.79999999999995</v>
      </c>
      <c r="Q650" s="116">
        <v>2832.35</v>
      </c>
      <c r="R650">
        <v>114047</v>
      </c>
    </row>
    <row r="651" spans="1:18" x14ac:dyDescent="0.25">
      <c r="A651" s="170">
        <v>42958</v>
      </c>
      <c r="B651" s="116">
        <v>580.96</v>
      </c>
      <c r="C651" s="116">
        <v>577.21</v>
      </c>
      <c r="D651" s="116">
        <v>544</v>
      </c>
      <c r="E651" s="116">
        <v>560</v>
      </c>
      <c r="F651" s="116">
        <v>2886.05</v>
      </c>
      <c r="G651">
        <v>21439</v>
      </c>
      <c r="H651" s="116"/>
      <c r="I651" s="116"/>
      <c r="L651" s="170">
        <v>42958</v>
      </c>
      <c r="M651" s="116">
        <v>576.46</v>
      </c>
      <c r="N651" s="116">
        <v>579.16999999999996</v>
      </c>
      <c r="O651" s="116">
        <v>550.66000000000008</v>
      </c>
      <c r="P651" s="116">
        <v>560</v>
      </c>
      <c r="Q651" s="116">
        <v>2882.3</v>
      </c>
      <c r="R651">
        <v>93810</v>
      </c>
    </row>
    <row r="652" spans="1:18" x14ac:dyDescent="0.25">
      <c r="A652" s="170">
        <v>42961</v>
      </c>
      <c r="B652" s="116">
        <v>593</v>
      </c>
      <c r="C652" s="116">
        <v>586.16000000000008</v>
      </c>
      <c r="D652" s="116">
        <v>579.36</v>
      </c>
      <c r="E652" s="116">
        <v>584.98</v>
      </c>
      <c r="F652" s="116">
        <v>2930.8</v>
      </c>
      <c r="G652">
        <v>12502</v>
      </c>
      <c r="H652" s="116"/>
      <c r="I652" s="116"/>
      <c r="L652" s="170">
        <v>42961</v>
      </c>
      <c r="M652" s="116">
        <v>586.12</v>
      </c>
      <c r="N652" s="116">
        <v>593.20000000000005</v>
      </c>
      <c r="O652" s="116">
        <v>580.31999999999994</v>
      </c>
      <c r="P652" s="116">
        <v>584</v>
      </c>
      <c r="Q652" s="116">
        <v>2930.6</v>
      </c>
      <c r="R652">
        <v>46468</v>
      </c>
    </row>
    <row r="653" spans="1:18" x14ac:dyDescent="0.25">
      <c r="A653" s="170">
        <v>42963</v>
      </c>
      <c r="B653" s="116">
        <v>598.20000000000005</v>
      </c>
      <c r="C653" s="116">
        <v>593.95000000000005</v>
      </c>
      <c r="D653" s="116">
        <v>574.23</v>
      </c>
      <c r="E653" s="116">
        <v>590</v>
      </c>
      <c r="F653" s="116">
        <v>2969.75</v>
      </c>
      <c r="G653">
        <v>11938</v>
      </c>
      <c r="H653" s="116"/>
      <c r="I653" s="116"/>
      <c r="L653" s="170">
        <v>42963</v>
      </c>
      <c r="M653" s="116">
        <v>593.77</v>
      </c>
      <c r="N653" s="116">
        <v>596.01</v>
      </c>
      <c r="O653" s="116">
        <v>575</v>
      </c>
      <c r="P653" s="116">
        <v>590</v>
      </c>
      <c r="Q653" s="116">
        <v>2968.85</v>
      </c>
      <c r="R653">
        <v>55456</v>
      </c>
    </row>
    <row r="654" spans="1:18" x14ac:dyDescent="0.25">
      <c r="A654" s="170">
        <v>42964</v>
      </c>
      <c r="B654" s="116">
        <v>603</v>
      </c>
      <c r="C654" s="116">
        <v>590.95000000000005</v>
      </c>
      <c r="D654" s="116">
        <v>587.43000000000006</v>
      </c>
      <c r="E654" s="116">
        <v>594.02</v>
      </c>
      <c r="F654" s="116">
        <v>2954.75</v>
      </c>
      <c r="G654">
        <v>9896</v>
      </c>
      <c r="H654" s="116"/>
      <c r="I654" s="116"/>
      <c r="L654" s="170">
        <v>42964</v>
      </c>
      <c r="M654" s="116">
        <v>591.91999999999996</v>
      </c>
      <c r="N654" s="116">
        <v>603.58999999999992</v>
      </c>
      <c r="O654" s="116">
        <v>588.21</v>
      </c>
      <c r="P654" s="116">
        <v>595.99</v>
      </c>
      <c r="Q654" s="116">
        <v>2959.6</v>
      </c>
      <c r="R654">
        <v>62866</v>
      </c>
    </row>
    <row r="655" spans="1:18" x14ac:dyDescent="0.25">
      <c r="A655" s="170">
        <v>42965</v>
      </c>
      <c r="B655" s="116">
        <v>587</v>
      </c>
      <c r="C655" s="116">
        <v>579.79</v>
      </c>
      <c r="D655" s="116">
        <v>575.6</v>
      </c>
      <c r="E655" s="116">
        <v>582.33999999999992</v>
      </c>
      <c r="F655" s="116">
        <v>2898.95</v>
      </c>
      <c r="G655">
        <v>4879</v>
      </c>
      <c r="H655" s="116"/>
      <c r="I655" s="116"/>
      <c r="L655" s="170">
        <v>42965</v>
      </c>
      <c r="M655" s="116">
        <v>579.62</v>
      </c>
      <c r="N655" s="116">
        <v>587.79999999999995</v>
      </c>
      <c r="O655" s="116">
        <v>576.08000000000004</v>
      </c>
      <c r="P655" s="116">
        <v>587.79999999999995</v>
      </c>
      <c r="Q655" s="116">
        <v>2898.1</v>
      </c>
      <c r="R655">
        <v>51603</v>
      </c>
    </row>
    <row r="656" spans="1:18" x14ac:dyDescent="0.25">
      <c r="A656" s="170">
        <v>42968</v>
      </c>
      <c r="B656" s="116">
        <v>584.43000000000006</v>
      </c>
      <c r="C656" s="116">
        <v>558.33000000000004</v>
      </c>
      <c r="D656" s="116">
        <v>554.62</v>
      </c>
      <c r="E656" s="116">
        <v>579.79</v>
      </c>
      <c r="F656" s="116">
        <v>2791.65</v>
      </c>
      <c r="G656">
        <v>8734</v>
      </c>
      <c r="H656" s="116"/>
      <c r="I656" s="116"/>
      <c r="L656" s="170">
        <v>42968</v>
      </c>
      <c r="M656" s="116">
        <v>558.71</v>
      </c>
      <c r="N656" s="116">
        <v>585.41999999999996</v>
      </c>
      <c r="O656" s="116">
        <v>555</v>
      </c>
      <c r="P656" s="116">
        <v>578.01</v>
      </c>
      <c r="Q656" s="116">
        <v>2793.55</v>
      </c>
      <c r="R656">
        <v>80958</v>
      </c>
    </row>
    <row r="657" spans="1:18" x14ac:dyDescent="0.25">
      <c r="A657" s="170">
        <v>42969</v>
      </c>
      <c r="B657" s="116">
        <v>564</v>
      </c>
      <c r="C657" s="116">
        <v>541.38</v>
      </c>
      <c r="D657" s="116">
        <v>539</v>
      </c>
      <c r="E657" s="116">
        <v>561.65</v>
      </c>
      <c r="F657" s="116">
        <v>2706.9</v>
      </c>
      <c r="G657">
        <v>15307</v>
      </c>
      <c r="H657" s="116"/>
      <c r="I657" s="116"/>
      <c r="L657" s="170">
        <v>42969</v>
      </c>
      <c r="M657" s="116">
        <v>540.73</v>
      </c>
      <c r="N657" s="116">
        <v>566.38</v>
      </c>
      <c r="O657" s="116">
        <v>539.06000000000006</v>
      </c>
      <c r="P657" s="116">
        <v>558.46</v>
      </c>
      <c r="Q657" s="116">
        <v>2703.65</v>
      </c>
      <c r="R657">
        <v>176107</v>
      </c>
    </row>
    <row r="658" spans="1:18" x14ac:dyDescent="0.25">
      <c r="A658" s="170">
        <v>42970</v>
      </c>
      <c r="B658" s="116">
        <v>561.18999999999994</v>
      </c>
      <c r="C658" s="116">
        <v>557.25</v>
      </c>
      <c r="D658" s="116">
        <v>534.75</v>
      </c>
      <c r="E658" s="116">
        <v>544.33000000000004</v>
      </c>
      <c r="F658" s="116">
        <v>2786.25</v>
      </c>
      <c r="G658">
        <v>14024</v>
      </c>
      <c r="H658" s="116"/>
      <c r="I658" s="116"/>
      <c r="L658" s="170">
        <v>42970</v>
      </c>
      <c r="M658" s="116">
        <v>557.04999999999995</v>
      </c>
      <c r="N658" s="116">
        <v>561</v>
      </c>
      <c r="O658" s="116">
        <v>534.4</v>
      </c>
      <c r="P658" s="116">
        <v>546.6</v>
      </c>
      <c r="Q658" s="116">
        <v>2785.25</v>
      </c>
      <c r="R658">
        <v>243266</v>
      </c>
    </row>
    <row r="659" spans="1:18" x14ac:dyDescent="0.25">
      <c r="A659" s="170">
        <v>42971</v>
      </c>
      <c r="B659" s="116">
        <v>563.24</v>
      </c>
      <c r="C659" s="116">
        <v>555.68000000000006</v>
      </c>
      <c r="D659" s="116">
        <v>553.20000000000005</v>
      </c>
      <c r="E659" s="116">
        <v>562</v>
      </c>
      <c r="F659" s="116">
        <v>2778.4</v>
      </c>
      <c r="G659">
        <v>6585</v>
      </c>
      <c r="H659" s="116"/>
      <c r="I659" s="116"/>
      <c r="L659" s="170">
        <v>42971</v>
      </c>
      <c r="M659" s="116">
        <v>554.43000000000006</v>
      </c>
      <c r="N659" s="116">
        <v>563.89</v>
      </c>
      <c r="O659" s="116">
        <v>551.95000000000005</v>
      </c>
      <c r="P659" s="116">
        <v>560</v>
      </c>
      <c r="Q659" s="116">
        <v>2772.15</v>
      </c>
      <c r="R659">
        <v>90312</v>
      </c>
    </row>
    <row r="660" spans="1:18" x14ac:dyDescent="0.25">
      <c r="A660" s="170">
        <v>42975</v>
      </c>
      <c r="B660" s="116">
        <v>557.79999999999995</v>
      </c>
      <c r="C660" s="116">
        <v>555.93000000000006</v>
      </c>
      <c r="D660" s="116">
        <v>551.4</v>
      </c>
      <c r="E660" s="116">
        <v>556</v>
      </c>
      <c r="F660" s="116">
        <v>2779.65</v>
      </c>
      <c r="G660">
        <v>3332</v>
      </c>
      <c r="H660" s="116"/>
      <c r="I660" s="116"/>
      <c r="L660" s="170">
        <v>42975</v>
      </c>
      <c r="M660" s="116">
        <v>556.01</v>
      </c>
      <c r="N660" s="116">
        <v>558.43000000000006</v>
      </c>
      <c r="O660" s="116">
        <v>551</v>
      </c>
      <c r="P660" s="116">
        <v>554</v>
      </c>
      <c r="Q660" s="116">
        <v>2780.05</v>
      </c>
      <c r="R660">
        <v>67007</v>
      </c>
    </row>
    <row r="661" spans="1:18" x14ac:dyDescent="0.25">
      <c r="A661" s="170">
        <v>42976</v>
      </c>
      <c r="B661" s="116">
        <v>555.87</v>
      </c>
      <c r="C661" s="116">
        <v>539.98</v>
      </c>
      <c r="D661" s="116">
        <v>536.6</v>
      </c>
      <c r="E661" s="116">
        <v>552.75</v>
      </c>
      <c r="F661" s="116">
        <v>2699.9</v>
      </c>
      <c r="G661">
        <v>6669</v>
      </c>
      <c r="H661" s="116"/>
      <c r="I661" s="116"/>
      <c r="L661" s="170">
        <v>42976</v>
      </c>
      <c r="M661" s="116">
        <v>539.28</v>
      </c>
      <c r="N661" s="116">
        <v>555.6</v>
      </c>
      <c r="O661" s="116">
        <v>536.20000000000005</v>
      </c>
      <c r="P661" s="116">
        <v>551.20000000000005</v>
      </c>
      <c r="Q661" s="116">
        <v>2696.4</v>
      </c>
      <c r="R661">
        <v>91661</v>
      </c>
    </row>
    <row r="662" spans="1:18" x14ac:dyDescent="0.25">
      <c r="A662" s="170">
        <v>42977</v>
      </c>
      <c r="B662" s="116">
        <v>563.91999999999996</v>
      </c>
      <c r="C662" s="116">
        <v>559.03</v>
      </c>
      <c r="D662" s="116">
        <v>538.20000000000005</v>
      </c>
      <c r="E662" s="116">
        <v>538.20000000000005</v>
      </c>
      <c r="F662" s="116">
        <v>2795.15</v>
      </c>
      <c r="G662">
        <v>10503</v>
      </c>
      <c r="H662" s="116"/>
      <c r="I662" s="116"/>
      <c r="L662" s="170">
        <v>42977</v>
      </c>
      <c r="M662" s="116">
        <v>559.89</v>
      </c>
      <c r="N662" s="116">
        <v>564</v>
      </c>
      <c r="O662" s="116">
        <v>542</v>
      </c>
      <c r="P662" s="116">
        <v>542</v>
      </c>
      <c r="Q662" s="116">
        <v>2799.45</v>
      </c>
      <c r="R662">
        <v>106658</v>
      </c>
    </row>
    <row r="663" spans="1:18" x14ac:dyDescent="0.25">
      <c r="A663" s="170">
        <v>42978</v>
      </c>
      <c r="B663" s="116">
        <v>574.79999999999995</v>
      </c>
      <c r="C663" s="116">
        <v>572.23</v>
      </c>
      <c r="D663" s="116">
        <v>553.81999999999994</v>
      </c>
      <c r="E663" s="116">
        <v>561.68999999999994</v>
      </c>
      <c r="F663" s="116">
        <v>2861.15</v>
      </c>
      <c r="G663">
        <v>14262</v>
      </c>
      <c r="H663" s="116"/>
      <c r="I663" s="116"/>
      <c r="L663" s="170">
        <v>42978</v>
      </c>
      <c r="M663" s="116">
        <v>573.11</v>
      </c>
      <c r="N663" s="116">
        <v>575.24</v>
      </c>
      <c r="O663" s="116">
        <v>553.56999999999994</v>
      </c>
      <c r="P663" s="116">
        <v>561.6</v>
      </c>
      <c r="Q663" s="116">
        <v>2865.55</v>
      </c>
      <c r="R663">
        <v>130457</v>
      </c>
    </row>
    <row r="664" spans="1:18" x14ac:dyDescent="0.25">
      <c r="A664" s="170">
        <v>42979</v>
      </c>
      <c r="B664" s="116">
        <v>578.20000000000005</v>
      </c>
      <c r="C664" s="116">
        <v>574.45000000000005</v>
      </c>
      <c r="D664" s="116">
        <v>568.75</v>
      </c>
      <c r="E664" s="116">
        <v>574.01</v>
      </c>
      <c r="F664" s="116">
        <v>2872.25</v>
      </c>
      <c r="G664">
        <v>5334</v>
      </c>
      <c r="H664" s="116"/>
      <c r="I664" s="116"/>
      <c r="L664" s="170">
        <v>42979</v>
      </c>
      <c r="M664" s="116">
        <v>575.74</v>
      </c>
      <c r="N664" s="116">
        <v>579.18000000000006</v>
      </c>
      <c r="O664" s="116">
        <v>568.38</v>
      </c>
      <c r="P664" s="116">
        <v>572</v>
      </c>
      <c r="Q664" s="116">
        <v>2878.7</v>
      </c>
      <c r="R664">
        <v>75201</v>
      </c>
    </row>
    <row r="665" spans="1:18" x14ac:dyDescent="0.25">
      <c r="A665" s="170">
        <v>42982</v>
      </c>
      <c r="B665" s="116">
        <v>575.20000000000005</v>
      </c>
      <c r="C665" s="116">
        <v>561.99</v>
      </c>
      <c r="D665" s="116">
        <v>559.83000000000004</v>
      </c>
      <c r="E665" s="116">
        <v>572</v>
      </c>
      <c r="F665" s="116">
        <v>2809.95</v>
      </c>
      <c r="G665">
        <v>12040</v>
      </c>
      <c r="H665" s="116"/>
      <c r="I665" s="116"/>
      <c r="L665" s="170">
        <v>42982</v>
      </c>
      <c r="M665" s="116">
        <v>564.08999999999992</v>
      </c>
      <c r="N665" s="116">
        <v>576.58999999999992</v>
      </c>
      <c r="O665" s="116">
        <v>560.20000000000005</v>
      </c>
      <c r="P665" s="116">
        <v>570.02</v>
      </c>
      <c r="Q665" s="116">
        <v>2820.45</v>
      </c>
      <c r="R665">
        <v>46953</v>
      </c>
    </row>
    <row r="666" spans="1:18" x14ac:dyDescent="0.25">
      <c r="A666" s="170">
        <v>42983</v>
      </c>
      <c r="B666" s="116">
        <v>577</v>
      </c>
      <c r="C666" s="116">
        <v>574.83999999999992</v>
      </c>
      <c r="D666" s="116">
        <v>560</v>
      </c>
      <c r="E666" s="116">
        <v>560</v>
      </c>
      <c r="F666" s="116">
        <v>2874.2</v>
      </c>
      <c r="G666">
        <v>11355</v>
      </c>
      <c r="H666" s="116"/>
      <c r="I666" s="116"/>
      <c r="L666" s="170">
        <v>42983</v>
      </c>
      <c r="M666" s="116">
        <v>573.52</v>
      </c>
      <c r="N666" s="116">
        <v>577.4</v>
      </c>
      <c r="O666" s="116">
        <v>560.4</v>
      </c>
      <c r="P666" s="116">
        <v>560.4</v>
      </c>
      <c r="Q666" s="116">
        <v>2867.6</v>
      </c>
      <c r="R666">
        <v>65494</v>
      </c>
    </row>
    <row r="667" spans="1:18" x14ac:dyDescent="0.25">
      <c r="A667" s="170">
        <v>42984</v>
      </c>
      <c r="B667" s="116">
        <v>582</v>
      </c>
      <c r="C667" s="116">
        <v>578.27</v>
      </c>
      <c r="D667" s="116">
        <v>568.23</v>
      </c>
      <c r="E667" s="116">
        <v>570.4</v>
      </c>
      <c r="F667" s="116">
        <v>2891.35</v>
      </c>
      <c r="G667">
        <v>19719</v>
      </c>
      <c r="H667" s="116"/>
      <c r="I667" s="116"/>
      <c r="L667" s="170">
        <v>42984</v>
      </c>
      <c r="M667" s="116">
        <v>577.95000000000005</v>
      </c>
      <c r="N667" s="116">
        <v>582.6</v>
      </c>
      <c r="O667" s="116">
        <v>567</v>
      </c>
      <c r="P667" s="116">
        <v>569</v>
      </c>
      <c r="Q667" s="116">
        <v>2889.75</v>
      </c>
      <c r="R667">
        <v>100276</v>
      </c>
    </row>
    <row r="668" spans="1:18" x14ac:dyDescent="0.25">
      <c r="A668" s="170">
        <v>42985</v>
      </c>
      <c r="B668" s="116">
        <v>585.86</v>
      </c>
      <c r="C668" s="116">
        <v>577.68000000000006</v>
      </c>
      <c r="D668" s="116">
        <v>576</v>
      </c>
      <c r="E668" s="116">
        <v>579.79999999999995</v>
      </c>
      <c r="F668" s="116">
        <v>2888.4</v>
      </c>
      <c r="G668">
        <v>6029</v>
      </c>
      <c r="H668" s="116"/>
      <c r="I668" s="116"/>
      <c r="L668" s="170">
        <v>42985</v>
      </c>
      <c r="M668" s="116">
        <v>577.33999999999992</v>
      </c>
      <c r="N668" s="116">
        <v>586.4</v>
      </c>
      <c r="O668" s="116">
        <v>575.23</v>
      </c>
      <c r="P668" s="116">
        <v>575.23</v>
      </c>
      <c r="Q668" s="116">
        <v>2886.7</v>
      </c>
      <c r="R668">
        <v>64612</v>
      </c>
    </row>
    <row r="669" spans="1:18" x14ac:dyDescent="0.25">
      <c r="A669" s="170">
        <v>42986</v>
      </c>
      <c r="B669" s="116">
        <v>589.29</v>
      </c>
      <c r="C669" s="116">
        <v>573.4</v>
      </c>
      <c r="D669" s="116">
        <v>570</v>
      </c>
      <c r="E669" s="116">
        <v>581.6</v>
      </c>
      <c r="F669" s="116">
        <v>2867</v>
      </c>
      <c r="G669">
        <v>7942</v>
      </c>
      <c r="H669" s="116"/>
      <c r="I669" s="116"/>
      <c r="L669" s="170">
        <v>42986</v>
      </c>
      <c r="M669" s="116">
        <v>572.25</v>
      </c>
      <c r="N669" s="116">
        <v>589.89</v>
      </c>
      <c r="O669" s="116">
        <v>568.29999999999995</v>
      </c>
      <c r="P669" s="116">
        <v>578</v>
      </c>
      <c r="Q669" s="116">
        <v>2861.25</v>
      </c>
      <c r="R669">
        <v>97655</v>
      </c>
    </row>
    <row r="670" spans="1:18" x14ac:dyDescent="0.25">
      <c r="A670" s="170">
        <v>42989</v>
      </c>
      <c r="B670" s="116">
        <v>582</v>
      </c>
      <c r="C670" s="116">
        <v>569.04</v>
      </c>
      <c r="D670" s="116">
        <v>567.16999999999996</v>
      </c>
      <c r="E670" s="116">
        <v>572</v>
      </c>
      <c r="F670" s="116">
        <v>2845.2</v>
      </c>
      <c r="G670">
        <v>9021</v>
      </c>
      <c r="H670" s="116"/>
      <c r="I670" s="116"/>
      <c r="L670" s="170">
        <v>42989</v>
      </c>
      <c r="M670" s="116">
        <v>568.38</v>
      </c>
      <c r="N670" s="116">
        <v>582</v>
      </c>
      <c r="O670" s="116">
        <v>566</v>
      </c>
      <c r="P670" s="116">
        <v>573.01</v>
      </c>
      <c r="Q670" s="116">
        <v>2841.9</v>
      </c>
      <c r="R670">
        <v>66112</v>
      </c>
    </row>
    <row r="671" spans="1:18" x14ac:dyDescent="0.25">
      <c r="A671" s="170">
        <v>42990</v>
      </c>
      <c r="B671" s="116">
        <v>574.06999999999994</v>
      </c>
      <c r="C671" s="116">
        <v>569.29</v>
      </c>
      <c r="D671" s="116">
        <v>564.66000000000008</v>
      </c>
      <c r="E671" s="116">
        <v>572.79999999999995</v>
      </c>
      <c r="F671" s="116">
        <v>2846.45</v>
      </c>
      <c r="G671">
        <v>5536</v>
      </c>
      <c r="H671" s="116"/>
      <c r="I671" s="116"/>
      <c r="L671" s="170">
        <v>42990</v>
      </c>
      <c r="M671" s="116">
        <v>568.5</v>
      </c>
      <c r="N671" s="116">
        <v>575.6</v>
      </c>
      <c r="O671" s="116">
        <v>564.4</v>
      </c>
      <c r="P671" s="116">
        <v>569.02</v>
      </c>
      <c r="Q671" s="116">
        <v>2842.5</v>
      </c>
      <c r="R671">
        <v>43540</v>
      </c>
    </row>
    <row r="672" spans="1:18" x14ac:dyDescent="0.25">
      <c r="A672" s="170">
        <v>42991</v>
      </c>
      <c r="B672" s="116">
        <v>573.03</v>
      </c>
      <c r="C672" s="116">
        <v>561.73</v>
      </c>
      <c r="D672" s="116">
        <v>560</v>
      </c>
      <c r="E672" s="116">
        <v>568.6</v>
      </c>
      <c r="F672" s="116">
        <v>2808.65</v>
      </c>
      <c r="G672">
        <v>4858</v>
      </c>
      <c r="H672" s="116"/>
      <c r="I672" s="116"/>
      <c r="L672" s="170">
        <v>42991</v>
      </c>
      <c r="M672" s="116">
        <v>561.54</v>
      </c>
      <c r="N672" s="116">
        <v>577.20000000000005</v>
      </c>
      <c r="O672" s="116">
        <v>560</v>
      </c>
      <c r="P672" s="116">
        <v>570.79999999999995</v>
      </c>
      <c r="Q672" s="116">
        <v>2807.7</v>
      </c>
      <c r="R672">
        <v>36607</v>
      </c>
    </row>
    <row r="673" spans="1:18" x14ac:dyDescent="0.25">
      <c r="A673" s="170">
        <v>42992</v>
      </c>
      <c r="B673" s="116">
        <v>568</v>
      </c>
      <c r="C673" s="116">
        <v>560.81000000000006</v>
      </c>
      <c r="D673" s="116">
        <v>552</v>
      </c>
      <c r="E673" s="116">
        <v>568</v>
      </c>
      <c r="F673" s="116">
        <v>2804.05</v>
      </c>
      <c r="G673">
        <v>6835</v>
      </c>
      <c r="H673" s="116"/>
      <c r="I673" s="116"/>
      <c r="L673" s="170">
        <v>42992</v>
      </c>
      <c r="M673" s="116">
        <v>560.73</v>
      </c>
      <c r="N673" s="116">
        <v>565.56999999999994</v>
      </c>
      <c r="O673" s="116">
        <v>551</v>
      </c>
      <c r="P673" s="116">
        <v>561</v>
      </c>
      <c r="Q673" s="116">
        <v>2803.65</v>
      </c>
      <c r="R673">
        <v>58425</v>
      </c>
    </row>
    <row r="674" spans="1:18" x14ac:dyDescent="0.25">
      <c r="A674" s="170">
        <v>42993</v>
      </c>
      <c r="B674" s="116">
        <v>563.79999999999995</v>
      </c>
      <c r="C674" s="116">
        <v>559.54999999999995</v>
      </c>
      <c r="D674" s="116">
        <v>548</v>
      </c>
      <c r="E674" s="116">
        <v>548</v>
      </c>
      <c r="F674" s="116">
        <v>2797.75</v>
      </c>
      <c r="G674">
        <v>5551</v>
      </c>
      <c r="H674" s="116"/>
      <c r="I674" s="116"/>
      <c r="L674" s="170">
        <v>42993</v>
      </c>
      <c r="M674" s="116">
        <v>558.89</v>
      </c>
      <c r="N674" s="116">
        <v>564</v>
      </c>
      <c r="O674" s="116">
        <v>554.76</v>
      </c>
      <c r="P674" s="116">
        <v>556.02</v>
      </c>
      <c r="Q674" s="116">
        <v>2794.45</v>
      </c>
      <c r="R674">
        <v>38562</v>
      </c>
    </row>
    <row r="675" spans="1:18" x14ac:dyDescent="0.25">
      <c r="A675" s="170">
        <v>42996</v>
      </c>
      <c r="B675" s="116">
        <v>566.48</v>
      </c>
      <c r="C675" s="116">
        <v>564.1</v>
      </c>
      <c r="D675" s="116">
        <v>560.62</v>
      </c>
      <c r="E675" s="116">
        <v>563.70000000000005</v>
      </c>
      <c r="F675" s="116">
        <v>2820.5</v>
      </c>
      <c r="G675">
        <v>6369</v>
      </c>
      <c r="H675" s="116"/>
      <c r="I675" s="116"/>
      <c r="L675" s="170">
        <v>42996</v>
      </c>
      <c r="M675" s="116">
        <v>563.96</v>
      </c>
      <c r="N675" s="116">
        <v>567.5</v>
      </c>
      <c r="O675" s="116">
        <v>560</v>
      </c>
      <c r="P675" s="116">
        <v>560</v>
      </c>
      <c r="Q675" s="116">
        <v>2819.8</v>
      </c>
      <c r="R675">
        <v>43073</v>
      </c>
    </row>
    <row r="676" spans="1:18" x14ac:dyDescent="0.25">
      <c r="A676" s="170">
        <v>42997</v>
      </c>
      <c r="B676" s="116">
        <v>578.4</v>
      </c>
      <c r="C676" s="116">
        <v>575.98</v>
      </c>
      <c r="D676" s="116">
        <v>561.71</v>
      </c>
      <c r="E676" s="116">
        <v>563.56000000000006</v>
      </c>
      <c r="F676" s="116">
        <v>2879.9</v>
      </c>
      <c r="G676">
        <v>10779</v>
      </c>
      <c r="H676" s="116"/>
      <c r="I676" s="116"/>
      <c r="L676" s="170">
        <v>42997</v>
      </c>
      <c r="M676" s="116">
        <v>575.87</v>
      </c>
      <c r="N676" s="116">
        <v>578.9</v>
      </c>
      <c r="O676" s="116">
        <v>560.52</v>
      </c>
      <c r="P676" s="116">
        <v>563.96</v>
      </c>
      <c r="Q676" s="116">
        <v>2879.35</v>
      </c>
      <c r="R676">
        <v>99863</v>
      </c>
    </row>
    <row r="677" spans="1:18" x14ac:dyDescent="0.25">
      <c r="A677" s="170">
        <v>42998</v>
      </c>
      <c r="B677" s="116">
        <v>576.65</v>
      </c>
      <c r="C677" s="116">
        <v>564.06999999999994</v>
      </c>
      <c r="D677" s="116">
        <v>562</v>
      </c>
      <c r="E677" s="116">
        <v>576.65</v>
      </c>
      <c r="F677" s="116">
        <v>2820.35</v>
      </c>
      <c r="G677">
        <v>9310</v>
      </c>
      <c r="H677" s="116"/>
      <c r="I677" s="116"/>
      <c r="L677" s="170">
        <v>42998</v>
      </c>
      <c r="M677" s="116">
        <v>565.54999999999995</v>
      </c>
      <c r="N677" s="116">
        <v>577.6</v>
      </c>
      <c r="O677" s="116">
        <v>563.72</v>
      </c>
      <c r="P677" s="116">
        <v>577.6</v>
      </c>
      <c r="Q677" s="116">
        <v>2827.75</v>
      </c>
      <c r="R677">
        <v>56793</v>
      </c>
    </row>
    <row r="678" spans="1:18" x14ac:dyDescent="0.25">
      <c r="A678" s="170">
        <v>42999</v>
      </c>
      <c r="B678" s="116">
        <v>566.08999999999992</v>
      </c>
      <c r="C678" s="116">
        <v>559.29</v>
      </c>
      <c r="D678" s="116">
        <v>552.45000000000005</v>
      </c>
      <c r="E678" s="116">
        <v>565.35</v>
      </c>
      <c r="F678" s="116">
        <v>2796.45</v>
      </c>
      <c r="G678">
        <v>4074</v>
      </c>
      <c r="H678" s="116"/>
      <c r="I678" s="116"/>
      <c r="L678" s="170">
        <v>42999</v>
      </c>
      <c r="M678" s="116">
        <v>559.29999999999995</v>
      </c>
      <c r="N678" s="116">
        <v>566.79</v>
      </c>
      <c r="O678" s="116">
        <v>550.99</v>
      </c>
      <c r="P678" s="116">
        <v>566.79</v>
      </c>
      <c r="Q678" s="116">
        <v>2796.5</v>
      </c>
      <c r="R678">
        <v>79295</v>
      </c>
    </row>
    <row r="679" spans="1:18" x14ac:dyDescent="0.25">
      <c r="A679" s="170">
        <v>43000</v>
      </c>
      <c r="B679" s="116">
        <v>553.6</v>
      </c>
      <c r="C679" s="116">
        <v>533.08999999999992</v>
      </c>
      <c r="D679" s="116">
        <v>530.5</v>
      </c>
      <c r="E679" s="116">
        <v>553.6</v>
      </c>
      <c r="F679" s="116">
        <v>2665.45</v>
      </c>
      <c r="G679">
        <v>16690</v>
      </c>
      <c r="H679" s="116"/>
      <c r="I679" s="116"/>
      <c r="L679" s="170">
        <v>43000</v>
      </c>
      <c r="M679" s="116">
        <v>531.63</v>
      </c>
      <c r="N679" s="116">
        <v>557.16000000000008</v>
      </c>
      <c r="O679" s="116">
        <v>529</v>
      </c>
      <c r="P679" s="116">
        <v>557.16000000000008</v>
      </c>
      <c r="Q679" s="116">
        <v>2658.15</v>
      </c>
      <c r="R679">
        <v>149738</v>
      </c>
    </row>
    <row r="680" spans="1:18" x14ac:dyDescent="0.25">
      <c r="A680" s="170">
        <v>43003</v>
      </c>
      <c r="B680" s="116">
        <v>532.4</v>
      </c>
      <c r="C680" s="116">
        <v>516.98</v>
      </c>
      <c r="D680" s="116">
        <v>509.08000000000004</v>
      </c>
      <c r="E680" s="116">
        <v>532.4</v>
      </c>
      <c r="F680" s="116">
        <v>2584.9</v>
      </c>
      <c r="G680">
        <v>18003</v>
      </c>
      <c r="H680" s="116"/>
      <c r="I680" s="116"/>
      <c r="L680" s="170">
        <v>43003</v>
      </c>
      <c r="M680" s="116">
        <v>517.56000000000006</v>
      </c>
      <c r="N680" s="116">
        <v>533.06999999999994</v>
      </c>
      <c r="O680" s="116">
        <v>508.18</v>
      </c>
      <c r="P680" s="116">
        <v>532</v>
      </c>
      <c r="Q680" s="116">
        <v>2587.8000000000002</v>
      </c>
      <c r="R680">
        <v>133484</v>
      </c>
    </row>
    <row r="681" spans="1:18" x14ac:dyDescent="0.25">
      <c r="A681" s="170">
        <v>43004</v>
      </c>
      <c r="B681" s="116">
        <v>538.02</v>
      </c>
      <c r="C681" s="116">
        <v>531.1</v>
      </c>
      <c r="D681" s="116">
        <v>516.33000000000004</v>
      </c>
      <c r="E681" s="116">
        <v>518.97</v>
      </c>
      <c r="F681" s="116">
        <v>2655.5</v>
      </c>
      <c r="G681">
        <v>12044</v>
      </c>
      <c r="H681" s="116"/>
      <c r="I681" s="116"/>
      <c r="L681" s="170">
        <v>43004</v>
      </c>
      <c r="M681" s="116">
        <v>530.66999999999996</v>
      </c>
      <c r="N681" s="116">
        <v>538.64</v>
      </c>
      <c r="O681" s="116">
        <v>516.41000000000008</v>
      </c>
      <c r="P681" s="116">
        <v>520</v>
      </c>
      <c r="Q681" s="116">
        <v>2653.35</v>
      </c>
      <c r="R681">
        <v>129450</v>
      </c>
    </row>
    <row r="682" spans="1:18" x14ac:dyDescent="0.25">
      <c r="A682" s="170">
        <v>43005</v>
      </c>
      <c r="B682" s="116">
        <v>539.79999999999995</v>
      </c>
      <c r="C682" s="116">
        <v>519.54</v>
      </c>
      <c r="D682" s="116">
        <v>516.63</v>
      </c>
      <c r="E682" s="116">
        <v>539.4</v>
      </c>
      <c r="F682" s="116">
        <v>2597.6999999999998</v>
      </c>
      <c r="G682">
        <v>11642</v>
      </c>
      <c r="H682" s="116"/>
      <c r="I682" s="116"/>
      <c r="L682" s="170">
        <v>43005</v>
      </c>
      <c r="M682" s="116">
        <v>519.9</v>
      </c>
      <c r="N682" s="116">
        <v>539.6</v>
      </c>
      <c r="O682" s="116">
        <v>517.08000000000004</v>
      </c>
      <c r="P682" s="116">
        <v>537.01</v>
      </c>
      <c r="Q682" s="116">
        <v>2599.5</v>
      </c>
      <c r="R682">
        <v>96210</v>
      </c>
    </row>
    <row r="683" spans="1:18" x14ac:dyDescent="0.25">
      <c r="A683" s="170">
        <v>43006</v>
      </c>
      <c r="B683" s="116">
        <v>531.64</v>
      </c>
      <c r="C683" s="116">
        <v>527.1</v>
      </c>
      <c r="D683" s="116">
        <v>514.58999999999992</v>
      </c>
      <c r="E683" s="116">
        <v>519.79999999999995</v>
      </c>
      <c r="F683" s="116">
        <v>2635.5</v>
      </c>
      <c r="G683">
        <v>7644</v>
      </c>
      <c r="H683" s="116"/>
      <c r="I683" s="116"/>
      <c r="L683" s="170">
        <v>43006</v>
      </c>
      <c r="M683" s="116">
        <v>526.58000000000004</v>
      </c>
      <c r="N683" s="116">
        <v>532</v>
      </c>
      <c r="O683" s="116">
        <v>512.96</v>
      </c>
      <c r="P683" s="116">
        <v>520</v>
      </c>
      <c r="Q683" s="116">
        <v>2632.9</v>
      </c>
      <c r="R683">
        <v>104158</v>
      </c>
    </row>
    <row r="684" spans="1:18" x14ac:dyDescent="0.25">
      <c r="A684" s="170">
        <v>43007</v>
      </c>
      <c r="B684" s="116">
        <v>536.15</v>
      </c>
      <c r="C684" s="116">
        <v>529.93000000000006</v>
      </c>
      <c r="D684" s="116">
        <v>528.20000000000005</v>
      </c>
      <c r="E684" s="116">
        <v>531.58999999999992</v>
      </c>
      <c r="F684" s="116">
        <v>2649.65</v>
      </c>
      <c r="G684">
        <v>3777</v>
      </c>
      <c r="H684" s="116"/>
      <c r="I684" s="116"/>
      <c r="L684" s="170">
        <v>43007</v>
      </c>
      <c r="M684" s="116">
        <v>530.91000000000008</v>
      </c>
      <c r="N684" s="116">
        <v>537</v>
      </c>
      <c r="O684" s="116">
        <v>528.13</v>
      </c>
      <c r="P684" s="116">
        <v>530</v>
      </c>
      <c r="Q684" s="116">
        <v>2654.55</v>
      </c>
      <c r="R684">
        <v>76546</v>
      </c>
    </row>
    <row r="685" spans="1:18" x14ac:dyDescent="0.25">
      <c r="A685" s="170">
        <v>43011</v>
      </c>
      <c r="B685" s="116">
        <v>538.6</v>
      </c>
      <c r="C685" s="116">
        <v>527.20000000000005</v>
      </c>
      <c r="D685" s="116">
        <v>525.96</v>
      </c>
      <c r="E685" s="116">
        <v>535.6</v>
      </c>
      <c r="F685" s="116">
        <v>2636</v>
      </c>
      <c r="G685">
        <v>7053</v>
      </c>
      <c r="H685" s="116"/>
      <c r="I685" s="116"/>
      <c r="L685" s="170">
        <v>43011</v>
      </c>
      <c r="M685" s="116">
        <v>527.86</v>
      </c>
      <c r="N685" s="116">
        <v>538</v>
      </c>
      <c r="O685" s="116">
        <v>525.11</v>
      </c>
      <c r="P685" s="116">
        <v>537.58000000000004</v>
      </c>
      <c r="Q685" s="116">
        <v>2639.3</v>
      </c>
      <c r="R685">
        <v>81026</v>
      </c>
    </row>
    <row r="686" spans="1:18" x14ac:dyDescent="0.25">
      <c r="A686" s="170">
        <v>43012</v>
      </c>
      <c r="B686" s="116">
        <v>534.23</v>
      </c>
      <c r="C686" s="116">
        <v>525.04999999999995</v>
      </c>
      <c r="D686" s="116">
        <v>522.01</v>
      </c>
      <c r="E686" s="116">
        <v>522.06000000000006</v>
      </c>
      <c r="F686" s="116">
        <v>2625.25</v>
      </c>
      <c r="G686">
        <v>5102</v>
      </c>
      <c r="H686" s="116"/>
      <c r="I686" s="116"/>
      <c r="L686" s="170">
        <v>43012</v>
      </c>
      <c r="M686" s="116">
        <v>525.04999999999995</v>
      </c>
      <c r="N686" s="116">
        <v>534.4</v>
      </c>
      <c r="O686" s="116">
        <v>522.21</v>
      </c>
      <c r="P686" s="116">
        <v>530.4</v>
      </c>
      <c r="Q686" s="116">
        <v>2625.25</v>
      </c>
      <c r="R686">
        <v>78909</v>
      </c>
    </row>
    <row r="687" spans="1:18" x14ac:dyDescent="0.25">
      <c r="A687" s="170">
        <v>43013</v>
      </c>
      <c r="B687" s="116">
        <v>532.20000000000005</v>
      </c>
      <c r="C687" s="116">
        <v>523.81999999999994</v>
      </c>
      <c r="D687" s="116">
        <v>522.5</v>
      </c>
      <c r="E687" s="116">
        <v>528.46</v>
      </c>
      <c r="F687" s="116">
        <v>2619.1</v>
      </c>
      <c r="G687">
        <v>4329</v>
      </c>
      <c r="H687" s="116"/>
      <c r="I687" s="116"/>
      <c r="L687" s="170">
        <v>43013</v>
      </c>
      <c r="M687" s="116">
        <v>523.39</v>
      </c>
      <c r="N687" s="116">
        <v>532.25</v>
      </c>
      <c r="O687" s="116">
        <v>521.26</v>
      </c>
      <c r="P687" s="116">
        <v>528.74</v>
      </c>
      <c r="Q687" s="116">
        <v>2616.9499999999998</v>
      </c>
      <c r="R687">
        <v>57982</v>
      </c>
    </row>
    <row r="688" spans="1:18" x14ac:dyDescent="0.25">
      <c r="A688" s="170">
        <v>43014</v>
      </c>
      <c r="B688" s="116">
        <v>534.15</v>
      </c>
      <c r="C688" s="116">
        <v>529.21</v>
      </c>
      <c r="D688" s="116">
        <v>524.49</v>
      </c>
      <c r="E688" s="116">
        <v>529.6</v>
      </c>
      <c r="F688" s="116">
        <v>2646.05</v>
      </c>
      <c r="G688">
        <v>5453</v>
      </c>
      <c r="H688" s="116"/>
      <c r="I688" s="116"/>
      <c r="L688" s="170">
        <v>43014</v>
      </c>
      <c r="M688" s="116">
        <v>529.14</v>
      </c>
      <c r="N688" s="116">
        <v>534.20000000000005</v>
      </c>
      <c r="O688" s="116">
        <v>523.22</v>
      </c>
      <c r="P688" s="116">
        <v>525.20000000000005</v>
      </c>
      <c r="Q688" s="116">
        <v>2645.7</v>
      </c>
      <c r="R688">
        <v>91713</v>
      </c>
    </row>
    <row r="689" spans="1:18" x14ac:dyDescent="0.25">
      <c r="A689" s="170">
        <v>43017</v>
      </c>
      <c r="B689" s="116">
        <v>535.11</v>
      </c>
      <c r="C689" s="116">
        <v>532.41000000000008</v>
      </c>
      <c r="D689" s="116">
        <v>526</v>
      </c>
      <c r="E689" s="116">
        <v>526</v>
      </c>
      <c r="F689" s="116">
        <v>2662.05</v>
      </c>
      <c r="G689">
        <v>9958</v>
      </c>
      <c r="H689" s="116"/>
      <c r="I689" s="116"/>
      <c r="L689" s="170">
        <v>43017</v>
      </c>
      <c r="M689" s="116">
        <v>533.33999999999992</v>
      </c>
      <c r="N689" s="116">
        <v>536.79999999999995</v>
      </c>
      <c r="O689" s="116">
        <v>527.06999999999994</v>
      </c>
      <c r="P689" s="116">
        <v>530.79999999999995</v>
      </c>
      <c r="Q689" s="116">
        <v>2666.7</v>
      </c>
      <c r="R689">
        <v>47881</v>
      </c>
    </row>
    <row r="690" spans="1:18" x14ac:dyDescent="0.25">
      <c r="A690" s="170">
        <v>43018</v>
      </c>
      <c r="B690" s="116">
        <v>537.66999999999996</v>
      </c>
      <c r="C690" s="116">
        <v>524.26</v>
      </c>
      <c r="D690" s="116">
        <v>522.58000000000004</v>
      </c>
      <c r="E690" s="116">
        <v>534.93999999999994</v>
      </c>
      <c r="F690" s="116">
        <v>2621.3000000000002</v>
      </c>
      <c r="G690">
        <v>28445</v>
      </c>
      <c r="H690" s="116"/>
      <c r="I690" s="116"/>
      <c r="L690" s="170">
        <v>43018</v>
      </c>
      <c r="M690" s="116">
        <v>524.87</v>
      </c>
      <c r="N690" s="116">
        <v>538</v>
      </c>
      <c r="O690" s="116">
        <v>522.65</v>
      </c>
      <c r="P690" s="116">
        <v>538</v>
      </c>
      <c r="Q690" s="116">
        <v>2624.35</v>
      </c>
      <c r="R690">
        <v>82057</v>
      </c>
    </row>
    <row r="691" spans="1:18" x14ac:dyDescent="0.25">
      <c r="A691" s="170">
        <v>43019</v>
      </c>
      <c r="B691" s="116">
        <v>531.13</v>
      </c>
      <c r="C691" s="116">
        <v>510.3</v>
      </c>
      <c r="D691" s="116">
        <v>507.39</v>
      </c>
      <c r="E691" s="116">
        <v>527.37</v>
      </c>
      <c r="F691" s="116">
        <v>2551.5</v>
      </c>
      <c r="G691">
        <v>10672</v>
      </c>
      <c r="H691" s="116"/>
      <c r="I691" s="116"/>
      <c r="L691" s="170">
        <v>43019</v>
      </c>
      <c r="M691" s="116">
        <v>510.66</v>
      </c>
      <c r="N691" s="116">
        <v>531.4</v>
      </c>
      <c r="O691" s="116">
        <v>507.21000000000004</v>
      </c>
      <c r="P691" s="116">
        <v>528.79999999999995</v>
      </c>
      <c r="Q691" s="116">
        <v>2553.3000000000002</v>
      </c>
      <c r="R691">
        <v>124553</v>
      </c>
    </row>
    <row r="692" spans="1:18" x14ac:dyDescent="0.25">
      <c r="A692" s="170">
        <v>43020</v>
      </c>
      <c r="B692" s="116">
        <v>530.9</v>
      </c>
      <c r="C692" s="116">
        <v>525.85</v>
      </c>
      <c r="D692" s="116">
        <v>510</v>
      </c>
      <c r="E692" s="116">
        <v>520</v>
      </c>
      <c r="F692" s="116">
        <v>525.85</v>
      </c>
      <c r="G692">
        <v>42947</v>
      </c>
      <c r="H692" s="116"/>
      <c r="I692" s="116"/>
      <c r="L692" s="170">
        <v>43020</v>
      </c>
      <c r="M692" s="116">
        <v>526</v>
      </c>
      <c r="N692" s="116">
        <v>529.45000000000005</v>
      </c>
      <c r="O692" s="116">
        <v>510.9</v>
      </c>
      <c r="P692" s="116">
        <v>516</v>
      </c>
      <c r="Q692" s="116">
        <v>526</v>
      </c>
      <c r="R692">
        <v>651990</v>
      </c>
    </row>
    <row r="693" spans="1:18" x14ac:dyDescent="0.25">
      <c r="A693" s="170">
        <v>43021</v>
      </c>
      <c r="B693" s="116">
        <v>563</v>
      </c>
      <c r="C693" s="116">
        <v>558.6</v>
      </c>
      <c r="D693" s="116">
        <v>528.29999999999995</v>
      </c>
      <c r="E693" s="116">
        <v>528.29999999999995</v>
      </c>
      <c r="F693" s="116">
        <v>558.6</v>
      </c>
      <c r="G693">
        <v>148609</v>
      </c>
      <c r="H693" s="116"/>
      <c r="I693" s="116"/>
      <c r="L693" s="170">
        <v>43021</v>
      </c>
      <c r="M693" s="116">
        <v>558.75</v>
      </c>
      <c r="N693" s="116">
        <v>562</v>
      </c>
      <c r="O693" s="116">
        <v>527</v>
      </c>
      <c r="P693" s="116">
        <v>530</v>
      </c>
      <c r="Q693" s="116">
        <v>558.75</v>
      </c>
      <c r="R693">
        <v>1585443</v>
      </c>
    </row>
    <row r="694" spans="1:18" x14ac:dyDescent="0.25">
      <c r="A694" s="170">
        <v>43024</v>
      </c>
      <c r="B694" s="116">
        <v>565.70000000000005</v>
      </c>
      <c r="C694" s="116">
        <v>549.5</v>
      </c>
      <c r="D694" s="116">
        <v>546</v>
      </c>
      <c r="E694" s="116">
        <v>561.04999999999995</v>
      </c>
      <c r="F694" s="116">
        <v>549.5</v>
      </c>
      <c r="G694">
        <v>65865</v>
      </c>
      <c r="H694" s="116"/>
      <c r="I694" s="116"/>
      <c r="L694" s="170">
        <v>43024</v>
      </c>
      <c r="M694" s="116">
        <v>549.4</v>
      </c>
      <c r="N694" s="116">
        <v>564.70000000000005</v>
      </c>
      <c r="O694" s="116">
        <v>545.65</v>
      </c>
      <c r="P694" s="116">
        <v>562</v>
      </c>
      <c r="Q694" s="116">
        <v>549.4</v>
      </c>
      <c r="R694">
        <v>876239</v>
      </c>
    </row>
    <row r="695" spans="1:18" x14ac:dyDescent="0.25">
      <c r="A695" s="170">
        <v>43025</v>
      </c>
      <c r="B695" s="116">
        <v>555.20000000000005</v>
      </c>
      <c r="C695" s="116">
        <v>550.75</v>
      </c>
      <c r="D695" s="116">
        <v>547.4</v>
      </c>
      <c r="E695" s="116">
        <v>552.75</v>
      </c>
      <c r="F695" s="116">
        <v>550.75</v>
      </c>
      <c r="G695">
        <v>26267</v>
      </c>
      <c r="H695" s="116"/>
      <c r="I695" s="116"/>
      <c r="L695" s="170">
        <v>43025</v>
      </c>
      <c r="M695" s="116">
        <v>551.5</v>
      </c>
      <c r="N695" s="116">
        <v>554.75</v>
      </c>
      <c r="O695" s="116">
        <v>545</v>
      </c>
      <c r="P695" s="116">
        <v>551</v>
      </c>
      <c r="Q695" s="116">
        <v>551.5</v>
      </c>
      <c r="R695">
        <v>428851</v>
      </c>
    </row>
    <row r="696" spans="1:18" x14ac:dyDescent="0.25">
      <c r="A696" s="170">
        <v>43026</v>
      </c>
      <c r="B696" s="116">
        <v>551.54999999999995</v>
      </c>
      <c r="C696" s="116">
        <v>542.54999999999995</v>
      </c>
      <c r="D696" s="116">
        <v>539.85</v>
      </c>
      <c r="E696" s="116">
        <v>550.95000000000005</v>
      </c>
      <c r="F696" s="116">
        <v>542.54999999999995</v>
      </c>
      <c r="G696">
        <v>35989</v>
      </c>
      <c r="H696" s="116"/>
      <c r="I696" s="116"/>
      <c r="L696" s="170">
        <v>43026</v>
      </c>
      <c r="M696" s="116">
        <v>540.70000000000005</v>
      </c>
      <c r="N696" s="116">
        <v>552</v>
      </c>
      <c r="O696" s="116">
        <v>539.20000000000005</v>
      </c>
      <c r="P696" s="116">
        <v>550.79999999999995</v>
      </c>
      <c r="Q696" s="116">
        <v>540.70000000000005</v>
      </c>
      <c r="R696">
        <v>505344</v>
      </c>
    </row>
    <row r="697" spans="1:18" x14ac:dyDescent="0.25">
      <c r="A697" s="170">
        <v>43027</v>
      </c>
      <c r="B697" s="116">
        <v>549.85</v>
      </c>
      <c r="C697" s="116">
        <v>537.54999999999995</v>
      </c>
      <c r="D697" s="116">
        <v>534</v>
      </c>
      <c r="E697" s="116">
        <v>549.85</v>
      </c>
      <c r="F697" s="116">
        <v>537.54999999999995</v>
      </c>
      <c r="G697">
        <v>12305</v>
      </c>
      <c r="H697" s="116"/>
      <c r="I697" s="116"/>
      <c r="L697" s="170">
        <v>43027</v>
      </c>
      <c r="M697" s="116">
        <v>537.15</v>
      </c>
      <c r="N697" s="116">
        <v>544.6</v>
      </c>
      <c r="O697" s="116">
        <v>532.25</v>
      </c>
      <c r="P697" s="116">
        <v>541</v>
      </c>
      <c r="Q697" s="116">
        <v>537.15</v>
      </c>
      <c r="R697">
        <v>134995</v>
      </c>
    </row>
    <row r="698" spans="1:18" x14ac:dyDescent="0.25">
      <c r="A698" s="170">
        <v>43031</v>
      </c>
      <c r="B698" s="116">
        <v>545</v>
      </c>
      <c r="C698" s="116">
        <v>537.4</v>
      </c>
      <c r="D698" s="116">
        <v>530</v>
      </c>
      <c r="E698" s="116">
        <v>538.4</v>
      </c>
      <c r="F698" s="116">
        <v>537.4</v>
      </c>
      <c r="G698">
        <v>44049</v>
      </c>
      <c r="H698" s="116"/>
      <c r="I698" s="116"/>
      <c r="L698" s="170">
        <v>43031</v>
      </c>
      <c r="M698" s="116">
        <v>537.85</v>
      </c>
      <c r="N698" s="116">
        <v>545.4</v>
      </c>
      <c r="O698" s="116">
        <v>533.4</v>
      </c>
      <c r="P698" s="116">
        <v>537</v>
      </c>
      <c r="Q698" s="116">
        <v>537.85</v>
      </c>
      <c r="R698">
        <v>439606</v>
      </c>
    </row>
    <row r="699" spans="1:18" x14ac:dyDescent="0.25">
      <c r="A699" s="170">
        <v>43032</v>
      </c>
      <c r="B699" s="116">
        <v>558.54999999999995</v>
      </c>
      <c r="C699" s="116">
        <v>538.95000000000005</v>
      </c>
      <c r="D699" s="116">
        <v>535.45000000000005</v>
      </c>
      <c r="E699" s="116">
        <v>540.35</v>
      </c>
      <c r="F699" s="116">
        <v>538.95000000000005</v>
      </c>
      <c r="G699">
        <v>174217</v>
      </c>
      <c r="H699" s="116"/>
      <c r="I699" s="116"/>
      <c r="L699" s="170">
        <v>43032</v>
      </c>
      <c r="M699" s="116">
        <v>538.9</v>
      </c>
      <c r="N699" s="116">
        <v>555.79999999999995</v>
      </c>
      <c r="O699" s="116">
        <v>534</v>
      </c>
      <c r="P699" s="116">
        <v>540.95000000000005</v>
      </c>
      <c r="Q699" s="116">
        <v>538.9</v>
      </c>
      <c r="R699">
        <v>1735326</v>
      </c>
    </row>
    <row r="700" spans="1:18" x14ac:dyDescent="0.25">
      <c r="A700" s="170">
        <v>43033</v>
      </c>
      <c r="B700" s="116">
        <v>539</v>
      </c>
      <c r="C700" s="116">
        <v>504.45</v>
      </c>
      <c r="D700" s="116">
        <v>498.1</v>
      </c>
      <c r="E700" s="116">
        <v>539</v>
      </c>
      <c r="F700" s="116">
        <v>504.45</v>
      </c>
      <c r="G700">
        <v>154982</v>
      </c>
      <c r="H700" s="116"/>
      <c r="I700" s="116"/>
      <c r="L700" s="170">
        <v>43033</v>
      </c>
      <c r="M700" s="116">
        <v>503.1</v>
      </c>
      <c r="N700" s="116">
        <v>539.85</v>
      </c>
      <c r="O700" s="116">
        <v>496.85</v>
      </c>
      <c r="P700" s="116">
        <v>534</v>
      </c>
      <c r="Q700" s="116">
        <v>503.1</v>
      </c>
      <c r="R700">
        <v>1993043</v>
      </c>
    </row>
    <row r="701" spans="1:18" x14ac:dyDescent="0.25">
      <c r="A701" s="170">
        <v>43034</v>
      </c>
      <c r="B701" s="116">
        <v>506.6</v>
      </c>
      <c r="C701" s="116">
        <v>498.45</v>
      </c>
      <c r="D701" s="116">
        <v>480.6</v>
      </c>
      <c r="E701" s="116">
        <v>503</v>
      </c>
      <c r="F701" s="116">
        <v>498.45</v>
      </c>
      <c r="G701">
        <v>147385</v>
      </c>
      <c r="H701" s="116"/>
      <c r="I701" s="116"/>
      <c r="L701" s="170">
        <v>43034</v>
      </c>
      <c r="M701" s="116">
        <v>498.55</v>
      </c>
      <c r="N701" s="116">
        <v>507.95</v>
      </c>
      <c r="O701" s="116">
        <v>480.1</v>
      </c>
      <c r="P701" s="116">
        <v>501</v>
      </c>
      <c r="Q701" s="116">
        <v>498.55</v>
      </c>
      <c r="R701">
        <v>1518657</v>
      </c>
    </row>
    <row r="702" spans="1:18" x14ac:dyDescent="0.25">
      <c r="A702" s="170">
        <v>43035</v>
      </c>
      <c r="B702" s="116">
        <v>508.95</v>
      </c>
      <c r="C702" s="116">
        <v>495.35</v>
      </c>
      <c r="D702" s="116">
        <v>492.05</v>
      </c>
      <c r="E702" s="116">
        <v>504</v>
      </c>
      <c r="F702" s="116">
        <v>495.35</v>
      </c>
      <c r="G702">
        <v>80722</v>
      </c>
      <c r="H702" s="116"/>
      <c r="I702" s="116"/>
      <c r="L702" s="170">
        <v>43035</v>
      </c>
      <c r="M702" s="116">
        <v>495.7</v>
      </c>
      <c r="N702" s="116">
        <v>509.35</v>
      </c>
      <c r="O702" s="116">
        <v>493.1</v>
      </c>
      <c r="P702" s="116">
        <v>504</v>
      </c>
      <c r="Q702" s="116">
        <v>495.7</v>
      </c>
      <c r="R702">
        <v>847741</v>
      </c>
    </row>
    <row r="703" spans="1:18" x14ac:dyDescent="0.25">
      <c r="A703" s="170">
        <v>43038</v>
      </c>
      <c r="B703" s="116">
        <v>502.25</v>
      </c>
      <c r="C703" s="116">
        <v>489.3</v>
      </c>
      <c r="D703" s="116">
        <v>487.25</v>
      </c>
      <c r="E703" s="116">
        <v>496.35</v>
      </c>
      <c r="F703" s="116">
        <v>489.3</v>
      </c>
      <c r="G703">
        <v>70979</v>
      </c>
      <c r="H703" s="116"/>
      <c r="I703" s="116"/>
      <c r="L703" s="170">
        <v>43038</v>
      </c>
      <c r="M703" s="116">
        <v>488.75</v>
      </c>
      <c r="N703" s="116">
        <v>502.5</v>
      </c>
      <c r="O703" s="116">
        <v>486.5</v>
      </c>
      <c r="P703" s="116">
        <v>496</v>
      </c>
      <c r="Q703" s="116">
        <v>488.75</v>
      </c>
      <c r="R703">
        <v>674251</v>
      </c>
    </row>
    <row r="704" spans="1:18" x14ac:dyDescent="0.25">
      <c r="A704" s="170">
        <v>43039</v>
      </c>
      <c r="B704" s="116">
        <v>494.95</v>
      </c>
      <c r="C704" s="116">
        <v>480.25</v>
      </c>
      <c r="D704" s="116">
        <v>477.25</v>
      </c>
      <c r="E704" s="116">
        <v>491.55</v>
      </c>
      <c r="F704" s="116">
        <v>480.25</v>
      </c>
      <c r="G704">
        <v>105257</v>
      </c>
      <c r="H704" s="116"/>
      <c r="I704" s="116"/>
      <c r="L704" s="170">
        <v>43039</v>
      </c>
      <c r="M704" s="116">
        <v>480.15</v>
      </c>
      <c r="N704" s="116">
        <v>495.15</v>
      </c>
      <c r="O704" s="116">
        <v>478</v>
      </c>
      <c r="P704" s="116">
        <v>493.9</v>
      </c>
      <c r="Q704" s="116">
        <v>480.15</v>
      </c>
      <c r="R704">
        <v>917182</v>
      </c>
    </row>
    <row r="705" spans="1:18" x14ac:dyDescent="0.25">
      <c r="A705" s="170">
        <v>43040</v>
      </c>
      <c r="B705" s="116">
        <v>493</v>
      </c>
      <c r="C705" s="116">
        <v>470.6</v>
      </c>
      <c r="D705" s="116">
        <v>468.55</v>
      </c>
      <c r="E705" s="116">
        <v>493</v>
      </c>
      <c r="F705" s="116">
        <v>470.6</v>
      </c>
      <c r="G705">
        <v>123944</v>
      </c>
      <c r="H705" s="116"/>
      <c r="I705" s="116"/>
      <c r="L705" s="170">
        <v>43040</v>
      </c>
      <c r="M705" s="116">
        <v>470.9</v>
      </c>
      <c r="N705" s="116">
        <v>485.85</v>
      </c>
      <c r="O705" s="116">
        <v>469.65</v>
      </c>
      <c r="P705" s="116">
        <v>484.8</v>
      </c>
      <c r="Q705" s="116">
        <v>470.9</v>
      </c>
      <c r="R705">
        <v>943274</v>
      </c>
    </row>
    <row r="706" spans="1:18" x14ac:dyDescent="0.25">
      <c r="A706" s="170">
        <v>43041</v>
      </c>
      <c r="B706" s="116">
        <v>482.55</v>
      </c>
      <c r="C706" s="116">
        <v>472.85</v>
      </c>
      <c r="D706" s="116">
        <v>466</v>
      </c>
      <c r="E706" s="116">
        <v>470</v>
      </c>
      <c r="F706" s="116">
        <v>472.85</v>
      </c>
      <c r="G706">
        <v>123016</v>
      </c>
      <c r="H706" s="116"/>
      <c r="I706" s="116"/>
      <c r="L706" s="170">
        <v>43041</v>
      </c>
      <c r="M706" s="116">
        <v>472.6</v>
      </c>
      <c r="N706" s="116">
        <v>482.8</v>
      </c>
      <c r="O706" s="116">
        <v>465.25</v>
      </c>
      <c r="P706" s="116">
        <v>472</v>
      </c>
      <c r="Q706" s="116">
        <v>472.6</v>
      </c>
      <c r="R706">
        <v>1274760</v>
      </c>
    </row>
    <row r="707" spans="1:18" x14ac:dyDescent="0.25">
      <c r="A707" s="170">
        <v>43042</v>
      </c>
      <c r="B707" s="116">
        <v>477.45</v>
      </c>
      <c r="C707" s="116">
        <v>467.8</v>
      </c>
      <c r="D707" s="116">
        <v>465.5</v>
      </c>
      <c r="E707" s="116">
        <v>476.55</v>
      </c>
      <c r="F707" s="116">
        <v>467.8</v>
      </c>
      <c r="G707">
        <v>81344</v>
      </c>
      <c r="H707" s="116"/>
      <c r="I707" s="116"/>
      <c r="L707" s="170">
        <v>43042</v>
      </c>
      <c r="M707" s="116">
        <v>467.35</v>
      </c>
      <c r="N707" s="116">
        <v>477.5</v>
      </c>
      <c r="O707" s="116">
        <v>464.8</v>
      </c>
      <c r="P707" s="116">
        <v>471.1</v>
      </c>
      <c r="Q707" s="116">
        <v>467.35</v>
      </c>
      <c r="R707">
        <v>720847</v>
      </c>
    </row>
    <row r="708" spans="1:18" x14ac:dyDescent="0.25">
      <c r="A708" s="170">
        <v>43045</v>
      </c>
      <c r="B708" s="116">
        <v>469.4</v>
      </c>
      <c r="C708" s="116">
        <v>456.35</v>
      </c>
      <c r="D708" s="116">
        <v>454.15</v>
      </c>
      <c r="E708" s="116">
        <v>466</v>
      </c>
      <c r="F708" s="116">
        <v>456.35</v>
      </c>
      <c r="G708">
        <v>121449</v>
      </c>
      <c r="H708" s="116"/>
      <c r="I708" s="116"/>
      <c r="L708" s="170">
        <v>43045</v>
      </c>
      <c r="M708" s="116">
        <v>456.15</v>
      </c>
      <c r="N708" s="116">
        <v>470</v>
      </c>
      <c r="O708" s="116">
        <v>454.95</v>
      </c>
      <c r="P708" s="116">
        <v>468</v>
      </c>
      <c r="Q708" s="116">
        <v>456.15</v>
      </c>
      <c r="R708">
        <v>760577</v>
      </c>
    </row>
    <row r="709" spans="1:18" x14ac:dyDescent="0.25">
      <c r="A709" s="170">
        <v>43046</v>
      </c>
      <c r="B709" s="116">
        <v>472.5</v>
      </c>
      <c r="C709" s="116">
        <v>456.8</v>
      </c>
      <c r="D709" s="116">
        <v>453.25</v>
      </c>
      <c r="E709" s="116">
        <v>457</v>
      </c>
      <c r="F709" s="116">
        <v>456.8</v>
      </c>
      <c r="G709">
        <v>160557</v>
      </c>
      <c r="H709" s="116"/>
      <c r="I709" s="116"/>
      <c r="L709" s="170">
        <v>43046</v>
      </c>
      <c r="M709" s="116">
        <v>456.2</v>
      </c>
      <c r="N709" s="116">
        <v>471.9</v>
      </c>
      <c r="O709" s="116">
        <v>452.35</v>
      </c>
      <c r="P709" s="116">
        <v>456.6</v>
      </c>
      <c r="Q709" s="116">
        <v>456.2</v>
      </c>
      <c r="R709">
        <v>936897</v>
      </c>
    </row>
    <row r="710" spans="1:18" x14ac:dyDescent="0.25">
      <c r="A710" s="170">
        <v>43047</v>
      </c>
      <c r="B710" s="116">
        <v>463.95</v>
      </c>
      <c r="C710" s="116">
        <v>453.6</v>
      </c>
      <c r="D710" s="116">
        <v>443</v>
      </c>
      <c r="E710" s="116">
        <v>453.05</v>
      </c>
      <c r="F710" s="116">
        <v>453.6</v>
      </c>
      <c r="G710">
        <v>91942</v>
      </c>
      <c r="H710" s="116"/>
      <c r="I710" s="116"/>
      <c r="L710" s="170">
        <v>43047</v>
      </c>
      <c r="M710" s="116">
        <v>453.4</v>
      </c>
      <c r="N710" s="116">
        <v>463.75</v>
      </c>
      <c r="O710" s="116">
        <v>443.1</v>
      </c>
      <c r="P710" s="116">
        <v>458.9</v>
      </c>
      <c r="Q710" s="116">
        <v>453.4</v>
      </c>
      <c r="R710">
        <v>607491</v>
      </c>
    </row>
    <row r="711" spans="1:18" x14ac:dyDescent="0.25">
      <c r="A711" s="170">
        <v>43048</v>
      </c>
      <c r="B711" s="116">
        <v>464.8</v>
      </c>
      <c r="C711" s="116">
        <v>458.6</v>
      </c>
      <c r="D711" s="116">
        <v>449</v>
      </c>
      <c r="E711" s="116">
        <v>453</v>
      </c>
      <c r="F711" s="116">
        <v>458.6</v>
      </c>
      <c r="G711">
        <v>102637</v>
      </c>
      <c r="H711" s="116"/>
      <c r="I711" s="116"/>
      <c r="L711" s="170">
        <v>43048</v>
      </c>
      <c r="M711" s="116">
        <v>459.9</v>
      </c>
      <c r="N711" s="116">
        <v>465</v>
      </c>
      <c r="O711" s="116">
        <v>453</v>
      </c>
      <c r="P711" s="116">
        <v>455.9</v>
      </c>
      <c r="Q711" s="116">
        <v>459.9</v>
      </c>
      <c r="R711">
        <v>581753</v>
      </c>
    </row>
    <row r="712" spans="1:18" x14ac:dyDescent="0.25">
      <c r="A712" s="170">
        <v>43049</v>
      </c>
      <c r="B712" s="116">
        <v>469.75</v>
      </c>
      <c r="C712" s="116">
        <v>462.65</v>
      </c>
      <c r="D712" s="116">
        <v>458.55</v>
      </c>
      <c r="E712" s="116">
        <v>459</v>
      </c>
      <c r="F712" s="116">
        <v>462.65</v>
      </c>
      <c r="G712">
        <v>79005</v>
      </c>
      <c r="H712" s="116"/>
      <c r="I712" s="116"/>
      <c r="L712" s="170">
        <v>43049</v>
      </c>
      <c r="M712" s="116">
        <v>462.4</v>
      </c>
      <c r="N712" s="116">
        <v>469.8</v>
      </c>
      <c r="O712" s="116">
        <v>457.2</v>
      </c>
      <c r="P712" s="116">
        <v>459</v>
      </c>
      <c r="Q712" s="116">
        <v>462.4</v>
      </c>
      <c r="R712">
        <v>597558</v>
      </c>
    </row>
    <row r="713" spans="1:18" x14ac:dyDescent="0.25">
      <c r="A713" s="170">
        <v>43052</v>
      </c>
      <c r="B713" s="116">
        <v>466.9</v>
      </c>
      <c r="C713" s="116">
        <v>453.45</v>
      </c>
      <c r="D713" s="116">
        <v>452.5</v>
      </c>
      <c r="E713" s="116">
        <v>458</v>
      </c>
      <c r="F713" s="116">
        <v>453.45</v>
      </c>
      <c r="G713">
        <v>45245</v>
      </c>
      <c r="H713" s="116"/>
      <c r="I713" s="116"/>
      <c r="L713" s="170">
        <v>43052</v>
      </c>
      <c r="M713" s="116">
        <v>453.05</v>
      </c>
      <c r="N713" s="116">
        <v>467</v>
      </c>
      <c r="O713" s="116">
        <v>452</v>
      </c>
      <c r="P713" s="116">
        <v>463.3</v>
      </c>
      <c r="Q713" s="116">
        <v>453.05</v>
      </c>
      <c r="R713">
        <v>449400</v>
      </c>
    </row>
    <row r="714" spans="1:18" x14ac:dyDescent="0.25">
      <c r="A714" s="170">
        <v>43053</v>
      </c>
      <c r="B714" s="116">
        <v>459.95</v>
      </c>
      <c r="C714" s="116">
        <v>453.15</v>
      </c>
      <c r="D714" s="116">
        <v>450.1</v>
      </c>
      <c r="E714" s="116">
        <v>450.1</v>
      </c>
      <c r="F714" s="116">
        <v>453.15</v>
      </c>
      <c r="G714">
        <v>44696</v>
      </c>
      <c r="H714" s="116"/>
      <c r="I714" s="116"/>
      <c r="L714" s="170">
        <v>43053</v>
      </c>
      <c r="M714" s="116">
        <v>453.55</v>
      </c>
      <c r="N714" s="116">
        <v>460.75</v>
      </c>
      <c r="O714" s="116">
        <v>451.2</v>
      </c>
      <c r="P714" s="116">
        <v>454.8</v>
      </c>
      <c r="Q714" s="116">
        <v>453.55</v>
      </c>
      <c r="R714">
        <v>406922</v>
      </c>
    </row>
    <row r="715" spans="1:18" x14ac:dyDescent="0.25">
      <c r="A715" s="170">
        <v>43054</v>
      </c>
      <c r="B715" s="116">
        <v>455</v>
      </c>
      <c r="C715" s="116">
        <v>437.2</v>
      </c>
      <c r="D715" s="116">
        <v>434.8</v>
      </c>
      <c r="E715" s="116">
        <v>455</v>
      </c>
      <c r="F715" s="116">
        <v>437.2</v>
      </c>
      <c r="G715">
        <v>65319</v>
      </c>
      <c r="H715" s="116"/>
      <c r="I715" s="116"/>
      <c r="L715" s="170">
        <v>43054</v>
      </c>
      <c r="M715" s="116">
        <v>437.9</v>
      </c>
      <c r="N715" s="116">
        <v>455</v>
      </c>
      <c r="O715" s="116">
        <v>434.4</v>
      </c>
      <c r="P715" s="116">
        <v>452.7</v>
      </c>
      <c r="Q715" s="116">
        <v>437.9</v>
      </c>
      <c r="R715">
        <v>467724</v>
      </c>
    </row>
    <row r="716" spans="1:18" x14ac:dyDescent="0.25">
      <c r="A716" s="170">
        <v>43055</v>
      </c>
      <c r="B716" s="116">
        <v>461</v>
      </c>
      <c r="C716" s="116">
        <v>449.2</v>
      </c>
      <c r="D716" s="116">
        <v>430.85</v>
      </c>
      <c r="E716" s="116">
        <v>440</v>
      </c>
      <c r="F716" s="116">
        <v>449.2</v>
      </c>
      <c r="G716">
        <v>79124</v>
      </c>
      <c r="H716" s="116"/>
      <c r="I716" s="116"/>
      <c r="L716" s="170">
        <v>43055</v>
      </c>
      <c r="M716" s="116">
        <v>451.55</v>
      </c>
      <c r="N716" s="116">
        <v>460</v>
      </c>
      <c r="O716" s="116">
        <v>430.85</v>
      </c>
      <c r="P716" s="116">
        <v>439.6</v>
      </c>
      <c r="Q716" s="116">
        <v>451.55</v>
      </c>
      <c r="R716">
        <v>685076</v>
      </c>
    </row>
    <row r="717" spans="1:18" x14ac:dyDescent="0.25">
      <c r="A717" s="170">
        <v>43056</v>
      </c>
      <c r="B717" s="116">
        <v>481</v>
      </c>
      <c r="C717" s="116">
        <v>478</v>
      </c>
      <c r="D717" s="116">
        <v>461.9</v>
      </c>
      <c r="E717" s="116">
        <v>466.05</v>
      </c>
      <c r="F717" s="116">
        <v>478</v>
      </c>
      <c r="G717">
        <v>155462</v>
      </c>
      <c r="H717" s="116"/>
      <c r="I717" s="116"/>
      <c r="L717" s="170">
        <v>43056</v>
      </c>
      <c r="M717" s="116">
        <v>479</v>
      </c>
      <c r="N717" s="116">
        <v>482.2</v>
      </c>
      <c r="O717" s="116">
        <v>461.1</v>
      </c>
      <c r="P717" s="116">
        <v>472.6</v>
      </c>
      <c r="Q717" s="116">
        <v>479</v>
      </c>
      <c r="R717">
        <v>1472164</v>
      </c>
    </row>
    <row r="718" spans="1:18" x14ac:dyDescent="0.25">
      <c r="A718" s="170">
        <v>43059</v>
      </c>
      <c r="B718" s="116">
        <v>483.4</v>
      </c>
      <c r="C718" s="116">
        <v>473.75</v>
      </c>
      <c r="D718" s="116">
        <v>463.1</v>
      </c>
      <c r="E718" s="116">
        <v>480</v>
      </c>
      <c r="F718" s="116">
        <v>473.75</v>
      </c>
      <c r="G718">
        <v>77046</v>
      </c>
      <c r="H718" s="116"/>
      <c r="I718" s="116"/>
      <c r="L718" s="170">
        <v>43059</v>
      </c>
      <c r="M718" s="116">
        <v>472.9</v>
      </c>
      <c r="N718" s="116">
        <v>481.9</v>
      </c>
      <c r="O718" s="116">
        <v>462.65</v>
      </c>
      <c r="P718" s="116">
        <v>479</v>
      </c>
      <c r="Q718" s="116">
        <v>472.9</v>
      </c>
      <c r="R718">
        <v>666400</v>
      </c>
    </row>
    <row r="719" spans="1:18" x14ac:dyDescent="0.25">
      <c r="A719" s="170">
        <v>43060</v>
      </c>
      <c r="B719" s="116">
        <v>477</v>
      </c>
      <c r="C719" s="116">
        <v>463.8</v>
      </c>
      <c r="D719" s="116">
        <v>460.1</v>
      </c>
      <c r="E719" s="116">
        <v>476.4</v>
      </c>
      <c r="F719" s="116">
        <v>463.8</v>
      </c>
      <c r="G719">
        <v>48424</v>
      </c>
      <c r="H719" s="116"/>
      <c r="I719" s="116"/>
      <c r="L719" s="170">
        <v>43060</v>
      </c>
      <c r="M719" s="116">
        <v>462.45</v>
      </c>
      <c r="N719" s="116">
        <v>477.25</v>
      </c>
      <c r="O719" s="116">
        <v>460.1</v>
      </c>
      <c r="P719" s="116">
        <v>472.9</v>
      </c>
      <c r="Q719" s="116">
        <v>462.45</v>
      </c>
      <c r="R719">
        <v>490249</v>
      </c>
    </row>
    <row r="720" spans="1:18" x14ac:dyDescent="0.25">
      <c r="A720" s="170">
        <v>43061</v>
      </c>
      <c r="B720" s="116">
        <v>469.5</v>
      </c>
      <c r="C720" s="116">
        <v>464.3</v>
      </c>
      <c r="D720" s="116">
        <v>456.3</v>
      </c>
      <c r="E720" s="116">
        <v>463.85</v>
      </c>
      <c r="F720" s="116">
        <v>464.3</v>
      </c>
      <c r="G720">
        <v>35888</v>
      </c>
      <c r="H720" s="116"/>
      <c r="I720" s="116"/>
      <c r="L720" s="170">
        <v>43061</v>
      </c>
      <c r="M720" s="116">
        <v>464.5</v>
      </c>
      <c r="N720" s="116">
        <v>469.2</v>
      </c>
      <c r="O720" s="116">
        <v>456.2</v>
      </c>
      <c r="P720" s="116">
        <v>462.5</v>
      </c>
      <c r="Q720" s="116">
        <v>464.5</v>
      </c>
      <c r="R720">
        <v>410746</v>
      </c>
    </row>
    <row r="721" spans="1:18" x14ac:dyDescent="0.25">
      <c r="A721" s="170">
        <v>43062</v>
      </c>
      <c r="B721" s="116">
        <v>466.9</v>
      </c>
      <c r="C721" s="116">
        <v>460.4</v>
      </c>
      <c r="D721" s="116">
        <v>456.9</v>
      </c>
      <c r="E721" s="116">
        <v>462.8</v>
      </c>
      <c r="F721" s="116">
        <v>460.4</v>
      </c>
      <c r="G721">
        <v>44878</v>
      </c>
      <c r="H721" s="116"/>
      <c r="I721" s="116"/>
      <c r="L721" s="170">
        <v>43062</v>
      </c>
      <c r="M721" s="116">
        <v>460.8</v>
      </c>
      <c r="N721" s="116">
        <v>467.15</v>
      </c>
      <c r="O721" s="116">
        <v>456.75</v>
      </c>
      <c r="P721" s="116">
        <v>464.5</v>
      </c>
      <c r="Q721" s="116">
        <v>460.8</v>
      </c>
      <c r="R721">
        <v>289736</v>
      </c>
    </row>
    <row r="722" spans="1:18" x14ac:dyDescent="0.25">
      <c r="A722" s="170">
        <v>43063</v>
      </c>
      <c r="B722" s="116">
        <v>463.7</v>
      </c>
      <c r="C722" s="116">
        <v>458.3</v>
      </c>
      <c r="D722" s="116">
        <v>455</v>
      </c>
      <c r="E722" s="116">
        <v>460.4</v>
      </c>
      <c r="F722" s="116">
        <v>458.3</v>
      </c>
      <c r="G722">
        <v>90303</v>
      </c>
      <c r="H722" s="116"/>
      <c r="I722" s="116"/>
      <c r="L722" s="170">
        <v>43063</v>
      </c>
      <c r="M722" s="116">
        <v>458.65</v>
      </c>
      <c r="N722" s="116">
        <v>463.85</v>
      </c>
      <c r="O722" s="116">
        <v>455.9</v>
      </c>
      <c r="P722" s="116">
        <v>460.05</v>
      </c>
      <c r="Q722" s="116">
        <v>458.65</v>
      </c>
      <c r="R722">
        <v>222022</v>
      </c>
    </row>
    <row r="723" spans="1:18" x14ac:dyDescent="0.25">
      <c r="A723" s="170">
        <v>43066</v>
      </c>
      <c r="B723" s="116">
        <v>475.7</v>
      </c>
      <c r="C723" s="116">
        <v>473.8</v>
      </c>
      <c r="D723" s="116">
        <v>456.05</v>
      </c>
      <c r="E723" s="116">
        <v>458.15</v>
      </c>
      <c r="F723" s="116">
        <v>473.8</v>
      </c>
      <c r="G723">
        <v>75223</v>
      </c>
      <c r="H723" s="116"/>
      <c r="I723" s="116"/>
      <c r="L723" s="170">
        <v>43066</v>
      </c>
      <c r="M723" s="116">
        <v>473.7</v>
      </c>
      <c r="N723" s="116">
        <v>476</v>
      </c>
      <c r="O723" s="116">
        <v>455</v>
      </c>
      <c r="P723" s="116">
        <v>456.3</v>
      </c>
      <c r="Q723" s="116">
        <v>473.7</v>
      </c>
      <c r="R723">
        <v>735389</v>
      </c>
    </row>
    <row r="724" spans="1:18" x14ac:dyDescent="0.25">
      <c r="A724" s="170">
        <v>43067</v>
      </c>
      <c r="B724" s="116">
        <v>489.55</v>
      </c>
      <c r="C724" s="116">
        <v>483.65</v>
      </c>
      <c r="D724" s="116">
        <v>472</v>
      </c>
      <c r="E724" s="116">
        <v>472</v>
      </c>
      <c r="F724" s="116">
        <v>483.65</v>
      </c>
      <c r="G724">
        <v>129692</v>
      </c>
      <c r="H724" s="116"/>
      <c r="I724" s="116"/>
      <c r="L724" s="170">
        <v>43067</v>
      </c>
      <c r="M724" s="116">
        <v>483.5</v>
      </c>
      <c r="N724" s="116">
        <v>489.95</v>
      </c>
      <c r="O724" s="116">
        <v>473.95</v>
      </c>
      <c r="P724" s="116">
        <v>473.95</v>
      </c>
      <c r="Q724" s="116">
        <v>483.5</v>
      </c>
      <c r="R724">
        <v>1198682</v>
      </c>
    </row>
    <row r="725" spans="1:18" x14ac:dyDescent="0.25">
      <c r="A725" s="170">
        <v>43068</v>
      </c>
      <c r="B725" s="116">
        <v>492.3</v>
      </c>
      <c r="C725" s="116">
        <v>489.75</v>
      </c>
      <c r="D725" s="116">
        <v>478.65</v>
      </c>
      <c r="E725" s="116">
        <v>483.7</v>
      </c>
      <c r="F725" s="116">
        <v>489.75</v>
      </c>
      <c r="G725">
        <v>79292</v>
      </c>
      <c r="H725" s="116"/>
      <c r="I725" s="116"/>
      <c r="L725" s="170">
        <v>43068</v>
      </c>
      <c r="M725" s="116">
        <v>490.45</v>
      </c>
      <c r="N725" s="116">
        <v>492.6</v>
      </c>
      <c r="O725" s="116">
        <v>478.1</v>
      </c>
      <c r="P725" s="116">
        <v>483.5</v>
      </c>
      <c r="Q725" s="116">
        <v>490.45</v>
      </c>
      <c r="R725">
        <v>824447</v>
      </c>
    </row>
    <row r="726" spans="1:18" x14ac:dyDescent="0.25">
      <c r="A726" s="170">
        <v>43069</v>
      </c>
      <c r="B726" s="116">
        <v>495</v>
      </c>
      <c r="C726" s="116">
        <v>484.35</v>
      </c>
      <c r="D726" s="116">
        <v>480</v>
      </c>
      <c r="E726" s="116">
        <v>488.4</v>
      </c>
      <c r="F726" s="116">
        <v>484.35</v>
      </c>
      <c r="G726">
        <v>60902</v>
      </c>
      <c r="H726" s="116"/>
      <c r="I726" s="116"/>
      <c r="L726" s="170">
        <v>43069</v>
      </c>
      <c r="M726" s="116">
        <v>483.55</v>
      </c>
      <c r="N726" s="116">
        <v>495</v>
      </c>
      <c r="O726" s="116">
        <v>481</v>
      </c>
      <c r="P726" s="116">
        <v>488</v>
      </c>
      <c r="Q726" s="116">
        <v>483.55</v>
      </c>
      <c r="R726">
        <v>754189</v>
      </c>
    </row>
    <row r="727" spans="1:18" x14ac:dyDescent="0.25">
      <c r="A727" s="170">
        <v>43070</v>
      </c>
      <c r="B727" s="116">
        <v>491</v>
      </c>
      <c r="C727" s="116">
        <v>467.35</v>
      </c>
      <c r="D727" s="116">
        <v>464.85</v>
      </c>
      <c r="E727" s="116">
        <v>480</v>
      </c>
      <c r="F727" s="116">
        <v>467.35</v>
      </c>
      <c r="G727">
        <v>56521</v>
      </c>
      <c r="H727" s="116"/>
      <c r="I727" s="116"/>
      <c r="L727" s="170">
        <v>43070</v>
      </c>
      <c r="M727" s="116">
        <v>467.05</v>
      </c>
      <c r="N727" s="116">
        <v>491</v>
      </c>
      <c r="O727" s="116">
        <v>464.25</v>
      </c>
      <c r="P727" s="116">
        <v>484</v>
      </c>
      <c r="Q727" s="116">
        <v>467.05</v>
      </c>
      <c r="R727">
        <v>507775</v>
      </c>
    </row>
    <row r="728" spans="1:18" x14ac:dyDescent="0.25">
      <c r="A728" s="170">
        <v>43073</v>
      </c>
      <c r="B728" s="116">
        <v>470.9</v>
      </c>
      <c r="C728" s="116">
        <v>459.65</v>
      </c>
      <c r="D728" s="116">
        <v>453</v>
      </c>
      <c r="E728" s="116">
        <v>467.35</v>
      </c>
      <c r="F728" s="116">
        <v>459.65</v>
      </c>
      <c r="G728">
        <v>37092</v>
      </c>
      <c r="H728" s="116"/>
      <c r="I728" s="116"/>
      <c r="L728" s="170">
        <v>43073</v>
      </c>
      <c r="M728" s="116">
        <v>458.8</v>
      </c>
      <c r="N728" s="116">
        <v>471.25</v>
      </c>
      <c r="O728" s="116">
        <v>451.85</v>
      </c>
      <c r="P728" s="116">
        <v>467</v>
      </c>
      <c r="Q728" s="116">
        <v>458.8</v>
      </c>
      <c r="R728">
        <v>352122</v>
      </c>
    </row>
    <row r="729" spans="1:18" x14ac:dyDescent="0.25">
      <c r="A729" s="170">
        <v>43074</v>
      </c>
      <c r="B729" s="116">
        <v>468</v>
      </c>
      <c r="C729" s="116">
        <v>464.1</v>
      </c>
      <c r="D729" s="116">
        <v>451.55</v>
      </c>
      <c r="E729" s="116">
        <v>459.15</v>
      </c>
      <c r="F729" s="116">
        <v>464.1</v>
      </c>
      <c r="G729">
        <v>48355</v>
      </c>
      <c r="H729" s="116"/>
      <c r="I729" s="116"/>
      <c r="L729" s="170">
        <v>43074</v>
      </c>
      <c r="M729" s="116">
        <v>464.15</v>
      </c>
      <c r="N729" s="116">
        <v>468</v>
      </c>
      <c r="O729" s="116">
        <v>451.2</v>
      </c>
      <c r="P729" s="116">
        <v>459.5</v>
      </c>
      <c r="Q729" s="116">
        <v>464.15</v>
      </c>
      <c r="R729">
        <v>483178</v>
      </c>
    </row>
    <row r="730" spans="1:18" x14ac:dyDescent="0.25">
      <c r="A730" s="170">
        <v>43075</v>
      </c>
      <c r="B730" s="116">
        <v>472.5</v>
      </c>
      <c r="C730" s="116">
        <v>457.8</v>
      </c>
      <c r="D730" s="116">
        <v>455</v>
      </c>
      <c r="E730" s="116">
        <v>463</v>
      </c>
      <c r="F730" s="116">
        <v>457.8</v>
      </c>
      <c r="G730">
        <v>66942</v>
      </c>
      <c r="H730" s="116"/>
      <c r="I730" s="116"/>
      <c r="L730" s="170">
        <v>43075</v>
      </c>
      <c r="M730" s="116">
        <v>457.95</v>
      </c>
      <c r="N730" s="116">
        <v>472.5</v>
      </c>
      <c r="O730" s="116">
        <v>455.4</v>
      </c>
      <c r="P730" s="116">
        <v>463.8</v>
      </c>
      <c r="Q730" s="116">
        <v>457.95</v>
      </c>
      <c r="R730">
        <v>428913</v>
      </c>
    </row>
    <row r="731" spans="1:18" x14ac:dyDescent="0.25">
      <c r="A731" s="170">
        <v>43076</v>
      </c>
      <c r="B731" s="116">
        <v>488.25</v>
      </c>
      <c r="C731" s="116">
        <v>486.05</v>
      </c>
      <c r="D731" s="116">
        <v>458.85</v>
      </c>
      <c r="E731" s="116">
        <v>458.85</v>
      </c>
      <c r="F731" s="116">
        <v>486.05</v>
      </c>
      <c r="G731">
        <v>114708</v>
      </c>
      <c r="H731" s="116"/>
      <c r="I731" s="116"/>
      <c r="L731" s="170">
        <v>43076</v>
      </c>
      <c r="M731" s="116">
        <v>485.6</v>
      </c>
      <c r="N731" s="116">
        <v>489</v>
      </c>
      <c r="O731" s="116">
        <v>458.65</v>
      </c>
      <c r="P731" s="116">
        <v>458.65</v>
      </c>
      <c r="Q731" s="116">
        <v>485.6</v>
      </c>
      <c r="R731">
        <v>1123851</v>
      </c>
    </row>
    <row r="732" spans="1:18" x14ac:dyDescent="0.25">
      <c r="A732" s="170">
        <v>43077</v>
      </c>
      <c r="B732" s="116">
        <v>490.6</v>
      </c>
      <c r="C732" s="116">
        <v>481.3</v>
      </c>
      <c r="D732" s="116">
        <v>478.4</v>
      </c>
      <c r="E732" s="116">
        <v>486</v>
      </c>
      <c r="F732" s="116">
        <v>481.3</v>
      </c>
      <c r="G732">
        <v>54324</v>
      </c>
      <c r="H732" s="116"/>
      <c r="I732" s="116"/>
      <c r="L732" s="170">
        <v>43077</v>
      </c>
      <c r="M732" s="116">
        <v>481.35</v>
      </c>
      <c r="N732" s="116">
        <v>490.5</v>
      </c>
      <c r="O732" s="116">
        <v>478.2</v>
      </c>
      <c r="P732" s="116">
        <v>482.7</v>
      </c>
      <c r="Q732" s="116">
        <v>481.35</v>
      </c>
      <c r="R732">
        <v>487848</v>
      </c>
    </row>
    <row r="733" spans="1:18" x14ac:dyDescent="0.25">
      <c r="A733" s="170">
        <v>43080</v>
      </c>
      <c r="B733" s="116">
        <v>491.85</v>
      </c>
      <c r="C733" s="116">
        <v>483.95</v>
      </c>
      <c r="D733" s="116">
        <v>480</v>
      </c>
      <c r="E733" s="116">
        <v>484.8</v>
      </c>
      <c r="F733" s="116">
        <v>483.95</v>
      </c>
      <c r="G733">
        <v>79919</v>
      </c>
      <c r="H733" s="116"/>
      <c r="I733" s="116"/>
      <c r="L733" s="170">
        <v>43080</v>
      </c>
      <c r="M733" s="116">
        <v>484.95</v>
      </c>
      <c r="N733" s="116">
        <v>492</v>
      </c>
      <c r="O733" s="116">
        <v>480.75</v>
      </c>
      <c r="P733" s="116">
        <v>483.1</v>
      </c>
      <c r="Q733" s="116">
        <v>484.95</v>
      </c>
      <c r="R733">
        <v>505196</v>
      </c>
    </row>
    <row r="734" spans="1:18" x14ac:dyDescent="0.25">
      <c r="A734" s="170">
        <v>43081</v>
      </c>
      <c r="B734" s="116">
        <v>484.5</v>
      </c>
      <c r="C734" s="116">
        <v>467.4</v>
      </c>
      <c r="D734" s="116">
        <v>465.45</v>
      </c>
      <c r="E734" s="116">
        <v>484.5</v>
      </c>
      <c r="F734" s="116">
        <v>467.4</v>
      </c>
      <c r="G734">
        <v>80378</v>
      </c>
      <c r="H734" s="116"/>
      <c r="I734" s="116"/>
      <c r="L734" s="170">
        <v>43081</v>
      </c>
      <c r="M734" s="116">
        <v>466.55</v>
      </c>
      <c r="N734" s="116">
        <v>487.5</v>
      </c>
      <c r="O734" s="116">
        <v>465</v>
      </c>
      <c r="P734" s="116">
        <v>487.5</v>
      </c>
      <c r="Q734" s="116">
        <v>466.55</v>
      </c>
      <c r="R734">
        <v>716498</v>
      </c>
    </row>
    <row r="735" spans="1:18" x14ac:dyDescent="0.25">
      <c r="A735" s="170">
        <v>43082</v>
      </c>
      <c r="B735" s="116">
        <v>472.6</v>
      </c>
      <c r="C735" s="116">
        <v>464.1</v>
      </c>
      <c r="D735" s="116">
        <v>461.6</v>
      </c>
      <c r="E735" s="116">
        <v>463</v>
      </c>
      <c r="F735" s="116">
        <v>464.1</v>
      </c>
      <c r="G735">
        <v>71334</v>
      </c>
      <c r="H735" s="116"/>
      <c r="I735" s="116"/>
      <c r="L735" s="170">
        <v>43082</v>
      </c>
      <c r="M735" s="116">
        <v>463.65</v>
      </c>
      <c r="N735" s="116">
        <v>471.7</v>
      </c>
      <c r="O735" s="116">
        <v>460.6</v>
      </c>
      <c r="P735" s="116">
        <v>466.55</v>
      </c>
      <c r="Q735" s="116">
        <v>463.65</v>
      </c>
      <c r="R735">
        <v>407558</v>
      </c>
    </row>
    <row r="736" spans="1:18" x14ac:dyDescent="0.25">
      <c r="A736" s="170">
        <v>43083</v>
      </c>
      <c r="B736" s="116">
        <v>466.75</v>
      </c>
      <c r="C736" s="116">
        <v>461.55</v>
      </c>
      <c r="D736" s="116">
        <v>450</v>
      </c>
      <c r="E736" s="116">
        <v>465.4</v>
      </c>
      <c r="F736" s="116">
        <v>461.55</v>
      </c>
      <c r="G736">
        <v>51847</v>
      </c>
      <c r="H736" s="116"/>
      <c r="I736" s="116"/>
      <c r="L736" s="170">
        <v>43083</v>
      </c>
      <c r="M736" s="116">
        <v>460.45</v>
      </c>
      <c r="N736" s="116">
        <v>468.9</v>
      </c>
      <c r="O736" s="116">
        <v>450</v>
      </c>
      <c r="P736" s="116">
        <v>465.55</v>
      </c>
      <c r="Q736" s="116">
        <v>460.45</v>
      </c>
      <c r="R736">
        <v>589800</v>
      </c>
    </row>
    <row r="737" spans="1:18" x14ac:dyDescent="0.25">
      <c r="A737" s="170">
        <v>43084</v>
      </c>
      <c r="B737" s="116">
        <v>474</v>
      </c>
      <c r="C737" s="116">
        <v>467.05</v>
      </c>
      <c r="D737" s="116">
        <v>465.5</v>
      </c>
      <c r="E737" s="116">
        <v>467</v>
      </c>
      <c r="F737" s="116">
        <v>467.05</v>
      </c>
      <c r="G737">
        <v>36246</v>
      </c>
      <c r="H737" s="116"/>
      <c r="I737" s="116"/>
      <c r="L737" s="170">
        <v>43084</v>
      </c>
      <c r="M737" s="116">
        <v>467.6</v>
      </c>
      <c r="N737" s="116">
        <v>473.55</v>
      </c>
      <c r="O737" s="116">
        <v>464</v>
      </c>
      <c r="P737" s="116">
        <v>465.7</v>
      </c>
      <c r="Q737" s="116">
        <v>467.6</v>
      </c>
      <c r="R737">
        <v>440017</v>
      </c>
    </row>
    <row r="738" spans="1:18" x14ac:dyDescent="0.25">
      <c r="A738" s="170">
        <v>43087</v>
      </c>
      <c r="B738" s="116">
        <v>478.5</v>
      </c>
      <c r="C738" s="116">
        <v>474.7</v>
      </c>
      <c r="D738" s="116">
        <v>451.65</v>
      </c>
      <c r="E738" s="116">
        <v>468</v>
      </c>
      <c r="F738" s="116">
        <v>474.7</v>
      </c>
      <c r="G738">
        <v>75606</v>
      </c>
      <c r="H738" s="116"/>
      <c r="I738" s="116"/>
      <c r="L738" s="170">
        <v>43087</v>
      </c>
      <c r="M738" s="116">
        <v>474.05</v>
      </c>
      <c r="N738" s="116">
        <v>478.85</v>
      </c>
      <c r="O738" s="116">
        <v>450.1</v>
      </c>
      <c r="P738" s="116">
        <v>465.65</v>
      </c>
      <c r="Q738" s="116">
        <v>474.05</v>
      </c>
      <c r="R738">
        <v>663767</v>
      </c>
    </row>
    <row r="739" spans="1:18" x14ac:dyDescent="0.25">
      <c r="A739" s="170">
        <v>43088</v>
      </c>
      <c r="B739" s="116">
        <v>482.95</v>
      </c>
      <c r="C739" s="116">
        <v>479.55</v>
      </c>
      <c r="D739" s="116">
        <v>470</v>
      </c>
      <c r="E739" s="116">
        <v>470</v>
      </c>
      <c r="F739" s="116">
        <v>479.55</v>
      </c>
      <c r="G739">
        <v>57397</v>
      </c>
      <c r="H739" s="116"/>
      <c r="I739" s="116"/>
      <c r="L739" s="170">
        <v>43088</v>
      </c>
      <c r="M739" s="116">
        <v>480.4</v>
      </c>
      <c r="N739" s="116">
        <v>483.95</v>
      </c>
      <c r="O739" s="116">
        <v>468</v>
      </c>
      <c r="P739" s="116">
        <v>478.7</v>
      </c>
      <c r="Q739" s="116">
        <v>480.4</v>
      </c>
      <c r="R739">
        <v>462414</v>
      </c>
    </row>
    <row r="740" spans="1:18" x14ac:dyDescent="0.25">
      <c r="A740" s="170">
        <v>43089</v>
      </c>
      <c r="B740" s="116">
        <v>485</v>
      </c>
      <c r="C740" s="116">
        <v>473.75</v>
      </c>
      <c r="D740" s="116">
        <v>472</v>
      </c>
      <c r="E740" s="116">
        <v>485</v>
      </c>
      <c r="F740" s="116">
        <v>473.75</v>
      </c>
      <c r="G740">
        <v>65241</v>
      </c>
      <c r="H740" s="116"/>
      <c r="I740" s="116"/>
      <c r="L740" s="170">
        <v>43089</v>
      </c>
      <c r="M740" s="116">
        <v>474.75</v>
      </c>
      <c r="N740" s="116">
        <v>484.5</v>
      </c>
      <c r="O740" s="116">
        <v>472.85</v>
      </c>
      <c r="P740" s="116">
        <v>482</v>
      </c>
      <c r="Q740" s="116">
        <v>474.75</v>
      </c>
      <c r="R740">
        <v>375545</v>
      </c>
    </row>
    <row r="741" spans="1:18" x14ac:dyDescent="0.25">
      <c r="A741" s="170">
        <v>43090</v>
      </c>
      <c r="B741" s="116">
        <v>512.79999999999995</v>
      </c>
      <c r="C741" s="116">
        <v>509.15</v>
      </c>
      <c r="D741" s="116">
        <v>472.75</v>
      </c>
      <c r="E741" s="116">
        <v>475</v>
      </c>
      <c r="F741" s="116">
        <v>509.15</v>
      </c>
      <c r="G741">
        <v>232084</v>
      </c>
      <c r="H741" s="116"/>
      <c r="I741" s="116"/>
      <c r="L741" s="170">
        <v>43090</v>
      </c>
      <c r="M741" s="116">
        <v>509.3</v>
      </c>
      <c r="N741" s="116">
        <v>512.45000000000005</v>
      </c>
      <c r="O741" s="116">
        <v>473.05</v>
      </c>
      <c r="P741" s="116">
        <v>475</v>
      </c>
      <c r="Q741" s="116">
        <v>509.3</v>
      </c>
      <c r="R741">
        <v>2541975</v>
      </c>
    </row>
    <row r="742" spans="1:18" x14ac:dyDescent="0.25">
      <c r="A742" s="170">
        <v>43091</v>
      </c>
      <c r="B742" s="116">
        <v>511.8</v>
      </c>
      <c r="C742" s="116">
        <v>495.65</v>
      </c>
      <c r="D742" s="116">
        <v>492.2</v>
      </c>
      <c r="E742" s="116">
        <v>510</v>
      </c>
      <c r="F742" s="116">
        <v>495.65</v>
      </c>
      <c r="G742">
        <v>160913</v>
      </c>
      <c r="H742" s="116"/>
      <c r="I742" s="116"/>
      <c r="L742" s="170">
        <v>43091</v>
      </c>
      <c r="M742" s="116">
        <v>495.65</v>
      </c>
      <c r="N742" s="116">
        <v>510</v>
      </c>
      <c r="O742" s="116">
        <v>492</v>
      </c>
      <c r="P742" s="116">
        <v>510</v>
      </c>
      <c r="Q742" s="116">
        <v>495.65</v>
      </c>
      <c r="R742">
        <v>1544002</v>
      </c>
    </row>
    <row r="743" spans="1:18" x14ac:dyDescent="0.25">
      <c r="A743" s="170">
        <v>43095</v>
      </c>
      <c r="B743" s="116">
        <v>504.45</v>
      </c>
      <c r="C743" s="116">
        <v>500.45</v>
      </c>
      <c r="D743" s="116">
        <v>495.6</v>
      </c>
      <c r="E743" s="116">
        <v>500</v>
      </c>
      <c r="F743" s="116">
        <v>500.45</v>
      </c>
      <c r="G743">
        <v>50084</v>
      </c>
      <c r="H743" s="116"/>
      <c r="I743" s="116"/>
      <c r="L743" s="170">
        <v>43095</v>
      </c>
      <c r="M743" s="116">
        <v>500.75</v>
      </c>
      <c r="N743" s="116">
        <v>505</v>
      </c>
      <c r="O743" s="116">
        <v>496.2</v>
      </c>
      <c r="P743" s="116">
        <v>502</v>
      </c>
      <c r="Q743" s="116">
        <v>500.75</v>
      </c>
      <c r="R743">
        <v>713925</v>
      </c>
    </row>
    <row r="744" spans="1:18" x14ac:dyDescent="0.25">
      <c r="A744" s="170">
        <v>43096</v>
      </c>
      <c r="B744" s="116">
        <v>504.35</v>
      </c>
      <c r="C744" s="116">
        <v>490.35</v>
      </c>
      <c r="D744" s="116">
        <v>484</v>
      </c>
      <c r="E744" s="116">
        <v>504.35</v>
      </c>
      <c r="F744" s="116">
        <v>490.35</v>
      </c>
      <c r="G744">
        <v>67146</v>
      </c>
      <c r="H744" s="116"/>
      <c r="I744" s="116"/>
      <c r="L744" s="170">
        <v>43096</v>
      </c>
      <c r="M744" s="116">
        <v>489.45</v>
      </c>
      <c r="N744" s="116">
        <v>504.45</v>
      </c>
      <c r="O744" s="116">
        <v>484</v>
      </c>
      <c r="P744" s="116">
        <v>500.75</v>
      </c>
      <c r="Q744" s="116">
        <v>489.45</v>
      </c>
      <c r="R744">
        <v>662942</v>
      </c>
    </row>
    <row r="745" spans="1:18" x14ac:dyDescent="0.25">
      <c r="A745" s="170">
        <v>43097</v>
      </c>
      <c r="B745" s="116">
        <v>490.85</v>
      </c>
      <c r="C745" s="116">
        <v>476.35</v>
      </c>
      <c r="D745" s="116">
        <v>474.05</v>
      </c>
      <c r="E745" s="116">
        <v>490.05</v>
      </c>
      <c r="F745" s="116">
        <v>476.35</v>
      </c>
      <c r="G745">
        <v>175565</v>
      </c>
      <c r="H745" s="116"/>
      <c r="I745" s="116"/>
      <c r="L745" s="170">
        <v>43097</v>
      </c>
      <c r="M745" s="116">
        <v>474.8</v>
      </c>
      <c r="N745" s="116">
        <v>493</v>
      </c>
      <c r="O745" s="116">
        <v>472.75</v>
      </c>
      <c r="P745" s="116">
        <v>493</v>
      </c>
      <c r="Q745" s="116">
        <v>474.8</v>
      </c>
      <c r="R745">
        <v>1639257</v>
      </c>
    </row>
    <row r="746" spans="1:18" x14ac:dyDescent="0.25">
      <c r="A746" s="170">
        <v>43098</v>
      </c>
      <c r="B746" s="116">
        <v>480</v>
      </c>
      <c r="C746" s="116">
        <v>473.45</v>
      </c>
      <c r="D746" s="116">
        <v>468.85</v>
      </c>
      <c r="E746" s="116">
        <v>476.35</v>
      </c>
      <c r="F746" s="116">
        <v>473.45</v>
      </c>
      <c r="G746">
        <v>82430</v>
      </c>
      <c r="H746" s="116"/>
      <c r="I746" s="116"/>
      <c r="L746" s="170">
        <v>43098</v>
      </c>
      <c r="M746" s="116">
        <v>472.85</v>
      </c>
      <c r="N746" s="116">
        <v>477.9</v>
      </c>
      <c r="O746" s="116">
        <v>469</v>
      </c>
      <c r="P746" s="116">
        <v>474.8</v>
      </c>
      <c r="Q746" s="116">
        <v>472.85</v>
      </c>
      <c r="R746">
        <v>655927</v>
      </c>
    </row>
    <row r="747" spans="1:18" x14ac:dyDescent="0.25">
      <c r="A747" s="170">
        <v>43101</v>
      </c>
      <c r="B747" s="116">
        <v>486.4</v>
      </c>
      <c r="C747" s="116">
        <v>477.65</v>
      </c>
      <c r="D747" s="116">
        <v>472.9</v>
      </c>
      <c r="E747" s="116">
        <v>473.5</v>
      </c>
      <c r="F747" s="116">
        <v>477.65</v>
      </c>
      <c r="G747">
        <v>99675</v>
      </c>
      <c r="H747" s="116"/>
      <c r="I747" s="116"/>
      <c r="L747" s="170">
        <v>43101</v>
      </c>
      <c r="M747" s="116">
        <v>477.4</v>
      </c>
      <c r="N747" s="116">
        <v>485.85</v>
      </c>
      <c r="O747" s="116">
        <v>472</v>
      </c>
      <c r="P747" s="116">
        <v>472</v>
      </c>
      <c r="Q747" s="116">
        <v>477.4</v>
      </c>
      <c r="R747">
        <v>895567</v>
      </c>
    </row>
    <row r="748" spans="1:18" x14ac:dyDescent="0.25">
      <c r="A748" s="170">
        <v>43102</v>
      </c>
      <c r="B748" s="116">
        <v>480.75</v>
      </c>
      <c r="C748" s="116">
        <v>474.5</v>
      </c>
      <c r="D748" s="116">
        <v>471.15</v>
      </c>
      <c r="E748" s="116">
        <v>477</v>
      </c>
      <c r="F748" s="116">
        <v>474.5</v>
      </c>
      <c r="G748">
        <v>61031</v>
      </c>
      <c r="H748" s="116"/>
      <c r="I748" s="116"/>
      <c r="L748" s="170">
        <v>43102</v>
      </c>
      <c r="M748" s="116">
        <v>473.65</v>
      </c>
      <c r="N748" s="116">
        <v>480.75</v>
      </c>
      <c r="O748" s="116">
        <v>471.05</v>
      </c>
      <c r="P748" s="116">
        <v>479.85</v>
      </c>
      <c r="Q748" s="116">
        <v>473.65</v>
      </c>
      <c r="R748">
        <v>609496</v>
      </c>
    </row>
    <row r="749" spans="1:18" x14ac:dyDescent="0.25">
      <c r="A749" s="170">
        <v>43103</v>
      </c>
      <c r="B749" s="116">
        <v>482.05</v>
      </c>
      <c r="C749" s="116">
        <v>476.65</v>
      </c>
      <c r="D749" s="116">
        <v>474.25</v>
      </c>
      <c r="E749" s="116">
        <v>477.15</v>
      </c>
      <c r="F749" s="116">
        <v>476.65</v>
      </c>
      <c r="G749">
        <v>47232</v>
      </c>
      <c r="H749" s="116"/>
      <c r="I749" s="116"/>
      <c r="L749" s="170">
        <v>43103</v>
      </c>
      <c r="M749" s="116">
        <v>476.4</v>
      </c>
      <c r="N749" s="116">
        <v>482.2</v>
      </c>
      <c r="O749" s="116">
        <v>473.65</v>
      </c>
      <c r="P749" s="116">
        <v>473.65</v>
      </c>
      <c r="Q749" s="116">
        <v>476.4</v>
      </c>
      <c r="R749">
        <v>410061</v>
      </c>
    </row>
    <row r="750" spans="1:18" x14ac:dyDescent="0.25">
      <c r="A750" s="170">
        <v>43104</v>
      </c>
      <c r="B750" s="116">
        <v>480.3</v>
      </c>
      <c r="C750" s="116">
        <v>468.75</v>
      </c>
      <c r="D750" s="116">
        <v>467.25</v>
      </c>
      <c r="E750" s="116">
        <v>476.65</v>
      </c>
      <c r="F750" s="116">
        <v>468.75</v>
      </c>
      <c r="G750">
        <v>102300</v>
      </c>
      <c r="H750" s="116"/>
      <c r="I750" s="116"/>
      <c r="L750" s="170">
        <v>43104</v>
      </c>
      <c r="M750" s="116">
        <v>469.3</v>
      </c>
      <c r="N750" s="116">
        <v>479.95</v>
      </c>
      <c r="O750" s="116">
        <v>467</v>
      </c>
      <c r="P750" s="116">
        <v>476.4</v>
      </c>
      <c r="Q750" s="116">
        <v>469.3</v>
      </c>
      <c r="R750">
        <v>1489442</v>
      </c>
    </row>
    <row r="751" spans="1:18" x14ac:dyDescent="0.25">
      <c r="A751" s="170">
        <v>43105</v>
      </c>
      <c r="B751" s="116">
        <v>477.85</v>
      </c>
      <c r="C751" s="116">
        <v>470.2</v>
      </c>
      <c r="D751" s="116">
        <v>469</v>
      </c>
      <c r="E751" s="116">
        <v>469</v>
      </c>
      <c r="F751" s="116">
        <v>470.2</v>
      </c>
      <c r="G751">
        <v>143083</v>
      </c>
      <c r="H751" s="116"/>
      <c r="I751" s="116"/>
      <c r="L751" s="170">
        <v>43105</v>
      </c>
      <c r="M751" s="116">
        <v>470.25</v>
      </c>
      <c r="N751" s="116">
        <v>477.55</v>
      </c>
      <c r="O751" s="116">
        <v>469.25</v>
      </c>
      <c r="P751" s="116">
        <v>472</v>
      </c>
      <c r="Q751" s="116">
        <v>470.25</v>
      </c>
      <c r="R751">
        <v>1087932</v>
      </c>
    </row>
    <row r="752" spans="1:18" x14ac:dyDescent="0.25">
      <c r="A752" s="170">
        <v>43108</v>
      </c>
      <c r="B752" s="116">
        <v>481</v>
      </c>
      <c r="C752" s="116">
        <v>479.35</v>
      </c>
      <c r="D752" s="116">
        <v>470</v>
      </c>
      <c r="E752" s="116">
        <v>481</v>
      </c>
      <c r="F752" s="116">
        <v>479.35</v>
      </c>
      <c r="G752">
        <v>111762</v>
      </c>
      <c r="H752" s="116"/>
      <c r="I752" s="116"/>
      <c r="L752" s="170">
        <v>43108</v>
      </c>
      <c r="M752" s="116">
        <v>479.4</v>
      </c>
      <c r="N752" s="116">
        <v>481.9</v>
      </c>
      <c r="O752" s="116">
        <v>469.9</v>
      </c>
      <c r="P752" s="116">
        <v>471</v>
      </c>
      <c r="Q752" s="116">
        <v>479.4</v>
      </c>
      <c r="R752">
        <v>1217920</v>
      </c>
    </row>
    <row r="753" spans="1:18" x14ac:dyDescent="0.25">
      <c r="A753" s="170">
        <v>43109</v>
      </c>
      <c r="B753" s="116">
        <v>484.8</v>
      </c>
      <c r="C753" s="116">
        <v>479.05</v>
      </c>
      <c r="D753" s="116">
        <v>475.05</v>
      </c>
      <c r="E753" s="116">
        <v>484.7</v>
      </c>
      <c r="F753" s="116">
        <v>479.05</v>
      </c>
      <c r="G753">
        <v>129931</v>
      </c>
      <c r="H753" s="116"/>
      <c r="I753" s="116"/>
      <c r="L753" s="170">
        <v>43109</v>
      </c>
      <c r="M753" s="116">
        <v>479.7</v>
      </c>
      <c r="N753" s="116">
        <v>483.6</v>
      </c>
      <c r="O753" s="116">
        <v>475.1</v>
      </c>
      <c r="P753" s="116">
        <v>483.6</v>
      </c>
      <c r="Q753" s="116">
        <v>479.7</v>
      </c>
      <c r="R753">
        <v>1489090</v>
      </c>
    </row>
    <row r="754" spans="1:18" x14ac:dyDescent="0.25">
      <c r="A754" s="170">
        <v>43110</v>
      </c>
      <c r="B754" s="116">
        <v>481.5</v>
      </c>
      <c r="C754" s="116">
        <v>479.9</v>
      </c>
      <c r="D754" s="116">
        <v>473.8</v>
      </c>
      <c r="E754" s="116">
        <v>475.5</v>
      </c>
      <c r="F754" s="116">
        <v>479.9</v>
      </c>
      <c r="G754">
        <v>70162</v>
      </c>
      <c r="H754" s="116"/>
      <c r="I754" s="116"/>
      <c r="L754" s="170">
        <v>43110</v>
      </c>
      <c r="M754" s="116">
        <v>480.35</v>
      </c>
      <c r="N754" s="116">
        <v>482</v>
      </c>
      <c r="O754" s="116">
        <v>473.25</v>
      </c>
      <c r="P754" s="116">
        <v>480.95</v>
      </c>
      <c r="Q754" s="116">
        <v>480.35</v>
      </c>
      <c r="R754">
        <v>449033</v>
      </c>
    </row>
    <row r="755" spans="1:18" x14ac:dyDescent="0.25">
      <c r="A755" s="170">
        <v>43111</v>
      </c>
      <c r="B755" s="116">
        <v>493.45</v>
      </c>
      <c r="C755" s="116">
        <v>484.4</v>
      </c>
      <c r="D755" s="116">
        <v>480.7</v>
      </c>
      <c r="E755" s="116">
        <v>484.55</v>
      </c>
      <c r="F755" s="116">
        <v>484.4</v>
      </c>
      <c r="G755">
        <v>227614</v>
      </c>
      <c r="H755" s="116"/>
      <c r="I755" s="116"/>
      <c r="L755" s="170">
        <v>43111</v>
      </c>
      <c r="M755" s="116">
        <v>484.45</v>
      </c>
      <c r="N755" s="116">
        <v>493.35</v>
      </c>
      <c r="O755" s="116">
        <v>480.1</v>
      </c>
      <c r="P755" s="116">
        <v>484</v>
      </c>
      <c r="Q755" s="116">
        <v>484.45</v>
      </c>
      <c r="R755">
        <v>1656369</v>
      </c>
    </row>
    <row r="756" spans="1:18" x14ac:dyDescent="0.25">
      <c r="A756" s="170">
        <v>43112</v>
      </c>
      <c r="B756" s="116">
        <v>494</v>
      </c>
      <c r="C756" s="116">
        <v>481.55</v>
      </c>
      <c r="D756" s="116">
        <v>474.15</v>
      </c>
      <c r="E756" s="116">
        <v>489</v>
      </c>
      <c r="F756" s="116">
        <v>481.55</v>
      </c>
      <c r="G756">
        <v>85502</v>
      </c>
      <c r="H756" s="116"/>
      <c r="I756" s="116"/>
      <c r="L756" s="170">
        <v>43112</v>
      </c>
      <c r="M756" s="116">
        <v>481.25</v>
      </c>
      <c r="N756" s="116">
        <v>488.7</v>
      </c>
      <c r="O756" s="116">
        <v>473</v>
      </c>
      <c r="P756" s="116">
        <v>488.7</v>
      </c>
      <c r="Q756" s="116">
        <v>481.25</v>
      </c>
      <c r="R756">
        <v>616812</v>
      </c>
    </row>
    <row r="757" spans="1:18" x14ac:dyDescent="0.25">
      <c r="A757" s="170">
        <v>43115</v>
      </c>
      <c r="B757" s="116">
        <v>486.25</v>
      </c>
      <c r="C757" s="116">
        <v>482.5</v>
      </c>
      <c r="D757" s="116">
        <v>479.15</v>
      </c>
      <c r="E757" s="116">
        <v>485</v>
      </c>
      <c r="F757" s="116">
        <v>482.5</v>
      </c>
      <c r="G757">
        <v>68529</v>
      </c>
      <c r="H757" s="116"/>
      <c r="I757" s="116"/>
      <c r="L757" s="170">
        <v>43115</v>
      </c>
      <c r="M757" s="116">
        <v>482.3</v>
      </c>
      <c r="N757" s="116">
        <v>486.55</v>
      </c>
      <c r="O757" s="116">
        <v>478.75</v>
      </c>
      <c r="P757" s="116">
        <v>483</v>
      </c>
      <c r="Q757" s="116">
        <v>482.3</v>
      </c>
      <c r="R757">
        <v>432761</v>
      </c>
    </row>
    <row r="758" spans="1:18" x14ac:dyDescent="0.25">
      <c r="A758" s="170">
        <v>43116</v>
      </c>
      <c r="B758" s="116">
        <v>486</v>
      </c>
      <c r="C758" s="116">
        <v>476.7</v>
      </c>
      <c r="D758" s="116">
        <v>468.45</v>
      </c>
      <c r="E758" s="116">
        <v>486</v>
      </c>
      <c r="F758" s="116">
        <v>476.7</v>
      </c>
      <c r="G758">
        <v>102679</v>
      </c>
      <c r="H758" s="116"/>
      <c r="I758" s="116"/>
      <c r="L758" s="170">
        <v>43116</v>
      </c>
      <c r="M758" s="116">
        <v>476.45</v>
      </c>
      <c r="N758" s="116">
        <v>485.65</v>
      </c>
      <c r="O758" s="116">
        <v>467.25</v>
      </c>
      <c r="P758" s="116">
        <v>485.65</v>
      </c>
      <c r="Q758" s="116">
        <v>476.45</v>
      </c>
      <c r="R758">
        <v>947076</v>
      </c>
    </row>
    <row r="759" spans="1:18" x14ac:dyDescent="0.25">
      <c r="A759" s="170">
        <v>43117</v>
      </c>
      <c r="B759" s="116">
        <v>475</v>
      </c>
      <c r="C759" s="116">
        <v>472</v>
      </c>
      <c r="D759" s="116">
        <v>464.3</v>
      </c>
      <c r="E759" s="116">
        <v>471</v>
      </c>
      <c r="F759" s="116">
        <v>472</v>
      </c>
      <c r="G759">
        <v>51172</v>
      </c>
      <c r="H759" s="116"/>
      <c r="I759" s="116"/>
      <c r="L759" s="170">
        <v>43117</v>
      </c>
      <c r="M759" s="116">
        <v>471.4</v>
      </c>
      <c r="N759" s="116">
        <v>475</v>
      </c>
      <c r="O759" s="116">
        <v>464</v>
      </c>
      <c r="P759" s="116">
        <v>474.1</v>
      </c>
      <c r="Q759" s="116">
        <v>471.4</v>
      </c>
      <c r="R759">
        <v>435160</v>
      </c>
    </row>
    <row r="760" spans="1:18" x14ac:dyDescent="0.25">
      <c r="A760" s="170">
        <v>43118</v>
      </c>
      <c r="B760" s="116">
        <v>476.6</v>
      </c>
      <c r="C760" s="116">
        <v>463.85</v>
      </c>
      <c r="D760" s="116">
        <v>458</v>
      </c>
      <c r="E760" s="116">
        <v>471</v>
      </c>
      <c r="F760" s="116">
        <v>463.85</v>
      </c>
      <c r="G760">
        <v>49706</v>
      </c>
      <c r="H760" s="116"/>
      <c r="I760" s="116"/>
      <c r="L760" s="170">
        <v>43118</v>
      </c>
      <c r="M760" s="116">
        <v>462.75</v>
      </c>
      <c r="N760" s="116">
        <v>476</v>
      </c>
      <c r="O760" s="116">
        <v>457.15</v>
      </c>
      <c r="P760" s="116">
        <v>472</v>
      </c>
      <c r="Q760" s="116">
        <v>462.75</v>
      </c>
      <c r="R760">
        <v>673146</v>
      </c>
    </row>
    <row r="761" spans="1:18" x14ac:dyDescent="0.25">
      <c r="A761" s="170">
        <v>43119</v>
      </c>
      <c r="B761" s="116">
        <v>478</v>
      </c>
      <c r="C761" s="116">
        <v>474.35</v>
      </c>
      <c r="D761" s="116">
        <v>461.35</v>
      </c>
      <c r="E761" s="116">
        <v>464</v>
      </c>
      <c r="F761" s="116">
        <v>474.35</v>
      </c>
      <c r="G761">
        <v>35834</v>
      </c>
      <c r="H761" s="116"/>
      <c r="I761" s="116"/>
      <c r="L761" s="170">
        <v>43119</v>
      </c>
      <c r="M761" s="116">
        <v>474.55</v>
      </c>
      <c r="N761" s="116">
        <v>480</v>
      </c>
      <c r="O761" s="116">
        <v>461.7</v>
      </c>
      <c r="P761" s="116">
        <v>462.5</v>
      </c>
      <c r="Q761" s="116">
        <v>474.55</v>
      </c>
      <c r="R761">
        <v>590778</v>
      </c>
    </row>
    <row r="762" spans="1:18" x14ac:dyDescent="0.25">
      <c r="A762" s="170">
        <v>43122</v>
      </c>
      <c r="B762" s="116">
        <v>486.6</v>
      </c>
      <c r="C762" s="116">
        <v>485.6</v>
      </c>
      <c r="D762" s="116">
        <v>472</v>
      </c>
      <c r="E762" s="116">
        <v>476.55</v>
      </c>
      <c r="F762" s="116">
        <v>485.6</v>
      </c>
      <c r="G762">
        <v>71117</v>
      </c>
      <c r="H762" s="116"/>
      <c r="I762" s="116"/>
      <c r="L762" s="170">
        <v>43122</v>
      </c>
      <c r="M762" s="116">
        <v>485.1</v>
      </c>
      <c r="N762" s="116">
        <v>486.2</v>
      </c>
      <c r="O762" s="116">
        <v>472</v>
      </c>
      <c r="P762" s="116">
        <v>477.45</v>
      </c>
      <c r="Q762" s="116">
        <v>485.1</v>
      </c>
      <c r="R762">
        <v>877341</v>
      </c>
    </row>
    <row r="763" spans="1:18" x14ac:dyDescent="0.25">
      <c r="A763" s="170">
        <v>43123</v>
      </c>
      <c r="B763" s="116">
        <v>505</v>
      </c>
      <c r="C763" s="116">
        <v>461.3</v>
      </c>
      <c r="D763" s="116">
        <v>458</v>
      </c>
      <c r="E763" s="116">
        <v>487.4</v>
      </c>
      <c r="F763" s="116">
        <v>461.3</v>
      </c>
      <c r="G763">
        <v>519008</v>
      </c>
      <c r="H763" s="116"/>
      <c r="I763" s="116"/>
      <c r="L763" s="170">
        <v>43123</v>
      </c>
      <c r="M763" s="116">
        <v>460.4</v>
      </c>
      <c r="N763" s="116">
        <v>505.45</v>
      </c>
      <c r="O763" s="116">
        <v>457</v>
      </c>
      <c r="P763" s="116">
        <v>488.7</v>
      </c>
      <c r="Q763" s="116">
        <v>460.4</v>
      </c>
      <c r="R763">
        <v>5272087</v>
      </c>
    </row>
    <row r="764" spans="1:18" x14ac:dyDescent="0.25">
      <c r="A764" s="170">
        <v>43124</v>
      </c>
      <c r="B764" s="116">
        <v>464.9</v>
      </c>
      <c r="C764" s="116">
        <v>442.9</v>
      </c>
      <c r="D764" s="116">
        <v>441</v>
      </c>
      <c r="E764" s="116">
        <v>462.95</v>
      </c>
      <c r="F764" s="116">
        <v>442.9</v>
      </c>
      <c r="G764">
        <v>364888</v>
      </c>
      <c r="H764" s="116"/>
      <c r="I764" s="116"/>
      <c r="L764" s="170">
        <v>43124</v>
      </c>
      <c r="M764" s="116">
        <v>443.6</v>
      </c>
      <c r="N764" s="116">
        <v>464</v>
      </c>
      <c r="O764" s="116">
        <v>441</v>
      </c>
      <c r="P764" s="116">
        <v>461</v>
      </c>
      <c r="Q764" s="116">
        <v>443.6</v>
      </c>
      <c r="R764">
        <v>1849506</v>
      </c>
    </row>
    <row r="765" spans="1:18" x14ac:dyDescent="0.25">
      <c r="A765" s="170">
        <v>43125</v>
      </c>
      <c r="B765" s="116">
        <v>452.9</v>
      </c>
      <c r="C765" s="116">
        <v>443.05</v>
      </c>
      <c r="D765" s="116">
        <v>438.1</v>
      </c>
      <c r="E765" s="116">
        <v>443</v>
      </c>
      <c r="F765" s="116">
        <v>443.05</v>
      </c>
      <c r="G765">
        <v>96065</v>
      </c>
      <c r="H765" s="116"/>
      <c r="I765" s="116"/>
      <c r="L765" s="170">
        <v>43125</v>
      </c>
      <c r="M765" s="116">
        <v>442.35</v>
      </c>
      <c r="N765" s="116">
        <v>452.8</v>
      </c>
      <c r="O765" s="116">
        <v>437.45</v>
      </c>
      <c r="P765" s="116">
        <v>444</v>
      </c>
      <c r="Q765" s="116">
        <v>442.35</v>
      </c>
      <c r="R765">
        <v>1296243</v>
      </c>
    </row>
    <row r="766" spans="1:18" x14ac:dyDescent="0.25">
      <c r="A766" s="170">
        <v>43129</v>
      </c>
      <c r="B766" s="116">
        <v>469.65</v>
      </c>
      <c r="C766" s="116">
        <v>461.85</v>
      </c>
      <c r="D766" s="116">
        <v>449.05</v>
      </c>
      <c r="E766" s="116">
        <v>450</v>
      </c>
      <c r="F766" s="116">
        <v>461.85</v>
      </c>
      <c r="G766">
        <v>221169</v>
      </c>
      <c r="H766" s="116"/>
      <c r="I766" s="116"/>
      <c r="L766" s="170">
        <v>43129</v>
      </c>
      <c r="M766" s="116">
        <v>461.6</v>
      </c>
      <c r="N766" s="116">
        <v>469.9</v>
      </c>
      <c r="O766" s="116">
        <v>448</v>
      </c>
      <c r="P766" s="116">
        <v>448</v>
      </c>
      <c r="Q766" s="116">
        <v>461.6</v>
      </c>
      <c r="R766">
        <v>2534456</v>
      </c>
    </row>
    <row r="767" spans="1:18" x14ac:dyDescent="0.25">
      <c r="A767" s="170">
        <v>43130</v>
      </c>
      <c r="B767" s="116">
        <v>462.95</v>
      </c>
      <c r="C767" s="116">
        <v>449.45</v>
      </c>
      <c r="D767" s="116">
        <v>448.5</v>
      </c>
      <c r="E767" s="116">
        <v>462</v>
      </c>
      <c r="F767" s="116">
        <v>449.45</v>
      </c>
      <c r="G767">
        <v>64930</v>
      </c>
      <c r="H767" s="116"/>
      <c r="I767" s="116"/>
      <c r="L767" s="170">
        <v>43130</v>
      </c>
      <c r="M767" s="116">
        <v>450.05</v>
      </c>
      <c r="N767" s="116">
        <v>463.05</v>
      </c>
      <c r="O767" s="116">
        <v>448.65</v>
      </c>
      <c r="P767" s="116">
        <v>462</v>
      </c>
      <c r="Q767" s="116">
        <v>450.05</v>
      </c>
      <c r="R767">
        <v>702018</v>
      </c>
    </row>
    <row r="768" spans="1:18" x14ac:dyDescent="0.25">
      <c r="A768" s="170">
        <v>43131</v>
      </c>
      <c r="B768" s="116">
        <v>453.05</v>
      </c>
      <c r="C768" s="116">
        <v>449.6</v>
      </c>
      <c r="D768" s="116">
        <v>445</v>
      </c>
      <c r="E768" s="116">
        <v>452.15</v>
      </c>
      <c r="F768" s="116">
        <v>449.6</v>
      </c>
      <c r="G768">
        <v>40155</v>
      </c>
      <c r="H768" s="116"/>
      <c r="I768" s="116"/>
      <c r="L768" s="170">
        <v>43131</v>
      </c>
      <c r="M768" s="116">
        <v>449.15</v>
      </c>
      <c r="N768" s="116">
        <v>452.6</v>
      </c>
      <c r="O768" s="116">
        <v>444.1</v>
      </c>
      <c r="P768" s="116">
        <v>448.5</v>
      </c>
      <c r="Q768" s="116">
        <v>449.15</v>
      </c>
      <c r="R768">
        <v>589263</v>
      </c>
    </row>
    <row r="769" spans="1:18" x14ac:dyDescent="0.25">
      <c r="A769" s="170">
        <v>43132</v>
      </c>
      <c r="B769" s="116">
        <v>459</v>
      </c>
      <c r="C769" s="116">
        <v>446.2</v>
      </c>
      <c r="D769" s="116">
        <v>443</v>
      </c>
      <c r="E769" s="116">
        <v>452</v>
      </c>
      <c r="F769" s="116">
        <v>446.2</v>
      </c>
      <c r="G769">
        <v>66601</v>
      </c>
      <c r="H769" s="116"/>
      <c r="I769" s="116"/>
      <c r="L769" s="170">
        <v>43132</v>
      </c>
      <c r="M769" s="116">
        <v>446.25</v>
      </c>
      <c r="N769" s="116">
        <v>459</v>
      </c>
      <c r="O769" s="116">
        <v>442.5</v>
      </c>
      <c r="P769" s="116">
        <v>450</v>
      </c>
      <c r="Q769" s="116">
        <v>446.25</v>
      </c>
      <c r="R769">
        <v>991830</v>
      </c>
    </row>
    <row r="770" spans="1:18" x14ac:dyDescent="0.25">
      <c r="A770" s="170">
        <v>43133</v>
      </c>
      <c r="B770" s="116">
        <v>451.5</v>
      </c>
      <c r="C770" s="116">
        <v>427.6</v>
      </c>
      <c r="D770" s="116">
        <v>416</v>
      </c>
      <c r="E770" s="116">
        <v>440</v>
      </c>
      <c r="F770" s="116">
        <v>427.6</v>
      </c>
      <c r="G770">
        <v>135823</v>
      </c>
      <c r="H770" s="116"/>
      <c r="I770" s="116"/>
      <c r="L770" s="170">
        <v>43133</v>
      </c>
      <c r="M770" s="116">
        <v>426.9</v>
      </c>
      <c r="N770" s="116">
        <v>452</v>
      </c>
      <c r="O770" s="116">
        <v>416.2</v>
      </c>
      <c r="P770" s="116">
        <v>442</v>
      </c>
      <c r="Q770" s="116">
        <v>426.9</v>
      </c>
      <c r="R770">
        <v>1529576</v>
      </c>
    </row>
    <row r="771" spans="1:18" x14ac:dyDescent="0.25">
      <c r="A771" s="170">
        <v>43136</v>
      </c>
      <c r="B771" s="116">
        <v>461</v>
      </c>
      <c r="C771" s="116">
        <v>458.55</v>
      </c>
      <c r="D771" s="116">
        <v>403.9</v>
      </c>
      <c r="E771" s="116">
        <v>420</v>
      </c>
      <c r="F771" s="116">
        <v>458.55</v>
      </c>
      <c r="G771">
        <v>207425</v>
      </c>
      <c r="H771" s="116"/>
      <c r="I771" s="116"/>
      <c r="L771" s="170">
        <v>43136</v>
      </c>
      <c r="M771" s="116">
        <v>459.35</v>
      </c>
      <c r="N771" s="116">
        <v>461.75</v>
      </c>
      <c r="O771" s="116">
        <v>402.5</v>
      </c>
      <c r="P771" s="116">
        <v>420</v>
      </c>
      <c r="Q771" s="116">
        <v>459.35</v>
      </c>
      <c r="R771">
        <v>1824328</v>
      </c>
    </row>
    <row r="772" spans="1:18" x14ac:dyDescent="0.25">
      <c r="A772" s="170">
        <v>43137</v>
      </c>
      <c r="B772" s="116">
        <v>470</v>
      </c>
      <c r="C772" s="116">
        <v>456.8</v>
      </c>
      <c r="D772" s="116">
        <v>415</v>
      </c>
      <c r="E772" s="116">
        <v>424.7</v>
      </c>
      <c r="F772" s="116">
        <v>456.8</v>
      </c>
      <c r="G772">
        <v>214179</v>
      </c>
      <c r="H772" s="116"/>
      <c r="I772" s="116"/>
      <c r="L772" s="170">
        <v>43137</v>
      </c>
      <c r="M772" s="116">
        <v>458.1</v>
      </c>
      <c r="N772" s="116">
        <v>470.75</v>
      </c>
      <c r="O772" s="116">
        <v>418</v>
      </c>
      <c r="P772" s="116">
        <v>421</v>
      </c>
      <c r="Q772" s="116">
        <v>458.1</v>
      </c>
      <c r="R772">
        <v>2274611</v>
      </c>
    </row>
    <row r="773" spans="1:18" x14ac:dyDescent="0.25">
      <c r="A773" s="170">
        <v>43138</v>
      </c>
      <c r="B773" s="116">
        <v>478.4</v>
      </c>
      <c r="C773" s="116">
        <v>459.75</v>
      </c>
      <c r="D773" s="116">
        <v>456.15</v>
      </c>
      <c r="E773" s="116">
        <v>472</v>
      </c>
      <c r="F773" s="116">
        <v>459.75</v>
      </c>
      <c r="G773">
        <v>202972</v>
      </c>
      <c r="H773" s="116"/>
      <c r="I773" s="116"/>
      <c r="L773" s="170">
        <v>43138</v>
      </c>
      <c r="M773" s="116">
        <v>460.05</v>
      </c>
      <c r="N773" s="116">
        <v>479.55</v>
      </c>
      <c r="O773" s="116">
        <v>457</v>
      </c>
      <c r="P773" s="116">
        <v>474.9</v>
      </c>
      <c r="Q773" s="116">
        <v>460.05</v>
      </c>
      <c r="R773">
        <v>1601455</v>
      </c>
    </row>
    <row r="774" spans="1:18" x14ac:dyDescent="0.25">
      <c r="A774" s="170">
        <v>43139</v>
      </c>
      <c r="B774" s="116">
        <v>470.45</v>
      </c>
      <c r="C774" s="116">
        <v>461.35</v>
      </c>
      <c r="D774" s="116">
        <v>453.1</v>
      </c>
      <c r="E774" s="116">
        <v>464</v>
      </c>
      <c r="F774" s="116">
        <v>461.35</v>
      </c>
      <c r="G774">
        <v>72349</v>
      </c>
      <c r="H774" s="116"/>
      <c r="I774" s="116"/>
      <c r="L774" s="170">
        <v>43139</v>
      </c>
      <c r="M774" s="116">
        <v>462.05</v>
      </c>
      <c r="N774" s="116">
        <v>471.35</v>
      </c>
      <c r="O774" s="116">
        <v>453.25</v>
      </c>
      <c r="P774" s="116">
        <v>463.5</v>
      </c>
      <c r="Q774" s="116">
        <v>462.05</v>
      </c>
      <c r="R774">
        <v>764393</v>
      </c>
    </row>
    <row r="775" spans="1:18" x14ac:dyDescent="0.25">
      <c r="A775" s="170">
        <v>43140</v>
      </c>
      <c r="B775" s="116">
        <v>467.95</v>
      </c>
      <c r="C775" s="116">
        <v>462.45</v>
      </c>
      <c r="D775" s="116">
        <v>449</v>
      </c>
      <c r="E775" s="116">
        <v>451</v>
      </c>
      <c r="F775" s="116">
        <v>462.45</v>
      </c>
      <c r="G775">
        <v>63088</v>
      </c>
      <c r="H775" s="116"/>
      <c r="I775" s="116"/>
      <c r="L775" s="170">
        <v>43140</v>
      </c>
      <c r="M775" s="116">
        <v>462.95</v>
      </c>
      <c r="N775" s="116">
        <v>468.6</v>
      </c>
      <c r="O775" s="116">
        <v>450.75</v>
      </c>
      <c r="P775" s="116">
        <v>454</v>
      </c>
      <c r="Q775" s="116">
        <v>462.95</v>
      </c>
      <c r="R775">
        <v>818509</v>
      </c>
    </row>
    <row r="776" spans="1:18" x14ac:dyDescent="0.25">
      <c r="A776" s="170">
        <v>43143</v>
      </c>
      <c r="B776" s="116">
        <v>494.4</v>
      </c>
      <c r="C776" s="116">
        <v>492.15</v>
      </c>
      <c r="D776" s="116">
        <v>463</v>
      </c>
      <c r="E776" s="116">
        <v>470</v>
      </c>
      <c r="F776" s="116">
        <v>492.15</v>
      </c>
      <c r="G776">
        <v>207223</v>
      </c>
      <c r="H776" s="116"/>
      <c r="I776" s="116"/>
      <c r="L776" s="170">
        <v>43143</v>
      </c>
      <c r="M776" s="116">
        <v>493.1</v>
      </c>
      <c r="N776" s="116">
        <v>494.95</v>
      </c>
      <c r="O776" s="116">
        <v>466.45</v>
      </c>
      <c r="P776" s="116">
        <v>467.9</v>
      </c>
      <c r="Q776" s="116">
        <v>493.1</v>
      </c>
      <c r="R776">
        <v>2572789</v>
      </c>
    </row>
    <row r="777" spans="1:18" x14ac:dyDescent="0.25">
      <c r="A777" s="170">
        <v>43145</v>
      </c>
      <c r="B777" s="116">
        <v>525.95000000000005</v>
      </c>
      <c r="C777" s="116">
        <v>519.15</v>
      </c>
      <c r="D777" s="116">
        <v>493.15</v>
      </c>
      <c r="E777" s="116">
        <v>493.15</v>
      </c>
      <c r="F777" s="116">
        <v>519.15</v>
      </c>
      <c r="G777">
        <v>322792</v>
      </c>
      <c r="H777" s="116"/>
      <c r="I777" s="116"/>
      <c r="L777" s="170">
        <v>43145</v>
      </c>
      <c r="M777" s="116">
        <v>519.85</v>
      </c>
      <c r="N777" s="116">
        <v>525.9</v>
      </c>
      <c r="O777" s="116">
        <v>496.9</v>
      </c>
      <c r="P777" s="116">
        <v>497</v>
      </c>
      <c r="Q777" s="116">
        <v>519.85</v>
      </c>
      <c r="R777">
        <v>3765692</v>
      </c>
    </row>
    <row r="778" spans="1:18" x14ac:dyDescent="0.25">
      <c r="A778" s="170">
        <v>43146</v>
      </c>
      <c r="B778" s="116">
        <v>538.04999999999995</v>
      </c>
      <c r="C778" s="116">
        <v>514.54999999999995</v>
      </c>
      <c r="D778" s="116">
        <v>510</v>
      </c>
      <c r="E778" s="116">
        <v>527</v>
      </c>
      <c r="F778" s="116">
        <v>514.54999999999995</v>
      </c>
      <c r="G778">
        <v>223446</v>
      </c>
      <c r="H778" s="116"/>
      <c r="I778" s="116"/>
      <c r="L778" s="170">
        <v>43146</v>
      </c>
      <c r="M778" s="116">
        <v>514.29999999999995</v>
      </c>
      <c r="N778" s="116">
        <v>538</v>
      </c>
      <c r="O778" s="116">
        <v>509</v>
      </c>
      <c r="P778" s="116">
        <v>525</v>
      </c>
      <c r="Q778" s="116">
        <v>514.29999999999995</v>
      </c>
      <c r="R778">
        <v>3015341</v>
      </c>
    </row>
    <row r="779" spans="1:18" x14ac:dyDescent="0.25">
      <c r="A779" s="170">
        <v>43147</v>
      </c>
      <c r="B779" s="116">
        <v>527</v>
      </c>
      <c r="C779" s="116">
        <v>503.5</v>
      </c>
      <c r="D779" s="116">
        <v>497.4</v>
      </c>
      <c r="E779" s="116">
        <v>522</v>
      </c>
      <c r="F779" s="116">
        <v>503.5</v>
      </c>
      <c r="G779">
        <v>84942</v>
      </c>
      <c r="H779" s="116"/>
      <c r="I779" s="116"/>
      <c r="L779" s="170">
        <v>43147</v>
      </c>
      <c r="M779" s="116">
        <v>503</v>
      </c>
      <c r="N779" s="116">
        <v>527.4</v>
      </c>
      <c r="O779" s="116">
        <v>497</v>
      </c>
      <c r="P779" s="116">
        <v>519.25</v>
      </c>
      <c r="Q779" s="116">
        <v>503</v>
      </c>
      <c r="R779">
        <v>1697412</v>
      </c>
    </row>
    <row r="780" spans="1:18" x14ac:dyDescent="0.25">
      <c r="A780" s="170">
        <v>43150</v>
      </c>
      <c r="B780" s="116">
        <v>511.35</v>
      </c>
      <c r="C780" s="116">
        <v>503.1</v>
      </c>
      <c r="D780" s="116">
        <v>496.15</v>
      </c>
      <c r="E780" s="116">
        <v>503.5</v>
      </c>
      <c r="F780" s="116">
        <v>503.1</v>
      </c>
      <c r="G780">
        <v>94521</v>
      </c>
      <c r="H780" s="116"/>
      <c r="I780" s="116"/>
      <c r="L780" s="170">
        <v>43150</v>
      </c>
      <c r="M780" s="116">
        <v>502.75</v>
      </c>
      <c r="N780" s="116">
        <v>511.95</v>
      </c>
      <c r="O780" s="116">
        <v>495.25</v>
      </c>
      <c r="P780" s="116">
        <v>503.9</v>
      </c>
      <c r="Q780" s="116">
        <v>502.75</v>
      </c>
      <c r="R780">
        <v>1388940</v>
      </c>
    </row>
    <row r="781" spans="1:18" x14ac:dyDescent="0.25">
      <c r="A781" s="170">
        <v>43151</v>
      </c>
      <c r="B781" s="116">
        <v>523.79999999999995</v>
      </c>
      <c r="C781" s="116">
        <v>510.6</v>
      </c>
      <c r="D781" s="116">
        <v>502.2</v>
      </c>
      <c r="E781" s="116">
        <v>503.1</v>
      </c>
      <c r="F781" s="116">
        <v>510.6</v>
      </c>
      <c r="G781">
        <v>148440</v>
      </c>
      <c r="H781" s="116"/>
      <c r="I781" s="116"/>
      <c r="L781" s="170">
        <v>43151</v>
      </c>
      <c r="M781" s="116">
        <v>511.55</v>
      </c>
      <c r="N781" s="116">
        <v>523.95000000000005</v>
      </c>
      <c r="O781" s="116">
        <v>501.5</v>
      </c>
      <c r="P781" s="116">
        <v>501.5</v>
      </c>
      <c r="Q781" s="116">
        <v>511.55</v>
      </c>
      <c r="R781">
        <v>2382471</v>
      </c>
    </row>
    <row r="782" spans="1:18" x14ac:dyDescent="0.25">
      <c r="A782" s="170">
        <v>43152</v>
      </c>
      <c r="B782" s="116">
        <v>521.95000000000005</v>
      </c>
      <c r="C782" s="116">
        <v>518.45000000000005</v>
      </c>
      <c r="D782" s="116">
        <v>511.75</v>
      </c>
      <c r="E782" s="116">
        <v>518.04999999999995</v>
      </c>
      <c r="F782" s="116">
        <v>518.45000000000005</v>
      </c>
      <c r="G782">
        <v>40359</v>
      </c>
      <c r="H782" s="116"/>
      <c r="I782" s="116"/>
      <c r="L782" s="170">
        <v>43152</v>
      </c>
      <c r="M782" s="116">
        <v>518.45000000000005</v>
      </c>
      <c r="N782" s="116">
        <v>522</v>
      </c>
      <c r="O782" s="116">
        <v>511.9</v>
      </c>
      <c r="P782" s="116">
        <v>516</v>
      </c>
      <c r="Q782" s="116">
        <v>518.45000000000005</v>
      </c>
      <c r="R782">
        <v>1025243</v>
      </c>
    </row>
    <row r="783" spans="1:18" x14ac:dyDescent="0.25">
      <c r="A783" s="170">
        <v>43153</v>
      </c>
      <c r="B783" s="116">
        <v>525.79999999999995</v>
      </c>
      <c r="C783" s="116">
        <v>515.45000000000005</v>
      </c>
      <c r="D783" s="116">
        <v>512.29999999999995</v>
      </c>
      <c r="E783" s="116">
        <v>518.45000000000005</v>
      </c>
      <c r="F783" s="116">
        <v>515.45000000000005</v>
      </c>
      <c r="G783">
        <v>52371</v>
      </c>
      <c r="H783" s="116"/>
      <c r="I783" s="116"/>
      <c r="L783" s="170">
        <v>43153</v>
      </c>
      <c r="M783" s="116">
        <v>516.6</v>
      </c>
      <c r="N783" s="116">
        <v>525.95000000000005</v>
      </c>
      <c r="O783" s="116">
        <v>512.6</v>
      </c>
      <c r="P783" s="116">
        <v>517.95000000000005</v>
      </c>
      <c r="Q783" s="116">
        <v>516.6</v>
      </c>
      <c r="R783">
        <v>1197453</v>
      </c>
    </row>
    <row r="784" spans="1:18" x14ac:dyDescent="0.25">
      <c r="A784" s="170">
        <v>43154</v>
      </c>
      <c r="B784" s="116">
        <v>526.95000000000005</v>
      </c>
      <c r="C784" s="116">
        <v>523.4</v>
      </c>
      <c r="D784" s="116">
        <v>515.5</v>
      </c>
      <c r="E784" s="116">
        <v>515.5</v>
      </c>
      <c r="F784" s="116">
        <v>523.4</v>
      </c>
      <c r="G784">
        <v>65207</v>
      </c>
      <c r="H784" s="116"/>
      <c r="I784" s="116"/>
      <c r="L784" s="170">
        <v>43154</v>
      </c>
      <c r="M784" s="116">
        <v>523.65</v>
      </c>
      <c r="N784" s="116">
        <v>527.35</v>
      </c>
      <c r="O784" s="116">
        <v>517.25</v>
      </c>
      <c r="P784" s="116">
        <v>517.25</v>
      </c>
      <c r="Q784" s="116">
        <v>523.65</v>
      </c>
      <c r="R784">
        <v>1021725</v>
      </c>
    </row>
    <row r="785" spans="1:18" x14ac:dyDescent="0.25">
      <c r="A785" s="170">
        <v>43157</v>
      </c>
      <c r="B785" s="116">
        <v>540</v>
      </c>
      <c r="C785" s="116">
        <v>538.75</v>
      </c>
      <c r="D785" s="116">
        <v>525.95000000000005</v>
      </c>
      <c r="E785" s="116">
        <v>530</v>
      </c>
      <c r="F785" s="116">
        <v>538.75</v>
      </c>
      <c r="G785">
        <v>106682</v>
      </c>
      <c r="H785" s="116"/>
      <c r="I785" s="116"/>
      <c r="L785" s="170">
        <v>43157</v>
      </c>
      <c r="M785" s="116">
        <v>538.85</v>
      </c>
      <c r="N785" s="116">
        <v>540</v>
      </c>
      <c r="O785" s="116">
        <v>525.35</v>
      </c>
      <c r="P785" s="116">
        <v>527.9</v>
      </c>
      <c r="Q785" s="116">
        <v>538.85</v>
      </c>
      <c r="R785">
        <v>1321117</v>
      </c>
    </row>
    <row r="786" spans="1:18" x14ac:dyDescent="0.25">
      <c r="A786" s="170">
        <v>43158</v>
      </c>
      <c r="B786" s="116">
        <v>544.9</v>
      </c>
      <c r="C786" s="116">
        <v>528.1</v>
      </c>
      <c r="D786" s="116">
        <v>517.20000000000005</v>
      </c>
      <c r="E786" s="116">
        <v>543</v>
      </c>
      <c r="F786" s="116">
        <v>528.1</v>
      </c>
      <c r="G786">
        <v>227771</v>
      </c>
      <c r="H786" s="116"/>
      <c r="I786" s="116"/>
      <c r="L786" s="170">
        <v>43158</v>
      </c>
      <c r="M786" s="116">
        <v>535.5</v>
      </c>
      <c r="N786" s="116">
        <v>545</v>
      </c>
      <c r="O786" s="116">
        <v>529.35</v>
      </c>
      <c r="P786" s="116">
        <v>542.75</v>
      </c>
      <c r="Q786" s="116">
        <v>535.5</v>
      </c>
      <c r="R786">
        <v>1246998</v>
      </c>
    </row>
    <row r="787" spans="1:18" x14ac:dyDescent="0.25">
      <c r="A787" s="170">
        <v>43159</v>
      </c>
      <c r="B787" s="116">
        <v>543.85</v>
      </c>
      <c r="C787" s="116">
        <v>541.29999999999995</v>
      </c>
      <c r="D787" s="116">
        <v>529.35</v>
      </c>
      <c r="E787" s="116">
        <v>540</v>
      </c>
      <c r="F787" s="116">
        <v>541.29999999999995</v>
      </c>
      <c r="G787">
        <v>76584</v>
      </c>
      <c r="H787" s="116"/>
      <c r="I787" s="116"/>
      <c r="L787" s="170">
        <v>43159</v>
      </c>
      <c r="M787" s="116">
        <v>541.45000000000005</v>
      </c>
      <c r="N787" s="116">
        <v>544.35</v>
      </c>
      <c r="O787" s="116">
        <v>529</v>
      </c>
      <c r="P787" s="116">
        <v>540</v>
      </c>
      <c r="Q787" s="116">
        <v>541.45000000000005</v>
      </c>
      <c r="R787">
        <v>1166425</v>
      </c>
    </row>
    <row r="788" spans="1:18" x14ac:dyDescent="0.25">
      <c r="A788" s="170">
        <v>43160</v>
      </c>
      <c r="B788" s="116">
        <v>543.1</v>
      </c>
      <c r="C788" s="116">
        <v>535.45000000000005</v>
      </c>
      <c r="D788" s="116">
        <v>533.79999999999995</v>
      </c>
      <c r="E788" s="116">
        <v>542.95000000000005</v>
      </c>
      <c r="F788" s="116">
        <v>535.45000000000005</v>
      </c>
      <c r="G788">
        <v>40144</v>
      </c>
      <c r="H788" s="116"/>
      <c r="I788" s="116"/>
      <c r="L788" s="170">
        <v>43160</v>
      </c>
      <c r="M788" s="116">
        <v>537.4</v>
      </c>
      <c r="N788" s="116">
        <v>545</v>
      </c>
      <c r="O788" s="116">
        <v>533.70000000000005</v>
      </c>
      <c r="P788" s="116">
        <v>542</v>
      </c>
      <c r="Q788" s="116">
        <v>537.4</v>
      </c>
      <c r="R788">
        <v>696690</v>
      </c>
    </row>
    <row r="789" spans="1:18" x14ac:dyDescent="0.25">
      <c r="A789" s="170">
        <v>43164</v>
      </c>
      <c r="B789" s="116">
        <v>550.95000000000005</v>
      </c>
      <c r="C789" s="116">
        <v>545.54999999999995</v>
      </c>
      <c r="D789" s="116">
        <v>530.45000000000005</v>
      </c>
      <c r="E789" s="116">
        <v>535</v>
      </c>
      <c r="F789" s="116">
        <v>545.54999999999995</v>
      </c>
      <c r="G789">
        <v>141099</v>
      </c>
      <c r="H789" s="116"/>
      <c r="I789" s="116"/>
      <c r="L789" s="170">
        <v>43164</v>
      </c>
      <c r="M789" s="116">
        <v>545.5</v>
      </c>
      <c r="N789" s="116">
        <v>551</v>
      </c>
      <c r="O789" s="116">
        <v>530</v>
      </c>
      <c r="P789" s="116">
        <v>537.4</v>
      </c>
      <c r="Q789" s="116">
        <v>545.5</v>
      </c>
      <c r="R789">
        <v>1987847</v>
      </c>
    </row>
    <row r="790" spans="1:18" x14ac:dyDescent="0.25">
      <c r="A790" s="170">
        <v>43165</v>
      </c>
      <c r="B790" s="116">
        <v>555</v>
      </c>
      <c r="C790" s="116">
        <v>534</v>
      </c>
      <c r="D790" s="116">
        <v>525</v>
      </c>
      <c r="E790" s="116">
        <v>549.20000000000005</v>
      </c>
      <c r="F790" s="116">
        <v>534</v>
      </c>
      <c r="G790">
        <v>66337</v>
      </c>
      <c r="H790" s="116"/>
      <c r="I790" s="116"/>
      <c r="L790" s="170">
        <v>43165</v>
      </c>
      <c r="M790" s="116">
        <v>535</v>
      </c>
      <c r="N790" s="116">
        <v>554.5</v>
      </c>
      <c r="O790" s="116">
        <v>531.6</v>
      </c>
      <c r="P790" s="116">
        <v>553.15</v>
      </c>
      <c r="Q790" s="116">
        <v>535</v>
      </c>
      <c r="R790">
        <v>938254</v>
      </c>
    </row>
    <row r="791" spans="1:18" x14ac:dyDescent="0.25">
      <c r="A791" s="170">
        <v>43166</v>
      </c>
      <c r="B791" s="116">
        <v>539</v>
      </c>
      <c r="C791" s="116">
        <v>499.2</v>
      </c>
      <c r="D791" s="116">
        <v>488.1</v>
      </c>
      <c r="E791" s="116">
        <v>537.9</v>
      </c>
      <c r="F791" s="116">
        <v>499.2</v>
      </c>
      <c r="G791">
        <v>178882</v>
      </c>
      <c r="H791" s="116"/>
      <c r="I791" s="116"/>
      <c r="L791" s="170">
        <v>43166</v>
      </c>
      <c r="M791" s="116">
        <v>499.65</v>
      </c>
      <c r="N791" s="116">
        <v>540.9</v>
      </c>
      <c r="O791" s="116">
        <v>487.7</v>
      </c>
      <c r="P791" s="116">
        <v>540.9</v>
      </c>
      <c r="Q791" s="116">
        <v>499.65</v>
      </c>
      <c r="R791">
        <v>2617870</v>
      </c>
    </row>
    <row r="792" spans="1:18" x14ac:dyDescent="0.25">
      <c r="A792" s="170">
        <v>43167</v>
      </c>
      <c r="B792" s="116">
        <v>519</v>
      </c>
      <c r="C792" s="116">
        <v>513.54999999999995</v>
      </c>
      <c r="D792" s="116">
        <v>494.05</v>
      </c>
      <c r="E792" s="116">
        <v>503.1</v>
      </c>
      <c r="F792" s="116">
        <v>513.54999999999995</v>
      </c>
      <c r="G792">
        <v>103374</v>
      </c>
      <c r="H792" s="116"/>
      <c r="I792" s="116"/>
      <c r="L792" s="170">
        <v>43167</v>
      </c>
      <c r="M792" s="116">
        <v>513.20000000000005</v>
      </c>
      <c r="N792" s="116">
        <v>515.45000000000005</v>
      </c>
      <c r="O792" s="116">
        <v>493.25</v>
      </c>
      <c r="P792" s="116">
        <v>506</v>
      </c>
      <c r="Q792" s="116">
        <v>513.20000000000005</v>
      </c>
      <c r="R792">
        <v>1381436</v>
      </c>
    </row>
    <row r="793" spans="1:18" x14ac:dyDescent="0.25">
      <c r="A793" s="170">
        <v>43168</v>
      </c>
      <c r="B793" s="116">
        <v>516.29999999999995</v>
      </c>
      <c r="C793" s="116">
        <v>507.5</v>
      </c>
      <c r="D793" s="116">
        <v>502.5</v>
      </c>
      <c r="E793" s="116">
        <v>514.9</v>
      </c>
      <c r="F793" s="116">
        <v>507.5</v>
      </c>
      <c r="G793">
        <v>28361</v>
      </c>
      <c r="H793" s="116"/>
      <c r="I793" s="116"/>
      <c r="L793" s="170">
        <v>43168</v>
      </c>
      <c r="M793" s="116">
        <v>507.3</v>
      </c>
      <c r="N793" s="116">
        <v>516.5</v>
      </c>
      <c r="O793" s="116">
        <v>502.2</v>
      </c>
      <c r="P793" s="116">
        <v>512</v>
      </c>
      <c r="Q793" s="116">
        <v>507.3</v>
      </c>
      <c r="R793">
        <v>744506</v>
      </c>
    </row>
    <row r="794" spans="1:18" x14ac:dyDescent="0.25">
      <c r="A794" s="170">
        <v>43171</v>
      </c>
      <c r="B794" s="116">
        <v>524.15</v>
      </c>
      <c r="C794" s="116">
        <v>518.20000000000005</v>
      </c>
      <c r="D794" s="116">
        <v>511.25</v>
      </c>
      <c r="E794" s="116">
        <v>513</v>
      </c>
      <c r="F794" s="116">
        <v>518.20000000000005</v>
      </c>
      <c r="G794">
        <v>48493</v>
      </c>
      <c r="H794" s="116"/>
      <c r="I794" s="116"/>
      <c r="L794" s="170">
        <v>43171</v>
      </c>
      <c r="M794" s="116">
        <v>518.70000000000005</v>
      </c>
      <c r="N794" s="116">
        <v>524.9</v>
      </c>
      <c r="O794" s="116">
        <v>511.2</v>
      </c>
      <c r="P794" s="116">
        <v>512</v>
      </c>
      <c r="Q794" s="116">
        <v>518.70000000000005</v>
      </c>
      <c r="R794">
        <v>715116</v>
      </c>
    </row>
    <row r="795" spans="1:18" x14ac:dyDescent="0.25">
      <c r="A795" s="170">
        <v>43172</v>
      </c>
      <c r="B795" s="116">
        <v>541.70000000000005</v>
      </c>
      <c r="C795" s="116">
        <v>538.04999999999995</v>
      </c>
      <c r="D795" s="116">
        <v>515.25</v>
      </c>
      <c r="E795" s="116">
        <v>520</v>
      </c>
      <c r="F795" s="116">
        <v>538.04999999999995</v>
      </c>
      <c r="G795">
        <v>95953</v>
      </c>
      <c r="H795" s="116"/>
      <c r="I795" s="116"/>
      <c r="L795" s="170">
        <v>43172</v>
      </c>
      <c r="M795" s="116">
        <v>538.54999999999995</v>
      </c>
      <c r="N795" s="116">
        <v>542</v>
      </c>
      <c r="O795" s="116">
        <v>515</v>
      </c>
      <c r="P795" s="116">
        <v>519</v>
      </c>
      <c r="Q795" s="116">
        <v>538.54999999999995</v>
      </c>
      <c r="R795">
        <v>1610243</v>
      </c>
    </row>
    <row r="796" spans="1:18" x14ac:dyDescent="0.25">
      <c r="A796" s="170">
        <v>43173</v>
      </c>
      <c r="B796" s="116">
        <v>555</v>
      </c>
      <c r="C796" s="116">
        <v>549.15</v>
      </c>
      <c r="D796" s="116">
        <v>536</v>
      </c>
      <c r="E796" s="116">
        <v>536</v>
      </c>
      <c r="F796" s="116">
        <v>549.15</v>
      </c>
      <c r="G796">
        <v>154258</v>
      </c>
      <c r="H796" s="116"/>
      <c r="I796" s="116"/>
      <c r="L796" s="170">
        <v>43173</v>
      </c>
      <c r="M796" s="116">
        <v>549.5</v>
      </c>
      <c r="N796" s="116">
        <v>555.70000000000005</v>
      </c>
      <c r="O796" s="116">
        <v>537</v>
      </c>
      <c r="P796" s="116">
        <v>537.9</v>
      </c>
      <c r="Q796" s="116">
        <v>549.5</v>
      </c>
      <c r="R796">
        <v>2336987</v>
      </c>
    </row>
    <row r="797" spans="1:18" x14ac:dyDescent="0.25">
      <c r="A797" s="170">
        <v>43174</v>
      </c>
      <c r="B797" s="116">
        <v>557.35</v>
      </c>
      <c r="C797" s="116">
        <v>532.20000000000005</v>
      </c>
      <c r="D797" s="116">
        <v>528.35</v>
      </c>
      <c r="E797" s="116">
        <v>553</v>
      </c>
      <c r="F797" s="116">
        <v>532.20000000000005</v>
      </c>
      <c r="G797">
        <v>129827</v>
      </c>
      <c r="H797" s="116"/>
      <c r="I797" s="116"/>
      <c r="L797" s="170">
        <v>43174</v>
      </c>
      <c r="M797" s="116">
        <v>532.35</v>
      </c>
      <c r="N797" s="116">
        <v>557.5</v>
      </c>
      <c r="O797" s="116">
        <v>528</v>
      </c>
      <c r="P797" s="116">
        <v>551.5</v>
      </c>
      <c r="Q797" s="116">
        <v>532.35</v>
      </c>
      <c r="R797">
        <v>1922366</v>
      </c>
    </row>
    <row r="798" spans="1:18" x14ac:dyDescent="0.25">
      <c r="A798" s="170">
        <v>43175</v>
      </c>
      <c r="B798" s="116">
        <v>545.95000000000005</v>
      </c>
      <c r="C798" s="116">
        <v>540.29999999999995</v>
      </c>
      <c r="D798" s="116">
        <v>532.1</v>
      </c>
      <c r="E798" s="116">
        <v>536.95000000000005</v>
      </c>
      <c r="F798" s="116">
        <v>540.29999999999995</v>
      </c>
      <c r="G798">
        <v>90351</v>
      </c>
      <c r="H798" s="116"/>
      <c r="I798" s="116"/>
      <c r="L798" s="170">
        <v>43175</v>
      </c>
      <c r="M798" s="116">
        <v>540.35</v>
      </c>
      <c r="N798" s="116">
        <v>546</v>
      </c>
      <c r="O798" s="116">
        <v>531.4</v>
      </c>
      <c r="P798" s="116">
        <v>533</v>
      </c>
      <c r="Q798" s="116">
        <v>540.35</v>
      </c>
      <c r="R798">
        <v>1612251</v>
      </c>
    </row>
    <row r="799" spans="1:18" x14ac:dyDescent="0.25">
      <c r="A799" s="170">
        <v>43178</v>
      </c>
      <c r="B799" s="116">
        <v>543.5</v>
      </c>
      <c r="C799" s="116">
        <v>530.15</v>
      </c>
      <c r="D799" s="116">
        <v>522.9</v>
      </c>
      <c r="E799" s="116">
        <v>539.5</v>
      </c>
      <c r="F799" s="116">
        <v>530.15</v>
      </c>
      <c r="G799">
        <v>66622</v>
      </c>
      <c r="H799" s="116"/>
      <c r="I799" s="116"/>
      <c r="L799" s="170">
        <v>43178</v>
      </c>
      <c r="M799" s="116">
        <v>530.65</v>
      </c>
      <c r="N799" s="116">
        <v>544.29999999999995</v>
      </c>
      <c r="O799" s="116">
        <v>522.1</v>
      </c>
      <c r="P799" s="116">
        <v>536.79999999999995</v>
      </c>
      <c r="Q799" s="116">
        <v>530.65</v>
      </c>
      <c r="R799">
        <v>2056703</v>
      </c>
    </row>
    <row r="800" spans="1:18" x14ac:dyDescent="0.25">
      <c r="A800" s="170">
        <v>43179</v>
      </c>
      <c r="B800" s="116">
        <v>533.85</v>
      </c>
      <c r="C800" s="116">
        <v>522.54999999999995</v>
      </c>
      <c r="D800" s="116">
        <v>517.70000000000005</v>
      </c>
      <c r="E800" s="116">
        <v>525</v>
      </c>
      <c r="F800" s="116">
        <v>522.54999999999995</v>
      </c>
      <c r="G800">
        <v>60629</v>
      </c>
      <c r="H800" s="116"/>
      <c r="I800" s="116"/>
      <c r="L800" s="170">
        <v>43179</v>
      </c>
      <c r="M800" s="116">
        <v>522.6</v>
      </c>
      <c r="N800" s="116">
        <v>534.4</v>
      </c>
      <c r="O800" s="116">
        <v>517.1</v>
      </c>
      <c r="P800" s="116">
        <v>529</v>
      </c>
      <c r="Q800" s="116">
        <v>522.6</v>
      </c>
      <c r="R800">
        <v>967238</v>
      </c>
    </row>
    <row r="801" spans="1:18" x14ac:dyDescent="0.25">
      <c r="A801" s="170">
        <v>43180</v>
      </c>
      <c r="B801" s="116">
        <v>533.5</v>
      </c>
      <c r="C801" s="116">
        <v>521.25</v>
      </c>
      <c r="D801" s="116">
        <v>517</v>
      </c>
      <c r="E801" s="116">
        <v>522.5</v>
      </c>
      <c r="F801" s="116">
        <v>521.25</v>
      </c>
      <c r="G801">
        <v>35841</v>
      </c>
      <c r="H801" s="116"/>
      <c r="I801" s="116"/>
      <c r="L801" s="170">
        <v>43180</v>
      </c>
      <c r="M801" s="116">
        <v>521.35</v>
      </c>
      <c r="N801" s="116">
        <v>534.4</v>
      </c>
      <c r="O801" s="116">
        <v>516.95000000000005</v>
      </c>
      <c r="P801" s="116">
        <v>523.04999999999995</v>
      </c>
      <c r="Q801" s="116">
        <v>521.35</v>
      </c>
      <c r="R801">
        <v>707793</v>
      </c>
    </row>
    <row r="802" spans="1:18" x14ac:dyDescent="0.25">
      <c r="A802" s="170">
        <v>43181</v>
      </c>
      <c r="B802" s="116">
        <v>522</v>
      </c>
      <c r="C802" s="116">
        <v>511.2</v>
      </c>
      <c r="D802" s="116">
        <v>510.05</v>
      </c>
      <c r="E802" s="116">
        <v>522</v>
      </c>
      <c r="F802" s="116">
        <v>511.2</v>
      </c>
      <c r="G802">
        <v>31272</v>
      </c>
      <c r="H802" s="116"/>
      <c r="I802" s="116"/>
      <c r="L802" s="170">
        <v>43181</v>
      </c>
      <c r="M802" s="116">
        <v>511.25</v>
      </c>
      <c r="N802" s="116">
        <v>521.35</v>
      </c>
      <c r="O802" s="116">
        <v>509.9</v>
      </c>
      <c r="P802" s="116">
        <v>520.5</v>
      </c>
      <c r="Q802" s="116">
        <v>511.25</v>
      </c>
      <c r="R802">
        <v>698564</v>
      </c>
    </row>
    <row r="803" spans="1:18" x14ac:dyDescent="0.25">
      <c r="A803" s="170">
        <v>43182</v>
      </c>
      <c r="B803" s="116">
        <v>508</v>
      </c>
      <c r="C803" s="116">
        <v>504.05</v>
      </c>
      <c r="D803" s="116">
        <v>495.25</v>
      </c>
      <c r="E803" s="116">
        <v>505.9</v>
      </c>
      <c r="F803" s="116">
        <v>504.05</v>
      </c>
      <c r="G803">
        <v>56921</v>
      </c>
      <c r="H803" s="116"/>
      <c r="I803" s="116"/>
      <c r="L803" s="170">
        <v>43182</v>
      </c>
      <c r="M803" s="116">
        <v>504.65</v>
      </c>
      <c r="N803" s="116">
        <v>508.7</v>
      </c>
      <c r="O803" s="116">
        <v>495</v>
      </c>
      <c r="P803" s="116">
        <v>504</v>
      </c>
      <c r="Q803" s="116">
        <v>504.65</v>
      </c>
      <c r="R803">
        <v>939239</v>
      </c>
    </row>
    <row r="804" spans="1:18" x14ac:dyDescent="0.25">
      <c r="A804" s="170">
        <v>43185</v>
      </c>
      <c r="B804" s="116">
        <v>529.65</v>
      </c>
      <c r="C804" s="116">
        <v>523.1</v>
      </c>
      <c r="D804" s="116">
        <v>498.95</v>
      </c>
      <c r="E804" s="116">
        <v>498.95</v>
      </c>
      <c r="F804" s="116">
        <v>523.1</v>
      </c>
      <c r="G804">
        <v>110566</v>
      </c>
      <c r="H804" s="116"/>
      <c r="I804" s="116"/>
      <c r="L804" s="170">
        <v>43185</v>
      </c>
      <c r="M804" s="116">
        <v>523.95000000000005</v>
      </c>
      <c r="N804" s="116">
        <v>529</v>
      </c>
      <c r="O804" s="116">
        <v>499.25</v>
      </c>
      <c r="P804" s="116">
        <v>505</v>
      </c>
      <c r="Q804" s="116">
        <v>523.95000000000005</v>
      </c>
      <c r="R804">
        <v>1998779</v>
      </c>
    </row>
    <row r="805" spans="1:18" x14ac:dyDescent="0.25">
      <c r="A805" s="170">
        <v>43186</v>
      </c>
      <c r="B805" s="116">
        <v>537.65</v>
      </c>
      <c r="C805" s="116">
        <v>508.25</v>
      </c>
      <c r="D805" s="116">
        <v>506.35</v>
      </c>
      <c r="E805" s="116">
        <v>530</v>
      </c>
      <c r="F805" s="116">
        <v>508.25</v>
      </c>
      <c r="G805">
        <v>142166</v>
      </c>
      <c r="H805" s="116"/>
      <c r="I805" s="116"/>
      <c r="L805" s="170">
        <v>43186</v>
      </c>
      <c r="M805" s="116">
        <v>508.3</v>
      </c>
      <c r="N805" s="116">
        <v>537.45000000000005</v>
      </c>
      <c r="O805" s="116">
        <v>506.8</v>
      </c>
      <c r="P805" s="116">
        <v>529.9</v>
      </c>
      <c r="Q805" s="116">
        <v>508.3</v>
      </c>
      <c r="R805">
        <v>2447098</v>
      </c>
    </row>
    <row r="806" spans="1:18" x14ac:dyDescent="0.25">
      <c r="A806" s="170">
        <v>43187</v>
      </c>
      <c r="B806" s="116">
        <v>505</v>
      </c>
      <c r="C806" s="116">
        <v>485.05</v>
      </c>
      <c r="D806" s="116">
        <v>480.8</v>
      </c>
      <c r="E806" s="116">
        <v>505</v>
      </c>
      <c r="F806" s="116">
        <v>485.05</v>
      </c>
      <c r="G806">
        <v>179054</v>
      </c>
      <c r="H806" s="116"/>
      <c r="I806" s="116"/>
      <c r="L806" s="170">
        <v>43187</v>
      </c>
      <c r="M806" s="116">
        <v>484.5</v>
      </c>
      <c r="N806" s="116">
        <v>507</v>
      </c>
      <c r="O806" s="116">
        <v>479</v>
      </c>
      <c r="P806" s="116">
        <v>507</v>
      </c>
      <c r="Q806" s="116">
        <v>484.5</v>
      </c>
      <c r="R806">
        <v>3867610</v>
      </c>
    </row>
    <row r="807" spans="1:18" x14ac:dyDescent="0.25">
      <c r="A807" s="170">
        <v>43192</v>
      </c>
      <c r="B807" s="116">
        <v>466.05</v>
      </c>
      <c r="C807" s="116">
        <v>431.2</v>
      </c>
      <c r="D807" s="116">
        <v>429</v>
      </c>
      <c r="E807" s="116">
        <v>465.8</v>
      </c>
      <c r="F807" s="116">
        <v>431.2</v>
      </c>
      <c r="G807">
        <v>497648</v>
      </c>
      <c r="H807" s="116"/>
      <c r="I807" s="116"/>
      <c r="L807" s="170">
        <v>43192</v>
      </c>
      <c r="M807" s="116">
        <v>429.75</v>
      </c>
      <c r="N807" s="116">
        <v>464</v>
      </c>
      <c r="O807" s="116">
        <v>421.25</v>
      </c>
      <c r="P807" s="116">
        <v>462</v>
      </c>
      <c r="Q807" s="116">
        <v>429.75</v>
      </c>
      <c r="R807">
        <v>7194670</v>
      </c>
    </row>
    <row r="808" spans="1:18" x14ac:dyDescent="0.25">
      <c r="A808" s="170">
        <v>43193</v>
      </c>
      <c r="B808" s="116">
        <v>441.8</v>
      </c>
      <c r="C808" s="116">
        <v>430.65</v>
      </c>
      <c r="D808" s="116">
        <v>428.3</v>
      </c>
      <c r="E808" s="116">
        <v>433</v>
      </c>
      <c r="F808" s="116">
        <v>430.65</v>
      </c>
      <c r="G808">
        <v>169113</v>
      </c>
      <c r="H808" s="116"/>
      <c r="I808" s="116"/>
      <c r="L808" s="170">
        <v>43193</v>
      </c>
      <c r="M808" s="116">
        <v>429.95</v>
      </c>
      <c r="N808" s="116">
        <v>441.75</v>
      </c>
      <c r="O808" s="116">
        <v>427</v>
      </c>
      <c r="P808" s="116">
        <v>435</v>
      </c>
      <c r="Q808" s="116">
        <v>429.95</v>
      </c>
      <c r="R808">
        <v>3360703</v>
      </c>
    </row>
    <row r="809" spans="1:18" x14ac:dyDescent="0.25">
      <c r="A809" s="170">
        <v>43194</v>
      </c>
      <c r="B809" s="116">
        <v>443</v>
      </c>
      <c r="C809" s="116">
        <v>428.55</v>
      </c>
      <c r="D809" s="116">
        <v>426.05</v>
      </c>
      <c r="E809" s="116">
        <v>434</v>
      </c>
      <c r="F809" s="116">
        <v>428.55</v>
      </c>
      <c r="G809">
        <v>142138</v>
      </c>
      <c r="H809" s="116"/>
      <c r="I809" s="116"/>
      <c r="L809" s="170">
        <v>43194</v>
      </c>
      <c r="M809" s="116">
        <v>428.6</v>
      </c>
      <c r="N809" s="116">
        <v>440.45</v>
      </c>
      <c r="O809" s="116">
        <v>426.25</v>
      </c>
      <c r="P809" s="116">
        <v>435</v>
      </c>
      <c r="Q809" s="116">
        <v>428.6</v>
      </c>
      <c r="R809">
        <v>2133375</v>
      </c>
    </row>
    <row r="810" spans="1:18" x14ac:dyDescent="0.25">
      <c r="A810" s="170">
        <v>43195</v>
      </c>
      <c r="B810" s="116">
        <v>440.95</v>
      </c>
      <c r="C810" s="116">
        <v>439.25</v>
      </c>
      <c r="D810" s="116">
        <v>432.5</v>
      </c>
      <c r="E810" s="116">
        <v>435.5</v>
      </c>
      <c r="F810" s="116">
        <v>439.25</v>
      </c>
      <c r="G810">
        <v>78358</v>
      </c>
      <c r="H810" s="116"/>
      <c r="I810" s="116"/>
      <c r="L810" s="170">
        <v>43195</v>
      </c>
      <c r="M810" s="116">
        <v>439.3</v>
      </c>
      <c r="N810" s="116">
        <v>441.45</v>
      </c>
      <c r="O810" s="116">
        <v>431.5</v>
      </c>
      <c r="P810" s="116">
        <v>431.5</v>
      </c>
      <c r="Q810" s="116">
        <v>439.3</v>
      </c>
      <c r="R810">
        <v>1255931</v>
      </c>
    </row>
    <row r="811" spans="1:18" x14ac:dyDescent="0.25">
      <c r="A811" s="170">
        <v>43196</v>
      </c>
      <c r="B811" s="116">
        <v>454.8</v>
      </c>
      <c r="C811" s="116">
        <v>451.15</v>
      </c>
      <c r="D811" s="116">
        <v>437.85</v>
      </c>
      <c r="E811" s="116">
        <v>440</v>
      </c>
      <c r="F811" s="116">
        <v>451.15</v>
      </c>
      <c r="G811">
        <v>147219</v>
      </c>
      <c r="H811" s="116"/>
      <c r="I811" s="116"/>
      <c r="L811" s="170">
        <v>43196</v>
      </c>
      <c r="M811" s="116">
        <v>453.5</v>
      </c>
      <c r="N811" s="116">
        <v>455.95</v>
      </c>
      <c r="O811" s="116">
        <v>437.4</v>
      </c>
      <c r="P811" s="116">
        <v>439.5</v>
      </c>
      <c r="Q811" s="116">
        <v>453.5</v>
      </c>
      <c r="R811">
        <v>3222847</v>
      </c>
    </row>
    <row r="812" spans="1:18" x14ac:dyDescent="0.25">
      <c r="A812" s="170">
        <v>43199</v>
      </c>
      <c r="B812" s="116">
        <v>458.5</v>
      </c>
      <c r="C812" s="116">
        <v>451.75</v>
      </c>
      <c r="D812" s="116">
        <v>450.15</v>
      </c>
      <c r="E812" s="116">
        <v>451.8</v>
      </c>
      <c r="F812" s="116">
        <v>451.75</v>
      </c>
      <c r="G812">
        <v>64663</v>
      </c>
      <c r="H812" s="116"/>
      <c r="I812" s="116"/>
      <c r="L812" s="170">
        <v>43199</v>
      </c>
      <c r="M812" s="116">
        <v>452.1</v>
      </c>
      <c r="N812" s="116">
        <v>458.4</v>
      </c>
      <c r="O812" s="116">
        <v>450.5</v>
      </c>
      <c r="P812" s="116">
        <v>450.5</v>
      </c>
      <c r="Q812" s="116">
        <v>452.1</v>
      </c>
      <c r="R812">
        <v>1235904</v>
      </c>
    </row>
    <row r="813" spans="1:18" x14ac:dyDescent="0.25">
      <c r="A813" s="170">
        <v>43200</v>
      </c>
      <c r="B813" s="116">
        <v>457</v>
      </c>
      <c r="C813" s="116">
        <v>451.45</v>
      </c>
      <c r="D813" s="116">
        <v>446.3</v>
      </c>
      <c r="E813" s="116">
        <v>451.1</v>
      </c>
      <c r="F813" s="116">
        <v>451.45</v>
      </c>
      <c r="G813">
        <v>39630</v>
      </c>
      <c r="H813" s="116"/>
      <c r="I813" s="116"/>
      <c r="L813" s="170">
        <v>43200</v>
      </c>
      <c r="M813" s="116">
        <v>451.45</v>
      </c>
      <c r="N813" s="116">
        <v>457.5</v>
      </c>
      <c r="O813" s="116">
        <v>446</v>
      </c>
      <c r="P813" s="116">
        <v>452.1</v>
      </c>
      <c r="Q813" s="116">
        <v>451.45</v>
      </c>
      <c r="R813">
        <v>651379</v>
      </c>
    </row>
    <row r="814" spans="1:18" x14ac:dyDescent="0.25">
      <c r="A814" s="170">
        <v>43201</v>
      </c>
      <c r="B814" s="116">
        <v>452.3</v>
      </c>
      <c r="C814" s="116">
        <v>443.05</v>
      </c>
      <c r="D814" s="116">
        <v>440.4</v>
      </c>
      <c r="E814" s="116">
        <v>451</v>
      </c>
      <c r="F814" s="116">
        <v>443.05</v>
      </c>
      <c r="G814">
        <v>48030</v>
      </c>
      <c r="H814" s="116"/>
      <c r="I814" s="116"/>
      <c r="L814" s="170">
        <v>43201</v>
      </c>
      <c r="M814" s="116">
        <v>442.95</v>
      </c>
      <c r="N814" s="116">
        <v>455</v>
      </c>
      <c r="O814" s="116">
        <v>440.5</v>
      </c>
      <c r="P814" s="116">
        <v>455</v>
      </c>
      <c r="Q814" s="116">
        <v>442.95</v>
      </c>
      <c r="R814">
        <v>717175</v>
      </c>
    </row>
    <row r="815" spans="1:18" x14ac:dyDescent="0.25">
      <c r="A815" s="170">
        <v>43202</v>
      </c>
      <c r="B815" s="116">
        <v>447.25</v>
      </c>
      <c r="C815" s="116">
        <v>443.75</v>
      </c>
      <c r="D815" s="116">
        <v>438.45</v>
      </c>
      <c r="E815" s="116">
        <v>443.3</v>
      </c>
      <c r="F815" s="116">
        <v>443.75</v>
      </c>
      <c r="G815">
        <v>39362</v>
      </c>
      <c r="H815" s="116"/>
      <c r="I815" s="116"/>
      <c r="L815" s="170">
        <v>43202</v>
      </c>
      <c r="M815" s="116">
        <v>443.85</v>
      </c>
      <c r="N815" s="116">
        <v>446.9</v>
      </c>
      <c r="O815" s="116">
        <v>438.55</v>
      </c>
      <c r="P815" s="116">
        <v>442</v>
      </c>
      <c r="Q815" s="116">
        <v>443.85</v>
      </c>
      <c r="R815">
        <v>535230</v>
      </c>
    </row>
    <row r="816" spans="1:18" x14ac:dyDescent="0.25">
      <c r="A816" s="170">
        <v>43203</v>
      </c>
      <c r="B816" s="116">
        <v>452.15</v>
      </c>
      <c r="C816" s="116">
        <v>444.25</v>
      </c>
      <c r="D816" s="116">
        <v>441.4</v>
      </c>
      <c r="E816" s="116">
        <v>443.9</v>
      </c>
      <c r="F816" s="116">
        <v>444.25</v>
      </c>
      <c r="G816">
        <v>48938</v>
      </c>
      <c r="H816" s="116"/>
      <c r="I816" s="116"/>
      <c r="L816" s="170">
        <v>43203</v>
      </c>
      <c r="M816" s="116">
        <v>443.95</v>
      </c>
      <c r="N816" s="116">
        <v>452.25</v>
      </c>
      <c r="O816" s="116">
        <v>441</v>
      </c>
      <c r="P816" s="116">
        <v>442</v>
      </c>
      <c r="Q816" s="116">
        <v>443.95</v>
      </c>
      <c r="R816">
        <v>701298</v>
      </c>
    </row>
    <row r="817" spans="1:18" x14ac:dyDescent="0.25">
      <c r="A817" s="170">
        <v>43206</v>
      </c>
      <c r="B817" s="116">
        <v>450</v>
      </c>
      <c r="C817" s="116">
        <v>446.35</v>
      </c>
      <c r="D817" s="116">
        <v>439.45</v>
      </c>
      <c r="E817" s="116">
        <v>440</v>
      </c>
      <c r="F817" s="116">
        <v>446.35</v>
      </c>
      <c r="G817">
        <v>36822</v>
      </c>
      <c r="H817" s="116"/>
      <c r="I817" s="116"/>
      <c r="L817" s="170">
        <v>43206</v>
      </c>
      <c r="M817" s="116">
        <v>446.9</v>
      </c>
      <c r="N817" s="116">
        <v>450.9</v>
      </c>
      <c r="O817" s="116">
        <v>438.5</v>
      </c>
      <c r="P817" s="116">
        <v>439</v>
      </c>
      <c r="Q817" s="116">
        <v>446.9</v>
      </c>
      <c r="R817">
        <v>603858</v>
      </c>
    </row>
    <row r="818" spans="1:18" x14ac:dyDescent="0.25">
      <c r="A818" s="170">
        <v>43207</v>
      </c>
      <c r="B818" s="116">
        <v>452</v>
      </c>
      <c r="C818" s="116">
        <v>444.55</v>
      </c>
      <c r="D818" s="116">
        <v>443</v>
      </c>
      <c r="E818" s="116">
        <v>443.1</v>
      </c>
      <c r="F818" s="116">
        <v>444.55</v>
      </c>
      <c r="G818">
        <v>45435</v>
      </c>
      <c r="H818" s="116"/>
      <c r="I818" s="116"/>
      <c r="L818" s="170">
        <v>43207</v>
      </c>
      <c r="M818" s="116">
        <v>444.8</v>
      </c>
      <c r="N818" s="116">
        <v>452.2</v>
      </c>
      <c r="O818" s="116">
        <v>442.2</v>
      </c>
      <c r="P818" s="116">
        <v>448.05</v>
      </c>
      <c r="Q818" s="116">
        <v>444.8</v>
      </c>
      <c r="R818">
        <v>473021</v>
      </c>
    </row>
    <row r="819" spans="1:18" x14ac:dyDescent="0.25">
      <c r="A819" s="170">
        <v>43208</v>
      </c>
      <c r="B819" s="116">
        <v>447.6</v>
      </c>
      <c r="C819" s="116">
        <v>441.8</v>
      </c>
      <c r="D819" s="116">
        <v>440</v>
      </c>
      <c r="E819" s="116">
        <v>440</v>
      </c>
      <c r="F819" s="116">
        <v>441.8</v>
      </c>
      <c r="G819">
        <v>28583</v>
      </c>
      <c r="H819" s="116"/>
      <c r="I819" s="116"/>
      <c r="L819" s="170">
        <v>43208</v>
      </c>
      <c r="M819" s="116">
        <v>441.55</v>
      </c>
      <c r="N819" s="116">
        <v>447.9</v>
      </c>
      <c r="O819" s="116">
        <v>440</v>
      </c>
      <c r="P819" s="116">
        <v>445.3</v>
      </c>
      <c r="Q819" s="116">
        <v>441.55</v>
      </c>
      <c r="R819">
        <v>336350</v>
      </c>
    </row>
    <row r="820" spans="1:18" x14ac:dyDescent="0.25">
      <c r="A820" s="170">
        <v>43209</v>
      </c>
      <c r="B820" s="116">
        <v>443.05</v>
      </c>
      <c r="C820" s="116">
        <v>441.1</v>
      </c>
      <c r="D820" s="116">
        <v>438.75</v>
      </c>
      <c r="E820" s="116">
        <v>440.25</v>
      </c>
      <c r="F820" s="116">
        <v>441.1</v>
      </c>
      <c r="G820">
        <v>17406</v>
      </c>
      <c r="H820" s="116"/>
      <c r="I820" s="116"/>
      <c r="L820" s="170">
        <v>43209</v>
      </c>
      <c r="M820" s="116">
        <v>441.2</v>
      </c>
      <c r="N820" s="116">
        <v>443.7</v>
      </c>
      <c r="O820" s="116">
        <v>438.15</v>
      </c>
      <c r="P820" s="116">
        <v>441.45</v>
      </c>
      <c r="Q820" s="116">
        <v>441.2</v>
      </c>
      <c r="R820">
        <v>350916</v>
      </c>
    </row>
    <row r="821" spans="1:18" x14ac:dyDescent="0.25">
      <c r="A821" s="170">
        <v>43210</v>
      </c>
      <c r="B821" s="116">
        <v>442.05</v>
      </c>
      <c r="C821" s="116">
        <v>434.2</v>
      </c>
      <c r="D821" s="116">
        <v>430.45</v>
      </c>
      <c r="E821" s="116">
        <v>439</v>
      </c>
      <c r="F821" s="116">
        <v>434.2</v>
      </c>
      <c r="G821">
        <v>55236</v>
      </c>
      <c r="H821" s="116"/>
      <c r="I821" s="116"/>
      <c r="L821" s="170">
        <v>43210</v>
      </c>
      <c r="M821" s="116">
        <v>433.65</v>
      </c>
      <c r="N821" s="116">
        <v>443</v>
      </c>
      <c r="O821" s="116">
        <v>430.3</v>
      </c>
      <c r="P821" s="116">
        <v>439</v>
      </c>
      <c r="Q821" s="116">
        <v>433.65</v>
      </c>
      <c r="R821">
        <v>746942</v>
      </c>
    </row>
    <row r="822" spans="1:18" x14ac:dyDescent="0.25">
      <c r="A822" s="170">
        <v>43213</v>
      </c>
      <c r="B822" s="116">
        <v>438.5</v>
      </c>
      <c r="C822" s="116">
        <v>434.4</v>
      </c>
      <c r="D822" s="116">
        <v>431.45</v>
      </c>
      <c r="E822" s="116">
        <v>434</v>
      </c>
      <c r="F822" s="116">
        <v>434.4</v>
      </c>
      <c r="G822">
        <v>27051</v>
      </c>
      <c r="H822" s="116"/>
      <c r="I822" s="116"/>
      <c r="L822" s="170">
        <v>43213</v>
      </c>
      <c r="M822" s="116">
        <v>435.4</v>
      </c>
      <c r="N822" s="116">
        <v>439</v>
      </c>
      <c r="O822" s="116">
        <v>431.1</v>
      </c>
      <c r="P822" s="116">
        <v>437.8</v>
      </c>
      <c r="Q822" s="116">
        <v>435.4</v>
      </c>
      <c r="R822">
        <v>485132</v>
      </c>
    </row>
    <row r="823" spans="1:18" x14ac:dyDescent="0.25">
      <c r="A823" s="170">
        <v>43214</v>
      </c>
      <c r="B823" s="116">
        <v>444</v>
      </c>
      <c r="C823" s="116">
        <v>438.55</v>
      </c>
      <c r="D823" s="116">
        <v>431</v>
      </c>
      <c r="E823" s="116">
        <v>431</v>
      </c>
      <c r="F823" s="116">
        <v>438.55</v>
      </c>
      <c r="G823">
        <v>31010</v>
      </c>
      <c r="H823" s="116"/>
      <c r="I823" s="116"/>
      <c r="L823" s="170">
        <v>43214</v>
      </c>
      <c r="M823" s="116">
        <v>437.9</v>
      </c>
      <c r="N823" s="116">
        <v>444</v>
      </c>
      <c r="O823" s="116">
        <v>432</v>
      </c>
      <c r="P823" s="116">
        <v>435</v>
      </c>
      <c r="Q823" s="116">
        <v>437.9</v>
      </c>
      <c r="R823">
        <v>649953</v>
      </c>
    </row>
    <row r="824" spans="1:18" x14ac:dyDescent="0.25">
      <c r="A824" s="170">
        <v>43215</v>
      </c>
      <c r="B824" s="116">
        <v>446.9</v>
      </c>
      <c r="C824" s="116">
        <v>440.7</v>
      </c>
      <c r="D824" s="116">
        <v>433</v>
      </c>
      <c r="E824" s="116">
        <v>435.4</v>
      </c>
      <c r="F824" s="116">
        <v>440.7</v>
      </c>
      <c r="G824">
        <v>51493</v>
      </c>
      <c r="H824" s="116"/>
      <c r="I824" s="116"/>
      <c r="L824" s="170">
        <v>43215</v>
      </c>
      <c r="M824" s="116">
        <v>440.3</v>
      </c>
      <c r="N824" s="116">
        <v>447.3</v>
      </c>
      <c r="O824" s="116">
        <v>432.5</v>
      </c>
      <c r="P824" s="116">
        <v>436.1</v>
      </c>
      <c r="Q824" s="116">
        <v>440.3</v>
      </c>
      <c r="R824">
        <v>1157350</v>
      </c>
    </row>
    <row r="825" spans="1:18" x14ac:dyDescent="0.25">
      <c r="A825" s="170">
        <v>43216</v>
      </c>
      <c r="B825" s="116">
        <v>445.05</v>
      </c>
      <c r="C825" s="116">
        <v>437.3</v>
      </c>
      <c r="D825" s="116">
        <v>436</v>
      </c>
      <c r="E825" s="116">
        <v>441</v>
      </c>
      <c r="F825" s="116">
        <v>437.3</v>
      </c>
      <c r="G825">
        <v>28399</v>
      </c>
      <c r="H825" s="116"/>
      <c r="I825" s="116"/>
      <c r="L825" s="170">
        <v>43216</v>
      </c>
      <c r="M825" s="116">
        <v>437.55</v>
      </c>
      <c r="N825" s="116">
        <v>444.95</v>
      </c>
      <c r="O825" s="116">
        <v>435.3</v>
      </c>
      <c r="P825" s="116">
        <v>441</v>
      </c>
      <c r="Q825" s="116">
        <v>437.55</v>
      </c>
      <c r="R825">
        <v>885298</v>
      </c>
    </row>
    <row r="826" spans="1:18" x14ac:dyDescent="0.25">
      <c r="A826" s="170">
        <v>43217</v>
      </c>
      <c r="B826" s="116">
        <v>451.6</v>
      </c>
      <c r="C826" s="116">
        <v>444.8</v>
      </c>
      <c r="D826" s="116">
        <v>437.75</v>
      </c>
      <c r="E826" s="116">
        <v>445</v>
      </c>
      <c r="F826" s="116">
        <v>444.8</v>
      </c>
      <c r="G826">
        <v>63001</v>
      </c>
      <c r="H826" s="116"/>
      <c r="I826" s="116"/>
      <c r="L826" s="170">
        <v>43217</v>
      </c>
      <c r="M826" s="116">
        <v>444.55</v>
      </c>
      <c r="N826" s="116">
        <v>451.55</v>
      </c>
      <c r="O826" s="116">
        <v>439.2</v>
      </c>
      <c r="P826" s="116">
        <v>440</v>
      </c>
      <c r="Q826" s="116">
        <v>444.55</v>
      </c>
      <c r="R826">
        <v>962488</v>
      </c>
    </row>
    <row r="827" spans="1:18" x14ac:dyDescent="0.25">
      <c r="A827" s="170">
        <v>43220</v>
      </c>
      <c r="B827" s="116">
        <v>440</v>
      </c>
      <c r="C827" s="116">
        <v>421.45</v>
      </c>
      <c r="D827" s="116">
        <v>415.05</v>
      </c>
      <c r="E827" s="116">
        <v>437.3</v>
      </c>
      <c r="F827" s="116">
        <v>421.45</v>
      </c>
      <c r="G827">
        <v>185149</v>
      </c>
      <c r="H827" s="116"/>
      <c r="I827" s="116"/>
      <c r="L827" s="170">
        <v>43220</v>
      </c>
      <c r="M827" s="116">
        <v>421.5</v>
      </c>
      <c r="N827" s="116">
        <v>439.5</v>
      </c>
      <c r="O827" s="116">
        <v>414.65</v>
      </c>
      <c r="P827" s="116">
        <v>439.5</v>
      </c>
      <c r="Q827" s="116">
        <v>421.5</v>
      </c>
      <c r="R827">
        <v>2773627</v>
      </c>
    </row>
    <row r="828" spans="1:18" x14ac:dyDescent="0.25">
      <c r="A828" s="170">
        <v>43222</v>
      </c>
      <c r="B828" s="116">
        <v>428.75</v>
      </c>
      <c r="C828" s="116">
        <v>417.15</v>
      </c>
      <c r="D828" s="116">
        <v>414.1</v>
      </c>
      <c r="E828" s="116">
        <v>421.4</v>
      </c>
      <c r="F828" s="116">
        <v>417.15</v>
      </c>
      <c r="G828">
        <v>61936</v>
      </c>
      <c r="H828" s="116"/>
      <c r="I828" s="116"/>
      <c r="L828" s="170">
        <v>43222</v>
      </c>
      <c r="M828" s="116">
        <v>416.35</v>
      </c>
      <c r="N828" s="116">
        <v>428.9</v>
      </c>
      <c r="O828" s="116">
        <v>413.55</v>
      </c>
      <c r="P828" s="116">
        <v>422</v>
      </c>
      <c r="Q828" s="116">
        <v>416.35</v>
      </c>
      <c r="R828">
        <v>1447389</v>
      </c>
    </row>
    <row r="829" spans="1:18" x14ac:dyDescent="0.25">
      <c r="A829" s="170">
        <v>43223</v>
      </c>
      <c r="B829" s="116">
        <v>416.95</v>
      </c>
      <c r="C829" s="116">
        <v>406.65</v>
      </c>
      <c r="D829" s="116">
        <v>405.05</v>
      </c>
      <c r="E829" s="116">
        <v>416.95</v>
      </c>
      <c r="F829" s="116">
        <v>406.65</v>
      </c>
      <c r="G829">
        <v>49778</v>
      </c>
      <c r="H829" s="116"/>
      <c r="I829" s="116"/>
      <c r="L829" s="170">
        <v>43223</v>
      </c>
      <c r="M829" s="116">
        <v>406.25</v>
      </c>
      <c r="N829" s="116">
        <v>416.6</v>
      </c>
      <c r="O829" s="116">
        <v>405</v>
      </c>
      <c r="P829" s="116">
        <v>415.7</v>
      </c>
      <c r="Q829" s="116">
        <v>406.25</v>
      </c>
      <c r="R829">
        <v>949351</v>
      </c>
    </row>
    <row r="830" spans="1:18" x14ac:dyDescent="0.25">
      <c r="A830" s="170">
        <v>43224</v>
      </c>
      <c r="B830" s="116">
        <v>414.55</v>
      </c>
      <c r="C830" s="116">
        <v>408.45</v>
      </c>
      <c r="D830" s="116">
        <v>406.45</v>
      </c>
      <c r="E830" s="116">
        <v>406.65</v>
      </c>
      <c r="F830" s="116">
        <v>408.45</v>
      </c>
      <c r="G830">
        <v>32253</v>
      </c>
      <c r="H830" s="116"/>
      <c r="I830" s="116"/>
      <c r="L830" s="170">
        <v>43224</v>
      </c>
      <c r="M830" s="116">
        <v>408.1</v>
      </c>
      <c r="N830" s="116">
        <v>414.9</v>
      </c>
      <c r="O830" s="116">
        <v>406.3</v>
      </c>
      <c r="P830" s="116">
        <v>406.8</v>
      </c>
      <c r="Q830" s="116">
        <v>408.1</v>
      </c>
      <c r="R830">
        <v>656511</v>
      </c>
    </row>
    <row r="831" spans="1:18" x14ac:dyDescent="0.25">
      <c r="A831" s="170">
        <v>43227</v>
      </c>
      <c r="B831" s="116">
        <v>411.95</v>
      </c>
      <c r="C831" s="116">
        <v>403.85</v>
      </c>
      <c r="D831" s="116">
        <v>401</v>
      </c>
      <c r="E831" s="116">
        <v>410.5</v>
      </c>
      <c r="F831" s="116">
        <v>403.85</v>
      </c>
      <c r="G831">
        <v>44984</v>
      </c>
      <c r="H831" s="116"/>
      <c r="I831" s="116"/>
      <c r="L831" s="170">
        <v>43227</v>
      </c>
      <c r="M831" s="116">
        <v>404.5</v>
      </c>
      <c r="N831" s="116">
        <v>413.2</v>
      </c>
      <c r="O831" s="116">
        <v>400.5</v>
      </c>
      <c r="P831" s="116">
        <v>410</v>
      </c>
      <c r="Q831" s="116">
        <v>404.5</v>
      </c>
      <c r="R831">
        <v>965880</v>
      </c>
    </row>
    <row r="832" spans="1:18" x14ac:dyDescent="0.25">
      <c r="A832" s="170">
        <v>43228</v>
      </c>
      <c r="B832" s="116">
        <v>410.1</v>
      </c>
      <c r="C832" s="116">
        <v>404.05</v>
      </c>
      <c r="D832" s="116">
        <v>402.5</v>
      </c>
      <c r="E832" s="116">
        <v>409</v>
      </c>
      <c r="F832" s="116">
        <v>404.05</v>
      </c>
      <c r="G832">
        <v>52105</v>
      </c>
      <c r="H832" s="116"/>
      <c r="I832" s="116"/>
      <c r="L832" s="170">
        <v>43228</v>
      </c>
      <c r="M832" s="116">
        <v>404.3</v>
      </c>
      <c r="N832" s="116">
        <v>410.45</v>
      </c>
      <c r="O832" s="116">
        <v>402.4</v>
      </c>
      <c r="P832" s="116">
        <v>406</v>
      </c>
      <c r="Q832" s="116">
        <v>404.3</v>
      </c>
      <c r="R832">
        <v>616999</v>
      </c>
    </row>
    <row r="833" spans="1:18" x14ac:dyDescent="0.25">
      <c r="A833" s="170">
        <v>43229</v>
      </c>
      <c r="B833" s="116">
        <v>408.4</v>
      </c>
      <c r="C833" s="116">
        <v>403.9</v>
      </c>
      <c r="D833" s="116">
        <v>402.9</v>
      </c>
      <c r="E833" s="116">
        <v>404</v>
      </c>
      <c r="F833" s="116">
        <v>403.9</v>
      </c>
      <c r="G833">
        <v>42209</v>
      </c>
      <c r="H833" s="116"/>
      <c r="I833" s="116"/>
      <c r="L833" s="170">
        <v>43229</v>
      </c>
      <c r="M833" s="116">
        <v>404</v>
      </c>
      <c r="N833" s="116">
        <v>407.9</v>
      </c>
      <c r="O833" s="116">
        <v>402.15</v>
      </c>
      <c r="P833" s="116">
        <v>404.05</v>
      </c>
      <c r="Q833" s="116">
        <v>404</v>
      </c>
      <c r="R833">
        <v>565294</v>
      </c>
    </row>
    <row r="834" spans="1:18" x14ac:dyDescent="0.25">
      <c r="A834" s="170">
        <v>43230</v>
      </c>
      <c r="B834" s="116">
        <v>402.55</v>
      </c>
      <c r="C834" s="116">
        <v>389.55</v>
      </c>
      <c r="D834" s="116">
        <v>388.55</v>
      </c>
      <c r="E834" s="116">
        <v>401</v>
      </c>
      <c r="F834" s="116">
        <v>389.55</v>
      </c>
      <c r="G834">
        <v>92886</v>
      </c>
      <c r="H834" s="116"/>
      <c r="I834" s="116"/>
      <c r="L834" s="170">
        <v>43230</v>
      </c>
      <c r="M834" s="116">
        <v>389.35</v>
      </c>
      <c r="N834" s="116">
        <v>403.05</v>
      </c>
      <c r="O834" s="116">
        <v>388</v>
      </c>
      <c r="P834" s="116">
        <v>403.05</v>
      </c>
      <c r="Q834" s="116">
        <v>389.35</v>
      </c>
      <c r="R834">
        <v>1163057</v>
      </c>
    </row>
    <row r="835" spans="1:18" x14ac:dyDescent="0.25">
      <c r="A835" s="170">
        <v>43231</v>
      </c>
      <c r="B835" s="116">
        <v>390</v>
      </c>
      <c r="C835" s="116">
        <v>386.25</v>
      </c>
      <c r="D835" s="116">
        <v>380</v>
      </c>
      <c r="E835" s="116">
        <v>389</v>
      </c>
      <c r="F835" s="116">
        <v>386.25</v>
      </c>
      <c r="G835">
        <v>48345</v>
      </c>
      <c r="H835" s="116"/>
      <c r="I835" s="116"/>
      <c r="L835" s="170">
        <v>43231</v>
      </c>
      <c r="M835" s="116">
        <v>386.35</v>
      </c>
      <c r="N835" s="116">
        <v>392.6</v>
      </c>
      <c r="O835" s="116">
        <v>380.15</v>
      </c>
      <c r="P835" s="116">
        <v>391</v>
      </c>
      <c r="Q835" s="116">
        <v>386.35</v>
      </c>
      <c r="R835">
        <v>633143</v>
      </c>
    </row>
    <row r="836" spans="1:18" x14ac:dyDescent="0.25">
      <c r="A836" s="170">
        <v>43234</v>
      </c>
      <c r="B836" s="116">
        <v>397.7</v>
      </c>
      <c r="C836" s="116">
        <v>387.95</v>
      </c>
      <c r="D836" s="116">
        <v>384.8</v>
      </c>
      <c r="E836" s="116">
        <v>384.9</v>
      </c>
      <c r="F836" s="116">
        <v>387.95</v>
      </c>
      <c r="G836">
        <v>54543</v>
      </c>
      <c r="H836" s="116"/>
      <c r="I836" s="116"/>
      <c r="L836" s="170">
        <v>43234</v>
      </c>
      <c r="M836" s="116">
        <v>387.15</v>
      </c>
      <c r="N836" s="116">
        <v>397.7</v>
      </c>
      <c r="O836" s="116">
        <v>385.05</v>
      </c>
      <c r="P836" s="116">
        <v>387.8</v>
      </c>
      <c r="Q836" s="116">
        <v>387.15</v>
      </c>
      <c r="R836">
        <v>621045</v>
      </c>
    </row>
    <row r="837" spans="1:18" x14ac:dyDescent="0.25">
      <c r="A837" s="170">
        <v>43235</v>
      </c>
      <c r="B837" s="116">
        <v>392.1</v>
      </c>
      <c r="C837" s="116">
        <v>379.65</v>
      </c>
      <c r="D837" s="116">
        <v>377.05</v>
      </c>
      <c r="E837" s="116">
        <v>387</v>
      </c>
      <c r="F837" s="116">
        <v>379.65</v>
      </c>
      <c r="G837">
        <v>31621</v>
      </c>
      <c r="H837" s="116"/>
      <c r="I837" s="116"/>
      <c r="L837" s="170">
        <v>43235</v>
      </c>
      <c r="M837" s="116">
        <v>379.35</v>
      </c>
      <c r="N837" s="116">
        <v>392.5</v>
      </c>
      <c r="O837" s="116">
        <v>376.65</v>
      </c>
      <c r="P837" s="116">
        <v>387</v>
      </c>
      <c r="Q837" s="116">
        <v>379.35</v>
      </c>
      <c r="R837">
        <v>556148</v>
      </c>
    </row>
    <row r="838" spans="1:18" x14ac:dyDescent="0.25">
      <c r="A838" s="170">
        <v>43236</v>
      </c>
      <c r="B838" s="116">
        <v>379.65</v>
      </c>
      <c r="C838" s="116">
        <v>373.1</v>
      </c>
      <c r="D838" s="116">
        <v>369</v>
      </c>
      <c r="E838" s="116">
        <v>371.45</v>
      </c>
      <c r="F838" s="116">
        <v>373.1</v>
      </c>
      <c r="G838">
        <v>61589</v>
      </c>
      <c r="H838" s="116"/>
      <c r="I838" s="116"/>
      <c r="L838" s="170">
        <v>43236</v>
      </c>
      <c r="M838" s="116">
        <v>372.55</v>
      </c>
      <c r="N838" s="116">
        <v>379.85</v>
      </c>
      <c r="O838" s="116">
        <v>370.1</v>
      </c>
      <c r="P838" s="116">
        <v>372</v>
      </c>
      <c r="Q838" s="116">
        <v>372.55</v>
      </c>
      <c r="R838">
        <v>718292</v>
      </c>
    </row>
    <row r="839" spans="1:18" x14ac:dyDescent="0.25">
      <c r="A839" s="170">
        <v>43237</v>
      </c>
      <c r="B839" s="116">
        <v>382.75</v>
      </c>
      <c r="C839" s="116">
        <v>380.2</v>
      </c>
      <c r="D839" s="116">
        <v>371.6</v>
      </c>
      <c r="E839" s="116">
        <v>374.3</v>
      </c>
      <c r="F839" s="116">
        <v>380.2</v>
      </c>
      <c r="G839">
        <v>30392</v>
      </c>
      <c r="H839" s="116"/>
      <c r="I839" s="116"/>
      <c r="L839" s="170">
        <v>43237</v>
      </c>
      <c r="M839" s="116">
        <v>380</v>
      </c>
      <c r="N839" s="116">
        <v>383.05</v>
      </c>
      <c r="O839" s="116">
        <v>371.2</v>
      </c>
      <c r="P839" s="116">
        <v>372.75</v>
      </c>
      <c r="Q839" s="116">
        <v>380</v>
      </c>
      <c r="R839">
        <v>589449</v>
      </c>
    </row>
    <row r="840" spans="1:18" x14ac:dyDescent="0.25">
      <c r="A840" s="170">
        <v>43238</v>
      </c>
      <c r="B840" s="116">
        <v>381.7</v>
      </c>
      <c r="C840" s="116">
        <v>369.4</v>
      </c>
      <c r="D840" s="116">
        <v>367.65</v>
      </c>
      <c r="E840" s="116">
        <v>381.05</v>
      </c>
      <c r="F840" s="116">
        <v>369.4</v>
      </c>
      <c r="G840">
        <v>27552</v>
      </c>
      <c r="H840" s="116"/>
      <c r="I840" s="116"/>
      <c r="L840" s="170">
        <v>43238</v>
      </c>
      <c r="M840" s="116">
        <v>368.5</v>
      </c>
      <c r="N840" s="116">
        <v>382.55</v>
      </c>
      <c r="O840" s="116">
        <v>367.6</v>
      </c>
      <c r="P840" s="116">
        <v>380.55</v>
      </c>
      <c r="Q840" s="116">
        <v>368.5</v>
      </c>
      <c r="R840">
        <v>433966</v>
      </c>
    </row>
    <row r="841" spans="1:18" x14ac:dyDescent="0.25">
      <c r="A841" s="170">
        <v>43241</v>
      </c>
      <c r="B841" s="116">
        <v>368.8</v>
      </c>
      <c r="C841" s="116">
        <v>351.5</v>
      </c>
      <c r="D841" s="116">
        <v>348.5</v>
      </c>
      <c r="E841" s="116">
        <v>368.8</v>
      </c>
      <c r="F841" s="116">
        <v>351.5</v>
      </c>
      <c r="G841">
        <v>74682</v>
      </c>
      <c r="H841" s="116"/>
      <c r="I841" s="116"/>
      <c r="L841" s="170">
        <v>43241</v>
      </c>
      <c r="M841" s="116">
        <v>352.05</v>
      </c>
      <c r="N841" s="116">
        <v>365</v>
      </c>
      <c r="O841" s="116">
        <v>348.05</v>
      </c>
      <c r="P841" s="116">
        <v>365</v>
      </c>
      <c r="Q841" s="116">
        <v>352.05</v>
      </c>
      <c r="R841">
        <v>1105112</v>
      </c>
    </row>
    <row r="842" spans="1:18" x14ac:dyDescent="0.25">
      <c r="A842" s="170">
        <v>43242</v>
      </c>
      <c r="B842" s="116">
        <v>364.1</v>
      </c>
      <c r="C842" s="116">
        <v>358.45</v>
      </c>
      <c r="D842" s="116">
        <v>345.75</v>
      </c>
      <c r="E842" s="116">
        <v>348</v>
      </c>
      <c r="F842" s="116">
        <v>358.45</v>
      </c>
      <c r="G842">
        <v>39011</v>
      </c>
      <c r="H842" s="116"/>
      <c r="I842" s="116"/>
      <c r="L842" s="170">
        <v>43242</v>
      </c>
      <c r="M842" s="116">
        <v>359.15</v>
      </c>
      <c r="N842" s="116">
        <v>364</v>
      </c>
      <c r="O842" s="116">
        <v>345.55</v>
      </c>
      <c r="P842" s="116">
        <v>350</v>
      </c>
      <c r="Q842" s="116">
        <v>359.15</v>
      </c>
      <c r="R842">
        <v>643293</v>
      </c>
    </row>
    <row r="843" spans="1:18" x14ac:dyDescent="0.25">
      <c r="A843" s="170">
        <v>43243</v>
      </c>
      <c r="B843" s="116">
        <v>364.35</v>
      </c>
      <c r="C843" s="116">
        <v>356.35</v>
      </c>
      <c r="D843" s="116">
        <v>351.95</v>
      </c>
      <c r="E843" s="116">
        <v>358.6</v>
      </c>
      <c r="F843" s="116">
        <v>356.35</v>
      </c>
      <c r="G843">
        <v>28893</v>
      </c>
      <c r="H843" s="116"/>
      <c r="I843" s="116"/>
      <c r="L843" s="170">
        <v>43243</v>
      </c>
      <c r="M843" s="116">
        <v>356.6</v>
      </c>
      <c r="N843" s="116">
        <v>364.75</v>
      </c>
      <c r="O843" s="116">
        <v>354</v>
      </c>
      <c r="P843" s="116">
        <v>357.75</v>
      </c>
      <c r="Q843" s="116">
        <v>356.6</v>
      </c>
      <c r="R843">
        <v>557675</v>
      </c>
    </row>
    <row r="844" spans="1:18" x14ac:dyDescent="0.25">
      <c r="A844" s="170">
        <v>43244</v>
      </c>
      <c r="B844" s="116">
        <v>361.4</v>
      </c>
      <c r="C844" s="116">
        <v>353.35</v>
      </c>
      <c r="D844" s="116">
        <v>349.6</v>
      </c>
      <c r="E844" s="116">
        <v>353</v>
      </c>
      <c r="F844" s="116">
        <v>353.35</v>
      </c>
      <c r="G844">
        <v>27025</v>
      </c>
      <c r="H844" s="116"/>
      <c r="I844" s="116"/>
      <c r="L844" s="170">
        <v>43244</v>
      </c>
      <c r="M844" s="116">
        <v>353.75</v>
      </c>
      <c r="N844" s="116">
        <v>361.4</v>
      </c>
      <c r="O844" s="116">
        <v>348.95</v>
      </c>
      <c r="P844" s="116">
        <v>358.5</v>
      </c>
      <c r="Q844" s="116">
        <v>353.75</v>
      </c>
      <c r="R844">
        <v>634740</v>
      </c>
    </row>
    <row r="845" spans="1:18" x14ac:dyDescent="0.25">
      <c r="A845" s="170">
        <v>43245</v>
      </c>
      <c r="B845" s="116">
        <v>363.8</v>
      </c>
      <c r="C845" s="116">
        <v>361.35</v>
      </c>
      <c r="D845" s="116">
        <v>352</v>
      </c>
      <c r="E845" s="116">
        <v>352</v>
      </c>
      <c r="F845" s="116">
        <v>361.35</v>
      </c>
      <c r="G845">
        <v>28354</v>
      </c>
      <c r="H845" s="116"/>
      <c r="I845" s="116"/>
      <c r="L845" s="170">
        <v>43245</v>
      </c>
      <c r="M845" s="116">
        <v>360.95</v>
      </c>
      <c r="N845" s="116">
        <v>364</v>
      </c>
      <c r="O845" s="116">
        <v>353.95</v>
      </c>
      <c r="P845" s="116">
        <v>354.95</v>
      </c>
      <c r="Q845" s="116">
        <v>360.95</v>
      </c>
      <c r="R845">
        <v>622830</v>
      </c>
    </row>
    <row r="846" spans="1:18" x14ac:dyDescent="0.25">
      <c r="A846" s="170">
        <v>43248</v>
      </c>
      <c r="B846" s="116">
        <v>406.75</v>
      </c>
      <c r="C846" s="116">
        <v>400.2</v>
      </c>
      <c r="D846" s="116">
        <v>362</v>
      </c>
      <c r="E846" s="116">
        <v>362</v>
      </c>
      <c r="F846" s="116">
        <v>400.2</v>
      </c>
      <c r="G846">
        <v>139236</v>
      </c>
      <c r="H846" s="116"/>
      <c r="I846" s="116"/>
      <c r="L846" s="170">
        <v>43248</v>
      </c>
      <c r="M846" s="116">
        <v>399.8</v>
      </c>
      <c r="N846" s="116">
        <v>406.85</v>
      </c>
      <c r="O846" s="116">
        <v>365</v>
      </c>
      <c r="P846" s="116">
        <v>365.3</v>
      </c>
      <c r="Q846" s="116">
        <v>399.8</v>
      </c>
      <c r="R846">
        <v>2557508</v>
      </c>
    </row>
    <row r="847" spans="1:18" x14ac:dyDescent="0.25">
      <c r="A847" s="170">
        <v>43249</v>
      </c>
      <c r="B847" s="116">
        <v>402.05</v>
      </c>
      <c r="C847" s="116">
        <v>386.45</v>
      </c>
      <c r="D847" s="116">
        <v>382</v>
      </c>
      <c r="E847" s="116">
        <v>400.2</v>
      </c>
      <c r="F847" s="116">
        <v>386.45</v>
      </c>
      <c r="G847">
        <v>61342</v>
      </c>
      <c r="H847" s="116"/>
      <c r="I847" s="116"/>
      <c r="L847" s="170">
        <v>43249</v>
      </c>
      <c r="M847" s="116">
        <v>386.9</v>
      </c>
      <c r="N847" s="116">
        <v>403.4</v>
      </c>
      <c r="O847" s="116">
        <v>381.9</v>
      </c>
      <c r="P847" s="116">
        <v>403.4</v>
      </c>
      <c r="Q847" s="116">
        <v>386.9</v>
      </c>
      <c r="R847">
        <v>1252925</v>
      </c>
    </row>
    <row r="848" spans="1:18" x14ac:dyDescent="0.25">
      <c r="A848" s="170">
        <v>43250</v>
      </c>
      <c r="B848" s="116">
        <v>398.5</v>
      </c>
      <c r="C848" s="116">
        <v>388.4</v>
      </c>
      <c r="D848" s="116">
        <v>378.5</v>
      </c>
      <c r="E848" s="116">
        <v>378.5</v>
      </c>
      <c r="F848" s="116">
        <v>388.4</v>
      </c>
      <c r="G848">
        <v>87227</v>
      </c>
      <c r="H848" s="116"/>
      <c r="I848" s="116"/>
      <c r="L848" s="170">
        <v>43250</v>
      </c>
      <c r="M848" s="116">
        <v>389.65</v>
      </c>
      <c r="N848" s="116">
        <v>398.45</v>
      </c>
      <c r="O848" s="116">
        <v>379.15</v>
      </c>
      <c r="P848" s="116">
        <v>381.7</v>
      </c>
      <c r="Q848" s="116">
        <v>389.65</v>
      </c>
      <c r="R848">
        <v>1578953</v>
      </c>
    </row>
    <row r="849" spans="1:18" x14ac:dyDescent="0.25">
      <c r="A849" s="170">
        <v>43251</v>
      </c>
      <c r="B849" s="116">
        <v>396.5</v>
      </c>
      <c r="C849" s="116">
        <v>380.2</v>
      </c>
      <c r="D849" s="116">
        <v>374.2</v>
      </c>
      <c r="E849" s="116">
        <v>390</v>
      </c>
      <c r="F849" s="116">
        <v>380.2</v>
      </c>
      <c r="G849">
        <v>62060</v>
      </c>
      <c r="H849" s="116"/>
      <c r="I849" s="116"/>
      <c r="L849" s="170">
        <v>43251</v>
      </c>
      <c r="M849" s="116">
        <v>378.85</v>
      </c>
      <c r="N849" s="116">
        <v>396.85</v>
      </c>
      <c r="O849" s="116">
        <v>376.2</v>
      </c>
      <c r="P849" s="116">
        <v>393</v>
      </c>
      <c r="Q849" s="116">
        <v>378.85</v>
      </c>
      <c r="R849">
        <v>1088010</v>
      </c>
    </row>
    <row r="850" spans="1:18" x14ac:dyDescent="0.25">
      <c r="A850" s="170">
        <v>43252</v>
      </c>
      <c r="B850" s="116">
        <v>386.45</v>
      </c>
      <c r="C850" s="116">
        <v>363.1</v>
      </c>
      <c r="D850" s="116">
        <v>361</v>
      </c>
      <c r="E850" s="116">
        <v>380.5</v>
      </c>
      <c r="F850" s="116">
        <v>363.1</v>
      </c>
      <c r="G850">
        <v>71055</v>
      </c>
      <c r="H850" s="116"/>
      <c r="I850" s="116"/>
      <c r="L850" s="170">
        <v>43252</v>
      </c>
      <c r="M850" s="116">
        <v>362.15</v>
      </c>
      <c r="N850" s="116">
        <v>387</v>
      </c>
      <c r="O850" s="116">
        <v>360.05</v>
      </c>
      <c r="P850" s="116">
        <v>378.85</v>
      </c>
      <c r="Q850" s="116">
        <v>362.15</v>
      </c>
      <c r="R850">
        <v>1773575</v>
      </c>
    </row>
    <row r="851" spans="1:18" x14ac:dyDescent="0.25">
      <c r="A851" s="170">
        <v>43255</v>
      </c>
      <c r="B851" s="116">
        <v>372.35</v>
      </c>
      <c r="C851" s="116">
        <v>353.85</v>
      </c>
      <c r="D851" s="116">
        <v>350.5</v>
      </c>
      <c r="E851" s="116">
        <v>365</v>
      </c>
      <c r="F851" s="116">
        <v>353.85</v>
      </c>
      <c r="G851">
        <v>66230</v>
      </c>
      <c r="H851" s="116"/>
      <c r="I851" s="116"/>
      <c r="L851" s="170">
        <v>43255</v>
      </c>
      <c r="M851" s="116">
        <v>353.85</v>
      </c>
      <c r="N851" s="116">
        <v>373.05</v>
      </c>
      <c r="O851" s="116">
        <v>349.45</v>
      </c>
      <c r="P851" s="116">
        <v>363</v>
      </c>
      <c r="Q851" s="116">
        <v>353.85</v>
      </c>
      <c r="R851">
        <v>1796830</v>
      </c>
    </row>
    <row r="852" spans="1:18" x14ac:dyDescent="0.25">
      <c r="A852" s="170">
        <v>43256</v>
      </c>
      <c r="B852" s="116">
        <v>357.15</v>
      </c>
      <c r="C852" s="116">
        <v>352.05</v>
      </c>
      <c r="D852" s="116">
        <v>336</v>
      </c>
      <c r="E852" s="116">
        <v>355</v>
      </c>
      <c r="F852" s="116">
        <v>352.05</v>
      </c>
      <c r="G852">
        <v>41444</v>
      </c>
      <c r="H852" s="116"/>
      <c r="I852" s="116"/>
      <c r="L852" s="170">
        <v>43256</v>
      </c>
      <c r="M852" s="116">
        <v>352.7</v>
      </c>
      <c r="N852" s="116">
        <v>356.9</v>
      </c>
      <c r="O852" s="116">
        <v>345.05</v>
      </c>
      <c r="P852" s="116">
        <v>353.8</v>
      </c>
      <c r="Q852" s="116">
        <v>352.7</v>
      </c>
      <c r="R852">
        <v>661193</v>
      </c>
    </row>
    <row r="853" spans="1:18" x14ac:dyDescent="0.25">
      <c r="A853" s="170">
        <v>43257</v>
      </c>
      <c r="B853" s="116">
        <v>366.1</v>
      </c>
      <c r="C853" s="116">
        <v>362.95</v>
      </c>
      <c r="D853" s="116">
        <v>347.7</v>
      </c>
      <c r="E853" s="116">
        <v>352.05</v>
      </c>
      <c r="F853" s="116">
        <v>362.95</v>
      </c>
      <c r="G853">
        <v>73895</v>
      </c>
      <c r="H853" s="116"/>
      <c r="I853" s="116"/>
      <c r="L853" s="170">
        <v>43257</v>
      </c>
      <c r="M853" s="116">
        <v>362.75</v>
      </c>
      <c r="N853" s="116">
        <v>367.4</v>
      </c>
      <c r="O853" s="116">
        <v>347.1</v>
      </c>
      <c r="P853" s="116">
        <v>351</v>
      </c>
      <c r="Q853" s="116">
        <v>362.75</v>
      </c>
      <c r="R853">
        <v>1173088</v>
      </c>
    </row>
    <row r="854" spans="1:18" x14ac:dyDescent="0.25">
      <c r="A854" s="170">
        <v>43258</v>
      </c>
      <c r="B854" s="116">
        <v>377</v>
      </c>
      <c r="C854" s="116">
        <v>369.3</v>
      </c>
      <c r="D854" s="116">
        <v>368</v>
      </c>
      <c r="E854" s="116">
        <v>368</v>
      </c>
      <c r="F854" s="116">
        <v>369.3</v>
      </c>
      <c r="G854">
        <v>72317</v>
      </c>
      <c r="H854" s="116"/>
      <c r="I854" s="116"/>
      <c r="L854" s="170">
        <v>43258</v>
      </c>
      <c r="M854" s="116">
        <v>369.5</v>
      </c>
      <c r="N854" s="116">
        <v>377.6</v>
      </c>
      <c r="O854" s="116">
        <v>367.05</v>
      </c>
      <c r="P854" s="116">
        <v>367.4</v>
      </c>
      <c r="Q854" s="116">
        <v>369.5</v>
      </c>
      <c r="R854">
        <v>1362929</v>
      </c>
    </row>
    <row r="855" spans="1:18" x14ac:dyDescent="0.25">
      <c r="A855" s="170">
        <v>43259</v>
      </c>
      <c r="B855" s="116">
        <v>366</v>
      </c>
      <c r="C855" s="116">
        <v>364.05</v>
      </c>
      <c r="D855" s="116">
        <v>361.2</v>
      </c>
      <c r="E855" s="116">
        <v>366</v>
      </c>
      <c r="F855" s="116">
        <v>364.05</v>
      </c>
      <c r="G855">
        <v>27513</v>
      </c>
      <c r="H855" s="116"/>
      <c r="I855" s="116"/>
      <c r="L855" s="170">
        <v>43259</v>
      </c>
      <c r="M855" s="116">
        <v>364.5</v>
      </c>
      <c r="N855" s="116">
        <v>369</v>
      </c>
      <c r="O855" s="116">
        <v>361.5</v>
      </c>
      <c r="P855" s="116">
        <v>369</v>
      </c>
      <c r="Q855" s="116">
        <v>364.5</v>
      </c>
      <c r="R855">
        <v>565011</v>
      </c>
    </row>
    <row r="856" spans="1:18" x14ac:dyDescent="0.25">
      <c r="A856" s="170">
        <v>43262</v>
      </c>
      <c r="B856" s="116">
        <v>373.45</v>
      </c>
      <c r="C856" s="116">
        <v>366.65</v>
      </c>
      <c r="D856" s="116">
        <v>364.35</v>
      </c>
      <c r="E856" s="116">
        <v>365</v>
      </c>
      <c r="F856" s="116">
        <v>366.65</v>
      </c>
      <c r="G856">
        <v>49991</v>
      </c>
      <c r="H856" s="116"/>
      <c r="I856" s="116"/>
      <c r="L856" s="170">
        <v>43262</v>
      </c>
      <c r="M856" s="116">
        <v>365.6</v>
      </c>
      <c r="N856" s="116">
        <v>373.5</v>
      </c>
      <c r="O856" s="116">
        <v>364</v>
      </c>
      <c r="P856" s="116">
        <v>364.5</v>
      </c>
      <c r="Q856" s="116">
        <v>365.6</v>
      </c>
      <c r="R856">
        <v>594819</v>
      </c>
    </row>
    <row r="857" spans="1:18" x14ac:dyDescent="0.25">
      <c r="A857" s="170">
        <v>43263</v>
      </c>
      <c r="B857" s="116">
        <v>370.95</v>
      </c>
      <c r="C857" s="116">
        <v>364.3</v>
      </c>
      <c r="D857" s="116">
        <v>361.6</v>
      </c>
      <c r="E857" s="116">
        <v>366.2</v>
      </c>
      <c r="F857" s="116">
        <v>364.3</v>
      </c>
      <c r="G857">
        <v>42747</v>
      </c>
      <c r="H857" s="116"/>
      <c r="I857" s="116"/>
      <c r="L857" s="170">
        <v>43263</v>
      </c>
      <c r="M857" s="116">
        <v>364.45</v>
      </c>
      <c r="N857" s="116">
        <v>371.35</v>
      </c>
      <c r="O857" s="116">
        <v>361.5</v>
      </c>
      <c r="P857" s="116">
        <v>367.9</v>
      </c>
      <c r="Q857" s="116">
        <v>364.45</v>
      </c>
      <c r="R857">
        <v>389329</v>
      </c>
    </row>
    <row r="858" spans="1:18" x14ac:dyDescent="0.25">
      <c r="A858" s="170">
        <v>43264</v>
      </c>
      <c r="B858" s="116">
        <v>370</v>
      </c>
      <c r="C858" s="116">
        <v>361.55</v>
      </c>
      <c r="D858" s="116">
        <v>359.1</v>
      </c>
      <c r="E858" s="116">
        <v>367</v>
      </c>
      <c r="F858" s="116">
        <v>361.55</v>
      </c>
      <c r="G858">
        <v>28034</v>
      </c>
      <c r="H858" s="116"/>
      <c r="I858" s="116"/>
      <c r="L858" s="170">
        <v>43264</v>
      </c>
      <c r="M858" s="116">
        <v>361.15</v>
      </c>
      <c r="N858" s="116">
        <v>369.45</v>
      </c>
      <c r="O858" s="116">
        <v>358.85</v>
      </c>
      <c r="P858" s="116">
        <v>364</v>
      </c>
      <c r="Q858" s="116">
        <v>361.15</v>
      </c>
      <c r="R858">
        <v>498988</v>
      </c>
    </row>
    <row r="859" spans="1:18" x14ac:dyDescent="0.25">
      <c r="A859" s="170">
        <v>43265</v>
      </c>
      <c r="B859" s="116">
        <v>363.8</v>
      </c>
      <c r="C859" s="116">
        <v>360</v>
      </c>
      <c r="D859" s="116">
        <v>355.95</v>
      </c>
      <c r="E859" s="116">
        <v>361.4</v>
      </c>
      <c r="F859" s="116">
        <v>360</v>
      </c>
      <c r="G859">
        <v>25947</v>
      </c>
      <c r="H859" s="116"/>
      <c r="I859" s="116"/>
      <c r="L859" s="170">
        <v>43265</v>
      </c>
      <c r="M859" s="116">
        <v>359.55</v>
      </c>
      <c r="N859" s="116">
        <v>363.9</v>
      </c>
      <c r="O859" s="116">
        <v>355.6</v>
      </c>
      <c r="P859" s="116">
        <v>362</v>
      </c>
      <c r="Q859" s="116">
        <v>359.55</v>
      </c>
      <c r="R859">
        <v>479061</v>
      </c>
    </row>
    <row r="860" spans="1:18" x14ac:dyDescent="0.25">
      <c r="A860" s="170">
        <v>43266</v>
      </c>
      <c r="B860" s="116">
        <v>369.05</v>
      </c>
      <c r="C860" s="116">
        <v>355.55</v>
      </c>
      <c r="D860" s="116">
        <v>354.1</v>
      </c>
      <c r="E860" s="116">
        <v>359.4</v>
      </c>
      <c r="F860" s="116">
        <v>355.55</v>
      </c>
      <c r="G860">
        <v>36047</v>
      </c>
      <c r="H860" s="116"/>
      <c r="I860" s="116"/>
      <c r="L860" s="170">
        <v>43266</v>
      </c>
      <c r="M860" s="116">
        <v>354.7</v>
      </c>
      <c r="N860" s="116">
        <v>369.45</v>
      </c>
      <c r="O860" s="116">
        <v>353.4</v>
      </c>
      <c r="P860" s="116">
        <v>360</v>
      </c>
      <c r="Q860" s="116">
        <v>354.7</v>
      </c>
      <c r="R860">
        <v>856667</v>
      </c>
    </row>
    <row r="861" spans="1:18" x14ac:dyDescent="0.25">
      <c r="A861" s="170">
        <v>43269</v>
      </c>
      <c r="B861" s="116">
        <v>358</v>
      </c>
      <c r="C861" s="116">
        <v>350.6</v>
      </c>
      <c r="D861" s="116">
        <v>349</v>
      </c>
      <c r="E861" s="116">
        <v>358</v>
      </c>
      <c r="F861" s="116">
        <v>350.6</v>
      </c>
      <c r="G861">
        <v>21527</v>
      </c>
      <c r="H861" s="116"/>
      <c r="I861" s="116"/>
      <c r="L861" s="170">
        <v>43269</v>
      </c>
      <c r="M861" s="116">
        <v>349.85</v>
      </c>
      <c r="N861" s="116">
        <v>357.8</v>
      </c>
      <c r="O861" s="116">
        <v>349.1</v>
      </c>
      <c r="P861" s="116">
        <v>357.8</v>
      </c>
      <c r="Q861" s="116">
        <v>349.85</v>
      </c>
      <c r="R861">
        <v>665122</v>
      </c>
    </row>
    <row r="862" spans="1:18" x14ac:dyDescent="0.25">
      <c r="A862" s="170">
        <v>43270</v>
      </c>
      <c r="B862" s="116">
        <v>350.65</v>
      </c>
      <c r="C862" s="116">
        <v>345.4</v>
      </c>
      <c r="D862" s="116">
        <v>342</v>
      </c>
      <c r="E862" s="116">
        <v>350</v>
      </c>
      <c r="F862" s="116">
        <v>345.4</v>
      </c>
      <c r="G862">
        <v>27827</v>
      </c>
      <c r="H862" s="116"/>
      <c r="I862" s="116"/>
      <c r="L862" s="170">
        <v>43270</v>
      </c>
      <c r="M862" s="116">
        <v>345.65</v>
      </c>
      <c r="N862" s="116">
        <v>350.9</v>
      </c>
      <c r="O862" s="116">
        <v>341.6</v>
      </c>
      <c r="P862" s="116">
        <v>348</v>
      </c>
      <c r="Q862" s="116">
        <v>345.65</v>
      </c>
      <c r="R862">
        <v>790318</v>
      </c>
    </row>
    <row r="863" spans="1:18" x14ac:dyDescent="0.25">
      <c r="A863" s="170">
        <v>43271</v>
      </c>
      <c r="B863" s="116">
        <v>347.1</v>
      </c>
      <c r="C863" s="116">
        <v>343.25</v>
      </c>
      <c r="D863" s="116">
        <v>337.6</v>
      </c>
      <c r="E863" s="116">
        <v>342</v>
      </c>
      <c r="F863" s="116">
        <v>343.25</v>
      </c>
      <c r="G863">
        <v>65907</v>
      </c>
      <c r="H863" s="116"/>
      <c r="I863" s="116"/>
      <c r="L863" s="170">
        <v>43271</v>
      </c>
      <c r="M863" s="116">
        <v>343.25</v>
      </c>
      <c r="N863" s="116">
        <v>346.95</v>
      </c>
      <c r="O863" s="116">
        <v>337.6</v>
      </c>
      <c r="P863" s="116">
        <v>342.6</v>
      </c>
      <c r="Q863" s="116">
        <v>343.25</v>
      </c>
      <c r="R863">
        <v>1166685</v>
      </c>
    </row>
    <row r="864" spans="1:18" x14ac:dyDescent="0.25">
      <c r="A864" s="170">
        <v>43272</v>
      </c>
      <c r="B864" s="116">
        <v>351.4</v>
      </c>
      <c r="C864" s="116">
        <v>347.9</v>
      </c>
      <c r="D864" s="116">
        <v>342</v>
      </c>
      <c r="E864" s="116">
        <v>344.15</v>
      </c>
      <c r="F864" s="116">
        <v>347.9</v>
      </c>
      <c r="G864">
        <v>104448</v>
      </c>
      <c r="H864" s="116"/>
      <c r="I864" s="116"/>
      <c r="L864" s="170">
        <v>43272</v>
      </c>
      <c r="M864" s="116">
        <v>346.7</v>
      </c>
      <c r="N864" s="116">
        <v>351.3</v>
      </c>
      <c r="O864" s="116">
        <v>342.5</v>
      </c>
      <c r="P864" s="116">
        <v>344.9</v>
      </c>
      <c r="Q864" s="116">
        <v>346.7</v>
      </c>
      <c r="R864">
        <v>767810</v>
      </c>
    </row>
    <row r="865" spans="1:18" x14ac:dyDescent="0.25">
      <c r="A865" s="170">
        <v>43273</v>
      </c>
      <c r="B865" s="116">
        <v>359</v>
      </c>
      <c r="C865" s="116">
        <v>357.55</v>
      </c>
      <c r="D865" s="116">
        <v>345.95</v>
      </c>
      <c r="E865" s="116">
        <v>346.1</v>
      </c>
      <c r="F865" s="116">
        <v>357.55</v>
      </c>
      <c r="G865">
        <v>100747</v>
      </c>
      <c r="H865" s="116"/>
      <c r="I865" s="116"/>
      <c r="L865" s="170">
        <v>43273</v>
      </c>
      <c r="M865" s="116">
        <v>357.1</v>
      </c>
      <c r="N865" s="116">
        <v>358.8</v>
      </c>
      <c r="O865" s="116">
        <v>345.25</v>
      </c>
      <c r="P865" s="116">
        <v>347.95</v>
      </c>
      <c r="Q865" s="116">
        <v>357.1</v>
      </c>
      <c r="R865">
        <v>1291984</v>
      </c>
    </row>
    <row r="866" spans="1:18" x14ac:dyDescent="0.25">
      <c r="A866" s="170">
        <v>43276</v>
      </c>
      <c r="B866" s="116">
        <v>369.35</v>
      </c>
      <c r="C866" s="116">
        <v>362.55</v>
      </c>
      <c r="D866" s="116">
        <v>353.95</v>
      </c>
      <c r="E866" s="116">
        <v>353.95</v>
      </c>
      <c r="F866" s="116">
        <v>362.55</v>
      </c>
      <c r="G866">
        <v>121918</v>
      </c>
      <c r="H866" s="116"/>
      <c r="I866" s="116"/>
      <c r="L866" s="170">
        <v>43276</v>
      </c>
      <c r="M866" s="116">
        <v>362.45</v>
      </c>
      <c r="N866" s="116">
        <v>369.5</v>
      </c>
      <c r="O866" s="116">
        <v>352.2</v>
      </c>
      <c r="P866" s="116">
        <v>352.2</v>
      </c>
      <c r="Q866" s="116">
        <v>362.45</v>
      </c>
      <c r="R866">
        <v>1777563</v>
      </c>
    </row>
    <row r="867" spans="1:18" x14ac:dyDescent="0.25">
      <c r="A867" s="170">
        <v>43277</v>
      </c>
      <c r="B867" s="116">
        <v>370.05</v>
      </c>
      <c r="C867" s="116">
        <v>363.2</v>
      </c>
      <c r="D867" s="116">
        <v>360.5</v>
      </c>
      <c r="E867" s="116">
        <v>363</v>
      </c>
      <c r="F867" s="116">
        <v>363.2</v>
      </c>
      <c r="G867">
        <v>43570</v>
      </c>
      <c r="H867" s="116"/>
      <c r="I867" s="116"/>
      <c r="L867" s="170">
        <v>43277</v>
      </c>
      <c r="M867" s="116">
        <v>363.3</v>
      </c>
      <c r="N867" s="116">
        <v>369.9</v>
      </c>
      <c r="O867" s="116">
        <v>360</v>
      </c>
      <c r="P867" s="116">
        <v>362.45</v>
      </c>
      <c r="Q867" s="116">
        <v>363.3</v>
      </c>
      <c r="R867">
        <v>921643</v>
      </c>
    </row>
    <row r="868" spans="1:18" x14ac:dyDescent="0.25">
      <c r="A868" s="170">
        <v>43278</v>
      </c>
      <c r="B868" s="116">
        <v>366</v>
      </c>
      <c r="C868" s="116">
        <v>351.4</v>
      </c>
      <c r="D868" s="116">
        <v>347</v>
      </c>
      <c r="E868" s="116">
        <v>363.1</v>
      </c>
      <c r="F868" s="116">
        <v>351.4</v>
      </c>
      <c r="G868">
        <v>34637</v>
      </c>
      <c r="H868" s="116"/>
      <c r="I868" s="116"/>
      <c r="L868" s="170">
        <v>43278</v>
      </c>
      <c r="M868" s="116">
        <v>351.4</v>
      </c>
      <c r="N868" s="116">
        <v>365.5</v>
      </c>
      <c r="O868" s="116">
        <v>347.25</v>
      </c>
      <c r="P868" s="116">
        <v>363.35</v>
      </c>
      <c r="Q868" s="116">
        <v>351.4</v>
      </c>
      <c r="R868">
        <v>652275</v>
      </c>
    </row>
    <row r="869" spans="1:18" x14ac:dyDescent="0.25">
      <c r="A869" s="170">
        <v>43279</v>
      </c>
      <c r="B869" s="116">
        <v>350.4</v>
      </c>
      <c r="C869" s="116">
        <v>337.3</v>
      </c>
      <c r="D869" s="116">
        <v>334.1</v>
      </c>
      <c r="E869" s="116">
        <v>348.1</v>
      </c>
      <c r="F869" s="116">
        <v>337.3</v>
      </c>
      <c r="G869">
        <v>38373</v>
      </c>
      <c r="H869" s="116"/>
      <c r="I869" s="116"/>
      <c r="L869" s="170">
        <v>43279</v>
      </c>
      <c r="M869" s="116">
        <v>334.9</v>
      </c>
      <c r="N869" s="116">
        <v>350</v>
      </c>
      <c r="O869" s="116">
        <v>333.1</v>
      </c>
      <c r="P869" s="116">
        <v>350</v>
      </c>
      <c r="Q869" s="116">
        <v>334.9</v>
      </c>
      <c r="R869">
        <v>1006162</v>
      </c>
    </row>
    <row r="870" spans="1:18" x14ac:dyDescent="0.25">
      <c r="A870" s="170">
        <v>43280</v>
      </c>
      <c r="B870" s="116">
        <v>360</v>
      </c>
      <c r="C870" s="116">
        <v>339.4</v>
      </c>
      <c r="D870" s="116">
        <v>336.25</v>
      </c>
      <c r="E870" s="116">
        <v>339</v>
      </c>
      <c r="F870" s="116">
        <v>339.4</v>
      </c>
      <c r="G870">
        <v>57421</v>
      </c>
      <c r="H870" s="116"/>
      <c r="I870" s="116"/>
      <c r="L870" s="170">
        <v>43280</v>
      </c>
      <c r="M870" s="116">
        <v>339.95</v>
      </c>
      <c r="N870" s="116">
        <v>344.8</v>
      </c>
      <c r="O870" s="116">
        <v>335.65</v>
      </c>
      <c r="P870" s="116">
        <v>340.3</v>
      </c>
      <c r="Q870" s="116">
        <v>339.95</v>
      </c>
      <c r="R870">
        <v>575705</v>
      </c>
    </row>
    <row r="871" spans="1:18" x14ac:dyDescent="0.25">
      <c r="A871" s="170">
        <v>43283</v>
      </c>
      <c r="B871" s="116">
        <v>345.7</v>
      </c>
      <c r="C871" s="116">
        <v>338.65</v>
      </c>
      <c r="D871" s="116">
        <v>328.15</v>
      </c>
      <c r="E871" s="116">
        <v>337</v>
      </c>
      <c r="F871" s="116">
        <v>338.65</v>
      </c>
      <c r="G871">
        <v>142378</v>
      </c>
      <c r="H871" s="116"/>
      <c r="I871" s="116"/>
      <c r="L871" s="170">
        <v>43283</v>
      </c>
      <c r="M871" s="116">
        <v>337.85</v>
      </c>
      <c r="N871" s="116">
        <v>345.45</v>
      </c>
      <c r="O871" s="116">
        <v>327.7</v>
      </c>
      <c r="P871" s="116">
        <v>340.6</v>
      </c>
      <c r="Q871" s="116">
        <v>337.85</v>
      </c>
      <c r="R871">
        <v>951548</v>
      </c>
    </row>
    <row r="872" spans="1:18" x14ac:dyDescent="0.25">
      <c r="A872" s="170">
        <v>43284</v>
      </c>
      <c r="B872" s="116">
        <v>344.85</v>
      </c>
      <c r="C872" s="116">
        <v>342.15</v>
      </c>
      <c r="D872" s="116">
        <v>335</v>
      </c>
      <c r="E872" s="116">
        <v>336.25</v>
      </c>
      <c r="F872" s="116">
        <v>342.15</v>
      </c>
      <c r="G872">
        <v>81194</v>
      </c>
      <c r="H872" s="116"/>
      <c r="I872" s="116"/>
      <c r="L872" s="170">
        <v>43284</v>
      </c>
      <c r="M872" s="116">
        <v>342.25</v>
      </c>
      <c r="N872" s="116">
        <v>344.7</v>
      </c>
      <c r="O872" s="116">
        <v>334.6</v>
      </c>
      <c r="P872" s="116">
        <v>339.7</v>
      </c>
      <c r="Q872" s="116">
        <v>342.25</v>
      </c>
      <c r="R872">
        <v>566587</v>
      </c>
    </row>
    <row r="873" spans="1:18" x14ac:dyDescent="0.25">
      <c r="A873" s="170">
        <v>43285</v>
      </c>
      <c r="B873" s="116">
        <v>342.7</v>
      </c>
      <c r="C873" s="116">
        <v>335.6</v>
      </c>
      <c r="D873" s="116">
        <v>335</v>
      </c>
      <c r="E873" s="116">
        <v>339</v>
      </c>
      <c r="F873" s="116">
        <v>335.6</v>
      </c>
      <c r="G873">
        <v>54091</v>
      </c>
      <c r="H873" s="116"/>
      <c r="I873" s="116"/>
      <c r="L873" s="170">
        <v>43285</v>
      </c>
      <c r="M873" s="116">
        <v>335.05</v>
      </c>
      <c r="N873" s="116">
        <v>342.05</v>
      </c>
      <c r="O873" s="116">
        <v>334.25</v>
      </c>
      <c r="P873" s="116">
        <v>341.8</v>
      </c>
      <c r="Q873" s="116">
        <v>335.05</v>
      </c>
      <c r="R873">
        <v>519879</v>
      </c>
    </row>
    <row r="874" spans="1:18" x14ac:dyDescent="0.25">
      <c r="A874" s="170">
        <v>43286</v>
      </c>
      <c r="B874" s="116">
        <v>339.3</v>
      </c>
      <c r="C874" s="116">
        <v>334.1</v>
      </c>
      <c r="D874" s="116">
        <v>331.95</v>
      </c>
      <c r="E874" s="116">
        <v>335.9</v>
      </c>
      <c r="F874" s="116">
        <v>334.1</v>
      </c>
      <c r="G874">
        <v>27891</v>
      </c>
      <c r="H874" s="116"/>
      <c r="I874" s="116"/>
      <c r="L874" s="170">
        <v>43286</v>
      </c>
      <c r="M874" s="116">
        <v>334.8</v>
      </c>
      <c r="N874" s="116">
        <v>339.55</v>
      </c>
      <c r="O874" s="116">
        <v>331.7</v>
      </c>
      <c r="P874" s="116">
        <v>335.25</v>
      </c>
      <c r="Q874" s="116">
        <v>334.8</v>
      </c>
      <c r="R874">
        <v>432791</v>
      </c>
    </row>
    <row r="875" spans="1:18" x14ac:dyDescent="0.25">
      <c r="A875" s="170">
        <v>43287</v>
      </c>
      <c r="B875" s="116">
        <v>344</v>
      </c>
      <c r="C875" s="116">
        <v>339.5</v>
      </c>
      <c r="D875" s="116">
        <v>332.2</v>
      </c>
      <c r="E875" s="116">
        <v>332.2</v>
      </c>
      <c r="F875" s="116">
        <v>339.5</v>
      </c>
      <c r="G875">
        <v>22947</v>
      </c>
      <c r="H875" s="116"/>
      <c r="I875" s="116"/>
      <c r="L875" s="170">
        <v>43287</v>
      </c>
      <c r="M875" s="116">
        <v>339.9</v>
      </c>
      <c r="N875" s="116">
        <v>344.5</v>
      </c>
      <c r="O875" s="116">
        <v>333.1</v>
      </c>
      <c r="P875" s="116">
        <v>335</v>
      </c>
      <c r="Q875" s="116">
        <v>339.9</v>
      </c>
      <c r="R875">
        <v>558300</v>
      </c>
    </row>
    <row r="876" spans="1:18" x14ac:dyDescent="0.25">
      <c r="A876" s="170">
        <v>43290</v>
      </c>
      <c r="B876" s="116">
        <v>347.95</v>
      </c>
      <c r="C876" s="116">
        <v>344.65</v>
      </c>
      <c r="D876" s="116">
        <v>340.1</v>
      </c>
      <c r="E876" s="116">
        <v>341</v>
      </c>
      <c r="F876" s="116">
        <v>344.65</v>
      </c>
      <c r="G876">
        <v>55948</v>
      </c>
      <c r="H876" s="116"/>
      <c r="I876" s="116"/>
      <c r="L876" s="170">
        <v>43290</v>
      </c>
      <c r="M876" s="116">
        <v>344.75</v>
      </c>
      <c r="N876" s="116">
        <v>348.3</v>
      </c>
      <c r="O876" s="116">
        <v>340.55</v>
      </c>
      <c r="P876" s="116">
        <v>342.35</v>
      </c>
      <c r="Q876" s="116">
        <v>344.75</v>
      </c>
      <c r="R876">
        <v>496501</v>
      </c>
    </row>
    <row r="877" spans="1:18" x14ac:dyDescent="0.25">
      <c r="A877" s="170">
        <v>43291</v>
      </c>
      <c r="B877" s="116">
        <v>349</v>
      </c>
      <c r="C877" s="116">
        <v>344.3</v>
      </c>
      <c r="D877" s="116">
        <v>342.1</v>
      </c>
      <c r="E877" s="116">
        <v>345.05</v>
      </c>
      <c r="F877" s="116">
        <v>344.3</v>
      </c>
      <c r="G877">
        <v>20682</v>
      </c>
      <c r="H877" s="116"/>
      <c r="I877" s="116"/>
      <c r="L877" s="170">
        <v>43291</v>
      </c>
      <c r="M877" s="116">
        <v>344.95</v>
      </c>
      <c r="N877" s="116">
        <v>349.2</v>
      </c>
      <c r="O877" s="116">
        <v>343.35</v>
      </c>
      <c r="P877" s="116">
        <v>345.9</v>
      </c>
      <c r="Q877" s="116">
        <v>344.95</v>
      </c>
      <c r="R877">
        <v>312399</v>
      </c>
    </row>
    <row r="878" spans="1:18" x14ac:dyDescent="0.25">
      <c r="A878" s="170">
        <v>43292</v>
      </c>
      <c r="B878" s="116">
        <v>347</v>
      </c>
      <c r="C878" s="116">
        <v>335.9</v>
      </c>
      <c r="D878" s="116">
        <v>335</v>
      </c>
      <c r="E878" s="116">
        <v>345.1</v>
      </c>
      <c r="F878" s="116">
        <v>335.9</v>
      </c>
      <c r="G878">
        <v>29172</v>
      </c>
      <c r="H878" s="116"/>
      <c r="I878" s="116"/>
      <c r="L878" s="170">
        <v>43292</v>
      </c>
      <c r="M878" s="116">
        <v>336.15</v>
      </c>
      <c r="N878" s="116">
        <v>346.95</v>
      </c>
      <c r="O878" s="116">
        <v>335.1</v>
      </c>
      <c r="P878" s="116">
        <v>345.85</v>
      </c>
      <c r="Q878" s="116">
        <v>336.15</v>
      </c>
      <c r="R878">
        <v>447233</v>
      </c>
    </row>
    <row r="879" spans="1:18" x14ac:dyDescent="0.25">
      <c r="A879" s="170">
        <v>43293</v>
      </c>
      <c r="B879" s="116">
        <v>343.65</v>
      </c>
      <c r="C879" s="116">
        <v>333.85</v>
      </c>
      <c r="D879" s="116">
        <v>328</v>
      </c>
      <c r="E879" s="116">
        <v>334.3</v>
      </c>
      <c r="F879" s="116">
        <v>333.85</v>
      </c>
      <c r="G879">
        <v>56289</v>
      </c>
      <c r="H879" s="116"/>
      <c r="I879" s="116"/>
      <c r="L879" s="170">
        <v>43293</v>
      </c>
      <c r="M879" s="116">
        <v>332.55</v>
      </c>
      <c r="N879" s="116">
        <v>344</v>
      </c>
      <c r="O879" s="116">
        <v>331.15</v>
      </c>
      <c r="P879" s="116">
        <v>339.3</v>
      </c>
      <c r="Q879" s="116">
        <v>332.55</v>
      </c>
      <c r="R879">
        <v>622204</v>
      </c>
    </row>
    <row r="880" spans="1:18" x14ac:dyDescent="0.25">
      <c r="A880" s="170">
        <v>43294</v>
      </c>
      <c r="B880" s="116">
        <v>334.65</v>
      </c>
      <c r="C880" s="116">
        <v>328.9</v>
      </c>
      <c r="D880" s="116">
        <v>325.45</v>
      </c>
      <c r="E880" s="116">
        <v>334.65</v>
      </c>
      <c r="F880" s="116">
        <v>328.9</v>
      </c>
      <c r="G880">
        <v>55034</v>
      </c>
      <c r="H880" s="116"/>
      <c r="I880" s="116"/>
      <c r="L880" s="170">
        <v>43294</v>
      </c>
      <c r="M880" s="116">
        <v>330</v>
      </c>
      <c r="N880" s="116">
        <v>334.35</v>
      </c>
      <c r="O880" s="116">
        <v>325</v>
      </c>
      <c r="P880" s="116">
        <v>333</v>
      </c>
      <c r="Q880" s="116">
        <v>330</v>
      </c>
      <c r="R880">
        <v>405675</v>
      </c>
    </row>
    <row r="881" spans="1:18" x14ac:dyDescent="0.25">
      <c r="A881" s="170">
        <v>43297</v>
      </c>
      <c r="B881" s="116">
        <v>336.65</v>
      </c>
      <c r="C881" s="116">
        <v>325.14999999999998</v>
      </c>
      <c r="D881" s="116">
        <v>320.60000000000002</v>
      </c>
      <c r="E881" s="116">
        <v>328.5</v>
      </c>
      <c r="F881" s="116">
        <v>325.14999999999998</v>
      </c>
      <c r="G881">
        <v>41239</v>
      </c>
      <c r="H881" s="116"/>
      <c r="I881" s="116"/>
      <c r="L881" s="170">
        <v>43297</v>
      </c>
      <c r="M881" s="116">
        <v>324.2</v>
      </c>
      <c r="N881" s="116">
        <v>338</v>
      </c>
      <c r="O881" s="116">
        <v>320</v>
      </c>
      <c r="P881" s="116">
        <v>331</v>
      </c>
      <c r="Q881" s="116">
        <v>324.2</v>
      </c>
      <c r="R881">
        <v>903578</v>
      </c>
    </row>
    <row r="882" spans="1:18" x14ac:dyDescent="0.25">
      <c r="A882" s="170">
        <v>43298</v>
      </c>
      <c r="B882" s="116">
        <v>334.5</v>
      </c>
      <c r="C882" s="116">
        <v>330.65</v>
      </c>
      <c r="D882" s="116">
        <v>320.5</v>
      </c>
      <c r="E882" s="116">
        <v>323.64999999999998</v>
      </c>
      <c r="F882" s="116">
        <v>330.65</v>
      </c>
      <c r="G882">
        <v>28917</v>
      </c>
      <c r="H882" s="116"/>
      <c r="I882" s="116"/>
      <c r="L882" s="170">
        <v>43298</v>
      </c>
      <c r="M882" s="116">
        <v>331.15</v>
      </c>
      <c r="N882" s="116">
        <v>335</v>
      </c>
      <c r="O882" s="116">
        <v>321</v>
      </c>
      <c r="P882" s="116">
        <v>323.3</v>
      </c>
      <c r="Q882" s="116">
        <v>331.15</v>
      </c>
      <c r="R882">
        <v>629049</v>
      </c>
    </row>
    <row r="883" spans="1:18" x14ac:dyDescent="0.25">
      <c r="A883" s="170">
        <v>43299</v>
      </c>
      <c r="B883" s="116">
        <v>336.1</v>
      </c>
      <c r="C883" s="116">
        <v>329.15</v>
      </c>
      <c r="D883" s="116">
        <v>324.7</v>
      </c>
      <c r="E883" s="116">
        <v>333.8</v>
      </c>
      <c r="F883" s="116">
        <v>329.15</v>
      </c>
      <c r="G883">
        <v>29262</v>
      </c>
      <c r="H883" s="116"/>
      <c r="I883" s="116"/>
      <c r="L883" s="170">
        <v>43299</v>
      </c>
      <c r="M883" s="116">
        <v>329.65</v>
      </c>
      <c r="N883" s="116">
        <v>336.8</v>
      </c>
      <c r="O883" s="116">
        <v>323.75</v>
      </c>
      <c r="P883" s="116">
        <v>332.55</v>
      </c>
      <c r="Q883" s="116">
        <v>329.65</v>
      </c>
      <c r="R883">
        <v>435531</v>
      </c>
    </row>
    <row r="884" spans="1:18" x14ac:dyDescent="0.25">
      <c r="A884" s="170">
        <v>43300</v>
      </c>
      <c r="B884" s="116">
        <v>335.25</v>
      </c>
      <c r="C884" s="116">
        <v>328</v>
      </c>
      <c r="D884" s="116">
        <v>324.60000000000002</v>
      </c>
      <c r="E884" s="116">
        <v>331.45</v>
      </c>
      <c r="F884" s="116">
        <v>328</v>
      </c>
      <c r="G884">
        <v>28238</v>
      </c>
      <c r="H884" s="116"/>
      <c r="I884" s="116"/>
      <c r="L884" s="170">
        <v>43300</v>
      </c>
      <c r="M884" s="116">
        <v>328.05</v>
      </c>
      <c r="N884" s="116">
        <v>336.3</v>
      </c>
      <c r="O884" s="116">
        <v>324.7</v>
      </c>
      <c r="P884" s="116">
        <v>330.7</v>
      </c>
      <c r="Q884" s="116">
        <v>328.05</v>
      </c>
      <c r="R884">
        <v>345136</v>
      </c>
    </row>
    <row r="885" spans="1:18" x14ac:dyDescent="0.25">
      <c r="A885" s="170">
        <v>43301</v>
      </c>
      <c r="B885" s="116">
        <v>330.4</v>
      </c>
      <c r="C885" s="116">
        <v>326.64999999999998</v>
      </c>
      <c r="D885" s="116">
        <v>325</v>
      </c>
      <c r="E885" s="116">
        <v>328.75</v>
      </c>
      <c r="F885" s="116">
        <v>326.64999999999998</v>
      </c>
      <c r="G885">
        <v>20334</v>
      </c>
      <c r="H885" s="116"/>
      <c r="I885" s="116"/>
      <c r="L885" s="170">
        <v>43301</v>
      </c>
      <c r="M885" s="116">
        <v>325.8</v>
      </c>
      <c r="N885" s="116">
        <v>330.5</v>
      </c>
      <c r="O885" s="116">
        <v>324.39999999999998</v>
      </c>
      <c r="P885" s="116">
        <v>328.5</v>
      </c>
      <c r="Q885" s="116">
        <v>325.8</v>
      </c>
      <c r="R885">
        <v>342316</v>
      </c>
    </row>
    <row r="886" spans="1:18" x14ac:dyDescent="0.25">
      <c r="A886" s="170">
        <v>43304</v>
      </c>
      <c r="B886" s="116">
        <v>331.75</v>
      </c>
      <c r="C886" s="116">
        <v>330.35</v>
      </c>
      <c r="D886" s="116">
        <v>320.8</v>
      </c>
      <c r="E886" s="116">
        <v>326.10000000000002</v>
      </c>
      <c r="F886" s="116">
        <v>330.35</v>
      </c>
      <c r="G886">
        <v>24363</v>
      </c>
      <c r="H886" s="116"/>
      <c r="I886" s="116"/>
      <c r="L886" s="170">
        <v>43304</v>
      </c>
      <c r="M886" s="116">
        <v>330.9</v>
      </c>
      <c r="N886" s="116">
        <v>332</v>
      </c>
      <c r="O886" s="116">
        <v>320.10000000000002</v>
      </c>
      <c r="P886" s="116">
        <v>328</v>
      </c>
      <c r="Q886" s="116">
        <v>330.9</v>
      </c>
      <c r="R886">
        <v>531124</v>
      </c>
    </row>
    <row r="887" spans="1:18" x14ac:dyDescent="0.25">
      <c r="A887" s="170">
        <v>43305</v>
      </c>
      <c r="B887" s="116">
        <v>350</v>
      </c>
      <c r="C887" s="116">
        <v>345.25</v>
      </c>
      <c r="D887" s="116">
        <v>329.2</v>
      </c>
      <c r="E887" s="116">
        <v>330.35</v>
      </c>
      <c r="F887" s="116">
        <v>345.25</v>
      </c>
      <c r="G887">
        <v>45829</v>
      </c>
      <c r="H887" s="116"/>
      <c r="I887" s="116"/>
      <c r="L887" s="170">
        <v>43305</v>
      </c>
      <c r="M887" s="116">
        <v>345.3</v>
      </c>
      <c r="N887" s="116">
        <v>348</v>
      </c>
      <c r="O887" s="116">
        <v>328.35</v>
      </c>
      <c r="P887" s="116">
        <v>331.5</v>
      </c>
      <c r="Q887" s="116">
        <v>345.3</v>
      </c>
      <c r="R887">
        <v>801325</v>
      </c>
    </row>
    <row r="888" spans="1:18" x14ac:dyDescent="0.25">
      <c r="A888" s="170">
        <v>43306</v>
      </c>
      <c r="B888" s="116">
        <v>375</v>
      </c>
      <c r="C888" s="116">
        <v>356.05</v>
      </c>
      <c r="D888" s="116">
        <v>345.9</v>
      </c>
      <c r="E888" s="116">
        <v>359</v>
      </c>
      <c r="F888" s="116">
        <v>356.05</v>
      </c>
      <c r="G888">
        <v>95525</v>
      </c>
      <c r="H888" s="116"/>
      <c r="I888" s="116"/>
      <c r="L888" s="170">
        <v>43306</v>
      </c>
      <c r="M888" s="116">
        <v>355.7</v>
      </c>
      <c r="N888" s="116">
        <v>360</v>
      </c>
      <c r="O888" s="116">
        <v>345.3</v>
      </c>
      <c r="P888" s="116">
        <v>345.3</v>
      </c>
      <c r="Q888" s="116">
        <v>355.7</v>
      </c>
      <c r="R888">
        <v>975818</v>
      </c>
    </row>
    <row r="889" spans="1:18" x14ac:dyDescent="0.25">
      <c r="A889" s="170">
        <v>43307</v>
      </c>
      <c r="B889" s="116">
        <v>360</v>
      </c>
      <c r="C889" s="116">
        <v>352.95</v>
      </c>
      <c r="D889" s="116">
        <v>350.45</v>
      </c>
      <c r="E889" s="116">
        <v>360</v>
      </c>
      <c r="F889" s="116">
        <v>352.95</v>
      </c>
      <c r="G889">
        <v>37022</v>
      </c>
      <c r="H889" s="116"/>
      <c r="I889" s="116"/>
      <c r="L889" s="170">
        <v>43307</v>
      </c>
      <c r="M889" s="116">
        <v>352.7</v>
      </c>
      <c r="N889" s="116">
        <v>360.45</v>
      </c>
      <c r="O889" s="116">
        <v>349.4</v>
      </c>
      <c r="P889" s="116">
        <v>360</v>
      </c>
      <c r="Q889" s="116">
        <v>352.7</v>
      </c>
      <c r="R889">
        <v>773683</v>
      </c>
    </row>
    <row r="890" spans="1:18" x14ac:dyDescent="0.25">
      <c r="A890" s="170">
        <v>43308</v>
      </c>
      <c r="B890" s="116">
        <v>372</v>
      </c>
      <c r="C890" s="116">
        <v>369.3</v>
      </c>
      <c r="D890" s="116">
        <v>353.35</v>
      </c>
      <c r="E890" s="116">
        <v>355.45</v>
      </c>
      <c r="F890" s="116">
        <v>369.3</v>
      </c>
      <c r="G890">
        <v>105135</v>
      </c>
      <c r="H890" s="116"/>
      <c r="I890" s="116"/>
      <c r="L890" s="170">
        <v>43308</v>
      </c>
      <c r="M890" s="116">
        <v>369.15</v>
      </c>
      <c r="N890" s="116">
        <v>371.95</v>
      </c>
      <c r="O890" s="116">
        <v>354.8</v>
      </c>
      <c r="P890" s="116">
        <v>354.8</v>
      </c>
      <c r="Q890" s="116">
        <v>369.15</v>
      </c>
      <c r="R890">
        <v>1288015</v>
      </c>
    </row>
    <row r="891" spans="1:18" x14ac:dyDescent="0.25">
      <c r="A891" s="170">
        <v>43311</v>
      </c>
      <c r="B891" s="116">
        <v>377.7</v>
      </c>
      <c r="C891" s="116">
        <v>363.95</v>
      </c>
      <c r="D891" s="116">
        <v>357</v>
      </c>
      <c r="E891" s="116">
        <v>369.3</v>
      </c>
      <c r="F891" s="116">
        <v>363.95</v>
      </c>
      <c r="G891">
        <v>166987</v>
      </c>
      <c r="H891" s="116"/>
      <c r="I891" s="116"/>
      <c r="L891" s="170">
        <v>43311</v>
      </c>
      <c r="M891" s="116">
        <v>363.65</v>
      </c>
      <c r="N891" s="116">
        <v>377</v>
      </c>
      <c r="O891" s="116">
        <v>355.5</v>
      </c>
      <c r="P891" s="116">
        <v>369.5</v>
      </c>
      <c r="Q891" s="116">
        <v>363.65</v>
      </c>
      <c r="R891">
        <v>1940010</v>
      </c>
    </row>
    <row r="892" spans="1:18" x14ac:dyDescent="0.25">
      <c r="A892" s="170">
        <v>43312</v>
      </c>
      <c r="B892" s="116">
        <v>363</v>
      </c>
      <c r="C892" s="116">
        <v>335.5</v>
      </c>
      <c r="D892" s="116">
        <v>329.6</v>
      </c>
      <c r="E892" s="116">
        <v>363</v>
      </c>
      <c r="F892" s="116">
        <v>335.5</v>
      </c>
      <c r="G892">
        <v>365462</v>
      </c>
      <c r="H892" s="116"/>
      <c r="I892" s="116"/>
      <c r="L892" s="170">
        <v>43312</v>
      </c>
      <c r="M892" s="116">
        <v>334.65</v>
      </c>
      <c r="N892" s="116">
        <v>358</v>
      </c>
      <c r="O892" s="116">
        <v>328.9</v>
      </c>
      <c r="P892" s="116">
        <v>352</v>
      </c>
      <c r="Q892" s="116">
        <v>334.65</v>
      </c>
      <c r="R892">
        <v>3877856</v>
      </c>
    </row>
    <row r="893" spans="1:18" x14ac:dyDescent="0.25">
      <c r="A893" s="170">
        <v>43313</v>
      </c>
      <c r="B893" s="116">
        <v>338</v>
      </c>
      <c r="C893" s="116">
        <v>331.5</v>
      </c>
      <c r="D893" s="116">
        <v>329.2</v>
      </c>
      <c r="E893" s="116">
        <v>336</v>
      </c>
      <c r="F893" s="116">
        <v>331.5</v>
      </c>
      <c r="G893">
        <v>85987</v>
      </c>
      <c r="H893" s="116"/>
      <c r="I893" s="116"/>
      <c r="L893" s="170">
        <v>43313</v>
      </c>
      <c r="M893" s="116">
        <v>331.95</v>
      </c>
      <c r="N893" s="116">
        <v>336.9</v>
      </c>
      <c r="O893" s="116">
        <v>329.15</v>
      </c>
      <c r="P893" s="116">
        <v>334</v>
      </c>
      <c r="Q893" s="116">
        <v>331.95</v>
      </c>
      <c r="R893">
        <v>867516</v>
      </c>
    </row>
    <row r="894" spans="1:18" x14ac:dyDescent="0.25">
      <c r="A894" s="170">
        <v>43314</v>
      </c>
      <c r="B894" s="116">
        <v>336</v>
      </c>
      <c r="C894" s="116">
        <v>332</v>
      </c>
      <c r="D894" s="116">
        <v>330.45</v>
      </c>
      <c r="E894" s="116">
        <v>332</v>
      </c>
      <c r="F894" s="116">
        <v>332</v>
      </c>
      <c r="G894">
        <v>45533</v>
      </c>
      <c r="H894" s="116"/>
      <c r="I894" s="116"/>
      <c r="L894" s="170">
        <v>43314</v>
      </c>
      <c r="M894" s="116">
        <v>332.05</v>
      </c>
      <c r="N894" s="116">
        <v>336.35</v>
      </c>
      <c r="O894" s="116">
        <v>329.7</v>
      </c>
      <c r="P894" s="116">
        <v>331</v>
      </c>
      <c r="Q894" s="116">
        <v>332.05</v>
      </c>
      <c r="R894">
        <v>552662</v>
      </c>
    </row>
    <row r="895" spans="1:18" x14ac:dyDescent="0.25">
      <c r="A895" s="170">
        <v>43315</v>
      </c>
      <c r="B895" s="116">
        <v>340.85</v>
      </c>
      <c r="C895" s="116">
        <v>336.15</v>
      </c>
      <c r="D895" s="116">
        <v>334.25</v>
      </c>
      <c r="E895" s="116">
        <v>334.7</v>
      </c>
      <c r="F895" s="116">
        <v>336.15</v>
      </c>
      <c r="G895">
        <v>58294</v>
      </c>
      <c r="H895" s="116"/>
      <c r="I895" s="116"/>
      <c r="L895" s="170">
        <v>43315</v>
      </c>
      <c r="M895" s="116">
        <v>335.5</v>
      </c>
      <c r="N895" s="116">
        <v>341</v>
      </c>
      <c r="O895" s="116">
        <v>333.45</v>
      </c>
      <c r="P895" s="116">
        <v>333.45</v>
      </c>
      <c r="Q895" s="116">
        <v>335.5</v>
      </c>
      <c r="R895">
        <v>744285</v>
      </c>
    </row>
    <row r="896" spans="1:18" x14ac:dyDescent="0.25">
      <c r="A896" s="170">
        <v>43318</v>
      </c>
      <c r="B896" s="116">
        <v>343</v>
      </c>
      <c r="C896" s="116">
        <v>333.25</v>
      </c>
      <c r="D896" s="116">
        <v>332.1</v>
      </c>
      <c r="E896" s="116">
        <v>340</v>
      </c>
      <c r="F896" s="116">
        <v>333.25</v>
      </c>
      <c r="G896">
        <v>58584</v>
      </c>
      <c r="H896" s="116"/>
      <c r="I896" s="116"/>
      <c r="L896" s="170">
        <v>43318</v>
      </c>
      <c r="M896" s="116">
        <v>333.05</v>
      </c>
      <c r="N896" s="116">
        <v>342.9</v>
      </c>
      <c r="O896" s="116">
        <v>331.5</v>
      </c>
      <c r="P896" s="116">
        <v>338</v>
      </c>
      <c r="Q896" s="116">
        <v>333.05</v>
      </c>
      <c r="R896">
        <v>825602</v>
      </c>
    </row>
    <row r="897" spans="1:18" x14ac:dyDescent="0.25">
      <c r="A897" s="170">
        <v>43319</v>
      </c>
      <c r="B897" s="116">
        <v>335.8</v>
      </c>
      <c r="C897" s="116">
        <v>330.25</v>
      </c>
      <c r="D897" s="116">
        <v>328.7</v>
      </c>
      <c r="E897" s="116">
        <v>333.25</v>
      </c>
      <c r="F897" s="116">
        <v>330.25</v>
      </c>
      <c r="G897">
        <v>45884</v>
      </c>
      <c r="H897" s="116"/>
      <c r="I897" s="116"/>
      <c r="L897" s="170">
        <v>43319</v>
      </c>
      <c r="M897" s="116">
        <v>330.1</v>
      </c>
      <c r="N897" s="116">
        <v>335.5</v>
      </c>
      <c r="O897" s="116">
        <v>328.3</v>
      </c>
      <c r="P897" s="116">
        <v>334.05</v>
      </c>
      <c r="Q897" s="116">
        <v>330.1</v>
      </c>
      <c r="R897">
        <v>509705</v>
      </c>
    </row>
    <row r="898" spans="1:18" x14ac:dyDescent="0.25">
      <c r="A898" s="170">
        <v>43320</v>
      </c>
      <c r="B898" s="116">
        <v>332</v>
      </c>
      <c r="C898" s="116">
        <v>326.45</v>
      </c>
      <c r="D898" s="116">
        <v>325.2</v>
      </c>
      <c r="E898" s="116">
        <v>331.9</v>
      </c>
      <c r="F898" s="116">
        <v>326.45</v>
      </c>
      <c r="G898">
        <v>37081</v>
      </c>
      <c r="H898" s="116"/>
      <c r="I898" s="116"/>
      <c r="L898" s="170">
        <v>43320</v>
      </c>
      <c r="M898" s="116">
        <v>326.45</v>
      </c>
      <c r="N898" s="116">
        <v>333</v>
      </c>
      <c r="O898" s="116">
        <v>325.14999999999998</v>
      </c>
      <c r="P898" s="116">
        <v>333</v>
      </c>
      <c r="Q898" s="116">
        <v>326.45</v>
      </c>
      <c r="R898">
        <v>541478</v>
      </c>
    </row>
    <row r="899" spans="1:18" x14ac:dyDescent="0.25">
      <c r="A899" s="170">
        <v>43321</v>
      </c>
      <c r="B899" s="116">
        <v>331.6</v>
      </c>
      <c r="C899" s="116">
        <v>326.25</v>
      </c>
      <c r="D899" s="116">
        <v>325.14999999999998</v>
      </c>
      <c r="E899" s="116">
        <v>326.45</v>
      </c>
      <c r="F899" s="116">
        <v>326.25</v>
      </c>
      <c r="G899">
        <v>43513</v>
      </c>
      <c r="H899" s="116"/>
      <c r="I899" s="116"/>
      <c r="L899" s="170">
        <v>43321</v>
      </c>
      <c r="M899" s="116">
        <v>326.25</v>
      </c>
      <c r="N899" s="116">
        <v>332.15</v>
      </c>
      <c r="O899" s="116">
        <v>325</v>
      </c>
      <c r="P899" s="116">
        <v>328.3</v>
      </c>
      <c r="Q899" s="116">
        <v>326.25</v>
      </c>
      <c r="R899">
        <v>564901</v>
      </c>
    </row>
    <row r="900" spans="1:18" x14ac:dyDescent="0.25">
      <c r="A900" s="170">
        <v>43322</v>
      </c>
      <c r="B900" s="116">
        <v>328.75</v>
      </c>
      <c r="C900" s="116">
        <v>320.14999999999998</v>
      </c>
      <c r="D900" s="116">
        <v>318.39999999999998</v>
      </c>
      <c r="E900" s="116">
        <v>326.7</v>
      </c>
      <c r="F900" s="116">
        <v>320.14999999999998</v>
      </c>
      <c r="G900">
        <v>56787</v>
      </c>
      <c r="H900" s="116"/>
      <c r="I900" s="116"/>
      <c r="L900" s="170">
        <v>43322</v>
      </c>
      <c r="M900" s="116">
        <v>320.25</v>
      </c>
      <c r="N900" s="116">
        <v>328.65</v>
      </c>
      <c r="O900" s="116">
        <v>318</v>
      </c>
      <c r="P900" s="116">
        <v>328</v>
      </c>
      <c r="Q900" s="116">
        <v>320.25</v>
      </c>
      <c r="R900">
        <v>625441</v>
      </c>
    </row>
    <row r="901" spans="1:18" x14ac:dyDescent="0.25">
      <c r="A901" s="170">
        <v>43325</v>
      </c>
      <c r="B901" s="116">
        <v>319</v>
      </c>
      <c r="C901" s="116">
        <v>312.75</v>
      </c>
      <c r="D901" s="116">
        <v>310.14999999999998</v>
      </c>
      <c r="E901" s="116">
        <v>318</v>
      </c>
      <c r="F901" s="116">
        <v>312.75</v>
      </c>
      <c r="G901">
        <v>43165</v>
      </c>
      <c r="H901" s="116"/>
      <c r="I901" s="116"/>
      <c r="L901" s="170">
        <v>43325</v>
      </c>
      <c r="M901" s="116">
        <v>312.2</v>
      </c>
      <c r="N901" s="116">
        <v>318.5</v>
      </c>
      <c r="O901" s="116">
        <v>310.3</v>
      </c>
      <c r="P901" s="116">
        <v>318.5</v>
      </c>
      <c r="Q901" s="116">
        <v>312.2</v>
      </c>
      <c r="R901">
        <v>732007</v>
      </c>
    </row>
    <row r="902" spans="1:18" x14ac:dyDescent="0.25">
      <c r="A902" s="170">
        <v>43326</v>
      </c>
      <c r="B902" s="116">
        <v>317.55</v>
      </c>
      <c r="C902" s="116">
        <v>314.05</v>
      </c>
      <c r="D902" s="116">
        <v>309.05</v>
      </c>
      <c r="E902" s="116">
        <v>311.8</v>
      </c>
      <c r="F902" s="116">
        <v>314.05</v>
      </c>
      <c r="G902">
        <v>40708</v>
      </c>
      <c r="H902" s="116"/>
      <c r="I902" s="116"/>
      <c r="L902" s="170">
        <v>43326</v>
      </c>
      <c r="M902" s="116">
        <v>314.7</v>
      </c>
      <c r="N902" s="116">
        <v>317.39999999999998</v>
      </c>
      <c r="O902" s="116">
        <v>308.39999999999998</v>
      </c>
      <c r="P902" s="116">
        <v>311.7</v>
      </c>
      <c r="Q902" s="116">
        <v>314.7</v>
      </c>
      <c r="R902">
        <v>598656</v>
      </c>
    </row>
    <row r="903" spans="1:18" x14ac:dyDescent="0.25">
      <c r="A903" s="170">
        <v>43328</v>
      </c>
      <c r="B903" s="116">
        <v>318.95</v>
      </c>
      <c r="C903" s="116">
        <v>313.25</v>
      </c>
      <c r="D903" s="116">
        <v>306.14999999999998</v>
      </c>
      <c r="E903" s="116">
        <v>317</v>
      </c>
      <c r="F903" s="116">
        <v>313.25</v>
      </c>
      <c r="G903">
        <v>33063</v>
      </c>
      <c r="H903" s="116"/>
      <c r="I903" s="116"/>
      <c r="L903" s="170">
        <v>43328</v>
      </c>
      <c r="M903" s="116">
        <v>313.14999999999998</v>
      </c>
      <c r="N903" s="116">
        <v>318.7</v>
      </c>
      <c r="O903" s="116">
        <v>310.55</v>
      </c>
      <c r="P903" s="116">
        <v>314</v>
      </c>
      <c r="Q903" s="116">
        <v>313.14999999999998</v>
      </c>
      <c r="R903">
        <v>452622</v>
      </c>
    </row>
    <row r="904" spans="1:18" x14ac:dyDescent="0.25">
      <c r="A904" s="170">
        <v>43329</v>
      </c>
      <c r="B904" s="116">
        <v>327.9</v>
      </c>
      <c r="C904" s="116">
        <v>323.95</v>
      </c>
      <c r="D904" s="116">
        <v>313.55</v>
      </c>
      <c r="E904" s="116">
        <v>315</v>
      </c>
      <c r="F904" s="116">
        <v>323.95</v>
      </c>
      <c r="G904">
        <v>78194</v>
      </c>
      <c r="H904" s="116"/>
      <c r="I904" s="116"/>
      <c r="L904" s="170">
        <v>43329</v>
      </c>
      <c r="M904" s="116">
        <v>323.8</v>
      </c>
      <c r="N904" s="116">
        <v>327.75</v>
      </c>
      <c r="O904" s="116">
        <v>314</v>
      </c>
      <c r="P904" s="116">
        <v>314</v>
      </c>
      <c r="Q904" s="116">
        <v>323.8</v>
      </c>
      <c r="R904">
        <v>1285608</v>
      </c>
    </row>
    <row r="905" spans="1:18" x14ac:dyDescent="0.25">
      <c r="A905" s="170">
        <v>43332</v>
      </c>
      <c r="B905" s="116">
        <v>330</v>
      </c>
      <c r="C905" s="116">
        <v>326.85000000000002</v>
      </c>
      <c r="D905" s="116">
        <v>324.85000000000002</v>
      </c>
      <c r="E905" s="116">
        <v>327.8</v>
      </c>
      <c r="F905" s="116">
        <v>326.85000000000002</v>
      </c>
      <c r="G905">
        <v>65630</v>
      </c>
      <c r="H905" s="116"/>
      <c r="I905" s="116"/>
      <c r="L905" s="170">
        <v>43332</v>
      </c>
      <c r="M905" s="116">
        <v>326.35000000000002</v>
      </c>
      <c r="N905" s="116">
        <v>330</v>
      </c>
      <c r="O905" s="116">
        <v>324.3</v>
      </c>
      <c r="P905" s="116">
        <v>326.5</v>
      </c>
      <c r="Q905" s="116">
        <v>326.35000000000002</v>
      </c>
      <c r="R905">
        <v>901769</v>
      </c>
    </row>
    <row r="906" spans="1:18" x14ac:dyDescent="0.25">
      <c r="A906" s="170">
        <v>43333</v>
      </c>
      <c r="B906" s="116">
        <v>344.6</v>
      </c>
      <c r="C906" s="116">
        <v>339.05</v>
      </c>
      <c r="D906" s="116">
        <v>327.9</v>
      </c>
      <c r="E906" s="116">
        <v>327.9</v>
      </c>
      <c r="F906" s="116">
        <v>339.05</v>
      </c>
      <c r="G906">
        <v>152206</v>
      </c>
      <c r="H906" s="116"/>
      <c r="I906" s="116"/>
      <c r="L906" s="170">
        <v>43333</v>
      </c>
      <c r="M906" s="116">
        <v>339.6</v>
      </c>
      <c r="N906" s="116">
        <v>345</v>
      </c>
      <c r="O906" s="116">
        <v>327.39999999999998</v>
      </c>
      <c r="P906" s="116">
        <v>328</v>
      </c>
      <c r="Q906" s="116">
        <v>339.6</v>
      </c>
      <c r="R906">
        <v>2541789</v>
      </c>
    </row>
    <row r="907" spans="1:18" x14ac:dyDescent="0.25">
      <c r="A907" s="170">
        <v>43335</v>
      </c>
      <c r="B907" s="116">
        <v>342</v>
      </c>
      <c r="C907" s="116">
        <v>330</v>
      </c>
      <c r="D907" s="116">
        <v>328.3</v>
      </c>
      <c r="E907" s="116">
        <v>340.1</v>
      </c>
      <c r="F907" s="116">
        <v>330</v>
      </c>
      <c r="G907">
        <v>70736</v>
      </c>
      <c r="H907" s="116"/>
      <c r="I907" s="116"/>
      <c r="L907" s="170">
        <v>43335</v>
      </c>
      <c r="M907" s="116">
        <v>330.15</v>
      </c>
      <c r="N907" s="116">
        <v>341.95</v>
      </c>
      <c r="O907" s="116">
        <v>328.65</v>
      </c>
      <c r="P907" s="116">
        <v>340.7</v>
      </c>
      <c r="Q907" s="116">
        <v>330.15</v>
      </c>
      <c r="R907">
        <v>635816</v>
      </c>
    </row>
    <row r="908" spans="1:18" x14ac:dyDescent="0.25">
      <c r="A908" s="170">
        <v>43336</v>
      </c>
      <c r="B908" s="116">
        <v>328</v>
      </c>
      <c r="C908" s="116">
        <v>318.7</v>
      </c>
      <c r="D908" s="116">
        <v>317.75</v>
      </c>
      <c r="E908" s="116">
        <v>328</v>
      </c>
      <c r="F908" s="116">
        <v>318.7</v>
      </c>
      <c r="G908">
        <v>56060</v>
      </c>
      <c r="H908" s="116"/>
      <c r="I908" s="116"/>
      <c r="L908" s="170">
        <v>43336</v>
      </c>
      <c r="M908" s="116">
        <v>319.5</v>
      </c>
      <c r="N908" s="116">
        <v>327.85</v>
      </c>
      <c r="O908" s="116">
        <v>317</v>
      </c>
      <c r="P908" s="116">
        <v>326.95</v>
      </c>
      <c r="Q908" s="116">
        <v>319.5</v>
      </c>
      <c r="R908">
        <v>837168</v>
      </c>
    </row>
    <row r="909" spans="1:18" x14ac:dyDescent="0.25">
      <c r="A909" s="170">
        <v>43339</v>
      </c>
      <c r="B909" s="116">
        <v>324.7</v>
      </c>
      <c r="C909" s="116">
        <v>320.5</v>
      </c>
      <c r="D909" s="116">
        <v>318.25</v>
      </c>
      <c r="E909" s="116">
        <v>319.05</v>
      </c>
      <c r="F909" s="116">
        <v>320.5</v>
      </c>
      <c r="G909">
        <v>66089</v>
      </c>
      <c r="H909" s="116"/>
      <c r="I909" s="116"/>
      <c r="L909" s="170">
        <v>43339</v>
      </c>
      <c r="M909" s="116">
        <v>320.95</v>
      </c>
      <c r="N909" s="116">
        <v>325.5</v>
      </c>
      <c r="O909" s="116">
        <v>317.75</v>
      </c>
      <c r="P909" s="116">
        <v>320</v>
      </c>
      <c r="Q909" s="116">
        <v>320.95</v>
      </c>
      <c r="R909">
        <v>842626</v>
      </c>
    </row>
    <row r="910" spans="1:18" x14ac:dyDescent="0.25">
      <c r="A910" s="170">
        <v>43340</v>
      </c>
      <c r="B910" s="116">
        <v>324</v>
      </c>
      <c r="C910" s="116">
        <v>318.05</v>
      </c>
      <c r="D910" s="116">
        <v>315</v>
      </c>
      <c r="E910" s="116">
        <v>321.39999999999998</v>
      </c>
      <c r="F910" s="116">
        <v>318.05</v>
      </c>
      <c r="G910">
        <v>30840</v>
      </c>
      <c r="H910" s="116"/>
      <c r="I910" s="116"/>
      <c r="L910" s="170">
        <v>43340</v>
      </c>
      <c r="M910" s="116">
        <v>319.5</v>
      </c>
      <c r="N910" s="116">
        <v>323.95</v>
      </c>
      <c r="O910" s="116">
        <v>317.35000000000002</v>
      </c>
      <c r="P910" s="116">
        <v>323.60000000000002</v>
      </c>
      <c r="Q910" s="116">
        <v>319.5</v>
      </c>
      <c r="R910">
        <v>423113</v>
      </c>
    </row>
    <row r="911" spans="1:18" x14ac:dyDescent="0.25">
      <c r="A911" s="170">
        <v>43341</v>
      </c>
      <c r="B911" s="116">
        <v>321.5</v>
      </c>
      <c r="C911" s="116">
        <v>317.25</v>
      </c>
      <c r="D911" s="116">
        <v>316.2</v>
      </c>
      <c r="E911" s="116">
        <v>320.95</v>
      </c>
      <c r="F911" s="116">
        <v>317.25</v>
      </c>
      <c r="G911">
        <v>30269</v>
      </c>
      <c r="H911" s="116"/>
      <c r="I911" s="116"/>
      <c r="L911" s="170">
        <v>43341</v>
      </c>
      <c r="M911" s="116">
        <v>318.14999999999998</v>
      </c>
      <c r="N911" s="116">
        <v>322.60000000000002</v>
      </c>
      <c r="O911" s="116">
        <v>317.10000000000002</v>
      </c>
      <c r="P911" s="116">
        <v>321</v>
      </c>
      <c r="Q911" s="116">
        <v>318.14999999999998</v>
      </c>
      <c r="R911">
        <v>636032</v>
      </c>
    </row>
    <row r="912" spans="1:18" x14ac:dyDescent="0.25">
      <c r="A912" s="170">
        <v>43342</v>
      </c>
      <c r="B912" s="116">
        <v>318.60000000000002</v>
      </c>
      <c r="C912" s="116">
        <v>316.7</v>
      </c>
      <c r="D912" s="116">
        <v>312</v>
      </c>
      <c r="E912" s="116">
        <v>315</v>
      </c>
      <c r="F912" s="116">
        <v>316.7</v>
      </c>
      <c r="G912">
        <v>34921</v>
      </c>
      <c r="H912" s="116"/>
      <c r="I912" s="116"/>
      <c r="L912" s="170">
        <v>43342</v>
      </c>
      <c r="M912" s="116">
        <v>317.64999999999998</v>
      </c>
      <c r="N912" s="116">
        <v>319.2</v>
      </c>
      <c r="O912" s="116">
        <v>315</v>
      </c>
      <c r="P912" s="116">
        <v>316.55</v>
      </c>
      <c r="Q912" s="116">
        <v>317.64999999999998</v>
      </c>
      <c r="R912">
        <v>666237</v>
      </c>
    </row>
    <row r="913" spans="1:18" x14ac:dyDescent="0.25">
      <c r="A913" s="170">
        <v>43343</v>
      </c>
      <c r="B913" s="116">
        <v>323.39999999999998</v>
      </c>
      <c r="C913" s="116">
        <v>320.60000000000002</v>
      </c>
      <c r="D913" s="116">
        <v>317.55</v>
      </c>
      <c r="E913" s="116">
        <v>318</v>
      </c>
      <c r="F913" s="116">
        <v>320.60000000000002</v>
      </c>
      <c r="G913">
        <v>38855</v>
      </c>
      <c r="H913" s="116"/>
      <c r="I913" s="116"/>
      <c r="L913" s="170">
        <v>43343</v>
      </c>
      <c r="M913" s="116">
        <v>319.89999999999998</v>
      </c>
      <c r="N913" s="116">
        <v>323.89999999999998</v>
      </c>
      <c r="O913" s="116">
        <v>317.45</v>
      </c>
      <c r="P913" s="116">
        <v>319</v>
      </c>
      <c r="Q913" s="116">
        <v>319.89999999999998</v>
      </c>
      <c r="R913">
        <v>683956</v>
      </c>
    </row>
    <row r="914" spans="1:18" x14ac:dyDescent="0.25">
      <c r="A914" s="170">
        <v>43346</v>
      </c>
      <c r="B914" s="116">
        <v>331</v>
      </c>
      <c r="C914" s="116">
        <v>321</v>
      </c>
      <c r="D914" s="116">
        <v>318.05</v>
      </c>
      <c r="E914" s="116">
        <v>320</v>
      </c>
      <c r="F914" s="116">
        <v>321</v>
      </c>
      <c r="G914">
        <v>113663</v>
      </c>
      <c r="H914" s="116"/>
      <c r="I914" s="116"/>
      <c r="L914" s="170">
        <v>43346</v>
      </c>
      <c r="M914" s="116">
        <v>321.14999999999998</v>
      </c>
      <c r="N914" s="116">
        <v>330.9</v>
      </c>
      <c r="O914" s="116">
        <v>318.2</v>
      </c>
      <c r="P914" s="116">
        <v>319</v>
      </c>
      <c r="Q914" s="116">
        <v>321.14999999999998</v>
      </c>
      <c r="R914">
        <v>1738538</v>
      </c>
    </row>
    <row r="915" spans="1:18" x14ac:dyDescent="0.25">
      <c r="A915" s="170">
        <v>43347</v>
      </c>
      <c r="B915" s="116">
        <v>336.5</v>
      </c>
      <c r="C915" s="116">
        <v>315.89999999999998</v>
      </c>
      <c r="D915" s="116">
        <v>314.7</v>
      </c>
      <c r="E915" s="116">
        <v>327</v>
      </c>
      <c r="F915" s="116">
        <v>315.89999999999998</v>
      </c>
      <c r="G915">
        <v>37591</v>
      </c>
      <c r="H915" s="116"/>
      <c r="I915" s="116"/>
      <c r="L915" s="170">
        <v>43347</v>
      </c>
      <c r="M915" s="116">
        <v>315.89999999999998</v>
      </c>
      <c r="N915" s="116">
        <v>323.55</v>
      </c>
      <c r="O915" s="116">
        <v>315.3</v>
      </c>
      <c r="P915" s="116">
        <v>322.39999999999998</v>
      </c>
      <c r="Q915" s="116">
        <v>315.89999999999998</v>
      </c>
      <c r="R915">
        <v>825212</v>
      </c>
    </row>
    <row r="916" spans="1:18" x14ac:dyDescent="0.25">
      <c r="A916" s="170">
        <v>43348</v>
      </c>
      <c r="B916" s="116">
        <v>319.60000000000002</v>
      </c>
      <c r="C916" s="116">
        <v>312.05</v>
      </c>
      <c r="D916" s="116">
        <v>305.5</v>
      </c>
      <c r="E916" s="116">
        <v>319.60000000000002</v>
      </c>
      <c r="F916" s="116">
        <v>312.05</v>
      </c>
      <c r="G916">
        <v>50011</v>
      </c>
      <c r="H916" s="116"/>
      <c r="I916" s="116"/>
      <c r="L916" s="170">
        <v>43348</v>
      </c>
      <c r="M916" s="116">
        <v>311.75</v>
      </c>
      <c r="N916" s="116">
        <v>318.05</v>
      </c>
      <c r="O916" s="116">
        <v>305.25</v>
      </c>
      <c r="P916" s="116">
        <v>316.95</v>
      </c>
      <c r="Q916" s="116">
        <v>311.75</v>
      </c>
      <c r="R916">
        <v>1192942</v>
      </c>
    </row>
    <row r="917" spans="1:18" x14ac:dyDescent="0.25">
      <c r="A917" s="170">
        <v>43349</v>
      </c>
      <c r="B917" s="116">
        <v>314.39999999999998</v>
      </c>
      <c r="C917" s="116">
        <v>310</v>
      </c>
      <c r="D917" s="116">
        <v>309</v>
      </c>
      <c r="E917" s="116">
        <v>312.25</v>
      </c>
      <c r="F917" s="116">
        <v>310</v>
      </c>
      <c r="G917">
        <v>38714</v>
      </c>
      <c r="H917" s="116"/>
      <c r="I917" s="116"/>
      <c r="L917" s="170">
        <v>43349</v>
      </c>
      <c r="M917" s="116">
        <v>310.7</v>
      </c>
      <c r="N917" s="116">
        <v>314.8</v>
      </c>
      <c r="O917" s="116">
        <v>309.10000000000002</v>
      </c>
      <c r="P917" s="116">
        <v>312</v>
      </c>
      <c r="Q917" s="116">
        <v>310.7</v>
      </c>
      <c r="R917">
        <v>911910</v>
      </c>
    </row>
    <row r="918" spans="1:18" x14ac:dyDescent="0.25">
      <c r="A918" s="170">
        <v>43350</v>
      </c>
      <c r="B918" s="116">
        <v>311.89999999999998</v>
      </c>
      <c r="C918" s="116">
        <v>310.3</v>
      </c>
      <c r="D918" s="116">
        <v>308</v>
      </c>
      <c r="E918" s="116">
        <v>311.14999999999998</v>
      </c>
      <c r="F918" s="116">
        <v>310.3</v>
      </c>
      <c r="G918">
        <v>45641</v>
      </c>
      <c r="H918" s="116"/>
      <c r="I918" s="116"/>
      <c r="L918" s="170">
        <v>43350</v>
      </c>
      <c r="M918" s="116">
        <v>310.8</v>
      </c>
      <c r="N918" s="116">
        <v>313</v>
      </c>
      <c r="O918" s="116">
        <v>308</v>
      </c>
      <c r="P918" s="116">
        <v>311</v>
      </c>
      <c r="Q918" s="116">
        <v>310.8</v>
      </c>
      <c r="R918">
        <v>525441</v>
      </c>
    </row>
    <row r="919" spans="1:18" x14ac:dyDescent="0.25">
      <c r="A919" s="170">
        <v>43353</v>
      </c>
      <c r="B919" s="116">
        <v>315.95</v>
      </c>
      <c r="C919" s="116">
        <v>311.3</v>
      </c>
      <c r="D919" s="116">
        <v>309.10000000000002</v>
      </c>
      <c r="E919" s="116">
        <v>312</v>
      </c>
      <c r="F919" s="116">
        <v>311.3</v>
      </c>
      <c r="G919">
        <v>56485</v>
      </c>
      <c r="H919" s="116"/>
      <c r="I919" s="116"/>
      <c r="L919" s="170">
        <v>43353</v>
      </c>
      <c r="M919" s="116">
        <v>312.60000000000002</v>
      </c>
      <c r="N919" s="116">
        <v>316.39999999999998</v>
      </c>
      <c r="O919" s="116">
        <v>309.3</v>
      </c>
      <c r="P919" s="116">
        <v>311</v>
      </c>
      <c r="Q919" s="116">
        <v>312.60000000000002</v>
      </c>
      <c r="R919">
        <v>548200</v>
      </c>
    </row>
    <row r="920" spans="1:18" x14ac:dyDescent="0.25">
      <c r="A920" s="170">
        <v>43354</v>
      </c>
      <c r="B920" s="116">
        <v>313.10000000000002</v>
      </c>
      <c r="C920" s="116">
        <v>309.45</v>
      </c>
      <c r="D920" s="116">
        <v>307.89999999999998</v>
      </c>
      <c r="E920" s="116">
        <v>312.8</v>
      </c>
      <c r="F920" s="116">
        <v>309.45</v>
      </c>
      <c r="G920">
        <v>40386</v>
      </c>
      <c r="H920" s="116"/>
      <c r="I920" s="116"/>
      <c r="L920" s="170">
        <v>43354</v>
      </c>
      <c r="M920" s="116">
        <v>309.10000000000002</v>
      </c>
      <c r="N920" s="116">
        <v>313.39999999999998</v>
      </c>
      <c r="O920" s="116">
        <v>307.7</v>
      </c>
      <c r="P920" s="116">
        <v>312.10000000000002</v>
      </c>
      <c r="Q920" s="116">
        <v>309.10000000000002</v>
      </c>
      <c r="R920">
        <v>489001</v>
      </c>
    </row>
    <row r="921" spans="1:18" x14ac:dyDescent="0.25">
      <c r="A921" s="170">
        <v>43355</v>
      </c>
      <c r="B921" s="116">
        <v>309.35000000000002</v>
      </c>
      <c r="C921" s="116">
        <v>304</v>
      </c>
      <c r="D921" s="116">
        <v>297.60000000000002</v>
      </c>
      <c r="E921" s="116">
        <v>308.7</v>
      </c>
      <c r="F921" s="116">
        <v>304</v>
      </c>
      <c r="G921">
        <v>68001</v>
      </c>
      <c r="H921" s="116"/>
      <c r="I921" s="116"/>
      <c r="L921" s="170">
        <v>43355</v>
      </c>
      <c r="M921" s="116">
        <v>303.14999999999998</v>
      </c>
      <c r="N921" s="116">
        <v>310.05</v>
      </c>
      <c r="O921" s="116">
        <v>297.95</v>
      </c>
      <c r="P921" s="116">
        <v>308.7</v>
      </c>
      <c r="Q921" s="116">
        <v>303.14999999999998</v>
      </c>
      <c r="R921">
        <v>802880</v>
      </c>
    </row>
    <row r="922" spans="1:18" x14ac:dyDescent="0.25">
      <c r="A922" s="170">
        <v>43357</v>
      </c>
      <c r="B922" s="116">
        <v>312.7</v>
      </c>
      <c r="C922" s="116">
        <v>309.39999999999998</v>
      </c>
      <c r="D922" s="116">
        <v>303.39999999999998</v>
      </c>
      <c r="E922" s="116">
        <v>303.39999999999998</v>
      </c>
      <c r="F922" s="116">
        <v>309.39999999999998</v>
      </c>
      <c r="G922">
        <v>56555</v>
      </c>
      <c r="H922" s="116"/>
      <c r="I922" s="116"/>
      <c r="L922" s="170">
        <v>43357</v>
      </c>
      <c r="M922" s="116">
        <v>309.89999999999998</v>
      </c>
      <c r="N922" s="116">
        <v>313.35000000000002</v>
      </c>
      <c r="O922" s="116">
        <v>303</v>
      </c>
      <c r="P922" s="116">
        <v>303</v>
      </c>
      <c r="Q922" s="116">
        <v>309.89999999999998</v>
      </c>
      <c r="R922">
        <v>593195</v>
      </c>
    </row>
    <row r="923" spans="1:18" x14ac:dyDescent="0.25">
      <c r="A923" s="170">
        <v>43360</v>
      </c>
      <c r="B923" s="116">
        <v>328.35</v>
      </c>
      <c r="C923" s="116">
        <v>323</v>
      </c>
      <c r="D923" s="116">
        <v>307.85000000000002</v>
      </c>
      <c r="E923" s="116">
        <v>309</v>
      </c>
      <c r="F923" s="116">
        <v>323</v>
      </c>
      <c r="G923">
        <v>220009</v>
      </c>
      <c r="H923" s="116"/>
      <c r="I923" s="116"/>
      <c r="L923" s="170">
        <v>43360</v>
      </c>
      <c r="M923" s="116">
        <v>324.25</v>
      </c>
      <c r="N923" s="116">
        <v>328.8</v>
      </c>
      <c r="O923" s="116">
        <v>306.5</v>
      </c>
      <c r="P923" s="116">
        <v>306.5</v>
      </c>
      <c r="Q923" s="116">
        <v>324.25</v>
      </c>
      <c r="R923">
        <v>2193321</v>
      </c>
    </row>
    <row r="924" spans="1:18" x14ac:dyDescent="0.25">
      <c r="A924" s="170">
        <v>43361</v>
      </c>
      <c r="B924" s="116">
        <v>324.85000000000002</v>
      </c>
      <c r="C924" s="116">
        <v>311.05</v>
      </c>
      <c r="D924" s="116">
        <v>310</v>
      </c>
      <c r="E924" s="116">
        <v>323.8</v>
      </c>
      <c r="F924" s="116">
        <v>311.05</v>
      </c>
      <c r="G924">
        <v>59537</v>
      </c>
      <c r="H924" s="116"/>
      <c r="I924" s="116"/>
      <c r="L924" s="170">
        <v>43361</v>
      </c>
      <c r="M924" s="116">
        <v>311.60000000000002</v>
      </c>
      <c r="N924" s="116">
        <v>325.05</v>
      </c>
      <c r="O924" s="116">
        <v>310</v>
      </c>
      <c r="P924" s="116">
        <v>323.25</v>
      </c>
      <c r="Q924" s="116">
        <v>311.60000000000002</v>
      </c>
      <c r="R924">
        <v>726984</v>
      </c>
    </row>
    <row r="925" spans="1:18" x14ac:dyDescent="0.25">
      <c r="A925" s="170">
        <v>43362</v>
      </c>
      <c r="B925" s="116">
        <v>313.55</v>
      </c>
      <c r="C925" s="116">
        <v>307.8</v>
      </c>
      <c r="D925" s="116">
        <v>305.95</v>
      </c>
      <c r="E925" s="116">
        <v>312.35000000000002</v>
      </c>
      <c r="F925" s="116">
        <v>307.8</v>
      </c>
      <c r="G925">
        <v>49022</v>
      </c>
      <c r="H925" s="116"/>
      <c r="I925" s="116"/>
      <c r="L925" s="170">
        <v>43362</v>
      </c>
      <c r="M925" s="116">
        <v>308.85000000000002</v>
      </c>
      <c r="N925" s="116">
        <v>313.89999999999998</v>
      </c>
      <c r="O925" s="116">
        <v>306.25</v>
      </c>
      <c r="P925" s="116">
        <v>313</v>
      </c>
      <c r="Q925" s="116">
        <v>308.85000000000002</v>
      </c>
      <c r="R925">
        <v>475858</v>
      </c>
    </row>
    <row r="926" spans="1:18" x14ac:dyDescent="0.25">
      <c r="A926" s="170">
        <v>43364</v>
      </c>
      <c r="B926" s="116">
        <v>311.45</v>
      </c>
      <c r="C926" s="116">
        <v>290.25</v>
      </c>
      <c r="D926" s="116">
        <v>263</v>
      </c>
      <c r="E926" s="116">
        <v>310</v>
      </c>
      <c r="F926" s="116">
        <v>290.25</v>
      </c>
      <c r="G926">
        <v>145328</v>
      </c>
      <c r="H926" s="116"/>
      <c r="I926" s="116"/>
      <c r="L926" s="170">
        <v>43364</v>
      </c>
      <c r="M926" s="116">
        <v>292.55</v>
      </c>
      <c r="N926" s="116">
        <v>312.10000000000002</v>
      </c>
      <c r="O926" s="116">
        <v>263.25</v>
      </c>
      <c r="P926" s="116">
        <v>309</v>
      </c>
      <c r="Q926" s="116">
        <v>292.55</v>
      </c>
      <c r="R926">
        <v>2113853</v>
      </c>
    </row>
    <row r="927" spans="1:18" x14ac:dyDescent="0.25">
      <c r="A927" s="170">
        <v>43367</v>
      </c>
      <c r="B927" s="116">
        <v>299.2</v>
      </c>
      <c r="C927" s="116">
        <v>271.7</v>
      </c>
      <c r="D927" s="116">
        <v>264.35000000000002</v>
      </c>
      <c r="E927" s="116">
        <v>296</v>
      </c>
      <c r="F927" s="116">
        <v>271.7</v>
      </c>
      <c r="G927">
        <v>218264</v>
      </c>
      <c r="H927" s="116"/>
      <c r="I927" s="116"/>
      <c r="L927" s="170">
        <v>43367</v>
      </c>
      <c r="M927" s="116">
        <v>268.60000000000002</v>
      </c>
      <c r="N927" s="116">
        <v>299.8</v>
      </c>
      <c r="O927" s="116">
        <v>266.5</v>
      </c>
      <c r="P927" s="116">
        <v>295</v>
      </c>
      <c r="Q927" s="116">
        <v>268.60000000000002</v>
      </c>
      <c r="R927">
        <v>1641904</v>
      </c>
    </row>
    <row r="928" spans="1:18" x14ac:dyDescent="0.25">
      <c r="A928" s="170">
        <v>43368</v>
      </c>
      <c r="B928" s="116">
        <v>279</v>
      </c>
      <c r="C928" s="116">
        <v>254</v>
      </c>
      <c r="D928" s="116">
        <v>231.6</v>
      </c>
      <c r="E928" s="116">
        <v>279</v>
      </c>
      <c r="F928" s="116">
        <v>254</v>
      </c>
      <c r="G928">
        <v>348895</v>
      </c>
      <c r="H928" s="116"/>
      <c r="I928" s="116"/>
      <c r="L928" s="170">
        <v>43368</v>
      </c>
      <c r="M928" s="116">
        <v>253.8</v>
      </c>
      <c r="N928" s="116">
        <v>268.5</v>
      </c>
      <c r="O928" s="116">
        <v>232.65</v>
      </c>
      <c r="P928" s="116">
        <v>266.5</v>
      </c>
      <c r="Q928" s="116">
        <v>253.8</v>
      </c>
      <c r="R928">
        <v>3615362</v>
      </c>
    </row>
    <row r="929" spans="1:18" x14ac:dyDescent="0.25">
      <c r="A929" s="170">
        <v>43369</v>
      </c>
      <c r="B929" s="116">
        <v>260.64999999999998</v>
      </c>
      <c r="C929" s="116">
        <v>248.85</v>
      </c>
      <c r="D929" s="116">
        <v>246.15</v>
      </c>
      <c r="E929" s="116">
        <v>255</v>
      </c>
      <c r="F929" s="116">
        <v>248.85</v>
      </c>
      <c r="G929">
        <v>177663</v>
      </c>
      <c r="H929" s="116"/>
      <c r="I929" s="116"/>
      <c r="L929" s="170">
        <v>43369</v>
      </c>
      <c r="M929" s="116">
        <v>248.65</v>
      </c>
      <c r="N929" s="116">
        <v>260.35000000000002</v>
      </c>
      <c r="O929" s="116">
        <v>246.05</v>
      </c>
      <c r="P929" s="116">
        <v>255.55</v>
      </c>
      <c r="Q929" s="116">
        <v>248.65</v>
      </c>
      <c r="R929">
        <v>2245941</v>
      </c>
    </row>
    <row r="930" spans="1:18" x14ac:dyDescent="0.25">
      <c r="A930" s="170">
        <v>43370</v>
      </c>
      <c r="B930" s="116">
        <v>250.6</v>
      </c>
      <c r="C930" s="116">
        <v>227.75</v>
      </c>
      <c r="D930" s="116">
        <v>225.55</v>
      </c>
      <c r="E930" s="116">
        <v>248.85</v>
      </c>
      <c r="F930" s="116">
        <v>227.75</v>
      </c>
      <c r="G930">
        <v>187795</v>
      </c>
      <c r="H930" s="116"/>
      <c r="I930" s="116"/>
      <c r="L930" s="170">
        <v>43370</v>
      </c>
      <c r="M930" s="116">
        <v>227.3</v>
      </c>
      <c r="N930" s="116">
        <v>251</v>
      </c>
      <c r="O930" s="116">
        <v>225</v>
      </c>
      <c r="P930" s="116">
        <v>248</v>
      </c>
      <c r="Q930" s="116">
        <v>227.3</v>
      </c>
      <c r="R930">
        <v>2530915</v>
      </c>
    </row>
    <row r="931" spans="1:18" x14ac:dyDescent="0.25">
      <c r="A931" s="170">
        <v>43371</v>
      </c>
      <c r="B931" s="116">
        <v>246.35</v>
      </c>
      <c r="C931" s="116">
        <v>237.85</v>
      </c>
      <c r="D931" s="116">
        <v>220.05</v>
      </c>
      <c r="E931" s="116">
        <v>220.05</v>
      </c>
      <c r="F931" s="116">
        <v>237.85</v>
      </c>
      <c r="G931">
        <v>348287</v>
      </c>
      <c r="H931" s="116"/>
      <c r="I931" s="116"/>
      <c r="L931" s="170">
        <v>43371</v>
      </c>
      <c r="M931" s="116">
        <v>237.6</v>
      </c>
      <c r="N931" s="116">
        <v>246.65</v>
      </c>
      <c r="O931" s="116">
        <v>223</v>
      </c>
      <c r="P931" s="116">
        <v>231</v>
      </c>
      <c r="Q931" s="116">
        <v>237.6</v>
      </c>
      <c r="R931">
        <v>5205383</v>
      </c>
    </row>
    <row r="932" spans="1:18" x14ac:dyDescent="0.25">
      <c r="A932" s="170">
        <v>43374</v>
      </c>
      <c r="B932" s="116">
        <v>265.25</v>
      </c>
      <c r="C932" s="116">
        <v>261.14999999999998</v>
      </c>
      <c r="D932" s="116">
        <v>229.4</v>
      </c>
      <c r="E932" s="116">
        <v>240</v>
      </c>
      <c r="F932" s="116">
        <v>261.14999999999998</v>
      </c>
      <c r="G932">
        <v>307465</v>
      </c>
      <c r="H932" s="116"/>
      <c r="I932" s="116"/>
      <c r="L932" s="170">
        <v>43374</v>
      </c>
      <c r="M932" s="116">
        <v>261.7</v>
      </c>
      <c r="N932" s="116">
        <v>266.64999999999998</v>
      </c>
      <c r="O932" s="116">
        <v>229.4</v>
      </c>
      <c r="P932" s="116">
        <v>237</v>
      </c>
      <c r="Q932" s="116">
        <v>261.7</v>
      </c>
      <c r="R932">
        <v>4532697</v>
      </c>
    </row>
    <row r="933" spans="1:18" x14ac:dyDescent="0.25">
      <c r="A933" s="170">
        <v>43376</v>
      </c>
      <c r="B933" s="116">
        <v>264.39999999999998</v>
      </c>
      <c r="C933" s="116">
        <v>252.5</v>
      </c>
      <c r="D933" s="116">
        <v>249</v>
      </c>
      <c r="E933" s="116">
        <v>260</v>
      </c>
      <c r="F933" s="116">
        <v>252.5</v>
      </c>
      <c r="G933">
        <v>137639</v>
      </c>
      <c r="H933" s="116"/>
      <c r="I933" s="116"/>
      <c r="L933" s="170">
        <v>43376</v>
      </c>
      <c r="M933" s="116">
        <v>251.9</v>
      </c>
      <c r="N933" s="116">
        <v>264.3</v>
      </c>
      <c r="O933" s="116">
        <v>248.3</v>
      </c>
      <c r="P933" s="116">
        <v>257.75</v>
      </c>
      <c r="Q933" s="116">
        <v>251.9</v>
      </c>
      <c r="R933">
        <v>1707752</v>
      </c>
    </row>
    <row r="934" spans="1:18" x14ac:dyDescent="0.25">
      <c r="A934" s="170">
        <v>43377</v>
      </c>
      <c r="B934" s="116">
        <v>249.7</v>
      </c>
      <c r="C934" s="116">
        <v>245.4</v>
      </c>
      <c r="D934" s="116">
        <v>235.1</v>
      </c>
      <c r="E934" s="116">
        <v>247.5</v>
      </c>
      <c r="F934" s="116">
        <v>245.4</v>
      </c>
      <c r="G934">
        <v>142032</v>
      </c>
      <c r="H934" s="116"/>
      <c r="I934" s="116"/>
      <c r="L934" s="170">
        <v>43377</v>
      </c>
      <c r="M934" s="116">
        <v>246.2</v>
      </c>
      <c r="N934" s="116">
        <v>250.4</v>
      </c>
      <c r="O934" s="116">
        <v>235.9</v>
      </c>
      <c r="P934" s="116">
        <v>245</v>
      </c>
      <c r="Q934" s="116">
        <v>246.2</v>
      </c>
      <c r="R934">
        <v>1681325</v>
      </c>
    </row>
    <row r="935" spans="1:18" x14ac:dyDescent="0.25">
      <c r="A935" s="170">
        <v>43378</v>
      </c>
      <c r="B935" s="116">
        <v>251.8</v>
      </c>
      <c r="C935" s="116">
        <v>237</v>
      </c>
      <c r="D935" s="116">
        <v>230</v>
      </c>
      <c r="E935" s="116">
        <v>245</v>
      </c>
      <c r="F935" s="116">
        <v>237</v>
      </c>
      <c r="G935">
        <v>117268</v>
      </c>
      <c r="H935" s="116"/>
      <c r="I935" s="116"/>
      <c r="L935" s="170">
        <v>43378</v>
      </c>
      <c r="M935" s="116">
        <v>236.95</v>
      </c>
      <c r="N935" s="116">
        <v>251.85</v>
      </c>
      <c r="O935" s="116">
        <v>231.6</v>
      </c>
      <c r="P935" s="116">
        <v>244.7</v>
      </c>
      <c r="Q935" s="116">
        <v>236.95</v>
      </c>
      <c r="R935">
        <v>1195049</v>
      </c>
    </row>
    <row r="936" spans="1:18" x14ac:dyDescent="0.25">
      <c r="A936" s="170">
        <v>43381</v>
      </c>
      <c r="B936" s="116">
        <v>238.35</v>
      </c>
      <c r="C936" s="116">
        <v>224.95</v>
      </c>
      <c r="D936" s="116">
        <v>218.15</v>
      </c>
      <c r="E936" s="116">
        <v>234.1</v>
      </c>
      <c r="F936" s="116">
        <v>224.95</v>
      </c>
      <c r="G936">
        <v>175626</v>
      </c>
      <c r="H936" s="116"/>
      <c r="I936" s="116"/>
      <c r="L936" s="170">
        <v>43381</v>
      </c>
      <c r="M936" s="116">
        <v>225.3</v>
      </c>
      <c r="N936" s="116">
        <v>238.8</v>
      </c>
      <c r="O936" s="116">
        <v>218.25</v>
      </c>
      <c r="P936" s="116">
        <v>235</v>
      </c>
      <c r="Q936" s="116">
        <v>225.3</v>
      </c>
      <c r="R936">
        <v>1769943</v>
      </c>
    </row>
    <row r="937" spans="1:18" x14ac:dyDescent="0.25">
      <c r="A937" s="170">
        <v>43382</v>
      </c>
      <c r="B937" s="116">
        <v>246.4</v>
      </c>
      <c r="C937" s="116">
        <v>234</v>
      </c>
      <c r="D937" s="116">
        <v>220.25</v>
      </c>
      <c r="E937" s="116">
        <v>225</v>
      </c>
      <c r="F937" s="116">
        <v>234</v>
      </c>
      <c r="G937">
        <v>222327</v>
      </c>
      <c r="H937" s="116"/>
      <c r="I937" s="116"/>
      <c r="L937" s="170">
        <v>43382</v>
      </c>
      <c r="M937" s="116">
        <v>234.25</v>
      </c>
      <c r="N937" s="116">
        <v>247</v>
      </c>
      <c r="O937" s="116">
        <v>220.05</v>
      </c>
      <c r="P937" s="116">
        <v>226.3</v>
      </c>
      <c r="Q937" s="116">
        <v>234.25</v>
      </c>
      <c r="R937">
        <v>2766301</v>
      </c>
    </row>
    <row r="938" spans="1:18" x14ac:dyDescent="0.25">
      <c r="A938" s="170">
        <v>43383</v>
      </c>
      <c r="B938" s="116">
        <v>255.5</v>
      </c>
      <c r="C938" s="116">
        <v>252.1</v>
      </c>
      <c r="D938" s="116">
        <v>234.15</v>
      </c>
      <c r="E938" s="116">
        <v>234.15</v>
      </c>
      <c r="F938" s="116">
        <v>252.1</v>
      </c>
      <c r="G938">
        <v>167724</v>
      </c>
      <c r="H938" s="116"/>
      <c r="I938" s="116"/>
      <c r="L938" s="170">
        <v>43383</v>
      </c>
      <c r="M938" s="116">
        <v>252.3</v>
      </c>
      <c r="N938" s="116">
        <v>256</v>
      </c>
      <c r="O938" s="116">
        <v>236.5</v>
      </c>
      <c r="P938" s="116">
        <v>236.5</v>
      </c>
      <c r="Q938" s="116">
        <v>252.3</v>
      </c>
      <c r="R938">
        <v>2530297</v>
      </c>
    </row>
    <row r="939" spans="1:18" x14ac:dyDescent="0.25">
      <c r="A939" s="170">
        <v>43384</v>
      </c>
      <c r="B939" s="116">
        <v>249.15</v>
      </c>
      <c r="C939" s="116">
        <v>238.75</v>
      </c>
      <c r="D939" s="116">
        <v>231.05</v>
      </c>
      <c r="E939" s="116">
        <v>240.1</v>
      </c>
      <c r="F939" s="116">
        <v>238.75</v>
      </c>
      <c r="G939">
        <v>140821</v>
      </c>
      <c r="H939" s="116"/>
      <c r="I939" s="116"/>
      <c r="L939" s="170">
        <v>43384</v>
      </c>
      <c r="M939" s="116">
        <v>238.8</v>
      </c>
      <c r="N939" s="116">
        <v>249.3</v>
      </c>
      <c r="O939" s="116">
        <v>231.4</v>
      </c>
      <c r="P939" s="116">
        <v>240</v>
      </c>
      <c r="Q939" s="116">
        <v>238.8</v>
      </c>
      <c r="R939">
        <v>1580911</v>
      </c>
    </row>
    <row r="940" spans="1:18" x14ac:dyDescent="0.25">
      <c r="A940" s="170">
        <v>43385</v>
      </c>
      <c r="B940" s="116">
        <v>259.35000000000002</v>
      </c>
      <c r="C940" s="116">
        <v>244.95</v>
      </c>
      <c r="D940" s="116">
        <v>238.8</v>
      </c>
      <c r="E940" s="116">
        <v>242.5</v>
      </c>
      <c r="F940" s="116">
        <v>244.95</v>
      </c>
      <c r="G940">
        <v>265389</v>
      </c>
      <c r="H940" s="116"/>
      <c r="I940" s="116"/>
      <c r="L940" s="170">
        <v>43385</v>
      </c>
      <c r="M940" s="116">
        <v>245.15</v>
      </c>
      <c r="N940" s="116">
        <v>259</v>
      </c>
      <c r="O940" s="116">
        <v>240</v>
      </c>
      <c r="P940" s="116">
        <v>241.9</v>
      </c>
      <c r="Q940" s="116">
        <v>245.15</v>
      </c>
      <c r="R940">
        <v>2803952</v>
      </c>
    </row>
    <row r="941" spans="1:18" x14ac:dyDescent="0.25">
      <c r="A941" s="170">
        <v>43388</v>
      </c>
      <c r="B941" s="116">
        <v>247.8</v>
      </c>
      <c r="C941" s="116">
        <v>245.6</v>
      </c>
      <c r="D941" s="116">
        <v>240.85</v>
      </c>
      <c r="E941" s="116">
        <v>245</v>
      </c>
      <c r="F941" s="116">
        <v>245.6</v>
      </c>
      <c r="G941">
        <v>50375</v>
      </c>
      <c r="H941" s="116"/>
      <c r="I941" s="116"/>
      <c r="L941" s="170">
        <v>43388</v>
      </c>
      <c r="M941" s="116">
        <v>245.95</v>
      </c>
      <c r="N941" s="116">
        <v>248</v>
      </c>
      <c r="O941" s="116">
        <v>240.3</v>
      </c>
      <c r="P941" s="116">
        <v>245</v>
      </c>
      <c r="Q941" s="116">
        <v>245.95</v>
      </c>
      <c r="R941">
        <v>807029</v>
      </c>
    </row>
    <row r="942" spans="1:18" x14ac:dyDescent="0.25">
      <c r="A942" s="170">
        <v>43389</v>
      </c>
      <c r="B942" s="116">
        <v>251.8</v>
      </c>
      <c r="C942" s="116">
        <v>242.3</v>
      </c>
      <c r="D942" s="116">
        <v>239.45</v>
      </c>
      <c r="E942" s="116">
        <v>247</v>
      </c>
      <c r="F942" s="116">
        <v>242.3</v>
      </c>
      <c r="G942">
        <v>96135</v>
      </c>
      <c r="H942" s="116"/>
      <c r="I942" s="116"/>
      <c r="L942" s="170">
        <v>43389</v>
      </c>
      <c r="M942" s="116">
        <v>241.7</v>
      </c>
      <c r="N942" s="116">
        <v>251.9</v>
      </c>
      <c r="O942" s="116">
        <v>238.6</v>
      </c>
      <c r="P942" s="116">
        <v>247.95</v>
      </c>
      <c r="Q942" s="116">
        <v>241.7</v>
      </c>
      <c r="R942">
        <v>1519162</v>
      </c>
    </row>
    <row r="943" spans="1:18" x14ac:dyDescent="0.25">
      <c r="A943" s="170">
        <v>43390</v>
      </c>
      <c r="B943" s="116">
        <v>247</v>
      </c>
      <c r="C943" s="116">
        <v>231.25</v>
      </c>
      <c r="D943" s="116">
        <v>228.5</v>
      </c>
      <c r="E943" s="116">
        <v>245</v>
      </c>
      <c r="F943" s="116">
        <v>231.25</v>
      </c>
      <c r="G943">
        <v>160507</v>
      </c>
      <c r="H943" s="116"/>
      <c r="I943" s="116"/>
      <c r="L943" s="170">
        <v>43390</v>
      </c>
      <c r="M943" s="116">
        <v>231.8</v>
      </c>
      <c r="N943" s="116">
        <v>246.95</v>
      </c>
      <c r="O943" s="116">
        <v>228.1</v>
      </c>
      <c r="P943" s="116">
        <v>243.9</v>
      </c>
      <c r="Q943" s="116">
        <v>231.8</v>
      </c>
      <c r="R943">
        <v>2200201</v>
      </c>
    </row>
    <row r="944" spans="1:18" x14ac:dyDescent="0.25">
      <c r="A944" s="170">
        <v>43392</v>
      </c>
      <c r="B944" s="116">
        <v>238.5</v>
      </c>
      <c r="C944" s="116">
        <v>231.25</v>
      </c>
      <c r="D944" s="116">
        <v>226.75</v>
      </c>
      <c r="E944" s="116">
        <v>231</v>
      </c>
      <c r="F944" s="116">
        <v>231.25</v>
      </c>
      <c r="G944">
        <v>169895</v>
      </c>
      <c r="H944" s="116"/>
      <c r="I944" s="116"/>
      <c r="L944" s="170">
        <v>43392</v>
      </c>
      <c r="M944" s="116">
        <v>230.65</v>
      </c>
      <c r="N944" s="116">
        <v>239.15</v>
      </c>
      <c r="O944" s="116">
        <v>226.55</v>
      </c>
      <c r="P944" s="116">
        <v>231.9</v>
      </c>
      <c r="Q944" s="116">
        <v>230.65</v>
      </c>
      <c r="R944">
        <v>1698583</v>
      </c>
    </row>
    <row r="945" spans="1:18" x14ac:dyDescent="0.25">
      <c r="A945" s="170">
        <v>43395</v>
      </c>
      <c r="B945" s="116">
        <v>233.15</v>
      </c>
      <c r="C945" s="116">
        <v>224.95</v>
      </c>
      <c r="D945" s="116">
        <v>222.3</v>
      </c>
      <c r="E945" s="116">
        <v>233</v>
      </c>
      <c r="F945" s="116">
        <v>224.95</v>
      </c>
      <c r="G945">
        <v>169764</v>
      </c>
      <c r="H945" s="116"/>
      <c r="I945" s="116"/>
      <c r="L945" s="170">
        <v>43395</v>
      </c>
      <c r="M945" s="116">
        <v>225.7</v>
      </c>
      <c r="N945" s="116">
        <v>233.75</v>
      </c>
      <c r="O945" s="116">
        <v>223</v>
      </c>
      <c r="P945" s="116">
        <v>232</v>
      </c>
      <c r="Q945" s="116">
        <v>225.7</v>
      </c>
      <c r="R945">
        <v>1576606</v>
      </c>
    </row>
    <row r="946" spans="1:18" x14ac:dyDescent="0.25">
      <c r="A946" s="170">
        <v>43396</v>
      </c>
      <c r="B946" s="116">
        <v>241.15</v>
      </c>
      <c r="C946" s="116">
        <v>221.6</v>
      </c>
      <c r="D946" s="116">
        <v>217</v>
      </c>
      <c r="E946" s="116">
        <v>220</v>
      </c>
      <c r="F946" s="116">
        <v>221.6</v>
      </c>
      <c r="G946">
        <v>940301</v>
      </c>
      <c r="H946" s="116"/>
      <c r="I946" s="116"/>
      <c r="L946" s="170">
        <v>43396</v>
      </c>
      <c r="M946" s="116">
        <v>222.25</v>
      </c>
      <c r="N946" s="116">
        <v>241.5</v>
      </c>
      <c r="O946" s="116">
        <v>216.5</v>
      </c>
      <c r="P946" s="116">
        <v>221.1</v>
      </c>
      <c r="Q946" s="116">
        <v>222.25</v>
      </c>
      <c r="R946">
        <v>4207402</v>
      </c>
    </row>
    <row r="947" spans="1:18" x14ac:dyDescent="0.25">
      <c r="A947" s="170">
        <v>43397</v>
      </c>
      <c r="B947" s="116">
        <v>253.5</v>
      </c>
      <c r="C947" s="116">
        <v>250.2</v>
      </c>
      <c r="D947" s="116">
        <v>225.4</v>
      </c>
      <c r="E947" s="116">
        <v>229</v>
      </c>
      <c r="F947" s="116">
        <v>250.2</v>
      </c>
      <c r="G947">
        <v>428286</v>
      </c>
      <c r="H947" s="116"/>
      <c r="I947" s="116"/>
      <c r="L947" s="170">
        <v>43397</v>
      </c>
      <c r="M947" s="116">
        <v>249.8</v>
      </c>
      <c r="N947" s="116">
        <v>253.3</v>
      </c>
      <c r="O947" s="116">
        <v>226.7</v>
      </c>
      <c r="P947" s="116">
        <v>226.7</v>
      </c>
      <c r="Q947" s="116">
        <v>249.8</v>
      </c>
      <c r="R947">
        <v>5508544</v>
      </c>
    </row>
    <row r="948" spans="1:18" x14ac:dyDescent="0.25">
      <c r="A948" s="170">
        <v>43398</v>
      </c>
      <c r="B948" s="116">
        <v>263</v>
      </c>
      <c r="C948" s="116">
        <v>257</v>
      </c>
      <c r="D948" s="116">
        <v>240</v>
      </c>
      <c r="E948" s="116">
        <v>240</v>
      </c>
      <c r="F948" s="116">
        <v>257</v>
      </c>
      <c r="G948">
        <v>404178</v>
      </c>
      <c r="H948" s="116"/>
      <c r="I948" s="116"/>
      <c r="L948" s="170">
        <v>43398</v>
      </c>
      <c r="M948" s="116">
        <v>256.95</v>
      </c>
      <c r="N948" s="116">
        <v>259.39999999999998</v>
      </c>
      <c r="O948" s="116">
        <v>241.4</v>
      </c>
      <c r="P948" s="116">
        <v>243.6</v>
      </c>
      <c r="Q948" s="116">
        <v>256.95</v>
      </c>
      <c r="R948">
        <v>3997399</v>
      </c>
    </row>
    <row r="949" spans="1:18" x14ac:dyDescent="0.25">
      <c r="A949" s="170">
        <v>43399</v>
      </c>
      <c r="B949" s="116">
        <v>263</v>
      </c>
      <c r="C949" s="116">
        <v>255.4</v>
      </c>
      <c r="D949" s="116">
        <v>246.35</v>
      </c>
      <c r="E949" s="116">
        <v>262</v>
      </c>
      <c r="F949" s="116">
        <v>255.4</v>
      </c>
      <c r="G949">
        <v>172003</v>
      </c>
      <c r="H949" s="116"/>
      <c r="I949" s="116"/>
      <c r="L949" s="170">
        <v>43399</v>
      </c>
      <c r="M949" s="116">
        <v>255.2</v>
      </c>
      <c r="N949" s="116">
        <v>263.2</v>
      </c>
      <c r="O949" s="116">
        <v>246</v>
      </c>
      <c r="P949" s="116">
        <v>255.3</v>
      </c>
      <c r="Q949" s="116">
        <v>255.2</v>
      </c>
      <c r="R949">
        <v>2228229</v>
      </c>
    </row>
    <row r="950" spans="1:18" x14ac:dyDescent="0.25">
      <c r="A950" s="170">
        <v>43402</v>
      </c>
      <c r="B950" s="116">
        <v>272.5</v>
      </c>
      <c r="C950" s="116">
        <v>268.10000000000002</v>
      </c>
      <c r="D950" s="116">
        <v>248.3</v>
      </c>
      <c r="E950" s="116">
        <v>255.45</v>
      </c>
      <c r="F950" s="116">
        <v>268.10000000000002</v>
      </c>
      <c r="G950">
        <v>142925</v>
      </c>
      <c r="H950" s="116"/>
      <c r="I950" s="116"/>
      <c r="L950" s="170">
        <v>43402</v>
      </c>
      <c r="M950" s="116">
        <v>267.60000000000002</v>
      </c>
      <c r="N950" s="116">
        <v>272.64999999999998</v>
      </c>
      <c r="O950" s="116">
        <v>247.8</v>
      </c>
      <c r="P950" s="116">
        <v>254.95</v>
      </c>
      <c r="Q950" s="116">
        <v>267.60000000000002</v>
      </c>
      <c r="R950">
        <v>2021125</v>
      </c>
    </row>
    <row r="951" spans="1:18" x14ac:dyDescent="0.25">
      <c r="A951" s="170">
        <v>43403</v>
      </c>
      <c r="B951" s="116">
        <v>274.5</v>
      </c>
      <c r="C951" s="116">
        <v>265.2</v>
      </c>
      <c r="D951" s="116">
        <v>263.2</v>
      </c>
      <c r="E951" s="116">
        <v>269.8</v>
      </c>
      <c r="F951" s="116">
        <v>265.2</v>
      </c>
      <c r="G951">
        <v>89714</v>
      </c>
      <c r="H951" s="116"/>
      <c r="I951" s="116"/>
      <c r="L951" s="170">
        <v>43403</v>
      </c>
      <c r="M951" s="116">
        <v>265.05</v>
      </c>
      <c r="N951" s="116">
        <v>274</v>
      </c>
      <c r="O951" s="116">
        <v>263.10000000000002</v>
      </c>
      <c r="P951" s="116">
        <v>264.8</v>
      </c>
      <c r="Q951" s="116">
        <v>265.05</v>
      </c>
      <c r="R951">
        <v>1308018</v>
      </c>
    </row>
    <row r="952" spans="1:18" x14ac:dyDescent="0.25">
      <c r="A952" s="170">
        <v>43404</v>
      </c>
      <c r="B952" s="116">
        <v>279.35000000000002</v>
      </c>
      <c r="C952" s="116">
        <v>274.85000000000002</v>
      </c>
      <c r="D952" s="116">
        <v>245.15</v>
      </c>
      <c r="E952" s="116">
        <v>269.89999999999998</v>
      </c>
      <c r="F952" s="116">
        <v>274.85000000000002</v>
      </c>
      <c r="G952">
        <v>217773</v>
      </c>
      <c r="H952" s="116"/>
      <c r="I952" s="116"/>
      <c r="L952" s="170">
        <v>43404</v>
      </c>
      <c r="M952" s="116">
        <v>275.8</v>
      </c>
      <c r="N952" s="116">
        <v>279.8</v>
      </c>
      <c r="O952" s="116">
        <v>246.05</v>
      </c>
      <c r="P952" s="116">
        <v>265</v>
      </c>
      <c r="Q952" s="116">
        <v>275.8</v>
      </c>
      <c r="R952">
        <v>3102508</v>
      </c>
    </row>
    <row r="953" spans="1:18" x14ac:dyDescent="0.25">
      <c r="A953" s="170">
        <v>43405</v>
      </c>
      <c r="B953" s="116">
        <v>282.14999999999998</v>
      </c>
      <c r="C953" s="116">
        <v>275.64999999999998</v>
      </c>
      <c r="D953" s="116">
        <v>273.5</v>
      </c>
      <c r="E953" s="116">
        <v>275.5</v>
      </c>
      <c r="F953" s="116">
        <v>275.64999999999998</v>
      </c>
      <c r="G953">
        <v>90314</v>
      </c>
      <c r="H953" s="116"/>
      <c r="I953" s="116"/>
      <c r="L953" s="170">
        <v>43405</v>
      </c>
      <c r="M953" s="116">
        <v>275.95</v>
      </c>
      <c r="N953" s="116">
        <v>282.5</v>
      </c>
      <c r="O953" s="116">
        <v>274.25</v>
      </c>
      <c r="P953" s="116">
        <v>277</v>
      </c>
      <c r="Q953" s="116">
        <v>275.95</v>
      </c>
      <c r="R953">
        <v>1291590</v>
      </c>
    </row>
    <row r="954" spans="1:18" x14ac:dyDescent="0.25">
      <c r="A954" s="170">
        <v>43406</v>
      </c>
      <c r="B954" s="116">
        <v>285.3</v>
      </c>
      <c r="C954" s="116">
        <v>274.5</v>
      </c>
      <c r="D954" s="116">
        <v>273</v>
      </c>
      <c r="E954" s="116">
        <v>283.7</v>
      </c>
      <c r="F954" s="116">
        <v>274.5</v>
      </c>
      <c r="G954">
        <v>133395</v>
      </c>
      <c r="H954" s="116"/>
      <c r="I954" s="116"/>
      <c r="L954" s="170">
        <v>43406</v>
      </c>
      <c r="M954" s="116">
        <v>274.64999999999998</v>
      </c>
      <c r="N954" s="116">
        <v>285</v>
      </c>
      <c r="O954" s="116">
        <v>272.55</v>
      </c>
      <c r="P954" s="116">
        <v>279</v>
      </c>
      <c r="Q954" s="116">
        <v>274.64999999999998</v>
      </c>
      <c r="R954">
        <v>1551343</v>
      </c>
    </row>
    <row r="955" spans="1:18" x14ac:dyDescent="0.25">
      <c r="A955" s="170">
        <v>43409</v>
      </c>
      <c r="B955" s="116">
        <v>280.60000000000002</v>
      </c>
      <c r="C955" s="116">
        <v>273.60000000000002</v>
      </c>
      <c r="D955" s="116">
        <v>264</v>
      </c>
      <c r="E955" s="116">
        <v>273.7</v>
      </c>
      <c r="F955" s="116">
        <v>273.60000000000002</v>
      </c>
      <c r="G955">
        <v>91796</v>
      </c>
      <c r="H955" s="116"/>
      <c r="I955" s="116"/>
      <c r="L955" s="170">
        <v>43409</v>
      </c>
      <c r="M955" s="116">
        <v>273.85000000000002</v>
      </c>
      <c r="N955" s="116">
        <v>280.8</v>
      </c>
      <c r="O955" s="116">
        <v>264</v>
      </c>
      <c r="P955" s="116">
        <v>277.55</v>
      </c>
      <c r="Q955" s="116">
        <v>273.85000000000002</v>
      </c>
      <c r="R955">
        <v>1293130</v>
      </c>
    </row>
    <row r="956" spans="1:18" x14ac:dyDescent="0.25">
      <c r="A956" s="170">
        <v>43410</v>
      </c>
      <c r="B956" s="116">
        <v>288.89999999999998</v>
      </c>
      <c r="C956" s="116">
        <v>277.2</v>
      </c>
      <c r="D956" s="116">
        <v>274.75</v>
      </c>
      <c r="E956" s="116">
        <v>275.10000000000002</v>
      </c>
      <c r="F956" s="116">
        <v>277.2</v>
      </c>
      <c r="G956">
        <v>142521</v>
      </c>
      <c r="H956" s="116"/>
      <c r="I956" s="116"/>
      <c r="L956" s="170">
        <v>43410</v>
      </c>
      <c r="M956" s="116">
        <v>277</v>
      </c>
      <c r="N956" s="116">
        <v>288.75</v>
      </c>
      <c r="O956" s="116">
        <v>274.75</v>
      </c>
      <c r="P956" s="116">
        <v>275</v>
      </c>
      <c r="Q956" s="116">
        <v>277</v>
      </c>
      <c r="R956">
        <v>1521755</v>
      </c>
    </row>
    <row r="957" spans="1:18" x14ac:dyDescent="0.25">
      <c r="A957" s="170">
        <v>43411</v>
      </c>
      <c r="B957" s="116">
        <v>282.39999999999998</v>
      </c>
      <c r="C957" s="116">
        <v>280.2</v>
      </c>
      <c r="D957" s="116">
        <v>277.60000000000002</v>
      </c>
      <c r="E957" s="116">
        <v>279.3</v>
      </c>
      <c r="F957" s="116">
        <v>280.2</v>
      </c>
      <c r="G957">
        <v>7245</v>
      </c>
      <c r="H957" s="116"/>
      <c r="I957" s="116"/>
      <c r="L957" s="170">
        <v>43411</v>
      </c>
      <c r="M957" s="116">
        <v>280.2</v>
      </c>
      <c r="N957" s="116">
        <v>282.3</v>
      </c>
      <c r="O957" s="116">
        <v>276.7</v>
      </c>
      <c r="P957" s="116">
        <v>276.7</v>
      </c>
      <c r="Q957" s="116">
        <v>280.2</v>
      </c>
      <c r="R957">
        <v>163908</v>
      </c>
    </row>
    <row r="958" spans="1:18" x14ac:dyDescent="0.25">
      <c r="A958" s="170">
        <v>43413</v>
      </c>
      <c r="B958" s="116">
        <v>286</v>
      </c>
      <c r="C958" s="116">
        <v>281.7</v>
      </c>
      <c r="D958" s="116">
        <v>271.89999999999998</v>
      </c>
      <c r="E958" s="116">
        <v>271.89999999999998</v>
      </c>
      <c r="F958" s="116">
        <v>281.7</v>
      </c>
      <c r="G958">
        <v>43696</v>
      </c>
      <c r="H958" s="116"/>
      <c r="I958" s="116"/>
      <c r="L958" s="170">
        <v>43413</v>
      </c>
      <c r="M958" s="116">
        <v>281.3</v>
      </c>
      <c r="N958" s="116">
        <v>285.75</v>
      </c>
      <c r="O958" s="116">
        <v>276</v>
      </c>
      <c r="P958" s="116">
        <v>280.10000000000002</v>
      </c>
      <c r="Q958" s="116">
        <v>281.3</v>
      </c>
      <c r="R958">
        <v>711075</v>
      </c>
    </row>
    <row r="959" spans="1:18" x14ac:dyDescent="0.25">
      <c r="A959" s="170">
        <v>43416</v>
      </c>
      <c r="B959" s="116">
        <v>283.2</v>
      </c>
      <c r="C959" s="116">
        <v>276.3</v>
      </c>
      <c r="D959" s="116">
        <v>273.14999999999998</v>
      </c>
      <c r="E959" s="116">
        <v>281.7</v>
      </c>
      <c r="F959" s="116">
        <v>276.3</v>
      </c>
      <c r="G959">
        <v>41162</v>
      </c>
      <c r="H959" s="116"/>
      <c r="I959" s="116"/>
      <c r="L959" s="170">
        <v>43416</v>
      </c>
      <c r="M959" s="116">
        <v>275.89999999999998</v>
      </c>
      <c r="N959" s="116">
        <v>283.5</v>
      </c>
      <c r="O959" s="116">
        <v>273</v>
      </c>
      <c r="P959" s="116">
        <v>282</v>
      </c>
      <c r="Q959" s="116">
        <v>275.89999999999998</v>
      </c>
      <c r="R959">
        <v>641248</v>
      </c>
    </row>
    <row r="960" spans="1:18" x14ac:dyDescent="0.25">
      <c r="A960" s="170">
        <v>43417</v>
      </c>
      <c r="B960" s="116">
        <v>283.3</v>
      </c>
      <c r="C960" s="116">
        <v>282.2</v>
      </c>
      <c r="D960" s="116">
        <v>271</v>
      </c>
      <c r="E960" s="116">
        <v>273.25</v>
      </c>
      <c r="F960" s="116">
        <v>282.2</v>
      </c>
      <c r="G960">
        <v>56594</v>
      </c>
      <c r="H960" s="116"/>
      <c r="I960" s="116"/>
      <c r="L960" s="170">
        <v>43417</v>
      </c>
      <c r="M960" s="116">
        <v>282.2</v>
      </c>
      <c r="N960" s="116">
        <v>283.45</v>
      </c>
      <c r="O960" s="116">
        <v>270.55</v>
      </c>
      <c r="P960" s="116">
        <v>276.95</v>
      </c>
      <c r="Q960" s="116">
        <v>282.2</v>
      </c>
      <c r="R960">
        <v>708468</v>
      </c>
    </row>
    <row r="961" spans="1:18" x14ac:dyDescent="0.25">
      <c r="A961" s="170">
        <v>43418</v>
      </c>
      <c r="B961" s="116">
        <v>283.7</v>
      </c>
      <c r="C961" s="116">
        <v>277.7</v>
      </c>
      <c r="D961" s="116">
        <v>276.05</v>
      </c>
      <c r="E961" s="116">
        <v>282.25</v>
      </c>
      <c r="F961" s="116">
        <v>277.7</v>
      </c>
      <c r="G961">
        <v>38930</v>
      </c>
      <c r="H961" s="116"/>
      <c r="I961" s="116"/>
      <c r="L961" s="170">
        <v>43418</v>
      </c>
      <c r="M961" s="116">
        <v>278.3</v>
      </c>
      <c r="N961" s="116">
        <v>284.5</v>
      </c>
      <c r="O961" s="116">
        <v>276.05</v>
      </c>
      <c r="P961" s="116">
        <v>284</v>
      </c>
      <c r="Q961" s="116">
        <v>278.3</v>
      </c>
      <c r="R961">
        <v>416738</v>
      </c>
    </row>
    <row r="962" spans="1:18" x14ac:dyDescent="0.25">
      <c r="A962" s="170">
        <v>43419</v>
      </c>
      <c r="B962" s="116">
        <v>285.5</v>
      </c>
      <c r="C962" s="116">
        <v>277.55</v>
      </c>
      <c r="D962" s="116">
        <v>268.7</v>
      </c>
      <c r="E962" s="116">
        <v>277.8</v>
      </c>
      <c r="F962" s="116">
        <v>277.55</v>
      </c>
      <c r="G962">
        <v>83057</v>
      </c>
      <c r="H962" s="116"/>
      <c r="I962" s="116"/>
      <c r="L962" s="170">
        <v>43419</v>
      </c>
      <c r="M962" s="116">
        <v>277.7</v>
      </c>
      <c r="N962" s="116">
        <v>285.75</v>
      </c>
      <c r="O962" s="116">
        <v>268.5</v>
      </c>
      <c r="P962" s="116">
        <v>278</v>
      </c>
      <c r="Q962" s="116">
        <v>277.7</v>
      </c>
      <c r="R962">
        <v>1321100</v>
      </c>
    </row>
    <row r="963" spans="1:18" x14ac:dyDescent="0.25">
      <c r="A963" s="170">
        <v>43420</v>
      </c>
      <c r="B963" s="116">
        <v>281.45</v>
      </c>
      <c r="C963" s="116">
        <v>265.60000000000002</v>
      </c>
      <c r="D963" s="116">
        <v>258.45</v>
      </c>
      <c r="E963" s="116">
        <v>280</v>
      </c>
      <c r="F963" s="116">
        <v>265.60000000000002</v>
      </c>
      <c r="G963">
        <v>75230</v>
      </c>
      <c r="H963" s="116"/>
      <c r="I963" s="116"/>
      <c r="L963" s="170">
        <v>43420</v>
      </c>
      <c r="M963" s="116">
        <v>265.60000000000002</v>
      </c>
      <c r="N963" s="116">
        <v>281.5</v>
      </c>
      <c r="O963" s="116">
        <v>257.85000000000002</v>
      </c>
      <c r="P963" s="116">
        <v>277.7</v>
      </c>
      <c r="Q963" s="116">
        <v>265.60000000000002</v>
      </c>
      <c r="R963">
        <v>1221311</v>
      </c>
    </row>
    <row r="964" spans="1:18" x14ac:dyDescent="0.25">
      <c r="A964" s="170">
        <v>43423</v>
      </c>
      <c r="B964" s="116">
        <v>270.8</v>
      </c>
      <c r="C964" s="116">
        <v>266.60000000000002</v>
      </c>
      <c r="D964" s="116">
        <v>262.55</v>
      </c>
      <c r="E964" s="116">
        <v>268.8</v>
      </c>
      <c r="F964" s="116">
        <v>266.60000000000002</v>
      </c>
      <c r="G964">
        <v>37436</v>
      </c>
      <c r="H964" s="116"/>
      <c r="I964" s="116"/>
      <c r="L964" s="170">
        <v>43423</v>
      </c>
      <c r="M964" s="116">
        <v>266.55</v>
      </c>
      <c r="N964" s="116">
        <v>270.60000000000002</v>
      </c>
      <c r="O964" s="116">
        <v>262.39999999999998</v>
      </c>
      <c r="P964" s="116">
        <v>269.05</v>
      </c>
      <c r="Q964" s="116">
        <v>266.55</v>
      </c>
      <c r="R964">
        <v>564058</v>
      </c>
    </row>
    <row r="965" spans="1:18" x14ac:dyDescent="0.25">
      <c r="A965" s="170">
        <v>43424</v>
      </c>
      <c r="B965" s="116">
        <v>266.95</v>
      </c>
      <c r="C965" s="116">
        <v>256.95</v>
      </c>
      <c r="D965" s="116">
        <v>254.25</v>
      </c>
      <c r="E965" s="116">
        <v>263.14999999999998</v>
      </c>
      <c r="F965" s="116">
        <v>256.95</v>
      </c>
      <c r="G965">
        <v>59924</v>
      </c>
      <c r="H965" s="116"/>
      <c r="I965" s="116"/>
      <c r="L965" s="170">
        <v>43424</v>
      </c>
      <c r="M965" s="116">
        <v>257.64999999999998</v>
      </c>
      <c r="N965" s="116">
        <v>266.8</v>
      </c>
      <c r="O965" s="116">
        <v>254.4</v>
      </c>
      <c r="P965" s="116">
        <v>266</v>
      </c>
      <c r="Q965" s="116">
        <v>257.64999999999998</v>
      </c>
      <c r="R965">
        <v>1032154</v>
      </c>
    </row>
    <row r="966" spans="1:18" x14ac:dyDescent="0.25">
      <c r="A966" s="170">
        <v>43425</v>
      </c>
      <c r="B966" s="116">
        <v>267.8</v>
      </c>
      <c r="C966" s="116">
        <v>263.75</v>
      </c>
      <c r="D966" s="116">
        <v>256.95</v>
      </c>
      <c r="E966" s="116">
        <v>258.75</v>
      </c>
      <c r="F966" s="116">
        <v>263.75</v>
      </c>
      <c r="G966">
        <v>41174</v>
      </c>
      <c r="H966" s="116"/>
      <c r="I966" s="116"/>
      <c r="L966" s="170">
        <v>43425</v>
      </c>
      <c r="M966" s="116">
        <v>264.55</v>
      </c>
      <c r="N966" s="116">
        <v>268.10000000000002</v>
      </c>
      <c r="O966" s="116">
        <v>256.3</v>
      </c>
      <c r="P966" s="116">
        <v>257.05</v>
      </c>
      <c r="Q966" s="116">
        <v>264.55</v>
      </c>
      <c r="R966">
        <v>675117</v>
      </c>
    </row>
    <row r="967" spans="1:18" x14ac:dyDescent="0.25">
      <c r="A967" s="170">
        <v>43426</v>
      </c>
      <c r="B967" s="116">
        <v>267</v>
      </c>
      <c r="C967" s="116">
        <v>260.10000000000002</v>
      </c>
      <c r="D967" s="116">
        <v>258</v>
      </c>
      <c r="E967" s="116">
        <v>265.85000000000002</v>
      </c>
      <c r="F967" s="116">
        <v>260.10000000000002</v>
      </c>
      <c r="G967">
        <v>30196</v>
      </c>
      <c r="H967" s="116"/>
      <c r="I967" s="116"/>
      <c r="L967" s="170">
        <v>43426</v>
      </c>
      <c r="M967" s="116">
        <v>259.64999999999998</v>
      </c>
      <c r="N967" s="116">
        <v>266.89999999999998</v>
      </c>
      <c r="O967" s="116">
        <v>258.05</v>
      </c>
      <c r="P967" s="116">
        <v>266.2</v>
      </c>
      <c r="Q967" s="116">
        <v>259.64999999999998</v>
      </c>
      <c r="R967">
        <v>564021</v>
      </c>
    </row>
    <row r="968" spans="1:18" x14ac:dyDescent="0.25">
      <c r="A968" s="170">
        <v>43430</v>
      </c>
      <c r="B968" s="116">
        <v>261.55</v>
      </c>
      <c r="C968" s="116">
        <v>253.3</v>
      </c>
      <c r="D968" s="116">
        <v>247.65</v>
      </c>
      <c r="E968" s="116">
        <v>260.05</v>
      </c>
      <c r="F968" s="116">
        <v>253.3</v>
      </c>
      <c r="G968">
        <v>42058</v>
      </c>
      <c r="H968" s="116"/>
      <c r="I968" s="116"/>
      <c r="L968" s="170">
        <v>43430</v>
      </c>
      <c r="M968" s="116">
        <v>253.85</v>
      </c>
      <c r="N968" s="116">
        <v>262</v>
      </c>
      <c r="O968" s="116">
        <v>247.45</v>
      </c>
      <c r="P968" s="116">
        <v>261.8</v>
      </c>
      <c r="Q968" s="116">
        <v>253.85</v>
      </c>
      <c r="R968">
        <v>714344</v>
      </c>
    </row>
    <row r="969" spans="1:18" x14ac:dyDescent="0.25">
      <c r="A969" s="170">
        <v>43431</v>
      </c>
      <c r="B969" s="116">
        <v>259.5</v>
      </c>
      <c r="C969" s="116">
        <v>257.45</v>
      </c>
      <c r="D969" s="116">
        <v>250.65</v>
      </c>
      <c r="E969" s="116">
        <v>253</v>
      </c>
      <c r="F969" s="116">
        <v>257.45</v>
      </c>
      <c r="G969">
        <v>46968</v>
      </c>
      <c r="H969" s="116"/>
      <c r="I969" s="116"/>
      <c r="L969" s="170">
        <v>43431</v>
      </c>
      <c r="M969" s="116">
        <v>257.64999999999998</v>
      </c>
      <c r="N969" s="116">
        <v>259.25</v>
      </c>
      <c r="O969" s="116">
        <v>250.65</v>
      </c>
      <c r="P969" s="116">
        <v>253.85</v>
      </c>
      <c r="Q969" s="116">
        <v>257.64999999999998</v>
      </c>
      <c r="R969">
        <v>643563</v>
      </c>
    </row>
    <row r="970" spans="1:18" x14ac:dyDescent="0.25">
      <c r="A970" s="170">
        <v>43432</v>
      </c>
      <c r="B970" s="116">
        <v>265.8</v>
      </c>
      <c r="C970" s="116">
        <v>257</v>
      </c>
      <c r="D970" s="116">
        <v>254.05</v>
      </c>
      <c r="E970" s="116">
        <v>257.64999999999998</v>
      </c>
      <c r="F970" s="116">
        <v>257</v>
      </c>
      <c r="G970">
        <v>36833</v>
      </c>
      <c r="H970" s="116"/>
      <c r="I970" s="116"/>
      <c r="L970" s="170">
        <v>43432</v>
      </c>
      <c r="M970" s="116">
        <v>257.75</v>
      </c>
      <c r="N970" s="116">
        <v>266.14999999999998</v>
      </c>
      <c r="O970" s="116">
        <v>253.65</v>
      </c>
      <c r="P970" s="116">
        <v>257</v>
      </c>
      <c r="Q970" s="116">
        <v>257.75</v>
      </c>
      <c r="R970">
        <v>687407</v>
      </c>
    </row>
    <row r="971" spans="1:18" x14ac:dyDescent="0.25">
      <c r="A971" s="170">
        <v>43433</v>
      </c>
      <c r="B971" s="116">
        <v>269.75</v>
      </c>
      <c r="C971" s="116">
        <v>267.5</v>
      </c>
      <c r="D971" s="116">
        <v>255.75</v>
      </c>
      <c r="E971" s="116">
        <v>262</v>
      </c>
      <c r="F971" s="116">
        <v>267.5</v>
      </c>
      <c r="G971">
        <v>102228</v>
      </c>
      <c r="H971" s="116"/>
      <c r="I971" s="116"/>
      <c r="L971" s="170">
        <v>43433</v>
      </c>
      <c r="M971" s="116">
        <v>267.45</v>
      </c>
      <c r="N971" s="116">
        <v>269.8</v>
      </c>
      <c r="O971" s="116">
        <v>255.3</v>
      </c>
      <c r="P971" s="116">
        <v>259.35000000000002</v>
      </c>
      <c r="Q971" s="116">
        <v>267.45</v>
      </c>
      <c r="R971">
        <v>927302</v>
      </c>
    </row>
    <row r="972" spans="1:18" x14ac:dyDescent="0.25">
      <c r="A972" s="170">
        <v>43434</v>
      </c>
      <c r="B972" s="116">
        <v>279.89999999999998</v>
      </c>
      <c r="C972" s="116">
        <v>269.7</v>
      </c>
      <c r="D972" s="116">
        <v>265.64999999999998</v>
      </c>
      <c r="E972" s="116">
        <v>270.85000000000002</v>
      </c>
      <c r="F972" s="116">
        <v>269.7</v>
      </c>
      <c r="G972">
        <v>130098</v>
      </c>
      <c r="H972" s="116"/>
      <c r="I972" s="116"/>
      <c r="L972" s="170">
        <v>43434</v>
      </c>
      <c r="M972" s="116">
        <v>269.85000000000002</v>
      </c>
      <c r="N972" s="116">
        <v>279.7</v>
      </c>
      <c r="O972" s="116">
        <v>265.8</v>
      </c>
      <c r="P972" s="116">
        <v>270</v>
      </c>
      <c r="Q972" s="116">
        <v>269.85000000000002</v>
      </c>
      <c r="R972">
        <v>1538831</v>
      </c>
    </row>
    <row r="973" spans="1:18" x14ac:dyDescent="0.25">
      <c r="A973" s="170">
        <v>43437</v>
      </c>
      <c r="B973" s="116">
        <v>273.7</v>
      </c>
      <c r="C973" s="116">
        <v>267.60000000000002</v>
      </c>
      <c r="D973" s="116">
        <v>264.7</v>
      </c>
      <c r="E973" s="116">
        <v>273.7</v>
      </c>
      <c r="F973" s="116">
        <v>267.60000000000002</v>
      </c>
      <c r="G973">
        <v>31920</v>
      </c>
      <c r="H973" s="116"/>
      <c r="I973" s="116"/>
      <c r="L973" s="170">
        <v>43437</v>
      </c>
      <c r="M973" s="116">
        <v>267.55</v>
      </c>
      <c r="N973" s="116">
        <v>272.8</v>
      </c>
      <c r="O973" s="116">
        <v>264.39999999999998</v>
      </c>
      <c r="P973" s="116">
        <v>270.10000000000002</v>
      </c>
      <c r="Q973" s="116">
        <v>267.55</v>
      </c>
      <c r="R973">
        <v>471044</v>
      </c>
    </row>
    <row r="974" spans="1:18" x14ac:dyDescent="0.25">
      <c r="A974" s="170">
        <v>43438</v>
      </c>
      <c r="B974" s="116">
        <v>269.45</v>
      </c>
      <c r="C974" s="116">
        <v>261.45</v>
      </c>
      <c r="D974" s="116">
        <v>260</v>
      </c>
      <c r="E974" s="116">
        <v>268.25</v>
      </c>
      <c r="F974" s="116">
        <v>261.45</v>
      </c>
      <c r="G974">
        <v>46809</v>
      </c>
      <c r="H974" s="116"/>
      <c r="I974" s="116"/>
      <c r="L974" s="170">
        <v>43438</v>
      </c>
      <c r="M974" s="116">
        <v>261.5</v>
      </c>
      <c r="N974" s="116">
        <v>270</v>
      </c>
      <c r="O974" s="116">
        <v>259.2</v>
      </c>
      <c r="P974" s="116">
        <v>268</v>
      </c>
      <c r="Q974" s="116">
        <v>261.5</v>
      </c>
      <c r="R974">
        <v>667633</v>
      </c>
    </row>
    <row r="975" spans="1:18" x14ac:dyDescent="0.25">
      <c r="A975" s="170">
        <v>43439</v>
      </c>
      <c r="B975" s="116">
        <v>265.3</v>
      </c>
      <c r="C975" s="116">
        <v>248.85</v>
      </c>
      <c r="D975" s="116">
        <v>246.35</v>
      </c>
      <c r="E975" s="116">
        <v>261.55</v>
      </c>
      <c r="F975" s="116">
        <v>248.85</v>
      </c>
      <c r="G975">
        <v>1014050</v>
      </c>
      <c r="H975" s="116"/>
      <c r="I975" s="116"/>
      <c r="L975" s="170">
        <v>43439</v>
      </c>
      <c r="M975" s="116">
        <v>249.6</v>
      </c>
      <c r="N975" s="116">
        <v>265.95</v>
      </c>
      <c r="O975" s="116">
        <v>246.4</v>
      </c>
      <c r="P975" s="116">
        <v>262</v>
      </c>
      <c r="Q975" s="116">
        <v>249.6</v>
      </c>
      <c r="R975">
        <v>1269752</v>
      </c>
    </row>
    <row r="976" spans="1:18" x14ac:dyDescent="0.25">
      <c r="A976" s="170">
        <v>43440</v>
      </c>
      <c r="B976" s="116">
        <v>248.8</v>
      </c>
      <c r="C976" s="116">
        <v>241</v>
      </c>
      <c r="D976" s="116">
        <v>239.35</v>
      </c>
      <c r="E976" s="116">
        <v>248.8</v>
      </c>
      <c r="F976" s="116">
        <v>241</v>
      </c>
      <c r="G976">
        <v>742279</v>
      </c>
      <c r="H976" s="116"/>
      <c r="I976" s="116"/>
      <c r="L976" s="170">
        <v>43440</v>
      </c>
      <c r="M976" s="116">
        <v>240.75</v>
      </c>
      <c r="N976" s="116">
        <v>248.65</v>
      </c>
      <c r="O976" s="116">
        <v>238.6</v>
      </c>
      <c r="P976" s="116">
        <v>247</v>
      </c>
      <c r="Q976" s="116">
        <v>240.75</v>
      </c>
      <c r="R976">
        <v>941560</v>
      </c>
    </row>
    <row r="977" spans="1:18" x14ac:dyDescent="0.25">
      <c r="A977" s="170">
        <v>43441</v>
      </c>
      <c r="B977" s="116">
        <v>245</v>
      </c>
      <c r="C977" s="116">
        <v>239.45</v>
      </c>
      <c r="D977" s="116">
        <v>232.75</v>
      </c>
      <c r="E977" s="116">
        <v>245</v>
      </c>
      <c r="F977" s="116">
        <v>239.45</v>
      </c>
      <c r="G977">
        <v>62655</v>
      </c>
      <c r="H977" s="116"/>
      <c r="I977" s="116"/>
      <c r="L977" s="170">
        <v>43441</v>
      </c>
      <c r="M977" s="116">
        <v>239.7</v>
      </c>
      <c r="N977" s="116">
        <v>245.05</v>
      </c>
      <c r="O977" s="116">
        <v>232.65</v>
      </c>
      <c r="P977" s="116">
        <v>242</v>
      </c>
      <c r="Q977" s="116">
        <v>239.7</v>
      </c>
      <c r="R977">
        <v>724994</v>
      </c>
    </row>
    <row r="978" spans="1:18" x14ac:dyDescent="0.25">
      <c r="A978" s="170">
        <v>43444</v>
      </c>
      <c r="B978" s="116">
        <v>239</v>
      </c>
      <c r="C978" s="116">
        <v>235.05</v>
      </c>
      <c r="D978" s="116">
        <v>231.55</v>
      </c>
      <c r="E978" s="116">
        <v>239</v>
      </c>
      <c r="F978" s="116">
        <v>235.05</v>
      </c>
      <c r="G978">
        <v>36934</v>
      </c>
      <c r="H978" s="116"/>
      <c r="I978" s="116"/>
      <c r="L978" s="170">
        <v>43444</v>
      </c>
      <c r="M978" s="116">
        <v>234.15</v>
      </c>
      <c r="N978" s="116">
        <v>236.5</v>
      </c>
      <c r="O978" s="116">
        <v>231.35</v>
      </c>
      <c r="P978" s="116">
        <v>233</v>
      </c>
      <c r="Q978" s="116">
        <v>234.15</v>
      </c>
      <c r="R978">
        <v>382131</v>
      </c>
    </row>
    <row r="979" spans="1:18" x14ac:dyDescent="0.25">
      <c r="A979" s="170">
        <v>43445</v>
      </c>
      <c r="B979" s="116">
        <v>244.5</v>
      </c>
      <c r="C979" s="116">
        <v>235</v>
      </c>
      <c r="D979" s="116">
        <v>228.6</v>
      </c>
      <c r="E979" s="116">
        <v>231.4</v>
      </c>
      <c r="F979" s="116">
        <v>235</v>
      </c>
      <c r="G979">
        <v>103289</v>
      </c>
      <c r="H979" s="116"/>
      <c r="I979" s="116"/>
      <c r="L979" s="170">
        <v>43445</v>
      </c>
      <c r="M979" s="116">
        <v>235.15</v>
      </c>
      <c r="N979" s="116">
        <v>244.8</v>
      </c>
      <c r="O979" s="116">
        <v>226.4</v>
      </c>
      <c r="P979" s="116">
        <v>226.4</v>
      </c>
      <c r="Q979" s="116">
        <v>235.15</v>
      </c>
      <c r="R979">
        <v>1109419</v>
      </c>
    </row>
    <row r="980" spans="1:18" x14ac:dyDescent="0.25">
      <c r="A980" s="170">
        <v>43446</v>
      </c>
      <c r="B980" s="116">
        <v>255.25</v>
      </c>
      <c r="C980" s="116">
        <v>254.05</v>
      </c>
      <c r="D980" s="116">
        <v>237.1</v>
      </c>
      <c r="E980" s="116">
        <v>238.15</v>
      </c>
      <c r="F980" s="116">
        <v>254.05</v>
      </c>
      <c r="G980">
        <v>221505</v>
      </c>
      <c r="H980" s="116"/>
      <c r="I980" s="116"/>
      <c r="L980" s="170">
        <v>43446</v>
      </c>
      <c r="M980" s="116">
        <v>254.45</v>
      </c>
      <c r="N980" s="116">
        <v>255.9</v>
      </c>
      <c r="O980" s="116">
        <v>236.15</v>
      </c>
      <c r="P980" s="116">
        <v>236.15</v>
      </c>
      <c r="Q980" s="116">
        <v>254.45</v>
      </c>
      <c r="R980">
        <v>2492996</v>
      </c>
    </row>
    <row r="981" spans="1:18" x14ac:dyDescent="0.25">
      <c r="A981" s="170">
        <v>43447</v>
      </c>
      <c r="B981" s="116">
        <v>275</v>
      </c>
      <c r="C981" s="116">
        <v>266.10000000000002</v>
      </c>
      <c r="D981" s="116">
        <v>253</v>
      </c>
      <c r="E981" s="116">
        <v>253</v>
      </c>
      <c r="F981" s="116">
        <v>266.10000000000002</v>
      </c>
      <c r="G981">
        <v>268082</v>
      </c>
      <c r="H981" s="116"/>
      <c r="I981" s="116"/>
      <c r="L981" s="170">
        <v>43447</v>
      </c>
      <c r="M981" s="116">
        <v>266.5</v>
      </c>
      <c r="N981" s="116">
        <v>275</v>
      </c>
      <c r="O981" s="116">
        <v>254.45</v>
      </c>
      <c r="P981" s="116">
        <v>255</v>
      </c>
      <c r="Q981" s="116">
        <v>266.5</v>
      </c>
      <c r="R981">
        <v>3014335</v>
      </c>
    </row>
    <row r="982" spans="1:18" x14ac:dyDescent="0.25">
      <c r="A982" s="170">
        <v>43448</v>
      </c>
      <c r="B982" s="116">
        <v>281.5</v>
      </c>
      <c r="C982" s="116">
        <v>278.35000000000002</v>
      </c>
      <c r="D982" s="116">
        <v>262.7</v>
      </c>
      <c r="E982" s="116">
        <v>264</v>
      </c>
      <c r="F982" s="116">
        <v>278.35000000000002</v>
      </c>
      <c r="G982">
        <v>213531</v>
      </c>
      <c r="H982" s="116"/>
      <c r="I982" s="116"/>
      <c r="L982" s="170">
        <v>43448</v>
      </c>
      <c r="M982" s="116">
        <v>278.60000000000002</v>
      </c>
      <c r="N982" s="116">
        <v>281.95</v>
      </c>
      <c r="O982" s="116">
        <v>260.2</v>
      </c>
      <c r="P982" s="116">
        <v>265.8</v>
      </c>
      <c r="Q982" s="116">
        <v>278.60000000000002</v>
      </c>
      <c r="R982">
        <v>2961622</v>
      </c>
    </row>
    <row r="983" spans="1:18" x14ac:dyDescent="0.25">
      <c r="A983" s="170">
        <v>43451</v>
      </c>
      <c r="B983" s="116">
        <v>282</v>
      </c>
      <c r="C983" s="116">
        <v>275.14999999999998</v>
      </c>
      <c r="D983" s="116">
        <v>273</v>
      </c>
      <c r="E983" s="116">
        <v>278.35000000000002</v>
      </c>
      <c r="F983" s="116">
        <v>275.14999999999998</v>
      </c>
      <c r="G983">
        <v>57843</v>
      </c>
      <c r="H983" s="116"/>
      <c r="I983" s="116"/>
      <c r="L983" s="170">
        <v>43451</v>
      </c>
      <c r="M983" s="116">
        <v>275.60000000000002</v>
      </c>
      <c r="N983" s="116">
        <v>280.14999999999998</v>
      </c>
      <c r="O983" s="116">
        <v>272.8</v>
      </c>
      <c r="P983" s="116">
        <v>276.10000000000002</v>
      </c>
      <c r="Q983" s="116">
        <v>275.60000000000002</v>
      </c>
      <c r="R983">
        <v>685591</v>
      </c>
    </row>
    <row r="984" spans="1:18" x14ac:dyDescent="0.25">
      <c r="A984" s="170">
        <v>43452</v>
      </c>
      <c r="B984" s="116">
        <v>281</v>
      </c>
      <c r="C984" s="116">
        <v>277.95</v>
      </c>
      <c r="D984" s="116">
        <v>271.89999999999998</v>
      </c>
      <c r="E984" s="116">
        <v>274</v>
      </c>
      <c r="F984" s="116">
        <v>277.95</v>
      </c>
      <c r="G984">
        <v>65454</v>
      </c>
      <c r="H984" s="116"/>
      <c r="I984" s="116"/>
      <c r="L984" s="170">
        <v>43452</v>
      </c>
      <c r="M984" s="116">
        <v>278.05</v>
      </c>
      <c r="N984" s="116">
        <v>281</v>
      </c>
      <c r="O984" s="116">
        <v>271.89999999999998</v>
      </c>
      <c r="P984" s="116">
        <v>272</v>
      </c>
      <c r="Q984" s="116">
        <v>278.05</v>
      </c>
      <c r="R984">
        <v>965727</v>
      </c>
    </row>
    <row r="985" spans="1:18" x14ac:dyDescent="0.25">
      <c r="A985" s="170">
        <v>43453</v>
      </c>
      <c r="B985" s="116">
        <v>290</v>
      </c>
      <c r="C985" s="116">
        <v>285.89999999999998</v>
      </c>
      <c r="D985" s="116">
        <v>281</v>
      </c>
      <c r="E985" s="116">
        <v>282.10000000000002</v>
      </c>
      <c r="F985" s="116">
        <v>285.89999999999998</v>
      </c>
      <c r="G985">
        <v>209430</v>
      </c>
      <c r="H985" s="116"/>
      <c r="I985" s="116"/>
      <c r="L985" s="170">
        <v>43453</v>
      </c>
      <c r="M985" s="116">
        <v>286.64999999999998</v>
      </c>
      <c r="N985" s="116">
        <v>289</v>
      </c>
      <c r="O985" s="116">
        <v>280.45</v>
      </c>
      <c r="P985" s="116">
        <v>280.55</v>
      </c>
      <c r="Q985" s="116">
        <v>286.64999999999998</v>
      </c>
      <c r="R985">
        <v>2678955</v>
      </c>
    </row>
    <row r="986" spans="1:18" x14ac:dyDescent="0.25">
      <c r="A986" s="170">
        <v>43454</v>
      </c>
      <c r="B986" s="116">
        <v>293.3</v>
      </c>
      <c r="C986" s="116">
        <v>288.75</v>
      </c>
      <c r="D986" s="116">
        <v>283.45</v>
      </c>
      <c r="E986" s="116">
        <v>285</v>
      </c>
      <c r="F986" s="116">
        <v>288.75</v>
      </c>
      <c r="G986">
        <v>160409</v>
      </c>
      <c r="H986" s="116"/>
      <c r="I986" s="116"/>
      <c r="L986" s="170">
        <v>43454</v>
      </c>
      <c r="M986" s="116">
        <v>289.39999999999998</v>
      </c>
      <c r="N986" s="116">
        <v>293.25</v>
      </c>
      <c r="O986" s="116">
        <v>283</v>
      </c>
      <c r="P986" s="116">
        <v>284.2</v>
      </c>
      <c r="Q986" s="116">
        <v>289.39999999999998</v>
      </c>
      <c r="R986">
        <v>1973626</v>
      </c>
    </row>
    <row r="987" spans="1:18" x14ac:dyDescent="0.25">
      <c r="A987" s="170">
        <v>43455</v>
      </c>
      <c r="B987" s="116">
        <v>296</v>
      </c>
      <c r="C987" s="116">
        <v>278.85000000000002</v>
      </c>
      <c r="D987" s="116">
        <v>276.5</v>
      </c>
      <c r="E987" s="116">
        <v>291.7</v>
      </c>
      <c r="F987" s="116">
        <v>278.85000000000002</v>
      </c>
      <c r="G987">
        <v>118728</v>
      </c>
      <c r="H987" s="116"/>
      <c r="I987" s="116"/>
      <c r="L987" s="170">
        <v>43455</v>
      </c>
      <c r="M987" s="116">
        <v>278.14999999999998</v>
      </c>
      <c r="N987" s="116">
        <v>297</v>
      </c>
      <c r="O987" s="116">
        <v>276</v>
      </c>
      <c r="P987" s="116">
        <v>290.05</v>
      </c>
      <c r="Q987" s="116">
        <v>278.14999999999998</v>
      </c>
      <c r="R987">
        <v>2472656</v>
      </c>
    </row>
    <row r="988" spans="1:18" x14ac:dyDescent="0.25">
      <c r="A988" s="170">
        <v>43458</v>
      </c>
      <c r="B988" s="116">
        <v>284.45</v>
      </c>
      <c r="C988" s="116">
        <v>276.7</v>
      </c>
      <c r="D988" s="116">
        <v>275</v>
      </c>
      <c r="E988" s="116">
        <v>280.14999999999998</v>
      </c>
      <c r="F988" s="116">
        <v>276.7</v>
      </c>
      <c r="G988">
        <v>70169</v>
      </c>
      <c r="H988" s="116"/>
      <c r="I988" s="116"/>
      <c r="L988" s="170">
        <v>43458</v>
      </c>
      <c r="M988" s="116">
        <v>276.39999999999998</v>
      </c>
      <c r="N988" s="116">
        <v>284.75</v>
      </c>
      <c r="O988" s="116">
        <v>275.14999999999998</v>
      </c>
      <c r="P988" s="116">
        <v>278.75</v>
      </c>
      <c r="Q988" s="116">
        <v>276.39999999999998</v>
      </c>
      <c r="R988">
        <v>1113170</v>
      </c>
    </row>
    <row r="989" spans="1:18" x14ac:dyDescent="0.25">
      <c r="A989" s="170">
        <v>43460</v>
      </c>
      <c r="B989" s="116">
        <v>291.60000000000002</v>
      </c>
      <c r="C989" s="116">
        <v>289.2</v>
      </c>
      <c r="D989" s="116">
        <v>267.8</v>
      </c>
      <c r="E989" s="116">
        <v>276.55</v>
      </c>
      <c r="F989" s="116">
        <v>289.2</v>
      </c>
      <c r="G989">
        <v>161099</v>
      </c>
      <c r="H989" s="116"/>
      <c r="I989" s="116"/>
      <c r="L989" s="170">
        <v>43460</v>
      </c>
      <c r="M989" s="116">
        <v>288.95</v>
      </c>
      <c r="N989" s="116">
        <v>292.5</v>
      </c>
      <c r="O989" s="116">
        <v>268</v>
      </c>
      <c r="P989" s="116">
        <v>276</v>
      </c>
      <c r="Q989" s="116">
        <v>288.95</v>
      </c>
      <c r="R989">
        <v>2140115</v>
      </c>
    </row>
    <row r="990" spans="1:18" x14ac:dyDescent="0.25">
      <c r="A990" s="170">
        <v>43461</v>
      </c>
      <c r="B990" s="116">
        <v>296</v>
      </c>
      <c r="C990" s="116">
        <v>288.45</v>
      </c>
      <c r="D990" s="116">
        <v>281.85000000000002</v>
      </c>
      <c r="E990" s="116">
        <v>296</v>
      </c>
      <c r="F990" s="116">
        <v>288.45</v>
      </c>
      <c r="G990">
        <v>185759</v>
      </c>
      <c r="H990" s="116"/>
      <c r="I990" s="116"/>
      <c r="L990" s="170">
        <v>43461</v>
      </c>
      <c r="M990" s="116">
        <v>288.89999999999998</v>
      </c>
      <c r="N990" s="116">
        <v>294</v>
      </c>
      <c r="O990" s="116">
        <v>281.35000000000002</v>
      </c>
      <c r="P990" s="116">
        <v>294</v>
      </c>
      <c r="Q990" s="116">
        <v>288.89999999999998</v>
      </c>
      <c r="R990">
        <v>2531457</v>
      </c>
    </row>
    <row r="991" spans="1:18" x14ac:dyDescent="0.25">
      <c r="A991" s="170">
        <v>43462</v>
      </c>
      <c r="B991" s="116">
        <v>293.39999999999998</v>
      </c>
      <c r="C991" s="116">
        <v>292.2</v>
      </c>
      <c r="D991" s="116">
        <v>286.45</v>
      </c>
      <c r="E991" s="116">
        <v>289.35000000000002</v>
      </c>
      <c r="F991" s="116">
        <v>292.2</v>
      </c>
      <c r="G991">
        <v>48154</v>
      </c>
      <c r="H991" s="116"/>
      <c r="I991" s="116"/>
      <c r="L991" s="170">
        <v>43462</v>
      </c>
      <c r="M991" s="116">
        <v>292.55</v>
      </c>
      <c r="N991" s="116">
        <v>293.7</v>
      </c>
      <c r="O991" s="116">
        <v>286.25</v>
      </c>
      <c r="P991" s="116">
        <v>290</v>
      </c>
      <c r="Q991" s="116">
        <v>292.55</v>
      </c>
      <c r="R991">
        <v>1032473</v>
      </c>
    </row>
    <row r="992" spans="1:18" x14ac:dyDescent="0.25">
      <c r="A992" s="170">
        <v>43465</v>
      </c>
      <c r="B992" s="116">
        <v>295.75</v>
      </c>
      <c r="C992" s="116">
        <v>288.55</v>
      </c>
      <c r="D992" s="116">
        <v>286.10000000000002</v>
      </c>
      <c r="E992" s="116">
        <v>294</v>
      </c>
      <c r="F992" s="116">
        <v>288.55</v>
      </c>
      <c r="G992">
        <v>110121</v>
      </c>
      <c r="H992" s="116"/>
      <c r="I992" s="116"/>
      <c r="L992" s="170">
        <v>43465</v>
      </c>
      <c r="M992" s="116">
        <v>288.89999999999998</v>
      </c>
      <c r="N992" s="116">
        <v>297.39999999999998</v>
      </c>
      <c r="O992" s="116">
        <v>286</v>
      </c>
      <c r="P992" s="116">
        <v>294.10000000000002</v>
      </c>
      <c r="Q992" s="116">
        <v>288.89999999999998</v>
      </c>
      <c r="R992">
        <v>2055035</v>
      </c>
    </row>
    <row r="993" spans="1:18" x14ac:dyDescent="0.25">
      <c r="A993" s="170">
        <v>43466</v>
      </c>
      <c r="B993" s="116">
        <v>289.39999999999998</v>
      </c>
      <c r="C993" s="116">
        <v>286.55</v>
      </c>
      <c r="D993" s="116">
        <v>283.60000000000002</v>
      </c>
      <c r="E993" s="116">
        <v>288.55</v>
      </c>
      <c r="F993" s="116">
        <v>286.55</v>
      </c>
      <c r="G993">
        <v>47154</v>
      </c>
      <c r="H993" s="116"/>
      <c r="I993" s="116"/>
      <c r="L993" s="170">
        <v>43466</v>
      </c>
      <c r="M993" s="116">
        <v>286.8</v>
      </c>
      <c r="N993" s="116">
        <v>289.75</v>
      </c>
      <c r="O993" s="116">
        <v>283.35000000000002</v>
      </c>
      <c r="P993" s="116">
        <v>285.55</v>
      </c>
      <c r="Q993" s="116">
        <v>286.8</v>
      </c>
      <c r="R993">
        <v>797818</v>
      </c>
    </row>
    <row r="994" spans="1:18" x14ac:dyDescent="0.25">
      <c r="A994" s="170">
        <v>43467</v>
      </c>
      <c r="B994" s="116">
        <v>290.05</v>
      </c>
      <c r="C994" s="116">
        <v>280.89999999999998</v>
      </c>
      <c r="D994" s="116">
        <v>278.14999999999998</v>
      </c>
      <c r="E994" s="116">
        <v>284.89999999999998</v>
      </c>
      <c r="F994" s="116">
        <v>280.89999999999998</v>
      </c>
      <c r="G994">
        <v>74141</v>
      </c>
      <c r="H994" s="116"/>
      <c r="I994" s="116"/>
      <c r="L994" s="170">
        <v>43467</v>
      </c>
      <c r="M994" s="116">
        <v>280.89999999999998</v>
      </c>
      <c r="N994" s="116">
        <v>290.35000000000002</v>
      </c>
      <c r="O994" s="116">
        <v>278</v>
      </c>
      <c r="P994" s="116">
        <v>286.5</v>
      </c>
      <c r="Q994" s="116">
        <v>280.89999999999998</v>
      </c>
      <c r="R994">
        <v>878757</v>
      </c>
    </row>
    <row r="995" spans="1:18" x14ac:dyDescent="0.25">
      <c r="A995" s="170">
        <v>43468</v>
      </c>
      <c r="B995" s="116">
        <v>284.2</v>
      </c>
      <c r="C995" s="116">
        <v>276.45</v>
      </c>
      <c r="D995" s="116">
        <v>275.39999999999998</v>
      </c>
      <c r="E995" s="116">
        <v>282.5</v>
      </c>
      <c r="F995" s="116">
        <v>276.45</v>
      </c>
      <c r="G995">
        <v>40474</v>
      </c>
      <c r="H995" s="116"/>
      <c r="I995" s="116"/>
      <c r="L995" s="170">
        <v>43468</v>
      </c>
      <c r="M995" s="116">
        <v>276.89999999999998</v>
      </c>
      <c r="N995" s="116">
        <v>284.5</v>
      </c>
      <c r="O995" s="116">
        <v>275.8</v>
      </c>
      <c r="P995" s="116">
        <v>281.05</v>
      </c>
      <c r="Q995" s="116">
        <v>276.89999999999998</v>
      </c>
      <c r="R995">
        <v>595191</v>
      </c>
    </row>
    <row r="996" spans="1:18" x14ac:dyDescent="0.25">
      <c r="A996" s="170">
        <v>43469</v>
      </c>
      <c r="B996" s="116">
        <v>281.8</v>
      </c>
      <c r="C996" s="116">
        <v>280.35000000000002</v>
      </c>
      <c r="D996" s="116">
        <v>273.7</v>
      </c>
      <c r="E996" s="116">
        <v>279</v>
      </c>
      <c r="F996" s="116">
        <v>280.35000000000002</v>
      </c>
      <c r="G996">
        <v>43239</v>
      </c>
      <c r="H996" s="116"/>
      <c r="I996" s="116"/>
      <c r="L996" s="170">
        <v>43469</v>
      </c>
      <c r="M996" s="116">
        <v>280.5</v>
      </c>
      <c r="N996" s="116">
        <v>281.75</v>
      </c>
      <c r="O996" s="116">
        <v>273.75</v>
      </c>
      <c r="P996" s="116">
        <v>277.25</v>
      </c>
      <c r="Q996" s="116">
        <v>280.5</v>
      </c>
      <c r="R996">
        <v>856596</v>
      </c>
    </row>
    <row r="997" spans="1:18" x14ac:dyDescent="0.25">
      <c r="A997" s="170">
        <v>43472</v>
      </c>
      <c r="B997" s="116">
        <v>288.8</v>
      </c>
      <c r="C997" s="116">
        <v>283.14999999999998</v>
      </c>
      <c r="D997" s="116">
        <v>280.10000000000002</v>
      </c>
      <c r="E997" s="116">
        <v>282</v>
      </c>
      <c r="F997" s="116">
        <v>283.14999999999998</v>
      </c>
      <c r="G997">
        <v>114688</v>
      </c>
      <c r="H997" s="116"/>
      <c r="I997" s="116"/>
      <c r="L997" s="170">
        <v>43472</v>
      </c>
      <c r="M997" s="116">
        <v>283.2</v>
      </c>
      <c r="N997" s="116">
        <v>288.95</v>
      </c>
      <c r="O997" s="116">
        <v>279.8</v>
      </c>
      <c r="P997" s="116">
        <v>286.60000000000002</v>
      </c>
      <c r="Q997" s="116">
        <v>283.2</v>
      </c>
      <c r="R997">
        <v>1570668</v>
      </c>
    </row>
    <row r="998" spans="1:18" x14ac:dyDescent="0.25">
      <c r="A998" s="170">
        <v>43473</v>
      </c>
      <c r="B998" s="116">
        <v>286</v>
      </c>
      <c r="C998" s="116">
        <v>284.25</v>
      </c>
      <c r="D998" s="116">
        <v>279.89999999999998</v>
      </c>
      <c r="E998" s="116">
        <v>285</v>
      </c>
      <c r="F998" s="116">
        <v>284.25</v>
      </c>
      <c r="G998">
        <v>48133</v>
      </c>
      <c r="H998" s="116"/>
      <c r="I998" s="116"/>
      <c r="L998" s="170">
        <v>43473</v>
      </c>
      <c r="M998" s="116">
        <v>284.55</v>
      </c>
      <c r="N998" s="116">
        <v>286.3</v>
      </c>
      <c r="O998" s="116">
        <v>279.5</v>
      </c>
      <c r="P998" s="116">
        <v>284.2</v>
      </c>
      <c r="Q998" s="116">
        <v>284.55</v>
      </c>
      <c r="R998">
        <v>821351</v>
      </c>
    </row>
    <row r="999" spans="1:18" x14ac:dyDescent="0.25">
      <c r="A999" s="170">
        <v>43474</v>
      </c>
      <c r="B999" s="116">
        <v>286.2</v>
      </c>
      <c r="C999" s="116">
        <v>273.85000000000002</v>
      </c>
      <c r="D999" s="116">
        <v>272.60000000000002</v>
      </c>
      <c r="E999" s="116">
        <v>285.05</v>
      </c>
      <c r="F999" s="116">
        <v>273.85000000000002</v>
      </c>
      <c r="G999">
        <v>63603</v>
      </c>
      <c r="H999" s="116"/>
      <c r="I999" s="116"/>
      <c r="L999" s="170">
        <v>43474</v>
      </c>
      <c r="M999" s="116">
        <v>273.75</v>
      </c>
      <c r="N999" s="116">
        <v>286</v>
      </c>
      <c r="O999" s="116">
        <v>272.60000000000002</v>
      </c>
      <c r="P999" s="116">
        <v>286</v>
      </c>
      <c r="Q999" s="116">
        <v>273.75</v>
      </c>
      <c r="R999">
        <v>1092119</v>
      </c>
    </row>
    <row r="1000" spans="1:18" x14ac:dyDescent="0.25">
      <c r="A1000" s="170">
        <v>43475</v>
      </c>
      <c r="B1000" s="116">
        <v>280</v>
      </c>
      <c r="C1000" s="116">
        <v>275.95</v>
      </c>
      <c r="D1000" s="116">
        <v>273.5</v>
      </c>
      <c r="E1000" s="116">
        <v>274.75</v>
      </c>
      <c r="F1000" s="116">
        <v>275.95</v>
      </c>
      <c r="G1000">
        <v>32986</v>
      </c>
      <c r="H1000" s="116"/>
      <c r="I1000" s="116"/>
      <c r="L1000" s="170">
        <v>43475</v>
      </c>
      <c r="M1000" s="116">
        <v>275.8</v>
      </c>
      <c r="N1000" s="116">
        <v>277.60000000000002</v>
      </c>
      <c r="O1000" s="116">
        <v>273.35000000000002</v>
      </c>
      <c r="P1000" s="116">
        <v>275</v>
      </c>
      <c r="Q1000" s="116">
        <v>275.8</v>
      </c>
      <c r="R1000">
        <v>486829</v>
      </c>
    </row>
    <row r="1001" spans="1:18" x14ac:dyDescent="0.25">
      <c r="A1001" s="170">
        <v>43476</v>
      </c>
      <c r="B1001" s="116">
        <v>277.64999999999998</v>
      </c>
      <c r="C1001" s="116">
        <v>272.95</v>
      </c>
      <c r="D1001" s="116">
        <v>271.10000000000002</v>
      </c>
      <c r="E1001" s="116">
        <v>276.14999999999998</v>
      </c>
      <c r="F1001" s="116">
        <v>272.95</v>
      </c>
      <c r="G1001">
        <v>29335</v>
      </c>
      <c r="H1001" s="116"/>
      <c r="I1001" s="116"/>
      <c r="L1001" s="170">
        <v>43476</v>
      </c>
      <c r="M1001" s="116">
        <v>272.95</v>
      </c>
      <c r="N1001" s="116">
        <v>277.85000000000002</v>
      </c>
      <c r="O1001" s="116">
        <v>271.2</v>
      </c>
      <c r="P1001" s="116">
        <v>276</v>
      </c>
      <c r="Q1001" s="116">
        <v>272.95</v>
      </c>
      <c r="R1001">
        <v>480905</v>
      </c>
    </row>
    <row r="1002" spans="1:18" x14ac:dyDescent="0.25">
      <c r="A1002" s="170">
        <v>43479</v>
      </c>
      <c r="B1002" s="116">
        <v>277.39999999999998</v>
      </c>
      <c r="C1002" s="116">
        <v>274.10000000000002</v>
      </c>
      <c r="D1002" s="116">
        <v>268.64999999999998</v>
      </c>
      <c r="E1002" s="116">
        <v>275</v>
      </c>
      <c r="F1002" s="116">
        <v>274.10000000000002</v>
      </c>
      <c r="G1002">
        <v>35818</v>
      </c>
      <c r="H1002" s="116"/>
      <c r="I1002" s="116"/>
      <c r="L1002" s="170">
        <v>43479</v>
      </c>
      <c r="M1002" s="116">
        <v>274.25</v>
      </c>
      <c r="N1002" s="116">
        <v>277.7</v>
      </c>
      <c r="O1002" s="116">
        <v>269.45</v>
      </c>
      <c r="P1002" s="116">
        <v>271.5</v>
      </c>
      <c r="Q1002" s="116">
        <v>274.25</v>
      </c>
      <c r="R1002">
        <v>545315</v>
      </c>
    </row>
    <row r="1003" spans="1:18" x14ac:dyDescent="0.25">
      <c r="A1003" s="170">
        <v>43480</v>
      </c>
      <c r="B1003" s="116">
        <v>278</v>
      </c>
      <c r="C1003" s="116">
        <v>276.45</v>
      </c>
      <c r="D1003" s="116">
        <v>273.60000000000002</v>
      </c>
      <c r="E1003" s="116">
        <v>276</v>
      </c>
      <c r="F1003" s="116">
        <v>276.45</v>
      </c>
      <c r="G1003">
        <v>35528</v>
      </c>
      <c r="H1003" s="116"/>
      <c r="I1003" s="116"/>
      <c r="L1003" s="170">
        <v>43480</v>
      </c>
      <c r="M1003" s="116">
        <v>276.64999999999998</v>
      </c>
      <c r="N1003" s="116">
        <v>278</v>
      </c>
      <c r="O1003" s="116">
        <v>273.85000000000002</v>
      </c>
      <c r="P1003" s="116">
        <v>274.25</v>
      </c>
      <c r="Q1003" s="116">
        <v>276.64999999999998</v>
      </c>
      <c r="R1003">
        <v>397020</v>
      </c>
    </row>
    <row r="1004" spans="1:18" x14ac:dyDescent="0.25">
      <c r="A1004" s="170">
        <v>43481</v>
      </c>
      <c r="B1004" s="116">
        <v>282.39999999999998</v>
      </c>
      <c r="C1004" s="116">
        <v>276.45</v>
      </c>
      <c r="D1004" s="116">
        <v>275</v>
      </c>
      <c r="E1004" s="116">
        <v>276.60000000000002</v>
      </c>
      <c r="F1004" s="116">
        <v>276.45</v>
      </c>
      <c r="G1004">
        <v>54122</v>
      </c>
      <c r="H1004" s="116"/>
      <c r="I1004" s="116"/>
      <c r="L1004" s="170">
        <v>43481</v>
      </c>
      <c r="M1004" s="116">
        <v>277.3</v>
      </c>
      <c r="N1004" s="116">
        <v>282.7</v>
      </c>
      <c r="O1004" s="116">
        <v>276</v>
      </c>
      <c r="P1004" s="116">
        <v>278</v>
      </c>
      <c r="Q1004" s="116">
        <v>277.3</v>
      </c>
      <c r="R1004">
        <v>425297</v>
      </c>
    </row>
    <row r="1005" spans="1:18" x14ac:dyDescent="0.25">
      <c r="A1005" s="170">
        <v>43482</v>
      </c>
      <c r="B1005" s="116">
        <v>282.45</v>
      </c>
      <c r="C1005" s="116">
        <v>275.60000000000002</v>
      </c>
      <c r="D1005" s="116">
        <v>273.10000000000002</v>
      </c>
      <c r="E1005" s="116">
        <v>278.05</v>
      </c>
      <c r="F1005" s="116">
        <v>275.60000000000002</v>
      </c>
      <c r="G1005">
        <v>60781</v>
      </c>
      <c r="H1005" s="116"/>
      <c r="I1005" s="116"/>
      <c r="L1005" s="170">
        <v>43482</v>
      </c>
      <c r="M1005" s="116">
        <v>276.10000000000002</v>
      </c>
      <c r="N1005" s="116">
        <v>282.2</v>
      </c>
      <c r="O1005" s="116">
        <v>273</v>
      </c>
      <c r="P1005" s="116">
        <v>277.3</v>
      </c>
      <c r="Q1005" s="116">
        <v>276.10000000000002</v>
      </c>
      <c r="R1005">
        <v>675184</v>
      </c>
    </row>
    <row r="1006" spans="1:18" x14ac:dyDescent="0.25">
      <c r="A1006" s="170">
        <v>43483</v>
      </c>
      <c r="B1006" s="116">
        <v>278.39999999999998</v>
      </c>
      <c r="C1006" s="116">
        <v>268.75</v>
      </c>
      <c r="D1006" s="116">
        <v>267.55</v>
      </c>
      <c r="E1006" s="116">
        <v>276</v>
      </c>
      <c r="F1006" s="116">
        <v>268.75</v>
      </c>
      <c r="G1006">
        <v>47164</v>
      </c>
      <c r="H1006" s="116"/>
      <c r="I1006" s="116"/>
      <c r="L1006" s="170">
        <v>43483</v>
      </c>
      <c r="M1006" s="116">
        <v>268.95</v>
      </c>
      <c r="N1006" s="116">
        <v>278.14999999999998</v>
      </c>
      <c r="O1006" s="116">
        <v>267.45</v>
      </c>
      <c r="P1006" s="116">
        <v>277</v>
      </c>
      <c r="Q1006" s="116">
        <v>268.95</v>
      </c>
      <c r="R1006">
        <v>853929</v>
      </c>
    </row>
    <row r="1007" spans="1:18" x14ac:dyDescent="0.25">
      <c r="A1007" s="170">
        <v>43486</v>
      </c>
      <c r="B1007" s="116">
        <v>270.95</v>
      </c>
      <c r="C1007" s="116">
        <v>264.55</v>
      </c>
      <c r="D1007" s="116">
        <v>262.2</v>
      </c>
      <c r="E1007" s="116">
        <v>270.95</v>
      </c>
      <c r="F1007" s="116">
        <v>264.55</v>
      </c>
      <c r="G1007">
        <v>51776</v>
      </c>
      <c r="H1007" s="116"/>
      <c r="I1007" s="116"/>
      <c r="L1007" s="170">
        <v>43486</v>
      </c>
      <c r="M1007" s="116">
        <v>264.25</v>
      </c>
      <c r="N1007" s="116">
        <v>270.95</v>
      </c>
      <c r="O1007" s="116">
        <v>262</v>
      </c>
      <c r="P1007" s="116">
        <v>270.10000000000002</v>
      </c>
      <c r="Q1007" s="116">
        <v>264.25</v>
      </c>
      <c r="R1007">
        <v>745460</v>
      </c>
    </row>
    <row r="1008" spans="1:18" x14ac:dyDescent="0.25">
      <c r="A1008" s="170">
        <v>43487</v>
      </c>
      <c r="B1008" s="116">
        <v>267.60000000000002</v>
      </c>
      <c r="C1008" s="116">
        <v>264.75</v>
      </c>
      <c r="D1008" s="116">
        <v>262.25</v>
      </c>
      <c r="E1008" s="116">
        <v>262.35000000000002</v>
      </c>
      <c r="F1008" s="116">
        <v>264.75</v>
      </c>
      <c r="G1008">
        <v>37011</v>
      </c>
      <c r="H1008" s="116"/>
      <c r="I1008" s="116"/>
      <c r="L1008" s="170">
        <v>43487</v>
      </c>
      <c r="M1008" s="116">
        <v>265.39999999999998</v>
      </c>
      <c r="N1008" s="116">
        <v>267.85000000000002</v>
      </c>
      <c r="O1008" s="116">
        <v>262.14999999999998</v>
      </c>
      <c r="P1008" s="116">
        <v>262.39999999999998</v>
      </c>
      <c r="Q1008" s="116">
        <v>265.39999999999998</v>
      </c>
      <c r="R1008">
        <v>604048</v>
      </c>
    </row>
    <row r="1009" spans="1:18" x14ac:dyDescent="0.25">
      <c r="A1009" s="170">
        <v>43488</v>
      </c>
      <c r="B1009" s="116">
        <v>270</v>
      </c>
      <c r="C1009" s="116">
        <v>265.55</v>
      </c>
      <c r="D1009" s="116">
        <v>259.85000000000002</v>
      </c>
      <c r="E1009" s="116">
        <v>268.5</v>
      </c>
      <c r="F1009" s="116">
        <v>265.55</v>
      </c>
      <c r="G1009">
        <v>217615</v>
      </c>
      <c r="H1009" s="116"/>
      <c r="I1009" s="116"/>
      <c r="L1009" s="170">
        <v>43488</v>
      </c>
      <c r="M1009" s="116">
        <v>265.39999999999998</v>
      </c>
      <c r="N1009" s="116">
        <v>270</v>
      </c>
      <c r="O1009" s="116">
        <v>259.35000000000002</v>
      </c>
      <c r="P1009" s="116">
        <v>266</v>
      </c>
      <c r="Q1009" s="116">
        <v>265.39999999999998</v>
      </c>
      <c r="R1009">
        <v>2312792</v>
      </c>
    </row>
    <row r="1010" spans="1:18" x14ac:dyDescent="0.25">
      <c r="A1010" s="170">
        <v>43489</v>
      </c>
      <c r="B1010" s="116">
        <v>266.7</v>
      </c>
      <c r="C1010" s="116">
        <v>254.45</v>
      </c>
      <c r="D1010" s="116">
        <v>252.2</v>
      </c>
      <c r="E1010" s="116">
        <v>263.3</v>
      </c>
      <c r="F1010" s="116">
        <v>254.45</v>
      </c>
      <c r="G1010">
        <v>108218</v>
      </c>
      <c r="H1010" s="116"/>
      <c r="I1010" s="116"/>
      <c r="L1010" s="170">
        <v>43489</v>
      </c>
      <c r="M1010" s="116">
        <v>254.6</v>
      </c>
      <c r="N1010" s="116">
        <v>266.75</v>
      </c>
      <c r="O1010" s="116">
        <v>252.2</v>
      </c>
      <c r="P1010" s="116">
        <v>264</v>
      </c>
      <c r="Q1010" s="116">
        <v>254.6</v>
      </c>
      <c r="R1010">
        <v>1505981</v>
      </c>
    </row>
    <row r="1011" spans="1:18" x14ac:dyDescent="0.25">
      <c r="A1011" s="170">
        <v>43490</v>
      </c>
      <c r="B1011" s="116">
        <v>261.8</v>
      </c>
      <c r="C1011" s="116">
        <v>252.85</v>
      </c>
      <c r="D1011" s="116">
        <v>250.7</v>
      </c>
      <c r="E1011" s="116">
        <v>255</v>
      </c>
      <c r="F1011" s="116">
        <v>252.85</v>
      </c>
      <c r="G1011">
        <v>74838</v>
      </c>
      <c r="H1011" s="116"/>
      <c r="I1011" s="116"/>
      <c r="L1011" s="170">
        <v>43490</v>
      </c>
      <c r="M1011" s="116">
        <v>252.3</v>
      </c>
      <c r="N1011" s="116">
        <v>262</v>
      </c>
      <c r="O1011" s="116">
        <v>250.45</v>
      </c>
      <c r="P1011" s="116">
        <v>254</v>
      </c>
      <c r="Q1011" s="116">
        <v>252.3</v>
      </c>
      <c r="R1011">
        <v>1040487</v>
      </c>
    </row>
    <row r="1012" spans="1:18" x14ac:dyDescent="0.25">
      <c r="A1012" s="170">
        <v>43493</v>
      </c>
      <c r="B1012" s="116">
        <v>254.9</v>
      </c>
      <c r="C1012" s="116">
        <v>244.4</v>
      </c>
      <c r="D1012" s="116">
        <v>241</v>
      </c>
      <c r="E1012" s="116">
        <v>250.1</v>
      </c>
      <c r="F1012" s="116">
        <v>244.4</v>
      </c>
      <c r="G1012">
        <v>79100</v>
      </c>
      <c r="H1012" s="116"/>
      <c r="I1012" s="116"/>
      <c r="L1012" s="170">
        <v>43493</v>
      </c>
      <c r="M1012" s="116">
        <v>244.1</v>
      </c>
      <c r="N1012" s="116">
        <v>253.65</v>
      </c>
      <c r="O1012" s="116">
        <v>242</v>
      </c>
      <c r="P1012" s="116">
        <v>251.05</v>
      </c>
      <c r="Q1012" s="116">
        <v>244.1</v>
      </c>
      <c r="R1012">
        <v>1070964</v>
      </c>
    </row>
    <row r="1013" spans="1:18" x14ac:dyDescent="0.25">
      <c r="A1013" s="170">
        <v>43494</v>
      </c>
      <c r="B1013" s="116">
        <v>252.1</v>
      </c>
      <c r="C1013" s="116">
        <v>248.4</v>
      </c>
      <c r="D1013" s="116">
        <v>240.2</v>
      </c>
      <c r="E1013" s="116">
        <v>241.55</v>
      </c>
      <c r="F1013" s="116">
        <v>248.4</v>
      </c>
      <c r="G1013">
        <v>54472</v>
      </c>
      <c r="H1013" s="116"/>
      <c r="I1013" s="116"/>
      <c r="L1013" s="170">
        <v>43494</v>
      </c>
      <c r="M1013" s="116">
        <v>247.1</v>
      </c>
      <c r="N1013" s="116">
        <v>252.2</v>
      </c>
      <c r="O1013" s="116">
        <v>240.7</v>
      </c>
      <c r="P1013" s="116">
        <v>242.05</v>
      </c>
      <c r="Q1013" s="116">
        <v>247.1</v>
      </c>
      <c r="R1013">
        <v>779409</v>
      </c>
    </row>
    <row r="1014" spans="1:18" x14ac:dyDescent="0.25">
      <c r="A1014" s="170">
        <v>43495</v>
      </c>
      <c r="B1014" s="116">
        <v>253.55</v>
      </c>
      <c r="C1014" s="116">
        <v>252</v>
      </c>
      <c r="D1014" s="116">
        <v>246.6</v>
      </c>
      <c r="E1014" s="116">
        <v>249.05</v>
      </c>
      <c r="F1014" s="116">
        <v>252</v>
      </c>
      <c r="G1014">
        <v>27050</v>
      </c>
      <c r="H1014" s="116"/>
      <c r="I1014" s="116"/>
      <c r="L1014" s="170">
        <v>43495</v>
      </c>
      <c r="M1014" s="116">
        <v>252.1</v>
      </c>
      <c r="N1014" s="116">
        <v>256.95</v>
      </c>
      <c r="O1014" s="116">
        <v>246.75</v>
      </c>
      <c r="P1014" s="116">
        <v>248</v>
      </c>
      <c r="Q1014" s="116">
        <v>252.1</v>
      </c>
      <c r="R1014">
        <v>418383</v>
      </c>
    </row>
    <row r="1015" spans="1:18" x14ac:dyDescent="0.25">
      <c r="A1015" s="170">
        <v>43496</v>
      </c>
      <c r="B1015" s="116">
        <v>255.05</v>
      </c>
      <c r="C1015" s="116">
        <v>250.45</v>
      </c>
      <c r="D1015" s="116">
        <v>245</v>
      </c>
      <c r="E1015" s="116">
        <v>253.45</v>
      </c>
      <c r="F1015" s="116">
        <v>250.45</v>
      </c>
      <c r="G1015">
        <v>33353</v>
      </c>
      <c r="H1015" s="116"/>
      <c r="I1015" s="116"/>
      <c r="L1015" s="170">
        <v>43496</v>
      </c>
      <c r="M1015" s="116">
        <v>250.7</v>
      </c>
      <c r="N1015" s="116">
        <v>254.55</v>
      </c>
      <c r="O1015" s="116">
        <v>244.7</v>
      </c>
      <c r="P1015" s="116">
        <v>254.1</v>
      </c>
      <c r="Q1015" s="116">
        <v>250.7</v>
      </c>
      <c r="R1015">
        <v>737326</v>
      </c>
    </row>
    <row r="1016" spans="1:18" x14ac:dyDescent="0.25">
      <c r="A1016" s="170">
        <v>43497</v>
      </c>
      <c r="B1016" s="116">
        <v>262.60000000000002</v>
      </c>
      <c r="C1016" s="116">
        <v>258.3</v>
      </c>
      <c r="D1016" s="116">
        <v>246.65</v>
      </c>
      <c r="E1016" s="116">
        <v>251</v>
      </c>
      <c r="F1016" s="116">
        <v>258.3</v>
      </c>
      <c r="G1016">
        <v>185456</v>
      </c>
      <c r="H1016" s="116"/>
      <c r="I1016" s="116"/>
      <c r="L1016" s="170">
        <v>43497</v>
      </c>
      <c r="M1016" s="116">
        <v>259</v>
      </c>
      <c r="N1016" s="116">
        <v>262</v>
      </c>
      <c r="O1016" s="116">
        <v>246.1</v>
      </c>
      <c r="P1016" s="116">
        <v>252</v>
      </c>
      <c r="Q1016" s="116">
        <v>259</v>
      </c>
      <c r="R1016">
        <v>1578799</v>
      </c>
    </row>
    <row r="1017" spans="1:18" x14ac:dyDescent="0.25">
      <c r="A1017" s="170">
        <v>43500</v>
      </c>
      <c r="B1017" s="116">
        <v>256.45</v>
      </c>
      <c r="C1017" s="116">
        <v>247.05</v>
      </c>
      <c r="D1017" s="116">
        <v>244.45</v>
      </c>
      <c r="E1017" s="116">
        <v>255</v>
      </c>
      <c r="F1017" s="116">
        <v>247.05</v>
      </c>
      <c r="G1017">
        <v>69177</v>
      </c>
      <c r="H1017" s="116"/>
      <c r="I1017" s="116"/>
      <c r="L1017" s="170">
        <v>43500</v>
      </c>
      <c r="M1017" s="116">
        <v>247.4</v>
      </c>
      <c r="N1017" s="116">
        <v>257.39999999999998</v>
      </c>
      <c r="O1017" s="116">
        <v>244.15</v>
      </c>
      <c r="P1017" s="116">
        <v>257.39999999999998</v>
      </c>
      <c r="Q1017" s="116">
        <v>247.4</v>
      </c>
      <c r="R1017">
        <v>786527</v>
      </c>
    </row>
    <row r="1018" spans="1:18" x14ac:dyDescent="0.25">
      <c r="A1018" s="170">
        <v>43501</v>
      </c>
      <c r="B1018" s="116">
        <v>252</v>
      </c>
      <c r="C1018" s="116">
        <v>245.55</v>
      </c>
      <c r="D1018" s="116">
        <v>244.3</v>
      </c>
      <c r="E1018" s="116">
        <v>246.1</v>
      </c>
      <c r="F1018" s="116">
        <v>245.55</v>
      </c>
      <c r="G1018">
        <v>23266</v>
      </c>
      <c r="H1018" s="116"/>
      <c r="I1018" s="116"/>
      <c r="L1018" s="170">
        <v>43501</v>
      </c>
      <c r="M1018" s="116">
        <v>245.85</v>
      </c>
      <c r="N1018" s="116">
        <v>252.2</v>
      </c>
      <c r="O1018" s="116">
        <v>245</v>
      </c>
      <c r="P1018" s="116">
        <v>245.4</v>
      </c>
      <c r="Q1018" s="116">
        <v>245.85</v>
      </c>
      <c r="R1018">
        <v>556021</v>
      </c>
    </row>
    <row r="1019" spans="1:18" x14ac:dyDescent="0.25">
      <c r="A1019" s="170">
        <v>43502</v>
      </c>
      <c r="B1019" s="116">
        <v>248.15</v>
      </c>
      <c r="C1019" s="116">
        <v>244.15</v>
      </c>
      <c r="D1019" s="116">
        <v>240.2</v>
      </c>
      <c r="E1019" s="116">
        <v>245.05</v>
      </c>
      <c r="F1019" s="116">
        <v>244.15</v>
      </c>
      <c r="G1019">
        <v>36761</v>
      </c>
      <c r="H1019" s="116"/>
      <c r="I1019" s="116"/>
      <c r="L1019" s="170">
        <v>43502</v>
      </c>
      <c r="M1019" s="116">
        <v>244.9</v>
      </c>
      <c r="N1019" s="116">
        <v>248.35</v>
      </c>
      <c r="O1019" s="116">
        <v>240.25</v>
      </c>
      <c r="P1019" s="116">
        <v>247.65</v>
      </c>
      <c r="Q1019" s="116">
        <v>244.9</v>
      </c>
      <c r="R1019">
        <v>583430</v>
      </c>
    </row>
    <row r="1020" spans="1:18" x14ac:dyDescent="0.25">
      <c r="A1020" s="170">
        <v>43503</v>
      </c>
      <c r="B1020" s="116">
        <v>258</v>
      </c>
      <c r="C1020" s="116">
        <v>253.75</v>
      </c>
      <c r="D1020" s="116">
        <v>244.2</v>
      </c>
      <c r="E1020" s="116">
        <v>244.2</v>
      </c>
      <c r="F1020" s="116">
        <v>253.75</v>
      </c>
      <c r="G1020">
        <v>113113</v>
      </c>
      <c r="H1020" s="116"/>
      <c r="I1020" s="116"/>
      <c r="L1020" s="170">
        <v>43503</v>
      </c>
      <c r="M1020" s="116">
        <v>254.45</v>
      </c>
      <c r="N1020" s="116">
        <v>258.75</v>
      </c>
      <c r="O1020" s="116">
        <v>243.95</v>
      </c>
      <c r="P1020" s="116">
        <v>245.5</v>
      </c>
      <c r="Q1020" s="116">
        <v>254.45</v>
      </c>
      <c r="R1020">
        <v>1491642</v>
      </c>
    </row>
    <row r="1021" spans="1:18" x14ac:dyDescent="0.25">
      <c r="A1021" s="170">
        <v>43504</v>
      </c>
      <c r="B1021" s="116">
        <v>258.45</v>
      </c>
      <c r="C1021" s="116">
        <v>248.15</v>
      </c>
      <c r="D1021" s="116">
        <v>246.8</v>
      </c>
      <c r="E1021" s="116">
        <v>258.45</v>
      </c>
      <c r="F1021" s="116">
        <v>248.15</v>
      </c>
      <c r="G1021">
        <v>29755</v>
      </c>
      <c r="H1021" s="116"/>
      <c r="I1021" s="116"/>
      <c r="L1021" s="170">
        <v>43504</v>
      </c>
      <c r="M1021" s="116">
        <v>247.8</v>
      </c>
      <c r="N1021" s="116">
        <v>254.95</v>
      </c>
      <c r="O1021" s="116">
        <v>246.55</v>
      </c>
      <c r="P1021" s="116">
        <v>253.75</v>
      </c>
      <c r="Q1021" s="116">
        <v>247.8</v>
      </c>
      <c r="R1021">
        <v>491254</v>
      </c>
    </row>
    <row r="1022" spans="1:18" x14ac:dyDescent="0.25">
      <c r="A1022" s="170">
        <v>43507</v>
      </c>
      <c r="B1022" s="116">
        <v>248.7</v>
      </c>
      <c r="C1022" s="116">
        <v>239.8</v>
      </c>
      <c r="D1022" s="116">
        <v>234.65</v>
      </c>
      <c r="E1022" s="116">
        <v>248.7</v>
      </c>
      <c r="F1022" s="116">
        <v>239.8</v>
      </c>
      <c r="G1022">
        <v>44559</v>
      </c>
      <c r="H1022" s="116"/>
      <c r="I1022" s="116"/>
      <c r="L1022" s="170">
        <v>43507</v>
      </c>
      <c r="M1022" s="116">
        <v>239.6</v>
      </c>
      <c r="N1022" s="116">
        <v>246.2</v>
      </c>
      <c r="O1022" s="116">
        <v>235.55</v>
      </c>
      <c r="P1022" s="116">
        <v>245.25</v>
      </c>
      <c r="Q1022" s="116">
        <v>239.6</v>
      </c>
      <c r="R1022">
        <v>1094166</v>
      </c>
    </row>
    <row r="1023" spans="1:18" x14ac:dyDescent="0.25">
      <c r="A1023" s="170">
        <v>43508</v>
      </c>
      <c r="B1023" s="116">
        <v>269.7</v>
      </c>
      <c r="C1023" s="116">
        <v>264.8</v>
      </c>
      <c r="D1023" s="116">
        <v>240.85</v>
      </c>
      <c r="E1023" s="116">
        <v>240.9</v>
      </c>
      <c r="F1023" s="116">
        <v>264.8</v>
      </c>
      <c r="G1023">
        <v>315941</v>
      </c>
      <c r="H1023" s="116"/>
      <c r="I1023" s="116"/>
      <c r="L1023" s="170">
        <v>43508</v>
      </c>
      <c r="M1023" s="116">
        <v>264.75</v>
      </c>
      <c r="N1023" s="116">
        <v>269.85000000000002</v>
      </c>
      <c r="O1023" s="116">
        <v>239</v>
      </c>
      <c r="P1023" s="116">
        <v>239.6</v>
      </c>
      <c r="Q1023" s="116">
        <v>264.75</v>
      </c>
      <c r="R1023">
        <v>5413985</v>
      </c>
    </row>
    <row r="1024" spans="1:18" x14ac:dyDescent="0.25">
      <c r="A1024" s="170">
        <v>43509</v>
      </c>
      <c r="B1024" s="116">
        <v>267.55</v>
      </c>
      <c r="C1024" s="116">
        <v>255.45</v>
      </c>
      <c r="D1024" s="116">
        <v>253.7</v>
      </c>
      <c r="E1024" s="116">
        <v>264.89999999999998</v>
      </c>
      <c r="F1024" s="116">
        <v>255.45</v>
      </c>
      <c r="G1024">
        <v>74693</v>
      </c>
      <c r="H1024" s="116"/>
      <c r="I1024" s="116"/>
      <c r="L1024" s="170">
        <v>43509</v>
      </c>
      <c r="M1024" s="116">
        <v>255.7</v>
      </c>
      <c r="N1024" s="116">
        <v>266.64999999999998</v>
      </c>
      <c r="O1024" s="116">
        <v>254.05</v>
      </c>
      <c r="P1024" s="116">
        <v>263.35000000000002</v>
      </c>
      <c r="Q1024" s="116">
        <v>255.7</v>
      </c>
      <c r="R1024">
        <v>1120854</v>
      </c>
    </row>
    <row r="1025" spans="1:18" x14ac:dyDescent="0.25">
      <c r="A1025" s="170">
        <v>43510</v>
      </c>
      <c r="B1025" s="116">
        <v>268.89999999999998</v>
      </c>
      <c r="C1025" s="116">
        <v>266.35000000000002</v>
      </c>
      <c r="D1025" s="116">
        <v>247.1</v>
      </c>
      <c r="E1025" s="116">
        <v>261.5</v>
      </c>
      <c r="F1025" s="116">
        <v>266.35000000000002</v>
      </c>
      <c r="G1025">
        <v>121984</v>
      </c>
      <c r="H1025" s="116"/>
      <c r="I1025" s="116"/>
      <c r="L1025" s="170">
        <v>43510</v>
      </c>
      <c r="M1025" s="116">
        <v>266.05</v>
      </c>
      <c r="N1025" s="116">
        <v>268.85000000000002</v>
      </c>
      <c r="O1025" s="116">
        <v>247.25</v>
      </c>
      <c r="P1025" s="116">
        <v>255.7</v>
      </c>
      <c r="Q1025" s="116">
        <v>266.05</v>
      </c>
      <c r="R1025">
        <v>1509966</v>
      </c>
    </row>
    <row r="1026" spans="1:18" x14ac:dyDescent="0.25">
      <c r="A1026" s="170">
        <v>43511</v>
      </c>
      <c r="B1026" s="116">
        <v>265.64999999999998</v>
      </c>
      <c r="C1026" s="116">
        <v>248.7</v>
      </c>
      <c r="D1026" s="116">
        <v>244.85</v>
      </c>
      <c r="E1026" s="116">
        <v>265.64999999999998</v>
      </c>
      <c r="F1026" s="116">
        <v>248.7</v>
      </c>
      <c r="G1026">
        <v>111692</v>
      </c>
      <c r="H1026" s="116"/>
      <c r="I1026" s="116"/>
      <c r="L1026" s="170">
        <v>43511</v>
      </c>
      <c r="M1026" s="116">
        <v>248.9</v>
      </c>
      <c r="N1026" s="116">
        <v>266.39999999999998</v>
      </c>
      <c r="O1026" s="116">
        <v>244.3</v>
      </c>
      <c r="P1026" s="116">
        <v>266</v>
      </c>
      <c r="Q1026" s="116">
        <v>248.9</v>
      </c>
      <c r="R1026">
        <v>1931996</v>
      </c>
    </row>
    <row r="1027" spans="1:18" x14ac:dyDescent="0.25">
      <c r="A1027" s="170">
        <v>43514</v>
      </c>
      <c r="B1027" s="116">
        <v>254.4</v>
      </c>
      <c r="C1027" s="116">
        <v>246.9</v>
      </c>
      <c r="D1027" s="116">
        <v>244.35</v>
      </c>
      <c r="E1027" s="116">
        <v>249</v>
      </c>
      <c r="F1027" s="116">
        <v>246.9</v>
      </c>
      <c r="G1027">
        <v>46488</v>
      </c>
      <c r="H1027" s="116"/>
      <c r="I1027" s="116"/>
      <c r="L1027" s="170">
        <v>43514</v>
      </c>
      <c r="M1027" s="116">
        <v>246.9</v>
      </c>
      <c r="N1027" s="116">
        <v>254.2</v>
      </c>
      <c r="O1027" s="116">
        <v>245.9</v>
      </c>
      <c r="P1027" s="116">
        <v>249.5</v>
      </c>
      <c r="Q1027" s="116">
        <v>246.9</v>
      </c>
      <c r="R1027">
        <v>848217</v>
      </c>
    </row>
    <row r="1028" spans="1:18" x14ac:dyDescent="0.25">
      <c r="A1028" s="170">
        <v>43515</v>
      </c>
      <c r="B1028" s="116">
        <v>252.5</v>
      </c>
      <c r="C1028" s="116">
        <v>242.3</v>
      </c>
      <c r="D1028" s="116">
        <v>240.4</v>
      </c>
      <c r="E1028" s="116">
        <v>249.3</v>
      </c>
      <c r="F1028" s="116">
        <v>242.3</v>
      </c>
      <c r="G1028">
        <v>40605</v>
      </c>
      <c r="H1028" s="116"/>
      <c r="I1028" s="116"/>
      <c r="L1028" s="170">
        <v>43515</v>
      </c>
      <c r="M1028" s="116">
        <v>242.95</v>
      </c>
      <c r="N1028" s="116">
        <v>252.9</v>
      </c>
      <c r="O1028" s="116">
        <v>241.5</v>
      </c>
      <c r="P1028" s="116">
        <v>248.4</v>
      </c>
      <c r="Q1028" s="116">
        <v>242.95</v>
      </c>
      <c r="R1028">
        <v>916621</v>
      </c>
    </row>
    <row r="1029" spans="1:18" x14ac:dyDescent="0.25">
      <c r="A1029" s="170">
        <v>43516</v>
      </c>
      <c r="B1029" s="116">
        <v>254.7</v>
      </c>
      <c r="C1029" s="116">
        <v>253.1</v>
      </c>
      <c r="D1029" s="116">
        <v>243</v>
      </c>
      <c r="E1029" s="116">
        <v>243</v>
      </c>
      <c r="F1029" s="116">
        <v>253.1</v>
      </c>
      <c r="G1029">
        <v>61895</v>
      </c>
      <c r="H1029" s="116"/>
      <c r="I1029" s="116"/>
      <c r="L1029" s="170">
        <v>43516</v>
      </c>
      <c r="M1029" s="116">
        <v>253.3</v>
      </c>
      <c r="N1029" s="116">
        <v>254.7</v>
      </c>
      <c r="O1029" s="116">
        <v>243.55</v>
      </c>
      <c r="P1029" s="116">
        <v>245.65</v>
      </c>
      <c r="Q1029" s="116">
        <v>253.3</v>
      </c>
      <c r="R1029">
        <v>1041990</v>
      </c>
    </row>
    <row r="1030" spans="1:18" x14ac:dyDescent="0.25">
      <c r="A1030" s="170">
        <v>43517</v>
      </c>
      <c r="B1030" s="116">
        <v>275.95</v>
      </c>
      <c r="C1030" s="116">
        <v>270.60000000000002</v>
      </c>
      <c r="D1030" s="116">
        <v>251.8</v>
      </c>
      <c r="E1030" s="116">
        <v>253.1</v>
      </c>
      <c r="F1030" s="116">
        <v>270.60000000000002</v>
      </c>
      <c r="G1030">
        <v>211945</v>
      </c>
      <c r="H1030" s="116"/>
      <c r="I1030" s="116"/>
      <c r="L1030" s="170">
        <v>43517</v>
      </c>
      <c r="M1030" s="116">
        <v>271</v>
      </c>
      <c r="N1030" s="116">
        <v>277.05</v>
      </c>
      <c r="O1030" s="116">
        <v>250</v>
      </c>
      <c r="P1030" s="116">
        <v>250.6</v>
      </c>
      <c r="Q1030" s="116">
        <v>271</v>
      </c>
      <c r="R1030">
        <v>4491541</v>
      </c>
    </row>
    <row r="1031" spans="1:18" x14ac:dyDescent="0.25">
      <c r="A1031" s="170">
        <v>43518</v>
      </c>
      <c r="B1031" s="116">
        <v>274</v>
      </c>
      <c r="C1031" s="116">
        <v>269.89999999999998</v>
      </c>
      <c r="D1031" s="116">
        <v>268</v>
      </c>
      <c r="E1031" s="116">
        <v>273.8</v>
      </c>
      <c r="F1031" s="116">
        <v>269.89999999999998</v>
      </c>
      <c r="G1031">
        <v>129405</v>
      </c>
      <c r="H1031" s="116"/>
      <c r="I1031" s="116"/>
      <c r="L1031" s="170">
        <v>43518</v>
      </c>
      <c r="M1031" s="116">
        <v>269.85000000000002</v>
      </c>
      <c r="N1031" s="116">
        <v>273.5</v>
      </c>
      <c r="O1031" s="116">
        <v>268.05</v>
      </c>
      <c r="P1031" s="116">
        <v>271.7</v>
      </c>
      <c r="Q1031" s="116">
        <v>269.85000000000002</v>
      </c>
      <c r="R1031">
        <v>1346370</v>
      </c>
    </row>
    <row r="1032" spans="1:18" x14ac:dyDescent="0.25">
      <c r="A1032" s="170">
        <v>43521</v>
      </c>
      <c r="B1032" s="116">
        <v>279.5</v>
      </c>
      <c r="C1032" s="116">
        <v>267.45</v>
      </c>
      <c r="D1032" s="116">
        <v>265.64999999999998</v>
      </c>
      <c r="E1032" s="116">
        <v>272.5</v>
      </c>
      <c r="F1032" s="116">
        <v>267.45</v>
      </c>
      <c r="G1032">
        <v>81631</v>
      </c>
      <c r="H1032" s="116"/>
      <c r="I1032" s="116"/>
      <c r="L1032" s="170">
        <v>43521</v>
      </c>
      <c r="M1032" s="116">
        <v>267.95</v>
      </c>
      <c r="N1032" s="116">
        <v>279.25</v>
      </c>
      <c r="O1032" s="116">
        <v>266.55</v>
      </c>
      <c r="P1032" s="116">
        <v>272.55</v>
      </c>
      <c r="Q1032" s="116">
        <v>267.95</v>
      </c>
      <c r="R1032">
        <v>1854471</v>
      </c>
    </row>
    <row r="1033" spans="1:18" x14ac:dyDescent="0.25">
      <c r="A1033" s="170">
        <v>43522</v>
      </c>
      <c r="B1033" s="116">
        <v>267.35000000000002</v>
      </c>
      <c r="C1033" s="116">
        <v>262.85000000000002</v>
      </c>
      <c r="D1033" s="116">
        <v>256.5</v>
      </c>
      <c r="E1033" s="116">
        <v>265</v>
      </c>
      <c r="F1033" s="116">
        <v>262.85000000000002</v>
      </c>
      <c r="G1033">
        <v>69840</v>
      </c>
      <c r="H1033" s="116"/>
      <c r="I1033" s="116"/>
      <c r="L1033" s="170">
        <v>43522</v>
      </c>
      <c r="M1033" s="116">
        <v>262.25</v>
      </c>
      <c r="N1033" s="116">
        <v>267.75</v>
      </c>
      <c r="O1033" s="116">
        <v>256.60000000000002</v>
      </c>
      <c r="P1033" s="116">
        <v>264</v>
      </c>
      <c r="Q1033" s="116">
        <v>262.25</v>
      </c>
      <c r="R1033">
        <v>1114519</v>
      </c>
    </row>
    <row r="1034" spans="1:18" x14ac:dyDescent="0.25">
      <c r="A1034" s="170">
        <v>43523</v>
      </c>
      <c r="B1034" s="116">
        <v>274.55</v>
      </c>
      <c r="C1034" s="116">
        <v>260.95</v>
      </c>
      <c r="D1034" s="116">
        <v>257.45</v>
      </c>
      <c r="E1034" s="116">
        <v>264.89999999999998</v>
      </c>
      <c r="F1034" s="116">
        <v>260.95</v>
      </c>
      <c r="G1034">
        <v>68782</v>
      </c>
      <c r="H1034" s="116"/>
      <c r="I1034" s="116"/>
      <c r="L1034" s="170">
        <v>43523</v>
      </c>
      <c r="M1034" s="116">
        <v>260.7</v>
      </c>
      <c r="N1034" s="116">
        <v>273.35000000000002</v>
      </c>
      <c r="O1034" s="116">
        <v>257.25</v>
      </c>
      <c r="P1034" s="116">
        <v>264.89999999999998</v>
      </c>
      <c r="Q1034" s="116">
        <v>260.7</v>
      </c>
      <c r="R1034">
        <v>1345898</v>
      </c>
    </row>
    <row r="1035" spans="1:18" x14ac:dyDescent="0.25">
      <c r="A1035" s="170">
        <v>43524</v>
      </c>
      <c r="B1035" s="116">
        <v>269.89999999999998</v>
      </c>
      <c r="C1035" s="116">
        <v>265.8</v>
      </c>
      <c r="D1035" s="116">
        <v>262</v>
      </c>
      <c r="E1035" s="116">
        <v>264</v>
      </c>
      <c r="F1035" s="116">
        <v>265.8</v>
      </c>
      <c r="G1035">
        <v>58805</v>
      </c>
      <c r="H1035" s="116"/>
      <c r="I1035" s="116"/>
      <c r="L1035" s="170">
        <v>43524</v>
      </c>
      <c r="M1035" s="116">
        <v>266.2</v>
      </c>
      <c r="N1035" s="116">
        <v>270</v>
      </c>
      <c r="O1035" s="116">
        <v>261.2</v>
      </c>
      <c r="P1035" s="116">
        <v>262.3</v>
      </c>
      <c r="Q1035" s="116">
        <v>266.2</v>
      </c>
      <c r="R1035">
        <v>1432989</v>
      </c>
    </row>
    <row r="1036" spans="1:18" x14ac:dyDescent="0.25">
      <c r="A1036" s="170">
        <v>43525</v>
      </c>
      <c r="B1036" s="116">
        <v>278</v>
      </c>
      <c r="C1036" s="116">
        <v>275.64999999999998</v>
      </c>
      <c r="D1036" s="116">
        <v>268.7</v>
      </c>
      <c r="E1036" s="116">
        <v>269.95</v>
      </c>
      <c r="F1036" s="116">
        <v>275.64999999999998</v>
      </c>
      <c r="G1036">
        <v>70209</v>
      </c>
      <c r="H1036" s="116"/>
      <c r="I1036" s="116"/>
      <c r="L1036" s="170">
        <v>43525</v>
      </c>
      <c r="M1036" s="116">
        <v>275.8</v>
      </c>
      <c r="N1036" s="116">
        <v>278.05</v>
      </c>
      <c r="O1036" s="116">
        <v>267.2</v>
      </c>
      <c r="P1036" s="116">
        <v>267.85000000000002</v>
      </c>
      <c r="Q1036" s="116">
        <v>275.8</v>
      </c>
      <c r="R1036">
        <v>1267073</v>
      </c>
    </row>
    <row r="1037" spans="1:18" x14ac:dyDescent="0.25">
      <c r="A1037" s="170">
        <v>43529</v>
      </c>
      <c r="B1037" s="116">
        <v>296.45</v>
      </c>
      <c r="C1037" s="116">
        <v>293.3</v>
      </c>
      <c r="D1037" s="116">
        <v>276.10000000000002</v>
      </c>
      <c r="E1037" s="116">
        <v>278</v>
      </c>
      <c r="F1037" s="116">
        <v>293.3</v>
      </c>
      <c r="G1037">
        <v>218161</v>
      </c>
      <c r="H1037" s="116"/>
      <c r="I1037" s="116"/>
      <c r="L1037" s="170">
        <v>43529</v>
      </c>
      <c r="M1037" s="116">
        <v>293.64999999999998</v>
      </c>
      <c r="N1037" s="116">
        <v>296.7</v>
      </c>
      <c r="O1037" s="116">
        <v>276.39999999999998</v>
      </c>
      <c r="P1037" s="116">
        <v>276.55</v>
      </c>
      <c r="Q1037" s="116">
        <v>293.64999999999998</v>
      </c>
      <c r="R1037">
        <v>2196314</v>
      </c>
    </row>
    <row r="1038" spans="1:18" x14ac:dyDescent="0.25">
      <c r="A1038" s="170">
        <v>43530</v>
      </c>
      <c r="B1038" s="116">
        <v>306.45</v>
      </c>
      <c r="C1038" s="116">
        <v>289.5</v>
      </c>
      <c r="D1038" s="116">
        <v>288</v>
      </c>
      <c r="E1038" s="116">
        <v>299</v>
      </c>
      <c r="F1038" s="116">
        <v>289.5</v>
      </c>
      <c r="G1038">
        <v>184814</v>
      </c>
      <c r="H1038" s="116"/>
      <c r="I1038" s="116"/>
      <c r="L1038" s="170">
        <v>43530</v>
      </c>
      <c r="M1038" s="116">
        <v>289.5</v>
      </c>
      <c r="N1038" s="116">
        <v>306.25</v>
      </c>
      <c r="O1038" s="116">
        <v>287.64999999999998</v>
      </c>
      <c r="P1038" s="116">
        <v>299</v>
      </c>
      <c r="Q1038" s="116">
        <v>289.5</v>
      </c>
      <c r="R1038">
        <v>2880739</v>
      </c>
    </row>
    <row r="1039" spans="1:18" x14ac:dyDescent="0.25">
      <c r="A1039" s="170">
        <v>43531</v>
      </c>
      <c r="B1039" s="116">
        <v>299.89999999999998</v>
      </c>
      <c r="C1039" s="116">
        <v>291.89999999999998</v>
      </c>
      <c r="D1039" s="116">
        <v>285.45</v>
      </c>
      <c r="E1039" s="116">
        <v>289</v>
      </c>
      <c r="F1039" s="116">
        <v>291.89999999999998</v>
      </c>
      <c r="G1039">
        <v>88733</v>
      </c>
      <c r="H1039" s="116"/>
      <c r="I1039" s="116"/>
      <c r="L1039" s="170">
        <v>43531</v>
      </c>
      <c r="M1039" s="116">
        <v>291.55</v>
      </c>
      <c r="N1039" s="116">
        <v>296</v>
      </c>
      <c r="O1039" s="116">
        <v>285</v>
      </c>
      <c r="P1039" s="116">
        <v>291</v>
      </c>
      <c r="Q1039" s="116">
        <v>291.55</v>
      </c>
      <c r="R1039">
        <v>1533516</v>
      </c>
    </row>
    <row r="1040" spans="1:18" x14ac:dyDescent="0.25">
      <c r="A1040" s="170">
        <v>43532</v>
      </c>
      <c r="B1040" s="116">
        <v>294.2</v>
      </c>
      <c r="C1040" s="116">
        <v>287.60000000000002</v>
      </c>
      <c r="D1040" s="116">
        <v>285.60000000000002</v>
      </c>
      <c r="E1040" s="116">
        <v>289.5</v>
      </c>
      <c r="F1040" s="116">
        <v>287.60000000000002</v>
      </c>
      <c r="G1040">
        <v>52361</v>
      </c>
      <c r="H1040" s="116"/>
      <c r="I1040" s="116"/>
      <c r="L1040" s="170">
        <v>43532</v>
      </c>
      <c r="M1040" s="116">
        <v>287.45</v>
      </c>
      <c r="N1040" s="116">
        <v>294.60000000000002</v>
      </c>
      <c r="O1040" s="116">
        <v>285.39999999999998</v>
      </c>
      <c r="P1040" s="116">
        <v>287</v>
      </c>
      <c r="Q1040" s="116">
        <v>287.45</v>
      </c>
      <c r="R1040">
        <v>926130</v>
      </c>
    </row>
    <row r="1041" spans="1:18" x14ac:dyDescent="0.25">
      <c r="A1041" s="170">
        <v>43535</v>
      </c>
      <c r="B1041" s="116">
        <v>309</v>
      </c>
      <c r="C1041" s="116">
        <v>307.35000000000002</v>
      </c>
      <c r="D1041" s="116">
        <v>289.55</v>
      </c>
      <c r="E1041" s="116">
        <v>290</v>
      </c>
      <c r="F1041" s="116">
        <v>307.35000000000002</v>
      </c>
      <c r="G1041">
        <v>239671</v>
      </c>
      <c r="H1041" s="116"/>
      <c r="I1041" s="116"/>
      <c r="L1041" s="170">
        <v>43535</v>
      </c>
      <c r="M1041" s="116">
        <v>307.35000000000002</v>
      </c>
      <c r="N1041" s="116">
        <v>309.45</v>
      </c>
      <c r="O1041" s="116">
        <v>289</v>
      </c>
      <c r="P1041" s="116">
        <v>289</v>
      </c>
      <c r="Q1041" s="116">
        <v>307.35000000000002</v>
      </c>
      <c r="R1041">
        <v>3545379</v>
      </c>
    </row>
    <row r="1042" spans="1:18" x14ac:dyDescent="0.25">
      <c r="A1042" s="170">
        <v>43536</v>
      </c>
      <c r="B1042" s="116">
        <v>325.25</v>
      </c>
      <c r="C1042" s="116">
        <v>315.95</v>
      </c>
      <c r="D1042" s="116">
        <v>310.25</v>
      </c>
      <c r="E1042" s="116">
        <v>312.8</v>
      </c>
      <c r="F1042" s="116">
        <v>315.95</v>
      </c>
      <c r="G1042">
        <v>286130</v>
      </c>
      <c r="H1042" s="116"/>
      <c r="I1042" s="116"/>
      <c r="L1042" s="170">
        <v>43536</v>
      </c>
      <c r="M1042" s="116">
        <v>316.64999999999998</v>
      </c>
      <c r="N1042" s="116">
        <v>325.45</v>
      </c>
      <c r="O1042" s="116">
        <v>310</v>
      </c>
      <c r="P1042" s="116">
        <v>310</v>
      </c>
      <c r="Q1042" s="116">
        <v>316.64999999999998</v>
      </c>
      <c r="R1042">
        <v>5011049</v>
      </c>
    </row>
    <row r="1043" spans="1:18" x14ac:dyDescent="0.25">
      <c r="A1043" s="170">
        <v>43537</v>
      </c>
      <c r="B1043" s="116">
        <v>326.8</v>
      </c>
      <c r="C1043" s="116">
        <v>321.8</v>
      </c>
      <c r="D1043" s="116">
        <v>310.5</v>
      </c>
      <c r="E1043" s="116">
        <v>318.89999999999998</v>
      </c>
      <c r="F1043" s="116">
        <v>321.8</v>
      </c>
      <c r="G1043">
        <v>138311</v>
      </c>
      <c r="H1043" s="116"/>
      <c r="I1043" s="116"/>
      <c r="L1043" s="170">
        <v>43537</v>
      </c>
      <c r="M1043" s="116">
        <v>321.25</v>
      </c>
      <c r="N1043" s="116">
        <v>326.8</v>
      </c>
      <c r="O1043" s="116">
        <v>310.14999999999998</v>
      </c>
      <c r="P1043" s="116">
        <v>318.60000000000002</v>
      </c>
      <c r="Q1043" s="116">
        <v>321.25</v>
      </c>
      <c r="R1043">
        <v>2490517</v>
      </c>
    </row>
    <row r="1044" spans="1:18" x14ac:dyDescent="0.25">
      <c r="A1044" s="170">
        <v>43538</v>
      </c>
      <c r="B1044" s="116">
        <v>324.64999999999998</v>
      </c>
      <c r="C1044" s="116">
        <v>321.39999999999998</v>
      </c>
      <c r="D1044" s="116">
        <v>315.3</v>
      </c>
      <c r="E1044" s="116">
        <v>321.8</v>
      </c>
      <c r="F1044" s="116">
        <v>321.39999999999998</v>
      </c>
      <c r="G1044">
        <v>90207</v>
      </c>
      <c r="H1044" s="116"/>
      <c r="I1044" s="116"/>
      <c r="L1044" s="170">
        <v>43538</v>
      </c>
      <c r="M1044" s="116">
        <v>320.55</v>
      </c>
      <c r="N1044" s="116">
        <v>324.7</v>
      </c>
      <c r="O1044" s="116">
        <v>315.14999999999998</v>
      </c>
      <c r="P1044" s="116">
        <v>321.25</v>
      </c>
      <c r="Q1044" s="116">
        <v>320.55</v>
      </c>
      <c r="R1044">
        <v>1889983</v>
      </c>
    </row>
    <row r="1045" spans="1:18" x14ac:dyDescent="0.25">
      <c r="A1045" s="170">
        <v>43539</v>
      </c>
      <c r="B1045" s="116">
        <v>324.55</v>
      </c>
      <c r="C1045" s="116">
        <v>314.55</v>
      </c>
      <c r="D1045" s="116">
        <v>311.89999999999998</v>
      </c>
      <c r="E1045" s="116">
        <v>321.39999999999998</v>
      </c>
      <c r="F1045" s="116">
        <v>314.55</v>
      </c>
      <c r="G1045">
        <v>103051</v>
      </c>
      <c r="H1045" s="116"/>
      <c r="I1045" s="116"/>
      <c r="L1045" s="170">
        <v>43539</v>
      </c>
      <c r="M1045" s="116">
        <v>314.95</v>
      </c>
      <c r="N1045" s="116">
        <v>324.60000000000002</v>
      </c>
      <c r="O1045" s="116">
        <v>311.2</v>
      </c>
      <c r="P1045" s="116">
        <v>321.60000000000002</v>
      </c>
      <c r="Q1045" s="116">
        <v>314.95</v>
      </c>
      <c r="R1045">
        <v>1547006</v>
      </c>
    </row>
    <row r="1046" spans="1:18" x14ac:dyDescent="0.25">
      <c r="A1046" s="170">
        <v>43542</v>
      </c>
      <c r="B1046" s="116">
        <v>321.5</v>
      </c>
      <c r="C1046" s="116">
        <v>317.3</v>
      </c>
      <c r="D1046" s="116">
        <v>308.75</v>
      </c>
      <c r="E1046" s="116">
        <v>314.55</v>
      </c>
      <c r="F1046" s="116">
        <v>317.3</v>
      </c>
      <c r="G1046">
        <v>180981</v>
      </c>
      <c r="H1046" s="116"/>
      <c r="I1046" s="116"/>
      <c r="L1046" s="170">
        <v>43542</v>
      </c>
      <c r="M1046" s="116">
        <v>316.35000000000002</v>
      </c>
      <c r="N1046" s="116">
        <v>321.55</v>
      </c>
      <c r="O1046" s="116">
        <v>308.2</v>
      </c>
      <c r="P1046" s="116">
        <v>313</v>
      </c>
      <c r="Q1046" s="116">
        <v>316.35000000000002</v>
      </c>
      <c r="R1046">
        <v>1546715</v>
      </c>
    </row>
    <row r="1047" spans="1:18" x14ac:dyDescent="0.25">
      <c r="A1047" s="170">
        <v>43543</v>
      </c>
      <c r="B1047" s="116">
        <v>328.75</v>
      </c>
      <c r="C1047" s="116">
        <v>319.60000000000002</v>
      </c>
      <c r="D1047" s="116">
        <v>314.2</v>
      </c>
      <c r="E1047" s="116">
        <v>316</v>
      </c>
      <c r="F1047" s="116">
        <v>319.60000000000002</v>
      </c>
      <c r="G1047">
        <v>216713</v>
      </c>
      <c r="H1047" s="116"/>
      <c r="I1047" s="116"/>
      <c r="L1047" s="170">
        <v>43543</v>
      </c>
      <c r="M1047" s="116">
        <v>319.7</v>
      </c>
      <c r="N1047" s="116">
        <v>328.95</v>
      </c>
      <c r="O1047" s="116">
        <v>313.64999999999998</v>
      </c>
      <c r="P1047" s="116">
        <v>316.45</v>
      </c>
      <c r="Q1047" s="116">
        <v>319.7</v>
      </c>
      <c r="R1047">
        <v>2442317</v>
      </c>
    </row>
    <row r="1048" spans="1:18" x14ac:dyDescent="0.25">
      <c r="A1048" s="170">
        <v>43544</v>
      </c>
      <c r="B1048" s="116">
        <v>328</v>
      </c>
      <c r="C1048" s="116">
        <v>325.95</v>
      </c>
      <c r="D1048" s="116">
        <v>320.10000000000002</v>
      </c>
      <c r="E1048" s="116">
        <v>321.05</v>
      </c>
      <c r="F1048" s="116">
        <v>325.95</v>
      </c>
      <c r="G1048">
        <v>96602</v>
      </c>
      <c r="H1048" s="116"/>
      <c r="I1048" s="116"/>
      <c r="L1048" s="170">
        <v>43544</v>
      </c>
      <c r="M1048" s="116">
        <v>326.35000000000002</v>
      </c>
      <c r="N1048" s="116">
        <v>328</v>
      </c>
      <c r="O1048" s="116">
        <v>320.35000000000002</v>
      </c>
      <c r="P1048" s="116">
        <v>320.85000000000002</v>
      </c>
      <c r="Q1048" s="116">
        <v>326.35000000000002</v>
      </c>
      <c r="R1048">
        <v>1986364</v>
      </c>
    </row>
    <row r="1049" spans="1:18" x14ac:dyDescent="0.25">
      <c r="A1049" s="170">
        <v>43546</v>
      </c>
      <c r="B1049" s="116">
        <v>333.45</v>
      </c>
      <c r="C1049" s="116">
        <v>323.39999999999998</v>
      </c>
      <c r="D1049" s="116">
        <v>322.5</v>
      </c>
      <c r="E1049" s="116">
        <v>327</v>
      </c>
      <c r="F1049" s="116">
        <v>323.39999999999998</v>
      </c>
      <c r="G1049">
        <v>151460</v>
      </c>
      <c r="H1049" s="116"/>
      <c r="I1049" s="116"/>
      <c r="L1049" s="170">
        <v>43546</v>
      </c>
      <c r="M1049" s="116">
        <v>323.60000000000002</v>
      </c>
      <c r="N1049" s="116">
        <v>333.9</v>
      </c>
      <c r="O1049" s="116">
        <v>322.75</v>
      </c>
      <c r="P1049" s="116">
        <v>328.35</v>
      </c>
      <c r="Q1049" s="116">
        <v>323.60000000000002</v>
      </c>
      <c r="R1049">
        <v>3418006</v>
      </c>
    </row>
    <row r="1050" spans="1:18" x14ac:dyDescent="0.25">
      <c r="A1050" s="170">
        <v>43549</v>
      </c>
      <c r="B1050" s="116">
        <v>330.05</v>
      </c>
      <c r="C1050" s="116">
        <v>327.8</v>
      </c>
      <c r="D1050" s="116">
        <v>316.05</v>
      </c>
      <c r="E1050" s="116">
        <v>320</v>
      </c>
      <c r="F1050" s="116">
        <v>327.8</v>
      </c>
      <c r="G1050">
        <v>74903</v>
      </c>
      <c r="H1050" s="116"/>
      <c r="I1050" s="116"/>
      <c r="L1050" s="170">
        <v>43549</v>
      </c>
      <c r="M1050" s="116">
        <v>328.2</v>
      </c>
      <c r="N1050" s="116">
        <v>330.5</v>
      </c>
      <c r="O1050" s="116">
        <v>316.45</v>
      </c>
      <c r="P1050" s="116">
        <v>317.5</v>
      </c>
      <c r="Q1050" s="116">
        <v>328.2</v>
      </c>
      <c r="R1050">
        <v>1609493</v>
      </c>
    </row>
    <row r="1051" spans="1:18" x14ac:dyDescent="0.25">
      <c r="A1051" s="170">
        <v>43550</v>
      </c>
      <c r="B1051" s="116">
        <v>337</v>
      </c>
      <c r="C1051" s="116">
        <v>334.95</v>
      </c>
      <c r="D1051" s="116">
        <v>330.4</v>
      </c>
      <c r="E1051" s="116">
        <v>331.9</v>
      </c>
      <c r="F1051" s="116">
        <v>334.95</v>
      </c>
      <c r="G1051">
        <v>237543</v>
      </c>
      <c r="H1051" s="116"/>
      <c r="I1051" s="116"/>
      <c r="L1051" s="170">
        <v>43550</v>
      </c>
      <c r="M1051" s="116">
        <v>335.35</v>
      </c>
      <c r="N1051" s="116">
        <v>336.95</v>
      </c>
      <c r="O1051" s="116">
        <v>329.55</v>
      </c>
      <c r="P1051" s="116">
        <v>330.9</v>
      </c>
      <c r="Q1051" s="116">
        <v>335.35</v>
      </c>
      <c r="R1051">
        <v>2949263</v>
      </c>
    </row>
    <row r="1052" spans="1:18" x14ac:dyDescent="0.25">
      <c r="A1052" s="170">
        <v>43551</v>
      </c>
      <c r="B1052" s="116">
        <v>344.75</v>
      </c>
      <c r="C1052" s="116">
        <v>335.45</v>
      </c>
      <c r="D1052" s="116">
        <v>333.3</v>
      </c>
      <c r="E1052" s="116">
        <v>337.95</v>
      </c>
      <c r="F1052" s="116">
        <v>335.45</v>
      </c>
      <c r="G1052">
        <v>133814</v>
      </c>
      <c r="H1052" s="116"/>
      <c r="I1052" s="116"/>
      <c r="L1052" s="170">
        <v>43551</v>
      </c>
      <c r="M1052" s="116">
        <v>335.7</v>
      </c>
      <c r="N1052" s="116">
        <v>344.9</v>
      </c>
      <c r="O1052" s="116">
        <v>331.8</v>
      </c>
      <c r="P1052" s="116">
        <v>335.45</v>
      </c>
      <c r="Q1052" s="116">
        <v>335.7</v>
      </c>
      <c r="R1052">
        <v>2110512</v>
      </c>
    </row>
    <row r="1053" spans="1:18" x14ac:dyDescent="0.25">
      <c r="A1053" s="170">
        <v>43552</v>
      </c>
      <c r="B1053" s="116">
        <v>347</v>
      </c>
      <c r="C1053" s="116">
        <v>345.25</v>
      </c>
      <c r="D1053" s="116">
        <v>337.2</v>
      </c>
      <c r="E1053" s="116">
        <v>338.55</v>
      </c>
      <c r="F1053" s="116">
        <v>345.25</v>
      </c>
      <c r="G1053">
        <v>85003</v>
      </c>
      <c r="H1053" s="116"/>
      <c r="I1053" s="116"/>
      <c r="L1053" s="170">
        <v>43552</v>
      </c>
      <c r="M1053" s="116">
        <v>345.9</v>
      </c>
      <c r="N1053" s="116">
        <v>347.5</v>
      </c>
      <c r="O1053" s="116">
        <v>337</v>
      </c>
      <c r="P1053" s="116">
        <v>338.4</v>
      </c>
      <c r="Q1053" s="116">
        <v>345.9</v>
      </c>
      <c r="R1053">
        <v>1566025</v>
      </c>
    </row>
    <row r="1054" spans="1:18" x14ac:dyDescent="0.25">
      <c r="A1054" s="170">
        <v>43553</v>
      </c>
      <c r="B1054" s="116">
        <v>356.15</v>
      </c>
      <c r="C1054" s="116">
        <v>348.55</v>
      </c>
      <c r="D1054" s="116">
        <v>346</v>
      </c>
      <c r="E1054" s="116">
        <v>346</v>
      </c>
      <c r="F1054" s="116">
        <v>348.55</v>
      </c>
      <c r="G1054">
        <v>106749</v>
      </c>
      <c r="H1054" s="116"/>
      <c r="I1054" s="116"/>
      <c r="L1054" s="170">
        <v>43553</v>
      </c>
      <c r="M1054" s="116">
        <v>348.85</v>
      </c>
      <c r="N1054" s="116">
        <v>356.8</v>
      </c>
      <c r="O1054" s="116">
        <v>345.95</v>
      </c>
      <c r="P1054" s="116">
        <v>347</v>
      </c>
      <c r="Q1054" s="116">
        <v>348.85</v>
      </c>
      <c r="R1054">
        <v>1958143</v>
      </c>
    </row>
    <row r="1055" spans="1:18" x14ac:dyDescent="0.25">
      <c r="A1055" s="170">
        <v>43556</v>
      </c>
      <c r="B1055" s="116">
        <v>361.3</v>
      </c>
      <c r="C1055" s="116">
        <v>354.95</v>
      </c>
      <c r="D1055" s="116">
        <v>349.05</v>
      </c>
      <c r="E1055" s="116">
        <v>350.1</v>
      </c>
      <c r="F1055" s="116">
        <v>354.95</v>
      </c>
      <c r="G1055">
        <v>186238</v>
      </c>
      <c r="H1055" s="116"/>
      <c r="I1055" s="116"/>
      <c r="L1055" s="170">
        <v>43556</v>
      </c>
      <c r="M1055" s="116">
        <v>354.25</v>
      </c>
      <c r="N1055" s="116">
        <v>361.45</v>
      </c>
      <c r="O1055" s="116">
        <v>349</v>
      </c>
      <c r="P1055" s="116">
        <v>350.25</v>
      </c>
      <c r="Q1055" s="116">
        <v>354.25</v>
      </c>
      <c r="R1055">
        <v>2206271</v>
      </c>
    </row>
    <row r="1056" spans="1:18" x14ac:dyDescent="0.25">
      <c r="A1056" s="170">
        <v>43557</v>
      </c>
      <c r="B1056" s="116">
        <v>357</v>
      </c>
      <c r="C1056" s="116">
        <v>349</v>
      </c>
      <c r="D1056" s="116">
        <v>347.05</v>
      </c>
      <c r="E1056" s="116">
        <v>356</v>
      </c>
      <c r="F1056" s="116">
        <v>349</v>
      </c>
      <c r="G1056">
        <v>50976</v>
      </c>
      <c r="H1056" s="116"/>
      <c r="I1056" s="116"/>
      <c r="L1056" s="170">
        <v>43557</v>
      </c>
      <c r="M1056" s="116">
        <v>349.7</v>
      </c>
      <c r="N1056" s="116">
        <v>357.25</v>
      </c>
      <c r="O1056" s="116">
        <v>347.45</v>
      </c>
      <c r="P1056" s="116">
        <v>356.7</v>
      </c>
      <c r="Q1056" s="116">
        <v>349.7</v>
      </c>
      <c r="R1056">
        <v>1101143</v>
      </c>
    </row>
    <row r="1057" spans="1:18" x14ac:dyDescent="0.25">
      <c r="A1057" s="170">
        <v>43558</v>
      </c>
      <c r="B1057" s="116">
        <v>360.65</v>
      </c>
      <c r="C1057" s="116">
        <v>352.7</v>
      </c>
      <c r="D1057" s="116">
        <v>347</v>
      </c>
      <c r="E1057" s="116">
        <v>347</v>
      </c>
      <c r="F1057" s="116">
        <v>352.7</v>
      </c>
      <c r="G1057">
        <v>83921</v>
      </c>
      <c r="H1057" s="116"/>
      <c r="I1057" s="116"/>
      <c r="L1057" s="170">
        <v>43558</v>
      </c>
      <c r="M1057" s="116">
        <v>352.5</v>
      </c>
      <c r="N1057" s="116">
        <v>361</v>
      </c>
      <c r="O1057" s="116">
        <v>349</v>
      </c>
      <c r="P1057" s="116">
        <v>350</v>
      </c>
      <c r="Q1057" s="116">
        <v>352.5</v>
      </c>
      <c r="R1057">
        <v>1696747</v>
      </c>
    </row>
    <row r="1058" spans="1:18" x14ac:dyDescent="0.25">
      <c r="A1058" s="170">
        <v>43559</v>
      </c>
      <c r="B1058" s="116">
        <v>356.55</v>
      </c>
      <c r="C1058" s="116">
        <v>346.7</v>
      </c>
      <c r="D1058" s="116">
        <v>343.2</v>
      </c>
      <c r="E1058" s="116">
        <v>352</v>
      </c>
      <c r="F1058" s="116">
        <v>346.7</v>
      </c>
      <c r="G1058">
        <v>125455</v>
      </c>
      <c r="H1058" s="116"/>
      <c r="I1058" s="116"/>
      <c r="L1058" s="170">
        <v>43559</v>
      </c>
      <c r="M1058" s="116">
        <v>347.1</v>
      </c>
      <c r="N1058" s="116">
        <v>356.6</v>
      </c>
      <c r="O1058" s="116">
        <v>343.05</v>
      </c>
      <c r="P1058" s="116">
        <v>351.7</v>
      </c>
      <c r="Q1058" s="116">
        <v>347.1</v>
      </c>
      <c r="R1058">
        <v>2328290</v>
      </c>
    </row>
    <row r="1059" spans="1:18" x14ac:dyDescent="0.25">
      <c r="A1059" s="170">
        <v>43560</v>
      </c>
      <c r="B1059" s="116">
        <v>363.3</v>
      </c>
      <c r="C1059" s="116">
        <v>360.45</v>
      </c>
      <c r="D1059" s="116">
        <v>350</v>
      </c>
      <c r="E1059" s="116">
        <v>350</v>
      </c>
      <c r="F1059" s="116">
        <v>360.45</v>
      </c>
      <c r="G1059">
        <v>128524</v>
      </c>
      <c r="H1059" s="116"/>
      <c r="I1059" s="116"/>
      <c r="L1059" s="170">
        <v>43560</v>
      </c>
      <c r="M1059" s="116">
        <v>360.1</v>
      </c>
      <c r="N1059" s="116">
        <v>363.5</v>
      </c>
      <c r="O1059" s="116">
        <v>348.45</v>
      </c>
      <c r="P1059" s="116">
        <v>348.9</v>
      </c>
      <c r="Q1059" s="116">
        <v>360.1</v>
      </c>
      <c r="R1059">
        <v>2898665</v>
      </c>
    </row>
    <row r="1060" spans="1:18" x14ac:dyDescent="0.25">
      <c r="A1060" s="170">
        <v>43563</v>
      </c>
      <c r="B1060" s="116">
        <v>368.35</v>
      </c>
      <c r="C1060" s="116">
        <v>360.95</v>
      </c>
      <c r="D1060" s="116">
        <v>359.6</v>
      </c>
      <c r="E1060" s="116">
        <v>361</v>
      </c>
      <c r="F1060" s="116">
        <v>360.95</v>
      </c>
      <c r="G1060">
        <v>117176</v>
      </c>
      <c r="H1060" s="116"/>
      <c r="I1060" s="116"/>
      <c r="L1060" s="170">
        <v>43563</v>
      </c>
      <c r="M1060" s="116">
        <v>361.8</v>
      </c>
      <c r="N1060" s="116">
        <v>368.7</v>
      </c>
      <c r="O1060" s="116">
        <v>359.85</v>
      </c>
      <c r="P1060" s="116">
        <v>361.1</v>
      </c>
      <c r="Q1060" s="116">
        <v>361.8</v>
      </c>
      <c r="R1060">
        <v>2206838</v>
      </c>
    </row>
    <row r="1061" spans="1:18" x14ac:dyDescent="0.25">
      <c r="A1061" s="170">
        <v>43564</v>
      </c>
      <c r="B1061" s="116">
        <v>363</v>
      </c>
      <c r="C1061" s="116">
        <v>354.75</v>
      </c>
      <c r="D1061" s="116">
        <v>348.55</v>
      </c>
      <c r="E1061" s="116">
        <v>362.45</v>
      </c>
      <c r="F1061" s="116">
        <v>354.75</v>
      </c>
      <c r="G1061">
        <v>124216</v>
      </c>
      <c r="H1061" s="116"/>
      <c r="I1061" s="116"/>
      <c r="L1061" s="170">
        <v>43564</v>
      </c>
      <c r="M1061" s="116">
        <v>354.3</v>
      </c>
      <c r="N1061" s="116">
        <v>364.05</v>
      </c>
      <c r="O1061" s="116">
        <v>349.15</v>
      </c>
      <c r="P1061" s="116">
        <v>363</v>
      </c>
      <c r="Q1061" s="116">
        <v>354.3</v>
      </c>
      <c r="R1061">
        <v>1647653</v>
      </c>
    </row>
    <row r="1062" spans="1:18" x14ac:dyDescent="0.25">
      <c r="A1062" s="170">
        <v>43565</v>
      </c>
      <c r="B1062" s="116">
        <v>359.85</v>
      </c>
      <c r="C1062" s="116">
        <v>347.35</v>
      </c>
      <c r="D1062" s="116">
        <v>345.95</v>
      </c>
      <c r="E1062" s="116">
        <v>353.65</v>
      </c>
      <c r="F1062" s="116">
        <v>347.35</v>
      </c>
      <c r="G1062">
        <v>84436</v>
      </c>
      <c r="H1062" s="116"/>
      <c r="I1062" s="116"/>
      <c r="L1062" s="170">
        <v>43565</v>
      </c>
      <c r="M1062" s="116">
        <v>347.4</v>
      </c>
      <c r="N1062" s="116">
        <v>359.3</v>
      </c>
      <c r="O1062" s="116">
        <v>346.25</v>
      </c>
      <c r="P1062" s="116">
        <v>354</v>
      </c>
      <c r="Q1062" s="116">
        <v>347.4</v>
      </c>
      <c r="R1062">
        <v>1223167</v>
      </c>
    </row>
    <row r="1063" spans="1:18" x14ac:dyDescent="0.25">
      <c r="A1063" s="170">
        <v>43566</v>
      </c>
      <c r="B1063" s="116">
        <v>351.4</v>
      </c>
      <c r="C1063" s="116">
        <v>349.4</v>
      </c>
      <c r="D1063" s="116">
        <v>344</v>
      </c>
      <c r="E1063" s="116">
        <v>346.1</v>
      </c>
      <c r="F1063" s="116">
        <v>349.4</v>
      </c>
      <c r="G1063">
        <v>67419</v>
      </c>
      <c r="H1063" s="116"/>
      <c r="I1063" s="116"/>
      <c r="L1063" s="170">
        <v>43566</v>
      </c>
      <c r="M1063" s="116">
        <v>349.6</v>
      </c>
      <c r="N1063" s="116">
        <v>351.35</v>
      </c>
      <c r="O1063" s="116">
        <v>343.65</v>
      </c>
      <c r="P1063" s="116">
        <v>346.9</v>
      </c>
      <c r="Q1063" s="116">
        <v>349.6</v>
      </c>
      <c r="R1063">
        <v>799829</v>
      </c>
    </row>
    <row r="1064" spans="1:18" x14ac:dyDescent="0.25">
      <c r="A1064" s="170">
        <v>43567</v>
      </c>
      <c r="B1064" s="116">
        <v>354</v>
      </c>
      <c r="C1064" s="116">
        <v>353</v>
      </c>
      <c r="D1064" s="116">
        <v>348.5</v>
      </c>
      <c r="E1064" s="116">
        <v>350.95</v>
      </c>
      <c r="F1064" s="116">
        <v>353</v>
      </c>
      <c r="G1064">
        <v>30616</v>
      </c>
      <c r="H1064" s="116"/>
      <c r="I1064" s="116"/>
      <c r="L1064" s="170">
        <v>43567</v>
      </c>
      <c r="M1064" s="116">
        <v>352.8</v>
      </c>
      <c r="N1064" s="116">
        <v>353.95</v>
      </c>
      <c r="O1064" s="116">
        <v>348</v>
      </c>
      <c r="P1064" s="116">
        <v>348.1</v>
      </c>
      <c r="Q1064" s="116">
        <v>352.8</v>
      </c>
      <c r="R1064">
        <v>593965</v>
      </c>
    </row>
    <row r="1065" spans="1:18" x14ac:dyDescent="0.25">
      <c r="A1065" s="170">
        <v>43570</v>
      </c>
      <c r="B1065" s="116">
        <v>356</v>
      </c>
      <c r="C1065" s="116">
        <v>347.2</v>
      </c>
      <c r="D1065" s="116">
        <v>345.25</v>
      </c>
      <c r="E1065" s="116">
        <v>351</v>
      </c>
      <c r="F1065" s="116">
        <v>347.2</v>
      </c>
      <c r="G1065">
        <v>41102</v>
      </c>
      <c r="H1065" s="116"/>
      <c r="I1065" s="116"/>
      <c r="L1065" s="170">
        <v>43570</v>
      </c>
      <c r="M1065" s="116">
        <v>346.75</v>
      </c>
      <c r="N1065" s="116">
        <v>356</v>
      </c>
      <c r="O1065" s="116">
        <v>345.5</v>
      </c>
      <c r="P1065" s="116">
        <v>353.5</v>
      </c>
      <c r="Q1065" s="116">
        <v>346.75</v>
      </c>
      <c r="R1065">
        <v>480853</v>
      </c>
    </row>
    <row r="1066" spans="1:18" x14ac:dyDescent="0.25">
      <c r="A1066" s="170">
        <v>43571</v>
      </c>
      <c r="B1066" s="116">
        <v>349.1</v>
      </c>
      <c r="C1066" s="116">
        <v>344.85</v>
      </c>
      <c r="D1066" s="116">
        <v>342</v>
      </c>
      <c r="E1066" s="116">
        <v>347</v>
      </c>
      <c r="F1066" s="116">
        <v>344.85</v>
      </c>
      <c r="G1066">
        <v>46479</v>
      </c>
      <c r="H1066" s="116"/>
      <c r="I1066" s="116"/>
      <c r="L1066" s="170">
        <v>43571</v>
      </c>
      <c r="M1066" s="116">
        <v>345</v>
      </c>
      <c r="N1066" s="116">
        <v>348.9</v>
      </c>
      <c r="O1066" s="116">
        <v>342.05</v>
      </c>
      <c r="P1066" s="116">
        <v>346</v>
      </c>
      <c r="Q1066" s="116">
        <v>345</v>
      </c>
      <c r="R1066">
        <v>672454</v>
      </c>
    </row>
    <row r="1067" spans="1:18" x14ac:dyDescent="0.25">
      <c r="A1067" s="170">
        <v>43573</v>
      </c>
      <c r="B1067" s="116">
        <v>346.75</v>
      </c>
      <c r="C1067" s="116">
        <v>337.55</v>
      </c>
      <c r="D1067" s="116">
        <v>335.65</v>
      </c>
      <c r="E1067" s="116">
        <v>343.25</v>
      </c>
      <c r="F1067" s="116">
        <v>337.55</v>
      </c>
      <c r="G1067">
        <v>141650</v>
      </c>
      <c r="H1067" s="116"/>
      <c r="I1067" s="116"/>
      <c r="L1067" s="170">
        <v>43573</v>
      </c>
      <c r="M1067" s="116">
        <v>337.2</v>
      </c>
      <c r="N1067" s="116">
        <v>346.9</v>
      </c>
      <c r="O1067" s="116">
        <v>335.7</v>
      </c>
      <c r="P1067" s="116">
        <v>343</v>
      </c>
      <c r="Q1067" s="116">
        <v>337.2</v>
      </c>
      <c r="R1067">
        <v>967633</v>
      </c>
    </row>
    <row r="1068" spans="1:18" x14ac:dyDescent="0.25">
      <c r="A1068" s="170">
        <v>43577</v>
      </c>
      <c r="B1068" s="116">
        <v>335</v>
      </c>
      <c r="C1068" s="116">
        <v>318.7</v>
      </c>
      <c r="D1068" s="116">
        <v>316.95</v>
      </c>
      <c r="E1068" s="116">
        <v>334.95</v>
      </c>
      <c r="F1068" s="116">
        <v>318.7</v>
      </c>
      <c r="G1068">
        <v>84096</v>
      </c>
      <c r="H1068" s="116"/>
      <c r="I1068" s="116"/>
      <c r="L1068" s="170">
        <v>43577</v>
      </c>
      <c r="M1068" s="116">
        <v>319.3</v>
      </c>
      <c r="N1068" s="116">
        <v>335.85</v>
      </c>
      <c r="O1068" s="116">
        <v>317.14999999999998</v>
      </c>
      <c r="P1068" s="116">
        <v>335</v>
      </c>
      <c r="Q1068" s="116">
        <v>319.3</v>
      </c>
      <c r="R1068">
        <v>1159638</v>
      </c>
    </row>
    <row r="1069" spans="1:18" x14ac:dyDescent="0.25">
      <c r="A1069" s="170">
        <v>43578</v>
      </c>
      <c r="B1069" s="116">
        <v>322.05</v>
      </c>
      <c r="C1069" s="116">
        <v>317.55</v>
      </c>
      <c r="D1069" s="116">
        <v>311.25</v>
      </c>
      <c r="E1069" s="116">
        <v>319.55</v>
      </c>
      <c r="F1069" s="116">
        <v>317.55</v>
      </c>
      <c r="G1069">
        <v>100798</v>
      </c>
      <c r="H1069" s="116"/>
      <c r="I1069" s="116"/>
      <c r="L1069" s="170">
        <v>43578</v>
      </c>
      <c r="M1069" s="116">
        <v>317.3</v>
      </c>
      <c r="N1069" s="116">
        <v>322.14999999999998</v>
      </c>
      <c r="O1069" s="116">
        <v>311.05</v>
      </c>
      <c r="P1069" s="116">
        <v>322.14999999999998</v>
      </c>
      <c r="Q1069" s="116">
        <v>317.3</v>
      </c>
      <c r="R1069">
        <v>1770616</v>
      </c>
    </row>
    <row r="1070" spans="1:18" x14ac:dyDescent="0.25">
      <c r="A1070" s="170">
        <v>43579</v>
      </c>
      <c r="B1070" s="116">
        <v>321.10000000000002</v>
      </c>
      <c r="C1070" s="116">
        <v>316.95</v>
      </c>
      <c r="D1070" s="116">
        <v>313</v>
      </c>
      <c r="E1070" s="116">
        <v>319</v>
      </c>
      <c r="F1070" s="116">
        <v>316.95</v>
      </c>
      <c r="G1070">
        <v>45911</v>
      </c>
      <c r="H1070" s="116"/>
      <c r="I1070" s="116"/>
      <c r="L1070" s="170">
        <v>43579</v>
      </c>
      <c r="M1070" s="116">
        <v>317.05</v>
      </c>
      <c r="N1070" s="116">
        <v>321.7</v>
      </c>
      <c r="O1070" s="116">
        <v>312.5</v>
      </c>
      <c r="P1070" s="116">
        <v>318</v>
      </c>
      <c r="Q1070" s="116">
        <v>317.05</v>
      </c>
      <c r="R1070">
        <v>1354590</v>
      </c>
    </row>
    <row r="1071" spans="1:18" x14ac:dyDescent="0.25">
      <c r="A1071" s="170">
        <v>43580</v>
      </c>
      <c r="B1071" s="116">
        <v>324</v>
      </c>
      <c r="C1071" s="116">
        <v>319.35000000000002</v>
      </c>
      <c r="D1071" s="116">
        <v>317</v>
      </c>
      <c r="E1071" s="116">
        <v>320.05</v>
      </c>
      <c r="F1071" s="116">
        <v>319.35000000000002</v>
      </c>
      <c r="G1071">
        <v>60098</v>
      </c>
      <c r="H1071" s="116"/>
      <c r="I1071" s="116"/>
      <c r="L1071" s="170">
        <v>43580</v>
      </c>
      <c r="M1071" s="116">
        <v>319.8</v>
      </c>
      <c r="N1071" s="116">
        <v>324.39999999999998</v>
      </c>
      <c r="O1071" s="116">
        <v>316.7</v>
      </c>
      <c r="P1071" s="116">
        <v>320.39999999999998</v>
      </c>
      <c r="Q1071" s="116">
        <v>319.8</v>
      </c>
      <c r="R1071">
        <v>1347648</v>
      </c>
    </row>
    <row r="1072" spans="1:18" x14ac:dyDescent="0.25">
      <c r="A1072" s="170">
        <v>43581</v>
      </c>
      <c r="B1072" s="116">
        <v>324.45</v>
      </c>
      <c r="C1072" s="116">
        <v>322.05</v>
      </c>
      <c r="D1072" s="116">
        <v>318.95</v>
      </c>
      <c r="E1072" s="116">
        <v>321</v>
      </c>
      <c r="F1072" s="116">
        <v>322.05</v>
      </c>
      <c r="G1072">
        <v>47775</v>
      </c>
      <c r="H1072" s="116"/>
      <c r="I1072" s="116"/>
      <c r="L1072" s="170">
        <v>43581</v>
      </c>
      <c r="M1072" s="116">
        <v>322.39999999999998</v>
      </c>
      <c r="N1072" s="116">
        <v>324.64999999999998</v>
      </c>
      <c r="O1072" s="116">
        <v>317.8</v>
      </c>
      <c r="P1072" s="116">
        <v>320.89999999999998</v>
      </c>
      <c r="Q1072" s="116">
        <v>322.39999999999998</v>
      </c>
      <c r="R1072">
        <v>499361</v>
      </c>
    </row>
    <row r="1073" spans="1:18" x14ac:dyDescent="0.25">
      <c r="A1073" s="170">
        <v>43585</v>
      </c>
      <c r="B1073" s="116">
        <v>322.3</v>
      </c>
      <c r="C1073" s="116">
        <v>317.55</v>
      </c>
      <c r="D1073" s="116">
        <v>313.64999999999998</v>
      </c>
      <c r="E1073" s="116">
        <v>322.3</v>
      </c>
      <c r="F1073" s="116">
        <v>317.55</v>
      </c>
      <c r="G1073">
        <v>65304</v>
      </c>
      <c r="H1073" s="116"/>
      <c r="I1073" s="116"/>
      <c r="L1073" s="170">
        <v>43585</v>
      </c>
      <c r="M1073" s="116">
        <v>318.64999999999998</v>
      </c>
      <c r="N1073" s="116">
        <v>323.45</v>
      </c>
      <c r="O1073" s="116">
        <v>313.2</v>
      </c>
      <c r="P1073" s="116">
        <v>321.05</v>
      </c>
      <c r="Q1073" s="116">
        <v>318.64999999999998</v>
      </c>
      <c r="R1073">
        <v>1138445</v>
      </c>
    </row>
    <row r="1074" spans="1:18" x14ac:dyDescent="0.25">
      <c r="A1074" s="170">
        <v>43587</v>
      </c>
      <c r="B1074" s="116">
        <v>345.6</v>
      </c>
      <c r="C1074" s="116">
        <v>342.65</v>
      </c>
      <c r="D1074" s="116">
        <v>313.89999999999998</v>
      </c>
      <c r="E1074" s="116">
        <v>315</v>
      </c>
      <c r="F1074" s="116">
        <v>342.65</v>
      </c>
      <c r="G1074">
        <v>183378</v>
      </c>
      <c r="H1074" s="116"/>
      <c r="I1074" s="116"/>
      <c r="L1074" s="170">
        <v>43587</v>
      </c>
      <c r="M1074" s="116">
        <v>342.5</v>
      </c>
      <c r="N1074" s="116">
        <v>346</v>
      </c>
      <c r="O1074" s="116">
        <v>311.8</v>
      </c>
      <c r="P1074" s="116">
        <v>312</v>
      </c>
      <c r="Q1074" s="116">
        <v>342.5</v>
      </c>
      <c r="R1074">
        <v>4207333</v>
      </c>
    </row>
    <row r="1075" spans="1:18" x14ac:dyDescent="0.25">
      <c r="A1075" s="170">
        <v>43588</v>
      </c>
      <c r="B1075" s="116">
        <v>344.6</v>
      </c>
      <c r="C1075" s="116">
        <v>333.3</v>
      </c>
      <c r="D1075" s="116">
        <v>330.75</v>
      </c>
      <c r="E1075" s="116">
        <v>341.8</v>
      </c>
      <c r="F1075" s="116">
        <v>333.3</v>
      </c>
      <c r="G1075">
        <v>75488</v>
      </c>
      <c r="H1075" s="116"/>
      <c r="I1075" s="116"/>
      <c r="L1075" s="170">
        <v>43588</v>
      </c>
      <c r="M1075" s="116">
        <v>332.75</v>
      </c>
      <c r="N1075" s="116">
        <v>344.65</v>
      </c>
      <c r="O1075" s="116">
        <v>330.4</v>
      </c>
      <c r="P1075" s="116">
        <v>341.65</v>
      </c>
      <c r="Q1075" s="116">
        <v>332.75</v>
      </c>
      <c r="R1075">
        <v>1506224</v>
      </c>
    </row>
    <row r="1076" spans="1:18" x14ac:dyDescent="0.25">
      <c r="A1076" s="170">
        <v>43591</v>
      </c>
      <c r="B1076" s="116">
        <v>332.15</v>
      </c>
      <c r="C1076" s="116">
        <v>323.64999999999998</v>
      </c>
      <c r="D1076" s="116">
        <v>321.8</v>
      </c>
      <c r="E1076" s="116">
        <v>327</v>
      </c>
      <c r="F1076" s="116">
        <v>323.64999999999998</v>
      </c>
      <c r="G1076">
        <v>31368</v>
      </c>
      <c r="H1076" s="116"/>
      <c r="I1076" s="116"/>
      <c r="L1076" s="170">
        <v>43591</v>
      </c>
      <c r="M1076" s="116">
        <v>323.5</v>
      </c>
      <c r="N1076" s="116">
        <v>332.3</v>
      </c>
      <c r="O1076" s="116">
        <v>321.45</v>
      </c>
      <c r="P1076" s="116">
        <v>327</v>
      </c>
      <c r="Q1076" s="116">
        <v>323.5</v>
      </c>
      <c r="R1076">
        <v>706867</v>
      </c>
    </row>
    <row r="1077" spans="1:18" x14ac:dyDescent="0.25">
      <c r="A1077" s="170">
        <v>43592</v>
      </c>
      <c r="B1077" s="116">
        <v>328.2</v>
      </c>
      <c r="C1077" s="116">
        <v>315.64999999999998</v>
      </c>
      <c r="D1077" s="116">
        <v>314.55</v>
      </c>
      <c r="E1077" s="116">
        <v>327.64999999999998</v>
      </c>
      <c r="F1077" s="116">
        <v>315.64999999999998</v>
      </c>
      <c r="G1077">
        <v>27826</v>
      </c>
      <c r="H1077" s="116"/>
      <c r="I1077" s="116"/>
      <c r="L1077" s="170">
        <v>43592</v>
      </c>
      <c r="M1077" s="116">
        <v>315.89999999999998</v>
      </c>
      <c r="N1077" s="116">
        <v>329.75</v>
      </c>
      <c r="O1077" s="116">
        <v>314.25</v>
      </c>
      <c r="P1077" s="116">
        <v>325.10000000000002</v>
      </c>
      <c r="Q1077" s="116">
        <v>315.89999999999998</v>
      </c>
      <c r="R1077">
        <v>649421</v>
      </c>
    </row>
    <row r="1078" spans="1:18" x14ac:dyDescent="0.25">
      <c r="A1078" s="170">
        <v>43593</v>
      </c>
      <c r="B1078" s="116">
        <v>326.14999999999998</v>
      </c>
      <c r="C1078" s="116">
        <v>321.3</v>
      </c>
      <c r="D1078" s="116">
        <v>312.85000000000002</v>
      </c>
      <c r="E1078" s="116">
        <v>313</v>
      </c>
      <c r="F1078" s="116">
        <v>321.3</v>
      </c>
      <c r="G1078">
        <v>51825</v>
      </c>
      <c r="H1078" s="116"/>
      <c r="I1078" s="116"/>
      <c r="L1078" s="170">
        <v>43593</v>
      </c>
      <c r="M1078" s="116">
        <v>321.10000000000002</v>
      </c>
      <c r="N1078" s="116">
        <v>326.39999999999998</v>
      </c>
      <c r="O1078" s="116">
        <v>311.05</v>
      </c>
      <c r="P1078" s="116">
        <v>312.25</v>
      </c>
      <c r="Q1078" s="116">
        <v>321.10000000000002</v>
      </c>
      <c r="R1078">
        <v>1230045</v>
      </c>
    </row>
    <row r="1079" spans="1:18" x14ac:dyDescent="0.25">
      <c r="A1079" s="170">
        <v>43594</v>
      </c>
      <c r="B1079" s="116">
        <v>326</v>
      </c>
      <c r="C1079" s="116">
        <v>316.85000000000002</v>
      </c>
      <c r="D1079" s="116">
        <v>314.5</v>
      </c>
      <c r="E1079" s="116">
        <v>321.89999999999998</v>
      </c>
      <c r="F1079" s="116">
        <v>316.85000000000002</v>
      </c>
      <c r="G1079">
        <v>57421</v>
      </c>
      <c r="H1079" s="116"/>
      <c r="I1079" s="116"/>
      <c r="L1079" s="170">
        <v>43594</v>
      </c>
      <c r="M1079" s="116">
        <v>317.75</v>
      </c>
      <c r="N1079" s="116">
        <v>326.10000000000002</v>
      </c>
      <c r="O1079" s="116">
        <v>315.7</v>
      </c>
      <c r="P1079" s="116">
        <v>321.85000000000002</v>
      </c>
      <c r="Q1079" s="116">
        <v>317.75</v>
      </c>
      <c r="R1079">
        <v>889335</v>
      </c>
    </row>
    <row r="1080" spans="1:18" x14ac:dyDescent="0.25">
      <c r="A1080" s="170">
        <v>43595</v>
      </c>
      <c r="B1080" s="116">
        <v>323.14999999999998</v>
      </c>
      <c r="C1080" s="116">
        <v>317.95</v>
      </c>
      <c r="D1080" s="116">
        <v>314</v>
      </c>
      <c r="E1080" s="116">
        <v>319</v>
      </c>
      <c r="F1080" s="116">
        <v>317.95</v>
      </c>
      <c r="G1080">
        <v>49581</v>
      </c>
      <c r="H1080" s="116"/>
      <c r="I1080" s="116"/>
      <c r="L1080" s="170">
        <v>43595</v>
      </c>
      <c r="M1080" s="116">
        <v>318.25</v>
      </c>
      <c r="N1080" s="116">
        <v>323.89999999999998</v>
      </c>
      <c r="O1080" s="116">
        <v>314</v>
      </c>
      <c r="P1080" s="116">
        <v>317.7</v>
      </c>
      <c r="Q1080" s="116">
        <v>318.25</v>
      </c>
      <c r="R1080">
        <v>895291</v>
      </c>
    </row>
    <row r="1081" spans="1:18" x14ac:dyDescent="0.25">
      <c r="A1081" s="170">
        <v>43598</v>
      </c>
      <c r="B1081" s="116">
        <v>319.14999999999998</v>
      </c>
      <c r="C1081" s="116">
        <v>308.75</v>
      </c>
      <c r="D1081" s="116">
        <v>305.10000000000002</v>
      </c>
      <c r="E1081" s="116">
        <v>317.64999999999998</v>
      </c>
      <c r="F1081" s="116">
        <v>308.75</v>
      </c>
      <c r="G1081">
        <v>33304</v>
      </c>
      <c r="H1081" s="116"/>
      <c r="I1081" s="116"/>
      <c r="L1081" s="170">
        <v>43598</v>
      </c>
      <c r="M1081" s="116">
        <v>309.2</v>
      </c>
      <c r="N1081" s="116">
        <v>319.85000000000002</v>
      </c>
      <c r="O1081" s="116">
        <v>305.85000000000002</v>
      </c>
      <c r="P1081" s="116">
        <v>319.3</v>
      </c>
      <c r="Q1081" s="116">
        <v>309.2</v>
      </c>
      <c r="R1081">
        <v>477911</v>
      </c>
    </row>
    <row r="1082" spans="1:18" x14ac:dyDescent="0.25">
      <c r="A1082" s="170">
        <v>43599</v>
      </c>
      <c r="B1082" s="116">
        <v>316</v>
      </c>
      <c r="C1082" s="116">
        <v>313.95</v>
      </c>
      <c r="D1082" s="116">
        <v>305.45</v>
      </c>
      <c r="E1082" s="116">
        <v>306.95</v>
      </c>
      <c r="F1082" s="116">
        <v>313.95</v>
      </c>
      <c r="G1082">
        <v>38032</v>
      </c>
      <c r="H1082" s="116"/>
      <c r="I1082" s="116"/>
      <c r="L1082" s="170">
        <v>43599</v>
      </c>
      <c r="M1082" s="116">
        <v>314.5</v>
      </c>
      <c r="N1082" s="116">
        <v>316.7</v>
      </c>
      <c r="O1082" s="116">
        <v>305.14999999999998</v>
      </c>
      <c r="P1082" s="116">
        <v>306.5</v>
      </c>
      <c r="Q1082" s="116">
        <v>314.5</v>
      </c>
      <c r="R1082">
        <v>743993</v>
      </c>
    </row>
    <row r="1083" spans="1:18" x14ac:dyDescent="0.25">
      <c r="A1083" s="170">
        <v>43600</v>
      </c>
      <c r="B1083" s="116">
        <v>317.39999999999998</v>
      </c>
      <c r="C1083" s="116">
        <v>305.5</v>
      </c>
      <c r="D1083" s="116">
        <v>304.75</v>
      </c>
      <c r="E1083" s="116">
        <v>317.39999999999998</v>
      </c>
      <c r="F1083" s="116">
        <v>305.5</v>
      </c>
      <c r="G1083">
        <v>41846</v>
      </c>
      <c r="H1083" s="116"/>
      <c r="I1083" s="116"/>
      <c r="L1083" s="170">
        <v>43600</v>
      </c>
      <c r="M1083" s="116">
        <v>305.7</v>
      </c>
      <c r="N1083" s="116">
        <v>319.8</v>
      </c>
      <c r="O1083" s="116">
        <v>304.75</v>
      </c>
      <c r="P1083" s="116">
        <v>314.5</v>
      </c>
      <c r="Q1083" s="116">
        <v>305.7</v>
      </c>
      <c r="R1083">
        <v>719149</v>
      </c>
    </row>
    <row r="1084" spans="1:18" x14ac:dyDescent="0.25">
      <c r="A1084" s="170">
        <v>43601</v>
      </c>
      <c r="B1084" s="116">
        <v>313.5</v>
      </c>
      <c r="C1084" s="116">
        <v>312.25</v>
      </c>
      <c r="D1084" s="116">
        <v>304.39999999999998</v>
      </c>
      <c r="E1084" s="116">
        <v>306.10000000000002</v>
      </c>
      <c r="F1084" s="116">
        <v>312.25</v>
      </c>
      <c r="G1084">
        <v>37013</v>
      </c>
      <c r="H1084" s="116"/>
      <c r="I1084" s="116"/>
      <c r="L1084" s="170">
        <v>43601</v>
      </c>
      <c r="M1084" s="116">
        <v>312.45</v>
      </c>
      <c r="N1084" s="116">
        <v>314.2</v>
      </c>
      <c r="O1084" s="116">
        <v>304.25</v>
      </c>
      <c r="P1084" s="116">
        <v>305.7</v>
      </c>
      <c r="Q1084" s="116">
        <v>312.45</v>
      </c>
      <c r="R1084">
        <v>715203</v>
      </c>
    </row>
    <row r="1085" spans="1:18" x14ac:dyDescent="0.25">
      <c r="A1085" s="170">
        <v>43602</v>
      </c>
      <c r="B1085" s="116">
        <v>321.8</v>
      </c>
      <c r="C1085" s="116">
        <v>320.05</v>
      </c>
      <c r="D1085" s="116">
        <v>311.2</v>
      </c>
      <c r="E1085" s="116">
        <v>312.89999999999998</v>
      </c>
      <c r="F1085" s="116">
        <v>320.05</v>
      </c>
      <c r="G1085">
        <v>36439</v>
      </c>
      <c r="H1085" s="116"/>
      <c r="I1085" s="116"/>
      <c r="L1085" s="170">
        <v>43602</v>
      </c>
      <c r="M1085" s="116">
        <v>319.95</v>
      </c>
      <c r="N1085" s="116">
        <v>322.45</v>
      </c>
      <c r="O1085" s="116">
        <v>310.89999999999998</v>
      </c>
      <c r="P1085" s="116">
        <v>313.5</v>
      </c>
      <c r="Q1085" s="116">
        <v>319.95</v>
      </c>
      <c r="R1085">
        <v>611539</v>
      </c>
    </row>
    <row r="1086" spans="1:18" x14ac:dyDescent="0.25">
      <c r="A1086" s="170">
        <v>43605</v>
      </c>
      <c r="B1086" s="116">
        <v>362.5</v>
      </c>
      <c r="C1086" s="116">
        <v>355.35</v>
      </c>
      <c r="D1086" s="116">
        <v>328.05</v>
      </c>
      <c r="E1086" s="116">
        <v>330.3</v>
      </c>
      <c r="F1086" s="116">
        <v>355.35</v>
      </c>
      <c r="G1086">
        <v>178865</v>
      </c>
      <c r="H1086" s="116"/>
      <c r="I1086" s="116"/>
      <c r="L1086" s="170">
        <v>43605</v>
      </c>
      <c r="M1086" s="116">
        <v>355.1</v>
      </c>
      <c r="N1086" s="116">
        <v>362.35</v>
      </c>
      <c r="O1086" s="116">
        <v>325.60000000000002</v>
      </c>
      <c r="P1086" s="116">
        <v>325.60000000000002</v>
      </c>
      <c r="Q1086" s="116">
        <v>355.1</v>
      </c>
      <c r="R1086">
        <v>2507528</v>
      </c>
    </row>
    <row r="1087" spans="1:18" x14ac:dyDescent="0.25">
      <c r="A1087" s="170">
        <v>43606</v>
      </c>
      <c r="B1087" s="116">
        <v>357</v>
      </c>
      <c r="C1087" s="116">
        <v>346.2</v>
      </c>
      <c r="D1087" s="116">
        <v>342</v>
      </c>
      <c r="E1087" s="116">
        <v>357</v>
      </c>
      <c r="F1087" s="116">
        <v>346.2</v>
      </c>
      <c r="G1087">
        <v>73192</v>
      </c>
      <c r="H1087" s="116"/>
      <c r="I1087" s="116"/>
      <c r="L1087" s="170">
        <v>43606</v>
      </c>
      <c r="M1087" s="116">
        <v>345.2</v>
      </c>
      <c r="N1087" s="116">
        <v>355</v>
      </c>
      <c r="O1087" s="116">
        <v>341.6</v>
      </c>
      <c r="P1087" s="116">
        <v>355</v>
      </c>
      <c r="Q1087" s="116">
        <v>345.2</v>
      </c>
      <c r="R1087">
        <v>850989</v>
      </c>
    </row>
    <row r="1088" spans="1:18" x14ac:dyDescent="0.25">
      <c r="A1088" s="170">
        <v>43607</v>
      </c>
      <c r="B1088" s="116">
        <v>347.95</v>
      </c>
      <c r="C1088" s="116">
        <v>342.65</v>
      </c>
      <c r="D1088" s="116">
        <v>335.45</v>
      </c>
      <c r="E1088" s="116">
        <v>342.1</v>
      </c>
      <c r="F1088" s="116">
        <v>342.65</v>
      </c>
      <c r="G1088">
        <v>78182</v>
      </c>
      <c r="H1088" s="116"/>
      <c r="I1088" s="116"/>
      <c r="L1088" s="170">
        <v>43607</v>
      </c>
      <c r="M1088" s="116">
        <v>343.05</v>
      </c>
      <c r="N1088" s="116">
        <v>347.95</v>
      </c>
      <c r="O1088" s="116">
        <v>335.5</v>
      </c>
      <c r="P1088" s="116">
        <v>344.25</v>
      </c>
      <c r="Q1088" s="116">
        <v>343.05</v>
      </c>
      <c r="R1088">
        <v>1008127</v>
      </c>
    </row>
    <row r="1089" spans="1:18" x14ac:dyDescent="0.25">
      <c r="A1089" s="170">
        <v>43608</v>
      </c>
      <c r="B1089" s="116">
        <v>360.65</v>
      </c>
      <c r="C1089" s="116">
        <v>340.65</v>
      </c>
      <c r="D1089" s="116">
        <v>338.15</v>
      </c>
      <c r="E1089" s="116">
        <v>352.5</v>
      </c>
      <c r="F1089" s="116">
        <v>340.65</v>
      </c>
      <c r="G1089">
        <v>109984</v>
      </c>
      <c r="H1089" s="116"/>
      <c r="I1089" s="116"/>
      <c r="L1089" s="170">
        <v>43608</v>
      </c>
      <c r="M1089" s="116">
        <v>340.45</v>
      </c>
      <c r="N1089" s="116">
        <v>361</v>
      </c>
      <c r="O1089" s="116">
        <v>338.1</v>
      </c>
      <c r="P1089" s="116">
        <v>354.9</v>
      </c>
      <c r="Q1089" s="116">
        <v>340.45</v>
      </c>
      <c r="R1089">
        <v>1159909</v>
      </c>
    </row>
    <row r="1090" spans="1:18" x14ac:dyDescent="0.25">
      <c r="A1090" s="170">
        <v>43609</v>
      </c>
      <c r="B1090" s="116">
        <v>368.05</v>
      </c>
      <c r="C1090" s="116">
        <v>359.15</v>
      </c>
      <c r="D1090" s="116">
        <v>346</v>
      </c>
      <c r="E1090" s="116">
        <v>346.35</v>
      </c>
      <c r="F1090" s="116">
        <v>359.15</v>
      </c>
      <c r="G1090">
        <v>106838</v>
      </c>
      <c r="H1090" s="116"/>
      <c r="I1090" s="116"/>
      <c r="L1090" s="170">
        <v>43609</v>
      </c>
      <c r="M1090" s="116">
        <v>357.7</v>
      </c>
      <c r="N1090" s="116">
        <v>359.35</v>
      </c>
      <c r="O1090" s="116">
        <v>340.45</v>
      </c>
      <c r="P1090" s="116">
        <v>340.45</v>
      </c>
      <c r="Q1090" s="116">
        <v>357.7</v>
      </c>
      <c r="R1090">
        <v>1326201</v>
      </c>
    </row>
    <row r="1091" spans="1:18" x14ac:dyDescent="0.25">
      <c r="A1091" s="170">
        <v>43612</v>
      </c>
      <c r="B1091" s="116">
        <v>356.65</v>
      </c>
      <c r="C1091" s="116">
        <v>355.2</v>
      </c>
      <c r="D1091" s="116">
        <v>348.9</v>
      </c>
      <c r="E1091" s="116">
        <v>353</v>
      </c>
      <c r="F1091" s="116">
        <v>355.2</v>
      </c>
      <c r="G1091">
        <v>41047</v>
      </c>
      <c r="H1091" s="116"/>
      <c r="I1091" s="116"/>
      <c r="L1091" s="170">
        <v>43612</v>
      </c>
      <c r="M1091" s="116">
        <v>354.7</v>
      </c>
      <c r="N1091" s="116">
        <v>357.05</v>
      </c>
      <c r="O1091" s="116">
        <v>348.8</v>
      </c>
      <c r="P1091" s="116">
        <v>357</v>
      </c>
      <c r="Q1091" s="116">
        <v>354.7</v>
      </c>
      <c r="R1091">
        <v>583212</v>
      </c>
    </row>
    <row r="1092" spans="1:18" x14ac:dyDescent="0.25">
      <c r="A1092" s="170">
        <v>43613</v>
      </c>
      <c r="B1092" s="116">
        <v>354.1</v>
      </c>
      <c r="C1092" s="116">
        <v>346.95</v>
      </c>
      <c r="D1092" s="116">
        <v>342.9</v>
      </c>
      <c r="E1092" s="116">
        <v>354.1</v>
      </c>
      <c r="F1092" s="116">
        <v>346.95</v>
      </c>
      <c r="G1092">
        <v>60427</v>
      </c>
      <c r="H1092" s="116"/>
      <c r="I1092" s="116"/>
      <c r="L1092" s="170">
        <v>43613</v>
      </c>
      <c r="M1092" s="116">
        <v>347.7</v>
      </c>
      <c r="N1092" s="116">
        <v>354.9</v>
      </c>
      <c r="O1092" s="116">
        <v>343.05</v>
      </c>
      <c r="P1092" s="116">
        <v>354.9</v>
      </c>
      <c r="Q1092" s="116">
        <v>347.7</v>
      </c>
      <c r="R1092">
        <v>823842</v>
      </c>
    </row>
    <row r="1093" spans="1:18" x14ac:dyDescent="0.25">
      <c r="A1093" s="170">
        <v>43614</v>
      </c>
      <c r="B1093" s="116">
        <v>361.55</v>
      </c>
      <c r="C1093" s="116">
        <v>353.85</v>
      </c>
      <c r="D1093" s="116">
        <v>342</v>
      </c>
      <c r="E1093" s="116">
        <v>346.45</v>
      </c>
      <c r="F1093" s="116">
        <v>353.85</v>
      </c>
      <c r="G1093">
        <v>108846</v>
      </c>
      <c r="H1093" s="116"/>
      <c r="I1093" s="116"/>
      <c r="L1093" s="170">
        <v>43614</v>
      </c>
      <c r="M1093" s="116">
        <v>353.95</v>
      </c>
      <c r="N1093" s="116">
        <v>361</v>
      </c>
      <c r="O1093" s="116">
        <v>342</v>
      </c>
      <c r="P1093" s="116">
        <v>346</v>
      </c>
      <c r="Q1093" s="116">
        <v>353.95</v>
      </c>
      <c r="R1093">
        <v>1501308</v>
      </c>
    </row>
    <row r="1094" spans="1:18" x14ac:dyDescent="0.25">
      <c r="A1094" s="170">
        <v>43615</v>
      </c>
      <c r="B1094" s="116">
        <v>358.7</v>
      </c>
      <c r="C1094" s="116">
        <v>356.05</v>
      </c>
      <c r="D1094" s="116">
        <v>353.1</v>
      </c>
      <c r="E1094" s="116">
        <v>353.1</v>
      </c>
      <c r="F1094" s="116">
        <v>356.05</v>
      </c>
      <c r="G1094">
        <v>58236</v>
      </c>
      <c r="H1094" s="116"/>
      <c r="I1094" s="116"/>
      <c r="L1094" s="170">
        <v>43615</v>
      </c>
      <c r="M1094" s="116">
        <v>356.55</v>
      </c>
      <c r="N1094" s="116">
        <v>358.9</v>
      </c>
      <c r="O1094" s="116">
        <v>353.1</v>
      </c>
      <c r="P1094" s="116">
        <v>355.3</v>
      </c>
      <c r="Q1094" s="116">
        <v>356.55</v>
      </c>
      <c r="R1094">
        <v>1149519</v>
      </c>
    </row>
    <row r="1095" spans="1:18" x14ac:dyDescent="0.25">
      <c r="A1095" s="170">
        <v>43616</v>
      </c>
      <c r="B1095" s="116">
        <v>369.9</v>
      </c>
      <c r="C1095" s="116">
        <v>352.4</v>
      </c>
      <c r="D1095" s="116">
        <v>348.8</v>
      </c>
      <c r="E1095" s="116">
        <v>358.6</v>
      </c>
      <c r="F1095" s="116">
        <v>352.4</v>
      </c>
      <c r="G1095">
        <v>133559</v>
      </c>
      <c r="H1095" s="116"/>
      <c r="I1095" s="116"/>
      <c r="L1095" s="170">
        <v>43616</v>
      </c>
      <c r="M1095" s="116">
        <v>352.35</v>
      </c>
      <c r="N1095" s="116">
        <v>370</v>
      </c>
      <c r="O1095" s="116">
        <v>348.25</v>
      </c>
      <c r="P1095" s="116">
        <v>358</v>
      </c>
      <c r="Q1095" s="116">
        <v>352.35</v>
      </c>
      <c r="R1095">
        <v>2482261</v>
      </c>
    </row>
    <row r="1096" spans="1:18" x14ac:dyDescent="0.25">
      <c r="A1096" s="170">
        <v>43619</v>
      </c>
      <c r="B1096" s="116">
        <v>362.7</v>
      </c>
      <c r="C1096" s="116">
        <v>360.95</v>
      </c>
      <c r="D1096" s="116">
        <v>351.55</v>
      </c>
      <c r="E1096" s="116">
        <v>356.9</v>
      </c>
      <c r="F1096" s="116">
        <v>360.95</v>
      </c>
      <c r="G1096">
        <v>48273</v>
      </c>
      <c r="H1096" s="116"/>
      <c r="I1096" s="116"/>
      <c r="L1096" s="170">
        <v>43619</v>
      </c>
      <c r="M1096" s="116">
        <v>361.3</v>
      </c>
      <c r="N1096" s="116">
        <v>363</v>
      </c>
      <c r="O1096" s="116">
        <v>352.3</v>
      </c>
      <c r="P1096" s="116">
        <v>354.55</v>
      </c>
      <c r="Q1096" s="116">
        <v>361.3</v>
      </c>
      <c r="R1096">
        <v>906620</v>
      </c>
    </row>
    <row r="1097" spans="1:18" x14ac:dyDescent="0.25">
      <c r="A1097" s="170">
        <v>43620</v>
      </c>
      <c r="B1097" s="116">
        <v>368.8</v>
      </c>
      <c r="C1097" s="116">
        <v>364.75</v>
      </c>
      <c r="D1097" s="116">
        <v>360.05</v>
      </c>
      <c r="E1097" s="116">
        <v>363.55</v>
      </c>
      <c r="F1097" s="116">
        <v>364.75</v>
      </c>
      <c r="G1097">
        <v>36735</v>
      </c>
      <c r="H1097" s="116"/>
      <c r="I1097" s="116"/>
      <c r="L1097" s="170">
        <v>43620</v>
      </c>
      <c r="M1097" s="116">
        <v>364.85</v>
      </c>
      <c r="N1097" s="116">
        <v>369.15</v>
      </c>
      <c r="O1097" s="116">
        <v>360</v>
      </c>
      <c r="P1097" s="116">
        <v>362</v>
      </c>
      <c r="Q1097" s="116">
        <v>364.85</v>
      </c>
      <c r="R1097">
        <v>1013913</v>
      </c>
    </row>
    <row r="1098" spans="1:18" x14ac:dyDescent="0.25">
      <c r="A1098" s="170">
        <v>43622</v>
      </c>
      <c r="B1098" s="116">
        <v>371.7</v>
      </c>
      <c r="C1098" s="116">
        <v>352.65</v>
      </c>
      <c r="D1098" s="116">
        <v>350.85</v>
      </c>
      <c r="E1098" s="116">
        <v>367</v>
      </c>
      <c r="F1098" s="116">
        <v>352.65</v>
      </c>
      <c r="G1098">
        <v>62701</v>
      </c>
      <c r="H1098" s="116"/>
      <c r="I1098" s="116"/>
      <c r="L1098" s="170">
        <v>43622</v>
      </c>
      <c r="M1098" s="116">
        <v>353.6</v>
      </c>
      <c r="N1098" s="116">
        <v>372.45</v>
      </c>
      <c r="O1098" s="116">
        <v>351.05</v>
      </c>
      <c r="P1098" s="116">
        <v>365</v>
      </c>
      <c r="Q1098" s="116">
        <v>353.6</v>
      </c>
      <c r="R1098">
        <v>1509393</v>
      </c>
    </row>
    <row r="1099" spans="1:18" x14ac:dyDescent="0.25">
      <c r="A1099" s="170">
        <v>43623</v>
      </c>
      <c r="B1099" s="116">
        <v>356.65</v>
      </c>
      <c r="C1099" s="116">
        <v>353.9</v>
      </c>
      <c r="D1099" s="116">
        <v>343.9</v>
      </c>
      <c r="E1099" s="116">
        <v>352.9</v>
      </c>
      <c r="F1099" s="116">
        <v>353.9</v>
      </c>
      <c r="G1099">
        <v>39185</v>
      </c>
      <c r="H1099" s="116"/>
      <c r="I1099" s="116"/>
      <c r="L1099" s="170">
        <v>43623</v>
      </c>
      <c r="M1099" s="116">
        <v>354.1</v>
      </c>
      <c r="N1099" s="116">
        <v>356.9</v>
      </c>
      <c r="O1099" s="116">
        <v>343</v>
      </c>
      <c r="P1099" s="116">
        <v>354.5</v>
      </c>
      <c r="Q1099" s="116">
        <v>354.1</v>
      </c>
      <c r="R1099">
        <v>1119444</v>
      </c>
    </row>
    <row r="1100" spans="1:18" x14ac:dyDescent="0.25">
      <c r="A1100" s="170">
        <v>43626</v>
      </c>
      <c r="B1100" s="116">
        <v>359</v>
      </c>
      <c r="C1100" s="116">
        <v>349.2</v>
      </c>
      <c r="D1100" s="116">
        <v>347.2</v>
      </c>
      <c r="E1100" s="116">
        <v>355.4</v>
      </c>
      <c r="F1100" s="116">
        <v>349.2</v>
      </c>
      <c r="G1100">
        <v>50921</v>
      </c>
      <c r="H1100" s="116"/>
      <c r="I1100" s="116"/>
      <c r="L1100" s="170">
        <v>43626</v>
      </c>
      <c r="M1100" s="116">
        <v>349.8</v>
      </c>
      <c r="N1100" s="116">
        <v>359.05</v>
      </c>
      <c r="O1100" s="116">
        <v>347.7</v>
      </c>
      <c r="P1100" s="116">
        <v>355</v>
      </c>
      <c r="Q1100" s="116">
        <v>349.8</v>
      </c>
      <c r="R1100">
        <v>553332</v>
      </c>
    </row>
    <row r="1101" spans="1:18" x14ac:dyDescent="0.25">
      <c r="A1101" s="170">
        <v>43627</v>
      </c>
      <c r="B1101" s="116">
        <v>350.1</v>
      </c>
      <c r="C1101" s="116">
        <v>346.1</v>
      </c>
      <c r="D1101" s="116">
        <v>336.7</v>
      </c>
      <c r="E1101" s="116">
        <v>350.1</v>
      </c>
      <c r="F1101" s="116">
        <v>346.1</v>
      </c>
      <c r="G1101">
        <v>41211</v>
      </c>
      <c r="H1101" s="116"/>
      <c r="I1101" s="116"/>
      <c r="L1101" s="170">
        <v>43627</v>
      </c>
      <c r="M1101" s="116">
        <v>346.6</v>
      </c>
      <c r="N1101" s="116">
        <v>349.7</v>
      </c>
      <c r="O1101" s="116">
        <v>336.15</v>
      </c>
      <c r="P1101" s="116">
        <v>349.2</v>
      </c>
      <c r="Q1101" s="116">
        <v>346.6</v>
      </c>
      <c r="R1101">
        <v>1073256</v>
      </c>
    </row>
    <row r="1102" spans="1:18" x14ac:dyDescent="0.25">
      <c r="A1102" s="170">
        <v>43628</v>
      </c>
      <c r="B1102" s="116">
        <v>352</v>
      </c>
      <c r="C1102" s="116">
        <v>345.3</v>
      </c>
      <c r="D1102" s="116">
        <v>338</v>
      </c>
      <c r="E1102" s="116">
        <v>338</v>
      </c>
      <c r="F1102" s="116">
        <v>345.3</v>
      </c>
      <c r="G1102">
        <v>30919</v>
      </c>
      <c r="H1102" s="116"/>
      <c r="I1102" s="116"/>
      <c r="L1102" s="170">
        <v>43628</v>
      </c>
      <c r="M1102" s="116">
        <v>345.8</v>
      </c>
      <c r="N1102" s="116">
        <v>351.9</v>
      </c>
      <c r="O1102" s="116">
        <v>341.1</v>
      </c>
      <c r="P1102" s="116">
        <v>345.8</v>
      </c>
      <c r="Q1102" s="116">
        <v>345.8</v>
      </c>
      <c r="R1102">
        <v>664225</v>
      </c>
    </row>
    <row r="1103" spans="1:18" x14ac:dyDescent="0.25">
      <c r="A1103" s="170">
        <v>43629</v>
      </c>
      <c r="B1103" s="116">
        <v>353.5</v>
      </c>
      <c r="C1103" s="116">
        <v>350.65</v>
      </c>
      <c r="D1103" s="116">
        <v>339.75</v>
      </c>
      <c r="E1103" s="116">
        <v>346.85</v>
      </c>
      <c r="F1103" s="116">
        <v>350.65</v>
      </c>
      <c r="G1103">
        <v>36603</v>
      </c>
      <c r="H1103" s="116"/>
      <c r="I1103" s="116"/>
      <c r="L1103" s="170">
        <v>43629</v>
      </c>
      <c r="M1103" s="116">
        <v>350.8</v>
      </c>
      <c r="N1103" s="116">
        <v>353</v>
      </c>
      <c r="O1103" s="116">
        <v>339.3</v>
      </c>
      <c r="P1103" s="116">
        <v>345.8</v>
      </c>
      <c r="Q1103" s="116">
        <v>350.8</v>
      </c>
      <c r="R1103">
        <v>798856</v>
      </c>
    </row>
    <row r="1104" spans="1:18" x14ac:dyDescent="0.25">
      <c r="A1104" s="170">
        <v>43630</v>
      </c>
      <c r="B1104" s="116">
        <v>355</v>
      </c>
      <c r="C1104" s="116">
        <v>345.55</v>
      </c>
      <c r="D1104" s="116">
        <v>340.35</v>
      </c>
      <c r="E1104" s="116">
        <v>355</v>
      </c>
      <c r="F1104" s="116">
        <v>345.55</v>
      </c>
      <c r="G1104">
        <v>37351</v>
      </c>
      <c r="H1104" s="116"/>
      <c r="I1104" s="116"/>
      <c r="L1104" s="170">
        <v>43630</v>
      </c>
      <c r="M1104" s="116">
        <v>345.55</v>
      </c>
      <c r="N1104" s="116">
        <v>353.95</v>
      </c>
      <c r="O1104" s="116">
        <v>343.05</v>
      </c>
      <c r="P1104" s="116">
        <v>352</v>
      </c>
      <c r="Q1104" s="116">
        <v>345.55</v>
      </c>
      <c r="R1104">
        <v>570975</v>
      </c>
    </row>
    <row r="1105" spans="1:18" x14ac:dyDescent="0.25">
      <c r="A1105" s="170">
        <v>43633</v>
      </c>
      <c r="B1105" s="116">
        <v>344.5</v>
      </c>
      <c r="C1105" s="116">
        <v>337.15</v>
      </c>
      <c r="D1105" s="116">
        <v>335</v>
      </c>
      <c r="E1105" s="116">
        <v>343</v>
      </c>
      <c r="F1105" s="116">
        <v>337.15</v>
      </c>
      <c r="G1105">
        <v>30302</v>
      </c>
      <c r="H1105" s="116"/>
      <c r="I1105" s="116"/>
      <c r="L1105" s="170">
        <v>43633</v>
      </c>
      <c r="M1105" s="116">
        <v>337</v>
      </c>
      <c r="N1105" s="116">
        <v>345.05</v>
      </c>
      <c r="O1105" s="116">
        <v>335.6</v>
      </c>
      <c r="P1105" s="116">
        <v>343.5</v>
      </c>
      <c r="Q1105" s="116">
        <v>337</v>
      </c>
      <c r="R1105">
        <v>506952</v>
      </c>
    </row>
    <row r="1106" spans="1:18" x14ac:dyDescent="0.25">
      <c r="A1106" s="170">
        <v>43634</v>
      </c>
      <c r="B1106" s="116">
        <v>347.95</v>
      </c>
      <c r="C1106" s="116">
        <v>344.2</v>
      </c>
      <c r="D1106" s="116">
        <v>337.5</v>
      </c>
      <c r="E1106" s="116">
        <v>338.35</v>
      </c>
      <c r="F1106" s="116">
        <v>344.2</v>
      </c>
      <c r="G1106">
        <v>47443</v>
      </c>
      <c r="H1106" s="116"/>
      <c r="I1106" s="116"/>
      <c r="L1106" s="170">
        <v>43634</v>
      </c>
      <c r="M1106" s="116">
        <v>343.8</v>
      </c>
      <c r="N1106" s="116">
        <v>348</v>
      </c>
      <c r="O1106" s="116">
        <v>334.5</v>
      </c>
      <c r="P1106" s="116">
        <v>335</v>
      </c>
      <c r="Q1106" s="116">
        <v>343.8</v>
      </c>
      <c r="R1106">
        <v>985373</v>
      </c>
    </row>
    <row r="1107" spans="1:18" x14ac:dyDescent="0.25">
      <c r="A1107" s="170">
        <v>43635</v>
      </c>
      <c r="B1107" s="116">
        <v>362</v>
      </c>
      <c r="C1107" s="116">
        <v>347.55</v>
      </c>
      <c r="D1107" s="116">
        <v>345.7</v>
      </c>
      <c r="E1107" s="116">
        <v>350</v>
      </c>
      <c r="F1107" s="116">
        <v>347.55</v>
      </c>
      <c r="G1107">
        <v>160522</v>
      </c>
      <c r="H1107" s="116"/>
      <c r="I1107" s="116"/>
      <c r="L1107" s="170">
        <v>43635</v>
      </c>
      <c r="M1107" s="116">
        <v>347.8</v>
      </c>
      <c r="N1107" s="116">
        <v>363</v>
      </c>
      <c r="O1107" s="116">
        <v>346</v>
      </c>
      <c r="P1107" s="116">
        <v>347.3</v>
      </c>
      <c r="Q1107" s="116">
        <v>347.8</v>
      </c>
      <c r="R1107">
        <v>2450732</v>
      </c>
    </row>
    <row r="1108" spans="1:18" x14ac:dyDescent="0.25">
      <c r="A1108" s="170">
        <v>43636</v>
      </c>
      <c r="B1108" s="116">
        <v>356.65</v>
      </c>
      <c r="C1108" s="116">
        <v>355.05</v>
      </c>
      <c r="D1108" s="116">
        <v>341</v>
      </c>
      <c r="E1108" s="116">
        <v>350</v>
      </c>
      <c r="F1108" s="116">
        <v>355.05</v>
      </c>
      <c r="G1108">
        <v>52397</v>
      </c>
      <c r="H1108" s="116"/>
      <c r="I1108" s="116"/>
      <c r="L1108" s="170">
        <v>43636</v>
      </c>
      <c r="M1108" s="116">
        <v>355.4</v>
      </c>
      <c r="N1108" s="116">
        <v>356.75</v>
      </c>
      <c r="O1108" s="116">
        <v>340.5</v>
      </c>
      <c r="P1108" s="116">
        <v>349.95</v>
      </c>
      <c r="Q1108" s="116">
        <v>355.4</v>
      </c>
      <c r="R1108">
        <v>867287</v>
      </c>
    </row>
    <row r="1109" spans="1:18" x14ac:dyDescent="0.25">
      <c r="A1109" s="170">
        <v>43637</v>
      </c>
      <c r="B1109" s="116">
        <v>356.5</v>
      </c>
      <c r="C1109" s="116">
        <v>348.65</v>
      </c>
      <c r="D1109" s="116">
        <v>343.7</v>
      </c>
      <c r="E1109" s="116">
        <v>355.2</v>
      </c>
      <c r="F1109" s="116">
        <v>348.65</v>
      </c>
      <c r="G1109">
        <v>65002</v>
      </c>
      <c r="H1109" s="116"/>
      <c r="I1109" s="116"/>
      <c r="L1109" s="170">
        <v>43637</v>
      </c>
      <c r="M1109" s="116">
        <v>348.85</v>
      </c>
      <c r="N1109" s="116">
        <v>356.5</v>
      </c>
      <c r="O1109" s="116">
        <v>343.6</v>
      </c>
      <c r="P1109" s="116">
        <v>353.1</v>
      </c>
      <c r="Q1109" s="116">
        <v>348.85</v>
      </c>
      <c r="R1109">
        <v>829524</v>
      </c>
    </row>
    <row r="1110" spans="1:18" x14ac:dyDescent="0.25">
      <c r="A1110" s="170">
        <v>43640</v>
      </c>
      <c r="B1110" s="116">
        <v>352.6</v>
      </c>
      <c r="C1110" s="116">
        <v>348.75</v>
      </c>
      <c r="D1110" s="116">
        <v>345.6</v>
      </c>
      <c r="E1110" s="116">
        <v>351.6</v>
      </c>
      <c r="F1110" s="116">
        <v>348.75</v>
      </c>
      <c r="G1110">
        <v>23822</v>
      </c>
      <c r="H1110" s="116"/>
      <c r="I1110" s="116"/>
      <c r="L1110" s="170">
        <v>43640</v>
      </c>
      <c r="M1110" s="116">
        <v>348.6</v>
      </c>
      <c r="N1110" s="116">
        <v>352.7</v>
      </c>
      <c r="O1110" s="116">
        <v>345.2</v>
      </c>
      <c r="P1110" s="116">
        <v>348.85</v>
      </c>
      <c r="Q1110" s="116">
        <v>348.6</v>
      </c>
      <c r="R1110">
        <v>422602</v>
      </c>
    </row>
    <row r="1111" spans="1:18" x14ac:dyDescent="0.25">
      <c r="A1111" s="170">
        <v>43641</v>
      </c>
      <c r="B1111" s="116">
        <v>359.3</v>
      </c>
      <c r="C1111" s="116">
        <v>356.2</v>
      </c>
      <c r="D1111" s="116">
        <v>335.85</v>
      </c>
      <c r="E1111" s="116">
        <v>347</v>
      </c>
      <c r="F1111" s="116">
        <v>356.2</v>
      </c>
      <c r="G1111">
        <v>49845</v>
      </c>
      <c r="H1111" s="116"/>
      <c r="I1111" s="116"/>
      <c r="L1111" s="170">
        <v>43641</v>
      </c>
      <c r="M1111" s="116">
        <v>356.05</v>
      </c>
      <c r="N1111" s="116">
        <v>359.4</v>
      </c>
      <c r="O1111" s="116">
        <v>345.5</v>
      </c>
      <c r="P1111" s="116">
        <v>345.7</v>
      </c>
      <c r="Q1111" s="116">
        <v>356.05</v>
      </c>
      <c r="R1111">
        <v>840845</v>
      </c>
    </row>
    <row r="1112" spans="1:18" x14ac:dyDescent="0.25">
      <c r="A1112" s="170">
        <v>43642</v>
      </c>
      <c r="B1112" s="116">
        <v>360.1</v>
      </c>
      <c r="C1112" s="116">
        <v>355.5</v>
      </c>
      <c r="D1112" s="116">
        <v>351.55</v>
      </c>
      <c r="E1112" s="116">
        <v>354</v>
      </c>
      <c r="F1112" s="116">
        <v>355.5</v>
      </c>
      <c r="G1112">
        <v>55867</v>
      </c>
      <c r="H1112" s="116"/>
      <c r="I1112" s="116"/>
      <c r="L1112" s="170">
        <v>43642</v>
      </c>
      <c r="M1112" s="116">
        <v>355.25</v>
      </c>
      <c r="N1112" s="116">
        <v>360.5</v>
      </c>
      <c r="O1112" s="116">
        <v>351.6</v>
      </c>
      <c r="P1112" s="116">
        <v>354.4</v>
      </c>
      <c r="Q1112" s="116">
        <v>355.25</v>
      </c>
      <c r="R1112">
        <v>776305</v>
      </c>
    </row>
    <row r="1113" spans="1:18" x14ac:dyDescent="0.25">
      <c r="A1113" s="170">
        <v>43643</v>
      </c>
      <c r="B1113" s="116">
        <v>366</v>
      </c>
      <c r="C1113" s="116">
        <v>347.45</v>
      </c>
      <c r="D1113" s="116">
        <v>345.75</v>
      </c>
      <c r="E1113" s="116">
        <v>355.5</v>
      </c>
      <c r="F1113" s="116">
        <v>347.45</v>
      </c>
      <c r="G1113">
        <v>121452</v>
      </c>
      <c r="H1113" s="116"/>
      <c r="I1113" s="116"/>
      <c r="L1113" s="170">
        <v>43643</v>
      </c>
      <c r="M1113" s="116">
        <v>347.45</v>
      </c>
      <c r="N1113" s="116">
        <v>366.2</v>
      </c>
      <c r="O1113" s="116">
        <v>345.15</v>
      </c>
      <c r="P1113" s="116">
        <v>355</v>
      </c>
      <c r="Q1113" s="116">
        <v>347.45</v>
      </c>
      <c r="R1113">
        <v>1938934</v>
      </c>
    </row>
    <row r="1114" spans="1:18" x14ac:dyDescent="0.25">
      <c r="A1114" s="170">
        <v>43644</v>
      </c>
      <c r="B1114" s="116">
        <v>359.9</v>
      </c>
      <c r="C1114" s="116">
        <v>356.4</v>
      </c>
      <c r="D1114" s="116">
        <v>343.35</v>
      </c>
      <c r="E1114" s="116">
        <v>356.9</v>
      </c>
      <c r="F1114" s="116">
        <v>356.4</v>
      </c>
      <c r="G1114">
        <v>40630</v>
      </c>
      <c r="H1114" s="116"/>
      <c r="I1114" s="116"/>
      <c r="L1114" s="170">
        <v>43644</v>
      </c>
      <c r="M1114" s="116">
        <v>356.45</v>
      </c>
      <c r="N1114" s="116">
        <v>359.95</v>
      </c>
      <c r="O1114" s="116">
        <v>342.5</v>
      </c>
      <c r="P1114" s="116">
        <v>345</v>
      </c>
      <c r="Q1114" s="116">
        <v>356.45</v>
      </c>
      <c r="R1114">
        <v>773392</v>
      </c>
    </row>
    <row r="1115" spans="1:18" x14ac:dyDescent="0.25">
      <c r="A1115" s="170">
        <v>43647</v>
      </c>
      <c r="B1115" s="116">
        <v>361.05</v>
      </c>
      <c r="C1115" s="116">
        <v>355.4</v>
      </c>
      <c r="D1115" s="116">
        <v>354</v>
      </c>
      <c r="E1115" s="116">
        <v>357.9</v>
      </c>
      <c r="F1115" s="116">
        <v>355.4</v>
      </c>
      <c r="G1115">
        <v>12502</v>
      </c>
      <c r="H1115" s="116"/>
      <c r="I1115" s="116"/>
      <c r="L1115" s="170">
        <v>43647</v>
      </c>
      <c r="M1115" s="116">
        <v>355.8</v>
      </c>
      <c r="N1115" s="116">
        <v>360.4</v>
      </c>
      <c r="O1115" s="116">
        <v>354</v>
      </c>
      <c r="P1115" s="116">
        <v>358</v>
      </c>
      <c r="Q1115" s="116">
        <v>355.8</v>
      </c>
      <c r="R1115">
        <v>274101</v>
      </c>
    </row>
    <row r="1116" spans="1:18" x14ac:dyDescent="0.25">
      <c r="A1116" s="170">
        <v>43648</v>
      </c>
      <c r="B1116" s="116">
        <v>359.8</v>
      </c>
      <c r="C1116" s="116">
        <v>358</v>
      </c>
      <c r="D1116" s="116">
        <v>355.4</v>
      </c>
      <c r="E1116" s="116">
        <v>356.3</v>
      </c>
      <c r="F1116" s="116">
        <v>358</v>
      </c>
      <c r="G1116">
        <v>23318</v>
      </c>
      <c r="H1116" s="116"/>
      <c r="I1116" s="116"/>
      <c r="L1116" s="170">
        <v>43648</v>
      </c>
      <c r="M1116" s="116">
        <v>358.3</v>
      </c>
      <c r="N1116" s="116">
        <v>359.9</v>
      </c>
      <c r="O1116" s="116">
        <v>355</v>
      </c>
      <c r="P1116" s="116">
        <v>356</v>
      </c>
      <c r="Q1116" s="116">
        <v>358.3</v>
      </c>
      <c r="R1116">
        <v>248652</v>
      </c>
    </row>
    <row r="1117" spans="1:18" x14ac:dyDescent="0.25">
      <c r="A1117" s="170">
        <v>43649</v>
      </c>
      <c r="B1117" s="116">
        <v>358.8</v>
      </c>
      <c r="C1117" s="116">
        <v>357.95</v>
      </c>
      <c r="D1117" s="116">
        <v>354.8</v>
      </c>
      <c r="E1117" s="116">
        <v>358</v>
      </c>
      <c r="F1117" s="116">
        <v>357.95</v>
      </c>
      <c r="G1117">
        <v>15023</v>
      </c>
      <c r="H1117" s="116"/>
      <c r="I1117" s="116"/>
      <c r="L1117" s="170">
        <v>43649</v>
      </c>
      <c r="M1117" s="116">
        <v>357.95</v>
      </c>
      <c r="N1117" s="116">
        <v>358.95</v>
      </c>
      <c r="O1117" s="116">
        <v>354</v>
      </c>
      <c r="P1117" s="116">
        <v>358.95</v>
      </c>
      <c r="Q1117" s="116">
        <v>357.95</v>
      </c>
      <c r="R1117">
        <v>169692</v>
      </c>
    </row>
    <row r="1118" spans="1:18" x14ac:dyDescent="0.25">
      <c r="A1118" s="170">
        <v>43650</v>
      </c>
      <c r="B1118" s="116">
        <v>362.85</v>
      </c>
      <c r="C1118" s="116">
        <v>358.15</v>
      </c>
      <c r="D1118" s="116">
        <v>356.05</v>
      </c>
      <c r="E1118" s="116">
        <v>358.05</v>
      </c>
      <c r="F1118" s="116">
        <v>358.15</v>
      </c>
      <c r="G1118">
        <v>26061</v>
      </c>
      <c r="H1118" s="116"/>
      <c r="I1118" s="116"/>
      <c r="L1118" s="170">
        <v>43650</v>
      </c>
      <c r="M1118" s="116">
        <v>357.95</v>
      </c>
      <c r="N1118" s="116">
        <v>362.95</v>
      </c>
      <c r="O1118" s="116">
        <v>356</v>
      </c>
      <c r="P1118" s="116">
        <v>356.65</v>
      </c>
      <c r="Q1118" s="116">
        <v>357.95</v>
      </c>
      <c r="R1118">
        <v>225800</v>
      </c>
    </row>
    <row r="1119" spans="1:18" x14ac:dyDescent="0.25">
      <c r="A1119" s="170">
        <v>43651</v>
      </c>
      <c r="B1119" s="116">
        <v>380</v>
      </c>
      <c r="C1119" s="116">
        <v>360.1</v>
      </c>
      <c r="D1119" s="116">
        <v>356</v>
      </c>
      <c r="E1119" s="116">
        <v>360</v>
      </c>
      <c r="F1119" s="116">
        <v>360.1</v>
      </c>
      <c r="G1119">
        <v>174888</v>
      </c>
      <c r="H1119" s="116"/>
      <c r="I1119" s="116"/>
      <c r="L1119" s="170">
        <v>43651</v>
      </c>
      <c r="M1119" s="116">
        <v>360.45</v>
      </c>
      <c r="N1119" s="116">
        <v>378</v>
      </c>
      <c r="O1119" s="116">
        <v>356.1</v>
      </c>
      <c r="P1119" s="116">
        <v>359.95</v>
      </c>
      <c r="Q1119" s="116">
        <v>360.45</v>
      </c>
      <c r="R1119">
        <v>1483248</v>
      </c>
    </row>
    <row r="1120" spans="1:18" x14ac:dyDescent="0.25">
      <c r="A1120" s="170">
        <v>43654</v>
      </c>
      <c r="B1120" s="116">
        <v>365.75</v>
      </c>
      <c r="C1120" s="116">
        <v>362</v>
      </c>
      <c r="D1120" s="116">
        <v>360</v>
      </c>
      <c r="E1120" s="116">
        <v>361</v>
      </c>
      <c r="F1120" s="116">
        <v>362</v>
      </c>
      <c r="G1120">
        <v>39282</v>
      </c>
      <c r="H1120" s="116"/>
      <c r="I1120" s="116"/>
      <c r="L1120" s="170">
        <v>43654</v>
      </c>
      <c r="M1120" s="116">
        <v>362.25</v>
      </c>
      <c r="N1120" s="116">
        <v>365.95</v>
      </c>
      <c r="O1120" s="116">
        <v>358.4</v>
      </c>
      <c r="P1120" s="116">
        <v>361.75</v>
      </c>
      <c r="Q1120" s="116">
        <v>362.25</v>
      </c>
      <c r="R1120">
        <v>675374</v>
      </c>
    </row>
    <row r="1121" spans="1:18" x14ac:dyDescent="0.25">
      <c r="A1121" s="170">
        <v>43655</v>
      </c>
      <c r="B1121" s="116">
        <v>368.05</v>
      </c>
      <c r="C1121" s="116">
        <v>365.8</v>
      </c>
      <c r="D1121" s="116">
        <v>356.1</v>
      </c>
      <c r="E1121" s="116">
        <v>361.55</v>
      </c>
      <c r="F1121" s="116">
        <v>365.8</v>
      </c>
      <c r="G1121">
        <v>26682</v>
      </c>
      <c r="H1121" s="116"/>
      <c r="I1121" s="116"/>
      <c r="L1121" s="170">
        <v>43655</v>
      </c>
      <c r="M1121" s="116">
        <v>366</v>
      </c>
      <c r="N1121" s="116">
        <v>368.25</v>
      </c>
      <c r="O1121" s="116">
        <v>357.8</v>
      </c>
      <c r="P1121" s="116">
        <v>361.3</v>
      </c>
      <c r="Q1121" s="116">
        <v>366</v>
      </c>
      <c r="R1121">
        <v>411505</v>
      </c>
    </row>
    <row r="1122" spans="1:18" x14ac:dyDescent="0.25">
      <c r="A1122" s="170">
        <v>43656</v>
      </c>
      <c r="B1122" s="116">
        <v>369.85</v>
      </c>
      <c r="C1122" s="116">
        <v>365.4</v>
      </c>
      <c r="D1122" s="116">
        <v>362.7</v>
      </c>
      <c r="E1122" s="116">
        <v>367.15</v>
      </c>
      <c r="F1122" s="116">
        <v>365.4</v>
      </c>
      <c r="G1122">
        <v>31667</v>
      </c>
      <c r="H1122" s="116"/>
      <c r="I1122" s="116"/>
      <c r="L1122" s="170">
        <v>43656</v>
      </c>
      <c r="M1122" s="116">
        <v>365.8</v>
      </c>
      <c r="N1122" s="116">
        <v>369.9</v>
      </c>
      <c r="O1122" s="116">
        <v>362.1</v>
      </c>
      <c r="P1122" s="116">
        <v>366.45</v>
      </c>
      <c r="Q1122" s="116">
        <v>365.8</v>
      </c>
      <c r="R1122">
        <v>361638</v>
      </c>
    </row>
    <row r="1123" spans="1:18" x14ac:dyDescent="0.25">
      <c r="A1123" s="170">
        <v>43657</v>
      </c>
      <c r="B1123" s="116">
        <v>377</v>
      </c>
      <c r="C1123" s="116">
        <v>374.15</v>
      </c>
      <c r="D1123" s="116">
        <v>366.8</v>
      </c>
      <c r="E1123" s="116">
        <v>369.7</v>
      </c>
      <c r="F1123" s="116">
        <v>374.15</v>
      </c>
      <c r="G1123">
        <v>51581</v>
      </c>
      <c r="H1123" s="116"/>
      <c r="I1123" s="116"/>
      <c r="L1123" s="170">
        <v>43657</v>
      </c>
      <c r="M1123" s="116">
        <v>374</v>
      </c>
      <c r="N1123" s="116">
        <v>377</v>
      </c>
      <c r="O1123" s="116">
        <v>366.15</v>
      </c>
      <c r="P1123" s="116">
        <v>369.8</v>
      </c>
      <c r="Q1123" s="116">
        <v>374</v>
      </c>
      <c r="R1123">
        <v>611809</v>
      </c>
    </row>
    <row r="1124" spans="1:18" x14ac:dyDescent="0.25">
      <c r="A1124" s="170">
        <v>43658</v>
      </c>
      <c r="B1124" s="116">
        <v>376.2</v>
      </c>
      <c r="C1124" s="116">
        <v>372.7</v>
      </c>
      <c r="D1124" s="116">
        <v>370.1</v>
      </c>
      <c r="E1124" s="116">
        <v>374.9</v>
      </c>
      <c r="F1124" s="116">
        <v>372.7</v>
      </c>
      <c r="G1124">
        <v>74155</v>
      </c>
      <c r="H1124" s="116"/>
      <c r="I1124" s="116"/>
      <c r="L1124" s="170">
        <v>43658</v>
      </c>
      <c r="M1124" s="116">
        <v>372.85</v>
      </c>
      <c r="N1124" s="116">
        <v>377</v>
      </c>
      <c r="O1124" s="116">
        <v>370</v>
      </c>
      <c r="P1124" s="116">
        <v>374</v>
      </c>
      <c r="Q1124" s="116">
        <v>372.85</v>
      </c>
      <c r="R1124">
        <v>267060</v>
      </c>
    </row>
    <row r="1125" spans="1:18" x14ac:dyDescent="0.25">
      <c r="A1125" s="170">
        <v>43661</v>
      </c>
      <c r="B1125" s="116">
        <v>377.1</v>
      </c>
      <c r="C1125" s="116">
        <v>369.65</v>
      </c>
      <c r="D1125" s="116">
        <v>368.85</v>
      </c>
      <c r="E1125" s="116">
        <v>377</v>
      </c>
      <c r="F1125" s="116">
        <v>369.65</v>
      </c>
      <c r="G1125">
        <v>26923</v>
      </c>
      <c r="H1125" s="116"/>
      <c r="I1125" s="116"/>
      <c r="L1125" s="170">
        <v>43661</v>
      </c>
      <c r="M1125" s="116">
        <v>370.1</v>
      </c>
      <c r="N1125" s="116">
        <v>374.95</v>
      </c>
      <c r="O1125" s="116">
        <v>368.8</v>
      </c>
      <c r="P1125" s="116">
        <v>374.95</v>
      </c>
      <c r="Q1125" s="116">
        <v>370.1</v>
      </c>
      <c r="R1125">
        <v>272914</v>
      </c>
    </row>
    <row r="1126" spans="1:18" x14ac:dyDescent="0.25">
      <c r="A1126" s="170">
        <v>43662</v>
      </c>
      <c r="B1126" s="116">
        <v>377.9</v>
      </c>
      <c r="C1126" s="116">
        <v>373</v>
      </c>
      <c r="D1126" s="116">
        <v>370.2</v>
      </c>
      <c r="E1126" s="116">
        <v>377.9</v>
      </c>
      <c r="F1126" s="116">
        <v>373</v>
      </c>
      <c r="G1126">
        <v>61758</v>
      </c>
      <c r="H1126" s="116"/>
      <c r="I1126" s="116"/>
      <c r="L1126" s="170">
        <v>43662</v>
      </c>
      <c r="M1126" s="116">
        <v>373.25</v>
      </c>
      <c r="N1126" s="116">
        <v>374</v>
      </c>
      <c r="O1126" s="116">
        <v>370.15</v>
      </c>
      <c r="P1126" s="116">
        <v>372.6</v>
      </c>
      <c r="Q1126" s="116">
        <v>373.25</v>
      </c>
      <c r="R1126">
        <v>230769</v>
      </c>
    </row>
    <row r="1127" spans="1:18" x14ac:dyDescent="0.25">
      <c r="A1127" s="170">
        <v>43663</v>
      </c>
      <c r="B1127" s="116">
        <v>387.95</v>
      </c>
      <c r="C1127" s="116">
        <v>382.65</v>
      </c>
      <c r="D1127" s="116">
        <v>371.4</v>
      </c>
      <c r="E1127" s="116">
        <v>371.75</v>
      </c>
      <c r="F1127" s="116">
        <v>382.65</v>
      </c>
      <c r="G1127">
        <v>107025</v>
      </c>
      <c r="H1127" s="116"/>
      <c r="I1127" s="116"/>
      <c r="L1127" s="170">
        <v>43663</v>
      </c>
      <c r="M1127" s="116">
        <v>382.15</v>
      </c>
      <c r="N1127" s="116">
        <v>388</v>
      </c>
      <c r="O1127" s="116">
        <v>371.9</v>
      </c>
      <c r="P1127" s="116">
        <v>371.9</v>
      </c>
      <c r="Q1127" s="116">
        <v>382.15</v>
      </c>
      <c r="R1127">
        <v>955276</v>
      </c>
    </row>
    <row r="1128" spans="1:18" x14ac:dyDescent="0.25">
      <c r="A1128" s="170">
        <v>43664</v>
      </c>
      <c r="B1128" s="116">
        <v>392</v>
      </c>
      <c r="C1128" s="116">
        <v>389.9</v>
      </c>
      <c r="D1128" s="116">
        <v>379.55</v>
      </c>
      <c r="E1128" s="116">
        <v>382.9</v>
      </c>
      <c r="F1128" s="116">
        <v>389.9</v>
      </c>
      <c r="G1128">
        <v>31218</v>
      </c>
      <c r="H1128" s="116"/>
      <c r="I1128" s="116"/>
      <c r="L1128" s="170">
        <v>43664</v>
      </c>
      <c r="M1128" s="116">
        <v>390.25</v>
      </c>
      <c r="N1128" s="116">
        <v>392.4</v>
      </c>
      <c r="O1128" s="116">
        <v>379.1</v>
      </c>
      <c r="P1128" s="116">
        <v>383</v>
      </c>
      <c r="Q1128" s="116">
        <v>390.25</v>
      </c>
      <c r="R1128">
        <v>525388</v>
      </c>
    </row>
    <row r="1129" spans="1:18" x14ac:dyDescent="0.25">
      <c r="A1129" s="170">
        <v>43665</v>
      </c>
      <c r="B1129" s="116">
        <v>397.45</v>
      </c>
      <c r="C1129" s="116">
        <v>387.75</v>
      </c>
      <c r="D1129" s="116">
        <v>384.2</v>
      </c>
      <c r="E1129" s="116">
        <v>390</v>
      </c>
      <c r="F1129" s="116">
        <v>387.75</v>
      </c>
      <c r="G1129">
        <v>56191</v>
      </c>
      <c r="H1129" s="116"/>
      <c r="I1129" s="116"/>
      <c r="L1129" s="170">
        <v>43665</v>
      </c>
      <c r="M1129" s="116">
        <v>388.15</v>
      </c>
      <c r="N1129" s="116">
        <v>398</v>
      </c>
      <c r="O1129" s="116">
        <v>384</v>
      </c>
      <c r="P1129" s="116">
        <v>391.9</v>
      </c>
      <c r="Q1129" s="116">
        <v>388.15</v>
      </c>
      <c r="R1129">
        <v>705818</v>
      </c>
    </row>
    <row r="1130" spans="1:18" x14ac:dyDescent="0.25">
      <c r="A1130" s="170">
        <v>43668</v>
      </c>
      <c r="B1130" s="116">
        <v>387.9</v>
      </c>
      <c r="C1130" s="116">
        <v>375.45</v>
      </c>
      <c r="D1130" s="116">
        <v>373.5</v>
      </c>
      <c r="E1130" s="116">
        <v>387.75</v>
      </c>
      <c r="F1130" s="116">
        <v>375.45</v>
      </c>
      <c r="G1130">
        <v>37839</v>
      </c>
      <c r="H1130" s="116"/>
      <c r="I1130" s="116"/>
      <c r="L1130" s="170">
        <v>43668</v>
      </c>
      <c r="M1130" s="116">
        <v>375.55</v>
      </c>
      <c r="N1130" s="116">
        <v>386.2</v>
      </c>
      <c r="O1130" s="116">
        <v>372.75</v>
      </c>
      <c r="P1130" s="116">
        <v>385.7</v>
      </c>
      <c r="Q1130" s="116">
        <v>375.55</v>
      </c>
      <c r="R1130">
        <v>452725</v>
      </c>
    </row>
    <row r="1131" spans="1:18" x14ac:dyDescent="0.25">
      <c r="A1131" s="170">
        <v>43669</v>
      </c>
      <c r="B1131" s="116">
        <v>420</v>
      </c>
      <c r="C1131" s="116">
        <v>406.8</v>
      </c>
      <c r="D1131" s="116">
        <v>380.75</v>
      </c>
      <c r="E1131" s="116">
        <v>388</v>
      </c>
      <c r="F1131" s="116">
        <v>406.8</v>
      </c>
      <c r="G1131">
        <v>155179</v>
      </c>
      <c r="H1131" s="116"/>
      <c r="I1131" s="116"/>
      <c r="L1131" s="170">
        <v>43669</v>
      </c>
      <c r="M1131" s="116">
        <v>406.1</v>
      </c>
      <c r="N1131" s="116">
        <v>417.7</v>
      </c>
      <c r="O1131" s="116">
        <v>380.2</v>
      </c>
      <c r="P1131" s="116">
        <v>387.25</v>
      </c>
      <c r="Q1131" s="116">
        <v>406.1</v>
      </c>
      <c r="R1131">
        <v>1861211</v>
      </c>
    </row>
    <row r="1132" spans="1:18" x14ac:dyDescent="0.25">
      <c r="A1132" s="170">
        <v>43670</v>
      </c>
      <c r="B1132" s="116">
        <v>409.2</v>
      </c>
      <c r="C1132" s="116">
        <v>388.8</v>
      </c>
      <c r="D1132" s="116">
        <v>384.1</v>
      </c>
      <c r="E1132" s="116">
        <v>406.1</v>
      </c>
      <c r="F1132" s="116">
        <v>388.8</v>
      </c>
      <c r="G1132">
        <v>68206</v>
      </c>
      <c r="H1132" s="116"/>
      <c r="I1132" s="116"/>
      <c r="L1132" s="170">
        <v>43670</v>
      </c>
      <c r="M1132" s="116">
        <v>389</v>
      </c>
      <c r="N1132" s="116">
        <v>409.8</v>
      </c>
      <c r="O1132" s="116">
        <v>384.1</v>
      </c>
      <c r="P1132" s="116">
        <v>409</v>
      </c>
      <c r="Q1132" s="116">
        <v>389</v>
      </c>
      <c r="R1132">
        <v>839335</v>
      </c>
    </row>
    <row r="1133" spans="1:18" x14ac:dyDescent="0.25">
      <c r="A1133" s="170">
        <v>43671</v>
      </c>
      <c r="B1133" s="116">
        <v>395.5</v>
      </c>
      <c r="C1133" s="116">
        <v>383.65</v>
      </c>
      <c r="D1133" s="116">
        <v>382.5</v>
      </c>
      <c r="E1133" s="116">
        <v>390</v>
      </c>
      <c r="F1133" s="116">
        <v>383.65</v>
      </c>
      <c r="G1133">
        <v>31446</v>
      </c>
      <c r="H1133" s="116"/>
      <c r="I1133" s="116"/>
      <c r="L1133" s="170">
        <v>43671</v>
      </c>
      <c r="M1133" s="116">
        <v>384.05</v>
      </c>
      <c r="N1133" s="116">
        <v>395.9</v>
      </c>
      <c r="O1133" s="116">
        <v>382.5</v>
      </c>
      <c r="P1133" s="116">
        <v>391.4</v>
      </c>
      <c r="Q1133" s="116">
        <v>384.05</v>
      </c>
      <c r="R1133">
        <v>452668</v>
      </c>
    </row>
    <row r="1134" spans="1:18" x14ac:dyDescent="0.25">
      <c r="A1134" s="170">
        <v>43672</v>
      </c>
      <c r="B1134" s="116">
        <v>395</v>
      </c>
      <c r="C1134" s="116">
        <v>386.8</v>
      </c>
      <c r="D1134" s="116">
        <v>385.2</v>
      </c>
      <c r="E1134" s="116">
        <v>387</v>
      </c>
      <c r="F1134" s="116">
        <v>386.8</v>
      </c>
      <c r="G1134">
        <v>91804</v>
      </c>
      <c r="H1134" s="116"/>
      <c r="I1134" s="116"/>
      <c r="L1134" s="170">
        <v>43672</v>
      </c>
      <c r="M1134" s="116">
        <v>386.7</v>
      </c>
      <c r="N1134" s="116">
        <v>395</v>
      </c>
      <c r="O1134" s="116">
        <v>384.55</v>
      </c>
      <c r="P1134" s="116">
        <v>385.7</v>
      </c>
      <c r="Q1134" s="116">
        <v>386.7</v>
      </c>
      <c r="R1134">
        <v>302893</v>
      </c>
    </row>
    <row r="1135" spans="1:18" x14ac:dyDescent="0.25">
      <c r="A1135" s="170">
        <v>43675</v>
      </c>
      <c r="B1135" s="116">
        <v>398</v>
      </c>
      <c r="C1135" s="116">
        <v>392</v>
      </c>
      <c r="D1135" s="116">
        <v>382.35</v>
      </c>
      <c r="E1135" s="116">
        <v>382.35</v>
      </c>
      <c r="F1135" s="116">
        <v>392</v>
      </c>
      <c r="G1135">
        <v>139776</v>
      </c>
      <c r="H1135" s="116"/>
      <c r="I1135" s="116"/>
      <c r="L1135" s="170">
        <v>43675</v>
      </c>
      <c r="M1135" s="116">
        <v>390.15</v>
      </c>
      <c r="N1135" s="116">
        <v>395</v>
      </c>
      <c r="O1135" s="116">
        <v>385.65</v>
      </c>
      <c r="P1135" s="116">
        <v>388</v>
      </c>
      <c r="Q1135" s="116">
        <v>390.15</v>
      </c>
      <c r="R1135">
        <v>428950</v>
      </c>
    </row>
    <row r="1136" spans="1:18" x14ac:dyDescent="0.25">
      <c r="A1136" s="170">
        <v>43676</v>
      </c>
      <c r="B1136" s="116">
        <v>395</v>
      </c>
      <c r="C1136" s="116">
        <v>388.1</v>
      </c>
      <c r="D1136" s="116">
        <v>386.55</v>
      </c>
      <c r="E1136" s="116">
        <v>388</v>
      </c>
      <c r="F1136" s="116">
        <v>388.1</v>
      </c>
      <c r="G1136">
        <v>28915</v>
      </c>
      <c r="H1136" s="116"/>
      <c r="I1136" s="116"/>
      <c r="L1136" s="170">
        <v>43676</v>
      </c>
      <c r="M1136" s="116">
        <v>388.85</v>
      </c>
      <c r="N1136" s="116">
        <v>394.8</v>
      </c>
      <c r="O1136" s="116">
        <v>386.5</v>
      </c>
      <c r="P1136" s="116">
        <v>389.05</v>
      </c>
      <c r="Q1136" s="116">
        <v>388.85</v>
      </c>
      <c r="R1136">
        <v>371700</v>
      </c>
    </row>
    <row r="1137" spans="1:18" x14ac:dyDescent="0.25">
      <c r="A1137" s="170">
        <v>43677</v>
      </c>
      <c r="B1137" s="116">
        <v>391.9</v>
      </c>
      <c r="C1137" s="116">
        <v>386.95</v>
      </c>
      <c r="D1137" s="116">
        <v>378.6</v>
      </c>
      <c r="E1137" s="116">
        <v>389.8</v>
      </c>
      <c r="F1137" s="116">
        <v>386.95</v>
      </c>
      <c r="G1137">
        <v>123885</v>
      </c>
      <c r="H1137" s="116"/>
      <c r="I1137" s="116"/>
      <c r="L1137" s="170">
        <v>43677</v>
      </c>
      <c r="M1137" s="116">
        <v>387.85</v>
      </c>
      <c r="N1137" s="116">
        <v>391.9</v>
      </c>
      <c r="O1137" s="116">
        <v>378.7</v>
      </c>
      <c r="P1137" s="116">
        <v>386.2</v>
      </c>
      <c r="Q1137" s="116">
        <v>387.85</v>
      </c>
      <c r="R1137">
        <v>311327</v>
      </c>
    </row>
    <row r="1138" spans="1:18" x14ac:dyDescent="0.25">
      <c r="A1138" s="170">
        <v>43678</v>
      </c>
      <c r="B1138" s="116">
        <v>388.8</v>
      </c>
      <c r="C1138" s="116">
        <v>374.85</v>
      </c>
      <c r="D1138" s="116">
        <v>371.1</v>
      </c>
      <c r="E1138" s="116">
        <v>385.7</v>
      </c>
      <c r="F1138" s="116">
        <v>374.85</v>
      </c>
      <c r="G1138">
        <v>62775</v>
      </c>
      <c r="H1138" s="116"/>
      <c r="I1138" s="116"/>
      <c r="L1138" s="170">
        <v>43678</v>
      </c>
      <c r="M1138" s="116">
        <v>374.3</v>
      </c>
      <c r="N1138" s="116">
        <v>388.9</v>
      </c>
      <c r="O1138" s="116">
        <v>371.25</v>
      </c>
      <c r="P1138" s="116">
        <v>385</v>
      </c>
      <c r="Q1138" s="116">
        <v>374.3</v>
      </c>
      <c r="R1138">
        <v>319711</v>
      </c>
    </row>
    <row r="1139" spans="1:18" x14ac:dyDescent="0.25">
      <c r="A1139" s="170">
        <v>43679</v>
      </c>
      <c r="B1139" s="116">
        <v>382.55</v>
      </c>
      <c r="C1139" s="116">
        <v>378.7</v>
      </c>
      <c r="D1139" s="116">
        <v>369</v>
      </c>
      <c r="E1139" s="116">
        <v>372</v>
      </c>
      <c r="F1139" s="116">
        <v>378.7</v>
      </c>
      <c r="G1139">
        <v>64569</v>
      </c>
      <c r="H1139" s="116"/>
      <c r="I1139" s="116"/>
      <c r="L1139" s="170">
        <v>43679</v>
      </c>
      <c r="M1139" s="116">
        <v>379.15</v>
      </c>
      <c r="N1139" s="116">
        <v>382.8</v>
      </c>
      <c r="O1139" s="116">
        <v>368.5</v>
      </c>
      <c r="P1139" s="116">
        <v>369.1</v>
      </c>
      <c r="Q1139" s="116">
        <v>379.15</v>
      </c>
      <c r="R1139">
        <v>266991</v>
      </c>
    </row>
    <row r="1140" spans="1:18" x14ac:dyDescent="0.25">
      <c r="A1140" s="170">
        <v>43682</v>
      </c>
      <c r="B1140" s="116">
        <v>376.35</v>
      </c>
      <c r="C1140" s="116">
        <v>373.55</v>
      </c>
      <c r="D1140" s="116">
        <v>365.6</v>
      </c>
      <c r="E1140" s="116">
        <v>375.95</v>
      </c>
      <c r="F1140" s="116">
        <v>373.55</v>
      </c>
      <c r="G1140">
        <v>46411</v>
      </c>
      <c r="H1140" s="116"/>
      <c r="I1140" s="116"/>
      <c r="L1140" s="170">
        <v>43682</v>
      </c>
      <c r="M1140" s="116">
        <v>373.9</v>
      </c>
      <c r="N1140" s="116">
        <v>376.95</v>
      </c>
      <c r="O1140" s="116">
        <v>365.5</v>
      </c>
      <c r="P1140" s="116">
        <v>375.75</v>
      </c>
      <c r="Q1140" s="116">
        <v>373.9</v>
      </c>
      <c r="R1140">
        <v>219310</v>
      </c>
    </row>
    <row r="1141" spans="1:18" x14ac:dyDescent="0.25">
      <c r="A1141" s="170">
        <v>43683</v>
      </c>
      <c r="B1141" s="116">
        <v>388.9</v>
      </c>
      <c r="C1141" s="116">
        <v>386.35</v>
      </c>
      <c r="D1141" s="116">
        <v>371.7</v>
      </c>
      <c r="E1141" s="116">
        <v>373.05</v>
      </c>
      <c r="F1141" s="116">
        <v>386.35</v>
      </c>
      <c r="G1141">
        <v>54669</v>
      </c>
      <c r="H1141" s="116"/>
      <c r="I1141" s="116"/>
      <c r="L1141" s="170">
        <v>43683</v>
      </c>
      <c r="M1141" s="116">
        <v>385.95</v>
      </c>
      <c r="N1141" s="116">
        <v>389.2</v>
      </c>
      <c r="O1141" s="116">
        <v>369</v>
      </c>
      <c r="P1141" s="116">
        <v>369</v>
      </c>
      <c r="Q1141" s="116">
        <v>385.95</v>
      </c>
      <c r="R1141">
        <v>249258</v>
      </c>
    </row>
    <row r="1142" spans="1:18" x14ac:dyDescent="0.25">
      <c r="A1142" s="170">
        <v>43684</v>
      </c>
      <c r="B1142" s="116">
        <v>393.15</v>
      </c>
      <c r="C1142" s="116">
        <v>386.3</v>
      </c>
      <c r="D1142" s="116">
        <v>383.3</v>
      </c>
      <c r="E1142" s="116">
        <v>383.6</v>
      </c>
      <c r="F1142" s="116">
        <v>386.3</v>
      </c>
      <c r="G1142">
        <v>70491</v>
      </c>
      <c r="H1142" s="116"/>
      <c r="I1142" s="116"/>
      <c r="L1142" s="170">
        <v>43684</v>
      </c>
      <c r="M1142" s="116">
        <v>386.2</v>
      </c>
      <c r="N1142" s="116">
        <v>393.7</v>
      </c>
      <c r="O1142" s="116">
        <v>383.5</v>
      </c>
      <c r="P1142" s="116">
        <v>384.9</v>
      </c>
      <c r="Q1142" s="116">
        <v>386.2</v>
      </c>
      <c r="R1142">
        <v>261500</v>
      </c>
    </row>
    <row r="1143" spans="1:18" x14ac:dyDescent="0.25">
      <c r="A1143" s="170">
        <v>43685</v>
      </c>
      <c r="B1143" s="116">
        <v>390.7</v>
      </c>
      <c r="C1143" s="116">
        <v>382.7</v>
      </c>
      <c r="D1143" s="116">
        <v>381.3</v>
      </c>
      <c r="E1143" s="116">
        <v>389.7</v>
      </c>
      <c r="F1143" s="116">
        <v>382.7</v>
      </c>
      <c r="G1143">
        <v>53031</v>
      </c>
      <c r="H1143" s="116"/>
      <c r="I1143" s="116"/>
      <c r="L1143" s="170">
        <v>43685</v>
      </c>
      <c r="M1143" s="116">
        <v>382.6</v>
      </c>
      <c r="N1143" s="116">
        <v>391.8</v>
      </c>
      <c r="O1143" s="116">
        <v>380.85</v>
      </c>
      <c r="P1143" s="116">
        <v>386.2</v>
      </c>
      <c r="Q1143" s="116">
        <v>382.6</v>
      </c>
      <c r="R1143">
        <v>127109</v>
      </c>
    </row>
    <row r="1144" spans="1:18" x14ac:dyDescent="0.25">
      <c r="A1144" s="170">
        <v>43686</v>
      </c>
      <c r="B1144" s="116">
        <v>392.4</v>
      </c>
      <c r="C1144" s="116">
        <v>386.55</v>
      </c>
      <c r="D1144" s="116">
        <v>384.25</v>
      </c>
      <c r="E1144" s="116">
        <v>389.75</v>
      </c>
      <c r="F1144" s="116">
        <v>386.55</v>
      </c>
      <c r="G1144">
        <v>82387</v>
      </c>
      <c r="H1144" s="116"/>
      <c r="I1144" s="116"/>
      <c r="L1144" s="170">
        <v>43686</v>
      </c>
      <c r="M1144" s="116">
        <v>386.55</v>
      </c>
      <c r="N1144" s="116">
        <v>392.9</v>
      </c>
      <c r="O1144" s="116">
        <v>384</v>
      </c>
      <c r="P1144" s="116">
        <v>388.2</v>
      </c>
      <c r="Q1144" s="116">
        <v>386.55</v>
      </c>
      <c r="R1144">
        <v>238847</v>
      </c>
    </row>
    <row r="1145" spans="1:18" x14ac:dyDescent="0.25">
      <c r="A1145" s="170">
        <v>43690</v>
      </c>
      <c r="B1145" s="116">
        <v>390.45</v>
      </c>
      <c r="C1145" s="116">
        <v>371.6</v>
      </c>
      <c r="D1145" s="116">
        <v>368.2</v>
      </c>
      <c r="E1145" s="116">
        <v>387</v>
      </c>
      <c r="F1145" s="116">
        <v>371.6</v>
      </c>
      <c r="G1145">
        <v>86831</v>
      </c>
      <c r="H1145" s="116"/>
      <c r="I1145" s="116"/>
      <c r="L1145" s="170">
        <v>43690</v>
      </c>
      <c r="M1145" s="116">
        <v>371.8</v>
      </c>
      <c r="N1145" s="116">
        <v>390.8</v>
      </c>
      <c r="O1145" s="116">
        <v>367.55</v>
      </c>
      <c r="P1145" s="116">
        <v>387</v>
      </c>
      <c r="Q1145" s="116">
        <v>371.8</v>
      </c>
      <c r="R1145">
        <v>197577</v>
      </c>
    </row>
    <row r="1146" spans="1:18" x14ac:dyDescent="0.25">
      <c r="A1146" s="170">
        <v>43691</v>
      </c>
      <c r="B1146" s="116">
        <v>382.2</v>
      </c>
      <c r="C1146" s="116">
        <v>372.8</v>
      </c>
      <c r="D1146" s="116">
        <v>371.6</v>
      </c>
      <c r="E1146" s="116">
        <v>376</v>
      </c>
      <c r="F1146" s="116">
        <v>372.8</v>
      </c>
      <c r="G1146">
        <v>71332</v>
      </c>
      <c r="H1146" s="116"/>
      <c r="I1146" s="116"/>
      <c r="L1146" s="170">
        <v>43691</v>
      </c>
      <c r="M1146" s="116">
        <v>372.35</v>
      </c>
      <c r="N1146" s="116">
        <v>383.95</v>
      </c>
      <c r="O1146" s="116">
        <v>370.1</v>
      </c>
      <c r="P1146" s="116">
        <v>376.3</v>
      </c>
      <c r="Q1146" s="116">
        <v>372.35</v>
      </c>
      <c r="R1146">
        <v>139069</v>
      </c>
    </row>
    <row r="1147" spans="1:18" x14ac:dyDescent="0.25">
      <c r="A1147" s="170">
        <v>43693</v>
      </c>
      <c r="B1147" s="116">
        <v>378.75</v>
      </c>
      <c r="C1147" s="116">
        <v>374.9</v>
      </c>
      <c r="D1147" s="116">
        <v>372.6</v>
      </c>
      <c r="E1147" s="116">
        <v>375.3</v>
      </c>
      <c r="F1147" s="116">
        <v>374.9</v>
      </c>
      <c r="G1147">
        <v>53536</v>
      </c>
      <c r="H1147" s="116"/>
      <c r="I1147" s="116"/>
      <c r="L1147" s="170">
        <v>43693</v>
      </c>
      <c r="M1147" s="116">
        <v>375.4</v>
      </c>
      <c r="N1147" s="116">
        <v>379.1</v>
      </c>
      <c r="O1147" s="116">
        <v>372.1</v>
      </c>
      <c r="P1147" s="116">
        <v>376</v>
      </c>
      <c r="Q1147" s="116">
        <v>375.4</v>
      </c>
      <c r="R1147">
        <v>140329</v>
      </c>
    </row>
    <row r="1148" spans="1:18" x14ac:dyDescent="0.25">
      <c r="A1148" s="170">
        <v>43696</v>
      </c>
      <c r="B1148" s="116">
        <v>382.65</v>
      </c>
      <c r="C1148" s="116">
        <v>381.85</v>
      </c>
      <c r="D1148" s="116">
        <v>375.1</v>
      </c>
      <c r="E1148" s="116">
        <v>375.15</v>
      </c>
      <c r="F1148" s="116">
        <v>381.85</v>
      </c>
      <c r="G1148">
        <v>43533</v>
      </c>
      <c r="H1148" s="116"/>
      <c r="I1148" s="116"/>
      <c r="L1148" s="170">
        <v>43696</v>
      </c>
      <c r="M1148" s="116">
        <v>381.9</v>
      </c>
      <c r="N1148" s="116">
        <v>382.9</v>
      </c>
      <c r="O1148" s="116">
        <v>374.7</v>
      </c>
      <c r="P1148" s="116">
        <v>375</v>
      </c>
      <c r="Q1148" s="116">
        <v>381.9</v>
      </c>
      <c r="R1148">
        <v>123504</v>
      </c>
    </row>
    <row r="1149" spans="1:18" x14ac:dyDescent="0.25">
      <c r="A1149" s="170">
        <v>43697</v>
      </c>
      <c r="B1149" s="116">
        <v>385.5</v>
      </c>
      <c r="C1149" s="116">
        <v>377.2</v>
      </c>
      <c r="D1149" s="116">
        <v>372.9</v>
      </c>
      <c r="E1149" s="116">
        <v>379.8</v>
      </c>
      <c r="F1149" s="116">
        <v>377.2</v>
      </c>
      <c r="G1149">
        <v>19664</v>
      </c>
      <c r="H1149" s="116"/>
      <c r="I1149" s="116"/>
      <c r="L1149" s="170">
        <v>43697</v>
      </c>
      <c r="M1149" s="116">
        <v>377.25</v>
      </c>
      <c r="N1149" s="116">
        <v>385.95</v>
      </c>
      <c r="O1149" s="116">
        <v>372.5</v>
      </c>
      <c r="P1149" s="116">
        <v>378.15</v>
      </c>
      <c r="Q1149" s="116">
        <v>377.25</v>
      </c>
      <c r="R1149">
        <v>170461</v>
      </c>
    </row>
    <row r="1150" spans="1:18" x14ac:dyDescent="0.25">
      <c r="A1150" s="170">
        <v>43698</v>
      </c>
      <c r="B1150" s="116">
        <v>379.7</v>
      </c>
      <c r="C1150" s="116">
        <v>379.15</v>
      </c>
      <c r="D1150" s="116">
        <v>375.55</v>
      </c>
      <c r="E1150" s="116">
        <v>378.5</v>
      </c>
      <c r="F1150" s="116">
        <v>379.15</v>
      </c>
      <c r="G1150">
        <v>48929</v>
      </c>
      <c r="H1150" s="116"/>
      <c r="I1150" s="116"/>
      <c r="L1150" s="170">
        <v>43698</v>
      </c>
      <c r="M1150" s="116">
        <v>379.1</v>
      </c>
      <c r="N1150" s="116">
        <v>380</v>
      </c>
      <c r="O1150" s="116">
        <v>375.05</v>
      </c>
      <c r="P1150" s="116">
        <v>375.05</v>
      </c>
      <c r="Q1150" s="116">
        <v>379.1</v>
      </c>
      <c r="R1150">
        <v>122585</v>
      </c>
    </row>
    <row r="1151" spans="1:18" x14ac:dyDescent="0.25">
      <c r="A1151" s="170">
        <v>43699</v>
      </c>
      <c r="B1151" s="116">
        <v>381.05</v>
      </c>
      <c r="C1151" s="116">
        <v>369.5</v>
      </c>
      <c r="D1151" s="116">
        <v>362.2</v>
      </c>
      <c r="E1151" s="116">
        <v>380.25</v>
      </c>
      <c r="F1151" s="116">
        <v>369.5</v>
      </c>
      <c r="G1151">
        <v>57698</v>
      </c>
      <c r="H1151" s="116"/>
      <c r="I1151" s="116"/>
      <c r="L1151" s="170">
        <v>43699</v>
      </c>
      <c r="M1151" s="116">
        <v>368.65</v>
      </c>
      <c r="N1151" s="116">
        <v>381.55</v>
      </c>
      <c r="O1151" s="116">
        <v>356.4</v>
      </c>
      <c r="P1151" s="116">
        <v>377.5</v>
      </c>
      <c r="Q1151" s="116">
        <v>368.65</v>
      </c>
      <c r="R1151">
        <v>167603</v>
      </c>
    </row>
    <row r="1152" spans="1:18" x14ac:dyDescent="0.25">
      <c r="A1152" s="170">
        <v>43700</v>
      </c>
      <c r="B1152" s="116">
        <v>375</v>
      </c>
      <c r="C1152" s="116">
        <v>370.75</v>
      </c>
      <c r="D1152" s="116">
        <v>360.6</v>
      </c>
      <c r="E1152" s="116">
        <v>369.15</v>
      </c>
      <c r="F1152" s="116">
        <v>370.75</v>
      </c>
      <c r="G1152">
        <v>57253</v>
      </c>
      <c r="H1152" s="116"/>
      <c r="I1152" s="116"/>
      <c r="L1152" s="170">
        <v>43700</v>
      </c>
      <c r="M1152" s="116">
        <v>370.75</v>
      </c>
      <c r="N1152" s="116">
        <v>378</v>
      </c>
      <c r="O1152" s="116">
        <v>360.05</v>
      </c>
      <c r="P1152" s="116">
        <v>368.75</v>
      </c>
      <c r="Q1152" s="116">
        <v>370.75</v>
      </c>
      <c r="R1152">
        <v>540390</v>
      </c>
    </row>
    <row r="1153" spans="1:18" x14ac:dyDescent="0.25">
      <c r="A1153" s="170">
        <v>43703</v>
      </c>
      <c r="B1153" s="116">
        <v>387.25</v>
      </c>
      <c r="C1153" s="116">
        <v>378.05</v>
      </c>
      <c r="D1153" s="116">
        <v>374</v>
      </c>
      <c r="E1153" s="116">
        <v>378</v>
      </c>
      <c r="F1153" s="116">
        <v>378.05</v>
      </c>
      <c r="G1153">
        <v>36759</v>
      </c>
      <c r="H1153" s="116"/>
      <c r="I1153" s="116"/>
      <c r="L1153" s="170">
        <v>43703</v>
      </c>
      <c r="M1153" s="116">
        <v>378.05</v>
      </c>
      <c r="N1153" s="116">
        <v>387.8</v>
      </c>
      <c r="O1153" s="116">
        <v>373.65</v>
      </c>
      <c r="P1153" s="116">
        <v>385</v>
      </c>
      <c r="Q1153" s="116">
        <v>378.05</v>
      </c>
      <c r="R1153">
        <v>175154</v>
      </c>
    </row>
    <row r="1154" spans="1:18" x14ac:dyDescent="0.25">
      <c r="A1154" s="170">
        <v>43704</v>
      </c>
      <c r="B1154" s="116">
        <v>405</v>
      </c>
      <c r="C1154" s="116">
        <v>396.7</v>
      </c>
      <c r="D1154" s="116">
        <v>382.05</v>
      </c>
      <c r="E1154" s="116">
        <v>383.4</v>
      </c>
      <c r="F1154" s="116">
        <v>396.7</v>
      </c>
      <c r="G1154">
        <v>28712</v>
      </c>
      <c r="H1154" s="116"/>
      <c r="I1154" s="116"/>
      <c r="L1154" s="170">
        <v>43704</v>
      </c>
      <c r="M1154" s="116">
        <v>397.35</v>
      </c>
      <c r="N1154" s="116">
        <v>404.9</v>
      </c>
      <c r="O1154" s="116">
        <v>381</v>
      </c>
      <c r="P1154" s="116">
        <v>381.8</v>
      </c>
      <c r="Q1154" s="116">
        <v>397.35</v>
      </c>
      <c r="R1154">
        <v>369195</v>
      </c>
    </row>
    <row r="1155" spans="1:18" x14ac:dyDescent="0.25">
      <c r="A1155" s="170">
        <v>43705</v>
      </c>
      <c r="B1155" s="116">
        <v>408.8</v>
      </c>
      <c r="C1155" s="116">
        <v>404.65</v>
      </c>
      <c r="D1155" s="116">
        <v>392.1</v>
      </c>
      <c r="E1155" s="116">
        <v>399</v>
      </c>
      <c r="F1155" s="116">
        <v>404.65</v>
      </c>
      <c r="G1155">
        <v>34002</v>
      </c>
      <c r="H1155" s="116"/>
      <c r="I1155" s="116"/>
      <c r="L1155" s="170">
        <v>43705</v>
      </c>
      <c r="M1155" s="116">
        <v>402.05</v>
      </c>
      <c r="N1155" s="116">
        <v>409</v>
      </c>
      <c r="O1155" s="116">
        <v>392</v>
      </c>
      <c r="P1155" s="116">
        <v>397</v>
      </c>
      <c r="Q1155" s="116">
        <v>402.05</v>
      </c>
      <c r="R1155">
        <v>256427</v>
      </c>
    </row>
    <row r="1156" spans="1:18" x14ac:dyDescent="0.25">
      <c r="A1156" s="170">
        <v>43706</v>
      </c>
      <c r="B1156" s="116">
        <v>416.9</v>
      </c>
      <c r="C1156" s="116">
        <v>399.05</v>
      </c>
      <c r="D1156" s="116">
        <v>394.2</v>
      </c>
      <c r="E1156" s="116">
        <v>404.65</v>
      </c>
      <c r="F1156" s="116">
        <v>399.05</v>
      </c>
      <c r="G1156">
        <v>74838</v>
      </c>
      <c r="H1156" s="116"/>
      <c r="I1156" s="116"/>
      <c r="L1156" s="170">
        <v>43706</v>
      </c>
      <c r="M1156" s="116">
        <v>398.85</v>
      </c>
      <c r="N1156" s="116">
        <v>417</v>
      </c>
      <c r="O1156" s="116">
        <v>394.75</v>
      </c>
      <c r="P1156" s="116">
        <v>402</v>
      </c>
      <c r="Q1156" s="116">
        <v>398.85</v>
      </c>
      <c r="R1156">
        <v>767879</v>
      </c>
    </row>
    <row r="1157" spans="1:18" x14ac:dyDescent="0.25">
      <c r="A1157" s="170">
        <v>43707</v>
      </c>
      <c r="B1157" s="116">
        <v>415</v>
      </c>
      <c r="C1157" s="116">
        <v>412.45</v>
      </c>
      <c r="D1157" s="116">
        <v>395</v>
      </c>
      <c r="E1157" s="116">
        <v>400.2</v>
      </c>
      <c r="F1157" s="116">
        <v>412.45</v>
      </c>
      <c r="G1157">
        <v>25986</v>
      </c>
      <c r="H1157" s="116"/>
      <c r="I1157" s="116"/>
      <c r="L1157" s="170">
        <v>43707</v>
      </c>
      <c r="M1157" s="116">
        <v>412.95</v>
      </c>
      <c r="N1157" s="116">
        <v>415</v>
      </c>
      <c r="O1157" s="116">
        <v>395</v>
      </c>
      <c r="P1157" s="116">
        <v>398.85</v>
      </c>
      <c r="Q1157" s="116">
        <v>412.95</v>
      </c>
      <c r="R1157">
        <v>441523</v>
      </c>
    </row>
    <row r="1158" spans="1:18" x14ac:dyDescent="0.25">
      <c r="A1158" s="170">
        <v>43711</v>
      </c>
      <c r="B1158" s="116">
        <v>412.45</v>
      </c>
      <c r="C1158" s="116">
        <v>404.3</v>
      </c>
      <c r="D1158" s="116">
        <v>401.6</v>
      </c>
      <c r="E1158" s="116">
        <v>412.45</v>
      </c>
      <c r="F1158" s="116">
        <v>404.3</v>
      </c>
      <c r="G1158">
        <v>40764</v>
      </c>
      <c r="H1158" s="116"/>
      <c r="I1158" s="116"/>
      <c r="L1158" s="170">
        <v>43711</v>
      </c>
      <c r="M1158" s="116">
        <v>404.1</v>
      </c>
      <c r="N1158" s="116">
        <v>410</v>
      </c>
      <c r="O1158" s="116">
        <v>401.9</v>
      </c>
      <c r="P1158" s="116">
        <v>410</v>
      </c>
      <c r="Q1158" s="116">
        <v>404.1</v>
      </c>
      <c r="R1158">
        <v>181557</v>
      </c>
    </row>
    <row r="1159" spans="1:18" x14ac:dyDescent="0.25">
      <c r="A1159" s="170">
        <v>43712</v>
      </c>
      <c r="B1159" s="116">
        <v>410</v>
      </c>
      <c r="C1159" s="116">
        <v>401.15</v>
      </c>
      <c r="D1159" s="116">
        <v>400.05</v>
      </c>
      <c r="E1159" s="116">
        <v>409</v>
      </c>
      <c r="F1159" s="116">
        <v>401.15</v>
      </c>
      <c r="G1159">
        <v>12789</v>
      </c>
      <c r="H1159" s="116"/>
      <c r="I1159" s="116"/>
      <c r="L1159" s="170">
        <v>43712</v>
      </c>
      <c r="M1159" s="116">
        <v>401.6</v>
      </c>
      <c r="N1159" s="116">
        <v>410.9</v>
      </c>
      <c r="O1159" s="116">
        <v>400</v>
      </c>
      <c r="P1159" s="116">
        <v>409</v>
      </c>
      <c r="Q1159" s="116">
        <v>401.6</v>
      </c>
      <c r="R1159">
        <v>247647</v>
      </c>
    </row>
    <row r="1160" spans="1:18" x14ac:dyDescent="0.25">
      <c r="A1160" s="170">
        <v>43713</v>
      </c>
      <c r="B1160" s="116">
        <v>404</v>
      </c>
      <c r="C1160" s="116">
        <v>393.3</v>
      </c>
      <c r="D1160" s="116">
        <v>387</v>
      </c>
      <c r="E1160" s="116">
        <v>401.2</v>
      </c>
      <c r="F1160" s="116">
        <v>393.3</v>
      </c>
      <c r="G1160">
        <v>26888</v>
      </c>
      <c r="H1160" s="116"/>
      <c r="I1160" s="116"/>
      <c r="L1160" s="170">
        <v>43713</v>
      </c>
      <c r="M1160" s="116">
        <v>394.15</v>
      </c>
      <c r="N1160" s="116">
        <v>404.8</v>
      </c>
      <c r="O1160" s="116">
        <v>386.9</v>
      </c>
      <c r="P1160" s="116">
        <v>392.5</v>
      </c>
      <c r="Q1160" s="116">
        <v>394.15</v>
      </c>
      <c r="R1160">
        <v>223517</v>
      </c>
    </row>
    <row r="1161" spans="1:18" x14ac:dyDescent="0.25">
      <c r="A1161" s="170">
        <v>43714</v>
      </c>
      <c r="B1161" s="116">
        <v>399.9</v>
      </c>
      <c r="C1161" s="116">
        <v>391.75</v>
      </c>
      <c r="D1161" s="116">
        <v>389.05</v>
      </c>
      <c r="E1161" s="116">
        <v>395.6</v>
      </c>
      <c r="F1161" s="116">
        <v>391.75</v>
      </c>
      <c r="G1161">
        <v>31914</v>
      </c>
      <c r="H1161" s="116"/>
      <c r="I1161" s="116"/>
      <c r="L1161" s="170">
        <v>43714</v>
      </c>
      <c r="M1161" s="116">
        <v>392.1</v>
      </c>
      <c r="N1161" s="116">
        <v>401.55</v>
      </c>
      <c r="O1161" s="116">
        <v>389</v>
      </c>
      <c r="P1161" s="116">
        <v>395</v>
      </c>
      <c r="Q1161" s="116">
        <v>392.1</v>
      </c>
      <c r="R1161">
        <v>182865</v>
      </c>
    </row>
    <row r="1162" spans="1:18" x14ac:dyDescent="0.25">
      <c r="A1162" s="170">
        <v>43717</v>
      </c>
      <c r="B1162" s="116">
        <v>406.45</v>
      </c>
      <c r="C1162" s="116">
        <v>400.3</v>
      </c>
      <c r="D1162" s="116">
        <v>396</v>
      </c>
      <c r="E1162" s="116">
        <v>400</v>
      </c>
      <c r="F1162" s="116">
        <v>400.3</v>
      </c>
      <c r="G1162">
        <v>28463</v>
      </c>
      <c r="H1162" s="116"/>
      <c r="I1162" s="116"/>
      <c r="L1162" s="170">
        <v>43717</v>
      </c>
      <c r="M1162" s="116">
        <v>400.65</v>
      </c>
      <c r="N1162" s="116">
        <v>406</v>
      </c>
      <c r="O1162" s="116">
        <v>396.2</v>
      </c>
      <c r="P1162" s="116">
        <v>400.05</v>
      </c>
      <c r="Q1162" s="116">
        <v>400.65</v>
      </c>
      <c r="R1162">
        <v>336237</v>
      </c>
    </row>
    <row r="1163" spans="1:18" x14ac:dyDescent="0.25">
      <c r="A1163" s="170">
        <v>43719</v>
      </c>
      <c r="B1163" s="116">
        <v>404</v>
      </c>
      <c r="C1163" s="116">
        <v>393.75</v>
      </c>
      <c r="D1163" s="116">
        <v>391.65</v>
      </c>
      <c r="E1163" s="116">
        <v>399.15</v>
      </c>
      <c r="F1163" s="116">
        <v>393.75</v>
      </c>
      <c r="G1163">
        <v>35136</v>
      </c>
      <c r="H1163" s="116"/>
      <c r="I1163" s="116"/>
      <c r="L1163" s="170">
        <v>43719</v>
      </c>
      <c r="M1163" s="116">
        <v>393.6</v>
      </c>
      <c r="N1163" s="116">
        <v>403.5</v>
      </c>
      <c r="O1163" s="116">
        <v>392.1</v>
      </c>
      <c r="P1163" s="116">
        <v>400.6</v>
      </c>
      <c r="Q1163" s="116">
        <v>393.6</v>
      </c>
      <c r="R1163">
        <v>213395</v>
      </c>
    </row>
    <row r="1164" spans="1:18" x14ac:dyDescent="0.25">
      <c r="A1164" s="170">
        <v>43720</v>
      </c>
      <c r="B1164" s="116">
        <v>400.45</v>
      </c>
      <c r="C1164" s="116">
        <v>392.4</v>
      </c>
      <c r="D1164" s="116">
        <v>390.15</v>
      </c>
      <c r="E1164" s="116">
        <v>394</v>
      </c>
      <c r="F1164" s="116">
        <v>392.4</v>
      </c>
      <c r="G1164">
        <v>51034</v>
      </c>
      <c r="H1164" s="116"/>
      <c r="I1164" s="116"/>
      <c r="L1164" s="170">
        <v>43720</v>
      </c>
      <c r="M1164" s="116">
        <v>392.8</v>
      </c>
      <c r="N1164" s="116">
        <v>400</v>
      </c>
      <c r="O1164" s="116">
        <v>390</v>
      </c>
      <c r="P1164" s="116">
        <v>397.2</v>
      </c>
      <c r="Q1164" s="116">
        <v>392.8</v>
      </c>
      <c r="R1164">
        <v>180138</v>
      </c>
    </row>
    <row r="1165" spans="1:18" x14ac:dyDescent="0.25">
      <c r="A1165" s="170">
        <v>43721</v>
      </c>
      <c r="B1165" s="116">
        <v>397.75</v>
      </c>
      <c r="C1165" s="116">
        <v>392.25</v>
      </c>
      <c r="D1165" s="116">
        <v>390.25</v>
      </c>
      <c r="E1165" s="116">
        <v>394.55</v>
      </c>
      <c r="F1165" s="116">
        <v>392.25</v>
      </c>
      <c r="G1165">
        <v>19310</v>
      </c>
      <c r="H1165" s="116"/>
      <c r="I1165" s="116"/>
      <c r="L1165" s="170">
        <v>43721</v>
      </c>
      <c r="M1165" s="116">
        <v>392.45</v>
      </c>
      <c r="N1165" s="116">
        <v>397.3</v>
      </c>
      <c r="O1165" s="116">
        <v>390</v>
      </c>
      <c r="P1165" s="116">
        <v>396.15</v>
      </c>
      <c r="Q1165" s="116">
        <v>392.45</v>
      </c>
      <c r="R1165">
        <v>101244</v>
      </c>
    </row>
    <row r="1166" spans="1:18" x14ac:dyDescent="0.25">
      <c r="A1166" s="170">
        <v>43724</v>
      </c>
      <c r="B1166" s="116">
        <v>404</v>
      </c>
      <c r="C1166" s="116">
        <v>402.6</v>
      </c>
      <c r="D1166" s="116">
        <v>387.6</v>
      </c>
      <c r="E1166" s="116">
        <v>392.25</v>
      </c>
      <c r="F1166" s="116">
        <v>402.6</v>
      </c>
      <c r="G1166">
        <v>31494</v>
      </c>
      <c r="H1166" s="116"/>
      <c r="I1166" s="116"/>
      <c r="L1166" s="170">
        <v>43724</v>
      </c>
      <c r="M1166" s="116">
        <v>401.95</v>
      </c>
      <c r="N1166" s="116">
        <v>404.8</v>
      </c>
      <c r="O1166" s="116">
        <v>388</v>
      </c>
      <c r="P1166" s="116">
        <v>392.8</v>
      </c>
      <c r="Q1166" s="116">
        <v>401.95</v>
      </c>
      <c r="R1166">
        <v>258536</v>
      </c>
    </row>
    <row r="1167" spans="1:18" x14ac:dyDescent="0.25">
      <c r="A1167" s="170">
        <v>43725</v>
      </c>
      <c r="B1167" s="116">
        <v>406.65</v>
      </c>
      <c r="C1167" s="116">
        <v>396</v>
      </c>
      <c r="D1167" s="116">
        <v>393</v>
      </c>
      <c r="E1167" s="116">
        <v>402.3</v>
      </c>
      <c r="F1167" s="116">
        <v>396</v>
      </c>
      <c r="G1167">
        <v>22697</v>
      </c>
      <c r="H1167" s="116"/>
      <c r="I1167" s="116"/>
      <c r="L1167" s="170">
        <v>43725</v>
      </c>
      <c r="M1167" s="116">
        <v>396.05</v>
      </c>
      <c r="N1167" s="116">
        <v>406.75</v>
      </c>
      <c r="O1167" s="116">
        <v>392.4</v>
      </c>
      <c r="P1167" s="116">
        <v>403</v>
      </c>
      <c r="Q1167" s="116">
        <v>396.05</v>
      </c>
      <c r="R1167">
        <v>191426</v>
      </c>
    </row>
    <row r="1168" spans="1:18" x14ac:dyDescent="0.25">
      <c r="A1168" s="170">
        <v>43726</v>
      </c>
      <c r="B1168" s="116">
        <v>400</v>
      </c>
      <c r="C1168" s="116">
        <v>382.15</v>
      </c>
      <c r="D1168" s="116">
        <v>379</v>
      </c>
      <c r="E1168" s="116">
        <v>395.95</v>
      </c>
      <c r="F1168" s="116">
        <v>382.15</v>
      </c>
      <c r="G1168">
        <v>31262</v>
      </c>
      <c r="H1168" s="116"/>
      <c r="I1168" s="116"/>
      <c r="L1168" s="170">
        <v>43726</v>
      </c>
      <c r="M1168" s="116">
        <v>382.35</v>
      </c>
      <c r="N1168" s="116">
        <v>400.2</v>
      </c>
      <c r="O1168" s="116">
        <v>378.25</v>
      </c>
      <c r="P1168" s="116">
        <v>399.6</v>
      </c>
      <c r="Q1168" s="116">
        <v>382.35</v>
      </c>
      <c r="R1168">
        <v>154697</v>
      </c>
    </row>
    <row r="1169" spans="1:18" x14ac:dyDescent="0.25">
      <c r="A1169" s="170">
        <v>43727</v>
      </c>
      <c r="B1169" s="116">
        <v>393</v>
      </c>
      <c r="C1169" s="116">
        <v>376.95</v>
      </c>
      <c r="D1169" s="116">
        <v>376</v>
      </c>
      <c r="E1169" s="116">
        <v>393</v>
      </c>
      <c r="F1169" s="116">
        <v>376.95</v>
      </c>
      <c r="G1169">
        <v>20218</v>
      </c>
      <c r="H1169" s="116"/>
      <c r="I1169" s="116"/>
      <c r="L1169" s="170">
        <v>43727</v>
      </c>
      <c r="M1169" s="116">
        <v>376.7</v>
      </c>
      <c r="N1169" s="116">
        <v>390</v>
      </c>
      <c r="O1169" s="116">
        <v>375.25</v>
      </c>
      <c r="P1169" s="116">
        <v>384.9</v>
      </c>
      <c r="Q1169" s="116">
        <v>376.7</v>
      </c>
      <c r="R1169">
        <v>190481</v>
      </c>
    </row>
    <row r="1170" spans="1:18" x14ac:dyDescent="0.25">
      <c r="A1170" s="170">
        <v>43728</v>
      </c>
      <c r="B1170" s="116">
        <v>398.05</v>
      </c>
      <c r="C1170" s="116">
        <v>387.3</v>
      </c>
      <c r="D1170" s="116">
        <v>371.9</v>
      </c>
      <c r="E1170" s="116">
        <v>380.05</v>
      </c>
      <c r="F1170" s="116">
        <v>387.3</v>
      </c>
      <c r="G1170">
        <v>51954</v>
      </c>
      <c r="H1170" s="116"/>
      <c r="I1170" s="116"/>
      <c r="L1170" s="170">
        <v>43728</v>
      </c>
      <c r="M1170" s="116">
        <v>386.7</v>
      </c>
      <c r="N1170" s="116">
        <v>398.6</v>
      </c>
      <c r="O1170" s="116">
        <v>371.6</v>
      </c>
      <c r="P1170" s="116">
        <v>379.7</v>
      </c>
      <c r="Q1170" s="116">
        <v>386.7</v>
      </c>
      <c r="R1170">
        <v>459824</v>
      </c>
    </row>
    <row r="1171" spans="1:18" x14ac:dyDescent="0.25">
      <c r="A1171" s="170">
        <v>43731</v>
      </c>
      <c r="B1171" s="116">
        <v>411</v>
      </c>
      <c r="C1171" s="116">
        <v>405.3</v>
      </c>
      <c r="D1171" s="116">
        <v>387.3</v>
      </c>
      <c r="E1171" s="116">
        <v>387.3</v>
      </c>
      <c r="F1171" s="116">
        <v>405.3</v>
      </c>
      <c r="G1171">
        <v>44500</v>
      </c>
      <c r="H1171" s="116"/>
      <c r="I1171" s="116"/>
      <c r="L1171" s="170">
        <v>43731</v>
      </c>
      <c r="M1171" s="116">
        <v>405.75</v>
      </c>
      <c r="N1171" s="116">
        <v>410.9</v>
      </c>
      <c r="O1171" s="116">
        <v>390.55</v>
      </c>
      <c r="P1171" s="116">
        <v>396</v>
      </c>
      <c r="Q1171" s="116">
        <v>405.75</v>
      </c>
      <c r="R1171">
        <v>423186</v>
      </c>
    </row>
    <row r="1172" spans="1:18" x14ac:dyDescent="0.25">
      <c r="A1172" s="170">
        <v>43732</v>
      </c>
      <c r="B1172" s="116">
        <v>419.5</v>
      </c>
      <c r="C1172" s="116">
        <v>416.25</v>
      </c>
      <c r="D1172" s="116">
        <v>403.5</v>
      </c>
      <c r="E1172" s="116">
        <v>403.5</v>
      </c>
      <c r="F1172" s="116">
        <v>416.25</v>
      </c>
      <c r="G1172">
        <v>34777</v>
      </c>
      <c r="H1172" s="116"/>
      <c r="I1172" s="116"/>
      <c r="L1172" s="170">
        <v>43732</v>
      </c>
      <c r="M1172" s="116">
        <v>415.75</v>
      </c>
      <c r="N1172" s="116">
        <v>419.8</v>
      </c>
      <c r="O1172" s="116">
        <v>399.55</v>
      </c>
      <c r="P1172" s="116">
        <v>404</v>
      </c>
      <c r="Q1172" s="116">
        <v>415.75</v>
      </c>
      <c r="R1172">
        <v>581711</v>
      </c>
    </row>
    <row r="1173" spans="1:18" x14ac:dyDescent="0.25">
      <c r="A1173" s="170">
        <v>43733</v>
      </c>
      <c r="B1173" s="116">
        <v>424.1</v>
      </c>
      <c r="C1173" s="116">
        <v>412.15</v>
      </c>
      <c r="D1173" s="116">
        <v>410.2</v>
      </c>
      <c r="E1173" s="116">
        <v>420</v>
      </c>
      <c r="F1173" s="116">
        <v>412.15</v>
      </c>
      <c r="G1173">
        <v>23374</v>
      </c>
      <c r="H1173" s="116"/>
      <c r="I1173" s="116"/>
      <c r="L1173" s="170">
        <v>43733</v>
      </c>
      <c r="M1173" s="116">
        <v>412.1</v>
      </c>
      <c r="N1173" s="116">
        <v>424.7</v>
      </c>
      <c r="O1173" s="116">
        <v>410</v>
      </c>
      <c r="P1173" s="116">
        <v>417.45</v>
      </c>
      <c r="Q1173" s="116">
        <v>412.1</v>
      </c>
      <c r="R1173">
        <v>411168</v>
      </c>
    </row>
    <row r="1174" spans="1:18" x14ac:dyDescent="0.25">
      <c r="A1174" s="170">
        <v>43734</v>
      </c>
      <c r="B1174" s="116">
        <v>415.45</v>
      </c>
      <c r="C1174" s="116">
        <v>413.7</v>
      </c>
      <c r="D1174" s="116">
        <v>410.85</v>
      </c>
      <c r="E1174" s="116">
        <v>414.8</v>
      </c>
      <c r="F1174" s="116">
        <v>413.7</v>
      </c>
      <c r="G1174">
        <v>7914</v>
      </c>
      <c r="H1174" s="116"/>
      <c r="I1174" s="116"/>
      <c r="L1174" s="170">
        <v>43734</v>
      </c>
      <c r="M1174" s="116">
        <v>413.9</v>
      </c>
      <c r="N1174" s="116">
        <v>416.65</v>
      </c>
      <c r="O1174" s="116">
        <v>410.05</v>
      </c>
      <c r="P1174" s="116">
        <v>415.9</v>
      </c>
      <c r="Q1174" s="116">
        <v>413.9</v>
      </c>
      <c r="R1174">
        <v>136309</v>
      </c>
    </row>
    <row r="1175" spans="1:18" x14ac:dyDescent="0.25">
      <c r="A1175" s="170">
        <v>43735</v>
      </c>
      <c r="B1175" s="116">
        <v>414.05</v>
      </c>
      <c r="C1175" s="116">
        <v>403.8</v>
      </c>
      <c r="D1175" s="116">
        <v>400.75</v>
      </c>
      <c r="E1175" s="116">
        <v>414.05</v>
      </c>
      <c r="F1175" s="116">
        <v>403.8</v>
      </c>
      <c r="G1175">
        <v>14257</v>
      </c>
      <c r="H1175" s="116"/>
      <c r="I1175" s="116"/>
      <c r="L1175" s="170">
        <v>43735</v>
      </c>
      <c r="M1175" s="116">
        <v>404.45</v>
      </c>
      <c r="N1175" s="116">
        <v>413.95</v>
      </c>
      <c r="O1175" s="116">
        <v>401</v>
      </c>
      <c r="P1175" s="116">
        <v>412</v>
      </c>
      <c r="Q1175" s="116">
        <v>404.45</v>
      </c>
      <c r="R1175">
        <v>345242</v>
      </c>
    </row>
    <row r="1176" spans="1:18" x14ac:dyDescent="0.25">
      <c r="A1176" s="170">
        <v>43738</v>
      </c>
      <c r="B1176" s="116">
        <v>402.4</v>
      </c>
      <c r="C1176" s="116">
        <v>392.75</v>
      </c>
      <c r="D1176" s="116">
        <v>390</v>
      </c>
      <c r="E1176" s="116">
        <v>399.55</v>
      </c>
      <c r="F1176" s="116">
        <v>392.75</v>
      </c>
      <c r="G1176">
        <v>24142</v>
      </c>
      <c r="H1176" s="116"/>
      <c r="I1176" s="116"/>
      <c r="L1176" s="170">
        <v>43738</v>
      </c>
      <c r="M1176" s="116">
        <v>393.25</v>
      </c>
      <c r="N1176" s="116">
        <v>403.95</v>
      </c>
      <c r="O1176" s="116">
        <v>390</v>
      </c>
      <c r="P1176" s="116">
        <v>400</v>
      </c>
      <c r="Q1176" s="116">
        <v>393.25</v>
      </c>
      <c r="R1176">
        <v>169226</v>
      </c>
    </row>
    <row r="1177" spans="1:18" x14ac:dyDescent="0.25">
      <c r="A1177" s="170">
        <v>43739</v>
      </c>
      <c r="B1177" s="116">
        <v>398.6</v>
      </c>
      <c r="C1177" s="116">
        <v>392.8</v>
      </c>
      <c r="D1177" s="116">
        <v>388</v>
      </c>
      <c r="E1177" s="116">
        <v>394</v>
      </c>
      <c r="F1177" s="116">
        <v>392.8</v>
      </c>
      <c r="G1177">
        <v>24609</v>
      </c>
      <c r="H1177" s="116"/>
      <c r="I1177" s="116"/>
      <c r="L1177" s="170">
        <v>43739</v>
      </c>
      <c r="M1177" s="116">
        <v>394.05</v>
      </c>
      <c r="N1177" s="116">
        <v>399</v>
      </c>
      <c r="O1177" s="116">
        <v>388.25</v>
      </c>
      <c r="P1177" s="116">
        <v>391.6</v>
      </c>
      <c r="Q1177" s="116">
        <v>394.05</v>
      </c>
      <c r="R1177">
        <v>181872</v>
      </c>
    </row>
    <row r="1178" spans="1:18" x14ac:dyDescent="0.25">
      <c r="A1178" s="170">
        <v>43741</v>
      </c>
      <c r="B1178" s="116">
        <v>397.05</v>
      </c>
      <c r="C1178" s="116">
        <v>389.35</v>
      </c>
      <c r="D1178" s="116">
        <v>385.2</v>
      </c>
      <c r="E1178" s="116">
        <v>389.75</v>
      </c>
      <c r="F1178" s="116">
        <v>389.35</v>
      </c>
      <c r="G1178">
        <v>11568</v>
      </c>
      <c r="H1178" s="116"/>
      <c r="I1178" s="116"/>
      <c r="L1178" s="170">
        <v>43741</v>
      </c>
      <c r="M1178" s="116">
        <v>390.15</v>
      </c>
      <c r="N1178" s="116">
        <v>397</v>
      </c>
      <c r="O1178" s="116">
        <v>385.8</v>
      </c>
      <c r="P1178" s="116">
        <v>390</v>
      </c>
      <c r="Q1178" s="116">
        <v>390.15</v>
      </c>
      <c r="R1178">
        <v>105163</v>
      </c>
    </row>
    <row r="1179" spans="1:18" x14ac:dyDescent="0.25">
      <c r="A1179" s="170">
        <v>43742</v>
      </c>
      <c r="B1179" s="116">
        <v>396.15</v>
      </c>
      <c r="C1179" s="116">
        <v>392.7</v>
      </c>
      <c r="D1179" s="116">
        <v>390</v>
      </c>
      <c r="E1179" s="116">
        <v>390</v>
      </c>
      <c r="F1179" s="116">
        <v>392.7</v>
      </c>
      <c r="G1179">
        <v>8266</v>
      </c>
      <c r="H1179" s="116"/>
      <c r="I1179" s="116"/>
      <c r="L1179" s="170">
        <v>43742</v>
      </c>
      <c r="M1179" s="116">
        <v>392.95</v>
      </c>
      <c r="N1179" s="116">
        <v>397</v>
      </c>
      <c r="O1179" s="116">
        <v>390</v>
      </c>
      <c r="P1179" s="116">
        <v>392</v>
      </c>
      <c r="Q1179" s="116">
        <v>392.95</v>
      </c>
      <c r="R1179">
        <v>137583</v>
      </c>
    </row>
    <row r="1180" spans="1:18" x14ac:dyDescent="0.25">
      <c r="A1180" s="170">
        <v>43745</v>
      </c>
      <c r="B1180" s="116">
        <v>393</v>
      </c>
      <c r="C1180" s="116">
        <v>379.55</v>
      </c>
      <c r="D1180" s="116">
        <v>368.4</v>
      </c>
      <c r="E1180" s="116">
        <v>393</v>
      </c>
      <c r="F1180" s="116">
        <v>379.55</v>
      </c>
      <c r="G1180">
        <v>745815</v>
      </c>
      <c r="H1180" s="116"/>
      <c r="I1180" s="116"/>
      <c r="L1180" s="170">
        <v>43745</v>
      </c>
      <c r="M1180" s="116">
        <v>380.25</v>
      </c>
      <c r="N1180" s="116">
        <v>394.95</v>
      </c>
      <c r="O1180" s="116">
        <v>368.5</v>
      </c>
      <c r="P1180" s="116">
        <v>393</v>
      </c>
      <c r="Q1180" s="116">
        <v>380.25</v>
      </c>
      <c r="R1180">
        <v>1140672</v>
      </c>
    </row>
    <row r="1181" spans="1:18" x14ac:dyDescent="0.25">
      <c r="A1181" s="170">
        <v>43747</v>
      </c>
      <c r="B1181" s="116">
        <v>393.25</v>
      </c>
      <c r="C1181" s="116">
        <v>390.7</v>
      </c>
      <c r="D1181" s="116">
        <v>376.2</v>
      </c>
      <c r="E1181" s="116">
        <v>376.7</v>
      </c>
      <c r="F1181" s="116">
        <v>390.7</v>
      </c>
      <c r="G1181">
        <v>30286</v>
      </c>
      <c r="H1181" s="116"/>
      <c r="I1181" s="116"/>
      <c r="L1181" s="170">
        <v>43747</v>
      </c>
      <c r="M1181" s="116">
        <v>391</v>
      </c>
      <c r="N1181" s="116">
        <v>393.95</v>
      </c>
      <c r="O1181" s="116">
        <v>376.55</v>
      </c>
      <c r="P1181" s="116">
        <v>379</v>
      </c>
      <c r="Q1181" s="116">
        <v>391</v>
      </c>
      <c r="R1181">
        <v>131502</v>
      </c>
    </row>
    <row r="1182" spans="1:18" x14ac:dyDescent="0.25">
      <c r="A1182" s="170">
        <v>43748</v>
      </c>
      <c r="B1182" s="116">
        <v>400.9</v>
      </c>
      <c r="C1182" s="116">
        <v>389.2</v>
      </c>
      <c r="D1182" s="116">
        <v>387.85</v>
      </c>
      <c r="E1182" s="116">
        <v>389.8</v>
      </c>
      <c r="F1182" s="116">
        <v>389.2</v>
      </c>
      <c r="G1182">
        <v>21644</v>
      </c>
      <c r="H1182" s="116"/>
      <c r="I1182" s="116"/>
      <c r="L1182" s="170">
        <v>43748</v>
      </c>
      <c r="M1182" s="116">
        <v>389.25</v>
      </c>
      <c r="N1182" s="116">
        <v>400.9</v>
      </c>
      <c r="O1182" s="116">
        <v>386</v>
      </c>
      <c r="P1182" s="116">
        <v>386</v>
      </c>
      <c r="Q1182" s="116">
        <v>389.25</v>
      </c>
      <c r="R1182">
        <v>198015</v>
      </c>
    </row>
    <row r="1183" spans="1:18" x14ac:dyDescent="0.25">
      <c r="A1183" s="170">
        <v>43749</v>
      </c>
      <c r="B1183" s="116">
        <v>398.75</v>
      </c>
      <c r="C1183" s="116">
        <v>383.85</v>
      </c>
      <c r="D1183" s="116">
        <v>382.1</v>
      </c>
      <c r="E1183" s="116">
        <v>392.1</v>
      </c>
      <c r="F1183" s="116">
        <v>383.85</v>
      </c>
      <c r="G1183">
        <v>10183</v>
      </c>
      <c r="H1183" s="116"/>
      <c r="I1183" s="116"/>
      <c r="L1183" s="170">
        <v>43749</v>
      </c>
      <c r="M1183" s="116">
        <v>384.3</v>
      </c>
      <c r="N1183" s="116">
        <v>398.9</v>
      </c>
      <c r="O1183" s="116">
        <v>382.5</v>
      </c>
      <c r="P1183" s="116">
        <v>391</v>
      </c>
      <c r="Q1183" s="116">
        <v>384.3</v>
      </c>
      <c r="R1183">
        <v>148001</v>
      </c>
    </row>
    <row r="1184" spans="1:18" x14ac:dyDescent="0.25">
      <c r="A1184" s="170">
        <v>43752</v>
      </c>
      <c r="B1184" s="116">
        <v>388.6</v>
      </c>
      <c r="C1184" s="116">
        <v>382.2</v>
      </c>
      <c r="D1184" s="116">
        <v>380</v>
      </c>
      <c r="E1184" s="116">
        <v>386.85</v>
      </c>
      <c r="F1184" s="116">
        <v>382.2</v>
      </c>
      <c r="G1184">
        <v>20554</v>
      </c>
      <c r="H1184" s="116"/>
      <c r="I1184" s="116"/>
      <c r="L1184" s="170">
        <v>43752</v>
      </c>
      <c r="M1184" s="116">
        <v>382.25</v>
      </c>
      <c r="N1184" s="116">
        <v>388.45</v>
      </c>
      <c r="O1184" s="116">
        <v>379</v>
      </c>
      <c r="P1184" s="116">
        <v>384.9</v>
      </c>
      <c r="Q1184" s="116">
        <v>382.25</v>
      </c>
      <c r="R1184">
        <v>161594</v>
      </c>
    </row>
    <row r="1185" spans="1:18" x14ac:dyDescent="0.25">
      <c r="A1185" s="170">
        <v>43753</v>
      </c>
      <c r="B1185" s="116">
        <v>386.7</v>
      </c>
      <c r="C1185" s="116">
        <v>381.95</v>
      </c>
      <c r="D1185" s="116">
        <v>365</v>
      </c>
      <c r="E1185" s="116">
        <v>383.25</v>
      </c>
      <c r="F1185" s="116">
        <v>381.95</v>
      </c>
      <c r="G1185">
        <v>32448</v>
      </c>
      <c r="H1185" s="116"/>
      <c r="I1185" s="116"/>
      <c r="L1185" s="170">
        <v>43753</v>
      </c>
      <c r="M1185" s="116">
        <v>382.55</v>
      </c>
      <c r="N1185" s="116">
        <v>386.9</v>
      </c>
      <c r="O1185" s="116">
        <v>380.6</v>
      </c>
      <c r="P1185" s="116">
        <v>382.6</v>
      </c>
      <c r="Q1185" s="116">
        <v>382.55</v>
      </c>
      <c r="R1185">
        <v>143749</v>
      </c>
    </row>
    <row r="1186" spans="1:18" x14ac:dyDescent="0.25">
      <c r="A1186" s="170">
        <v>43754</v>
      </c>
      <c r="B1186" s="116">
        <v>396</v>
      </c>
      <c r="C1186" s="116">
        <v>384.75</v>
      </c>
      <c r="D1186" s="116">
        <v>383.85</v>
      </c>
      <c r="E1186" s="116">
        <v>388</v>
      </c>
      <c r="F1186" s="116">
        <v>384.75</v>
      </c>
      <c r="G1186">
        <v>9977</v>
      </c>
      <c r="H1186" s="116"/>
      <c r="I1186" s="116"/>
      <c r="L1186" s="170">
        <v>43754</v>
      </c>
      <c r="M1186" s="116">
        <v>385.05</v>
      </c>
      <c r="N1186" s="116">
        <v>396.9</v>
      </c>
      <c r="O1186" s="116">
        <v>383.75</v>
      </c>
      <c r="P1186" s="116">
        <v>386.35</v>
      </c>
      <c r="Q1186" s="116">
        <v>385.05</v>
      </c>
      <c r="R1186">
        <v>198403</v>
      </c>
    </row>
    <row r="1187" spans="1:18" x14ac:dyDescent="0.25">
      <c r="A1187" s="170">
        <v>43755</v>
      </c>
      <c r="B1187" s="116">
        <v>388.5</v>
      </c>
      <c r="C1187" s="116">
        <v>385.1</v>
      </c>
      <c r="D1187" s="116">
        <v>384.3</v>
      </c>
      <c r="E1187" s="116">
        <v>387.7</v>
      </c>
      <c r="F1187" s="116">
        <v>385.1</v>
      </c>
      <c r="G1187">
        <v>8273</v>
      </c>
      <c r="H1187" s="116"/>
      <c r="I1187" s="116"/>
      <c r="L1187" s="170">
        <v>43755</v>
      </c>
      <c r="M1187" s="116">
        <v>385.4</v>
      </c>
      <c r="N1187" s="116">
        <v>388.75</v>
      </c>
      <c r="O1187" s="116">
        <v>384.15</v>
      </c>
      <c r="P1187" s="116">
        <v>385.1</v>
      </c>
      <c r="Q1187" s="116">
        <v>385.4</v>
      </c>
      <c r="R1187">
        <v>162344</v>
      </c>
    </row>
    <row r="1188" spans="1:18" x14ac:dyDescent="0.25">
      <c r="A1188" s="170">
        <v>43756</v>
      </c>
      <c r="B1188" s="116">
        <v>406</v>
      </c>
      <c r="C1188" s="116">
        <v>401.9</v>
      </c>
      <c r="D1188" s="116">
        <v>386.95</v>
      </c>
      <c r="E1188" s="116">
        <v>386.95</v>
      </c>
      <c r="F1188" s="116">
        <v>401.9</v>
      </c>
      <c r="G1188">
        <v>38176</v>
      </c>
      <c r="H1188" s="116"/>
      <c r="I1188" s="116"/>
      <c r="L1188" s="170">
        <v>43756</v>
      </c>
      <c r="M1188" s="116">
        <v>402</v>
      </c>
      <c r="N1188" s="116">
        <v>405.9</v>
      </c>
      <c r="O1188" s="116">
        <v>386.05</v>
      </c>
      <c r="P1188" s="116">
        <v>386.8</v>
      </c>
      <c r="Q1188" s="116">
        <v>402</v>
      </c>
      <c r="R1188">
        <v>360080</v>
      </c>
    </row>
    <row r="1189" spans="1:18" x14ac:dyDescent="0.25">
      <c r="A1189" s="170">
        <v>43760</v>
      </c>
      <c r="B1189" s="116">
        <v>404.15</v>
      </c>
      <c r="C1189" s="116">
        <v>396.05</v>
      </c>
      <c r="D1189" s="116">
        <v>391.05</v>
      </c>
      <c r="E1189" s="116">
        <v>399.85</v>
      </c>
      <c r="F1189" s="116">
        <v>396.05</v>
      </c>
      <c r="G1189">
        <v>16295</v>
      </c>
      <c r="H1189" s="116"/>
      <c r="I1189" s="116"/>
      <c r="L1189" s="170">
        <v>43760</v>
      </c>
      <c r="M1189" s="116">
        <v>395.8</v>
      </c>
      <c r="N1189" s="116">
        <v>403</v>
      </c>
      <c r="O1189" s="116">
        <v>391.45</v>
      </c>
      <c r="P1189" s="116">
        <v>393.1</v>
      </c>
      <c r="Q1189" s="116">
        <v>395.8</v>
      </c>
      <c r="R1189">
        <v>194725</v>
      </c>
    </row>
    <row r="1190" spans="1:18" x14ac:dyDescent="0.25">
      <c r="A1190" s="170">
        <v>43761</v>
      </c>
      <c r="B1190" s="116">
        <v>398.5</v>
      </c>
      <c r="C1190" s="116">
        <v>388.25</v>
      </c>
      <c r="D1190" s="116">
        <v>387</v>
      </c>
      <c r="E1190" s="116">
        <v>393.25</v>
      </c>
      <c r="F1190" s="116">
        <v>388.25</v>
      </c>
      <c r="G1190">
        <v>31559</v>
      </c>
      <c r="H1190" s="116"/>
      <c r="I1190" s="116"/>
      <c r="L1190" s="170">
        <v>43761</v>
      </c>
      <c r="M1190" s="116">
        <v>388.1</v>
      </c>
      <c r="N1190" s="116">
        <v>398.8</v>
      </c>
      <c r="O1190" s="116">
        <v>386.5</v>
      </c>
      <c r="P1190" s="116">
        <v>393.7</v>
      </c>
      <c r="Q1190" s="116">
        <v>388.1</v>
      </c>
      <c r="R1190">
        <v>137529</v>
      </c>
    </row>
    <row r="1191" spans="1:18" x14ac:dyDescent="0.25">
      <c r="A1191" s="170">
        <v>43762</v>
      </c>
      <c r="B1191" s="116">
        <v>393</v>
      </c>
      <c r="C1191" s="116">
        <v>386.45</v>
      </c>
      <c r="D1191" s="116">
        <v>385.1</v>
      </c>
      <c r="E1191" s="116">
        <v>390.25</v>
      </c>
      <c r="F1191" s="116">
        <v>386.45</v>
      </c>
      <c r="G1191">
        <v>11510</v>
      </c>
      <c r="H1191" s="116"/>
      <c r="I1191" s="116"/>
      <c r="L1191" s="170">
        <v>43762</v>
      </c>
      <c r="M1191" s="116">
        <v>386</v>
      </c>
      <c r="N1191" s="116">
        <v>393.5</v>
      </c>
      <c r="O1191" s="116">
        <v>385</v>
      </c>
      <c r="P1191" s="116">
        <v>390</v>
      </c>
      <c r="Q1191" s="116">
        <v>386</v>
      </c>
      <c r="R1191">
        <v>92135</v>
      </c>
    </row>
    <row r="1192" spans="1:18" x14ac:dyDescent="0.25">
      <c r="A1192" s="170">
        <v>43763</v>
      </c>
      <c r="B1192" s="116">
        <v>409.8</v>
      </c>
      <c r="C1192" s="116">
        <v>395.2</v>
      </c>
      <c r="D1192" s="116">
        <v>385.5</v>
      </c>
      <c r="E1192" s="116">
        <v>385.5</v>
      </c>
      <c r="F1192" s="116">
        <v>395.2</v>
      </c>
      <c r="G1192">
        <v>29485</v>
      </c>
      <c r="H1192" s="116"/>
      <c r="I1192" s="116"/>
      <c r="L1192" s="170">
        <v>43763</v>
      </c>
      <c r="M1192" s="116">
        <v>395.2</v>
      </c>
      <c r="N1192" s="116">
        <v>410.3</v>
      </c>
      <c r="O1192" s="116">
        <v>385.15</v>
      </c>
      <c r="P1192" s="116">
        <v>386.4</v>
      </c>
      <c r="Q1192" s="116">
        <v>395.2</v>
      </c>
      <c r="R1192">
        <v>358132</v>
      </c>
    </row>
    <row r="1193" spans="1:18" x14ac:dyDescent="0.25">
      <c r="A1193" s="170">
        <v>43765</v>
      </c>
      <c r="B1193" s="116">
        <v>410</v>
      </c>
      <c r="C1193" s="116">
        <v>405.15</v>
      </c>
      <c r="D1193" s="116">
        <v>393.3</v>
      </c>
      <c r="E1193" s="116">
        <v>394.65</v>
      </c>
      <c r="F1193" s="116">
        <v>405.15</v>
      </c>
      <c r="G1193">
        <v>14362</v>
      </c>
      <c r="H1193" s="116"/>
      <c r="I1193" s="116"/>
      <c r="L1193" s="170">
        <v>43765</v>
      </c>
      <c r="M1193" s="116">
        <v>405.2</v>
      </c>
      <c r="N1193" s="116">
        <v>410</v>
      </c>
      <c r="O1193" s="116">
        <v>392</v>
      </c>
      <c r="P1193" s="116">
        <v>392</v>
      </c>
      <c r="Q1193" s="116">
        <v>405.2</v>
      </c>
      <c r="R1193">
        <v>214640</v>
      </c>
    </row>
    <row r="1194" spans="1:18" x14ac:dyDescent="0.25">
      <c r="A1194" s="170">
        <v>43767</v>
      </c>
      <c r="B1194" s="116">
        <v>405.9</v>
      </c>
      <c r="C1194" s="116">
        <v>396.45</v>
      </c>
      <c r="D1194" s="116">
        <v>393.8</v>
      </c>
      <c r="E1194" s="116">
        <v>405.9</v>
      </c>
      <c r="F1194" s="116">
        <v>396.45</v>
      </c>
      <c r="G1194">
        <v>9362</v>
      </c>
      <c r="H1194" s="116"/>
      <c r="I1194" s="116"/>
      <c r="L1194" s="170">
        <v>43767</v>
      </c>
      <c r="M1194" s="116">
        <v>396.85</v>
      </c>
      <c r="N1194" s="116">
        <v>405</v>
      </c>
      <c r="O1194" s="116">
        <v>394.3</v>
      </c>
      <c r="P1194" s="116">
        <v>402</v>
      </c>
      <c r="Q1194" s="116">
        <v>396.85</v>
      </c>
      <c r="R1194">
        <v>137526</v>
      </c>
    </row>
    <row r="1195" spans="1:18" x14ac:dyDescent="0.25">
      <c r="A1195" s="170">
        <v>43768</v>
      </c>
      <c r="B1195" s="116">
        <v>401.6</v>
      </c>
      <c r="C1195" s="116">
        <v>395.05</v>
      </c>
      <c r="D1195" s="116">
        <v>393</v>
      </c>
      <c r="E1195" s="116">
        <v>398</v>
      </c>
      <c r="F1195" s="116">
        <v>395.05</v>
      </c>
      <c r="G1195">
        <v>10267</v>
      </c>
      <c r="H1195" s="116"/>
      <c r="I1195" s="116"/>
      <c r="L1195" s="170">
        <v>43768</v>
      </c>
      <c r="M1195" s="116">
        <v>394.55</v>
      </c>
      <c r="N1195" s="116">
        <v>402</v>
      </c>
      <c r="O1195" s="116">
        <v>392.8</v>
      </c>
      <c r="P1195" s="116">
        <v>397.15</v>
      </c>
      <c r="Q1195" s="116">
        <v>394.55</v>
      </c>
      <c r="R1195">
        <v>122641</v>
      </c>
    </row>
    <row r="1196" spans="1:18" x14ac:dyDescent="0.25">
      <c r="A1196" s="170">
        <v>43769</v>
      </c>
      <c r="B1196" s="116">
        <v>406.6</v>
      </c>
      <c r="C1196" s="116">
        <v>395.5</v>
      </c>
      <c r="D1196" s="116">
        <v>391.5</v>
      </c>
      <c r="E1196" s="116">
        <v>397.5</v>
      </c>
      <c r="F1196" s="116">
        <v>395.5</v>
      </c>
      <c r="G1196">
        <v>20060</v>
      </c>
      <c r="H1196" s="116"/>
      <c r="I1196" s="116"/>
      <c r="L1196" s="170">
        <v>43769</v>
      </c>
      <c r="M1196" s="116">
        <v>394.8</v>
      </c>
      <c r="N1196" s="116">
        <v>406.6</v>
      </c>
      <c r="O1196" s="116">
        <v>390.05</v>
      </c>
      <c r="P1196" s="116">
        <v>395.55</v>
      </c>
      <c r="Q1196" s="116">
        <v>394.8</v>
      </c>
      <c r="R1196">
        <v>378915</v>
      </c>
    </row>
    <row r="1197" spans="1:18" x14ac:dyDescent="0.25">
      <c r="A1197" s="170">
        <v>43770</v>
      </c>
      <c r="B1197" s="116">
        <v>409.5</v>
      </c>
      <c r="C1197" s="116">
        <v>405.5</v>
      </c>
      <c r="D1197" s="116">
        <v>394.25</v>
      </c>
      <c r="E1197" s="116">
        <v>395.25</v>
      </c>
      <c r="F1197" s="116">
        <v>405.5</v>
      </c>
      <c r="G1197">
        <v>42327</v>
      </c>
      <c r="H1197" s="116"/>
      <c r="I1197" s="116"/>
      <c r="L1197" s="170">
        <v>43770</v>
      </c>
      <c r="M1197" s="116">
        <v>405.55</v>
      </c>
      <c r="N1197" s="116">
        <v>409.7</v>
      </c>
      <c r="O1197" s="116">
        <v>394.5</v>
      </c>
      <c r="P1197" s="116">
        <v>396</v>
      </c>
      <c r="Q1197" s="116">
        <v>405.55</v>
      </c>
      <c r="R1197">
        <v>394654</v>
      </c>
    </row>
    <row r="1198" spans="1:18" x14ac:dyDescent="0.25">
      <c r="A1198" s="170">
        <v>43773</v>
      </c>
      <c r="B1198" s="116">
        <v>433</v>
      </c>
      <c r="C1198" s="116">
        <v>426.7</v>
      </c>
      <c r="D1198" s="116">
        <v>398.1</v>
      </c>
      <c r="E1198" s="116">
        <v>409.95</v>
      </c>
      <c r="F1198" s="116">
        <v>426.7</v>
      </c>
      <c r="G1198">
        <v>120968</v>
      </c>
      <c r="H1198" s="116"/>
      <c r="I1198" s="116"/>
      <c r="L1198" s="170">
        <v>43773</v>
      </c>
      <c r="M1198" s="116">
        <v>426.3</v>
      </c>
      <c r="N1198" s="116">
        <v>433</v>
      </c>
      <c r="O1198" s="116">
        <v>398.05</v>
      </c>
      <c r="P1198" s="116">
        <v>408.5</v>
      </c>
      <c r="Q1198" s="116">
        <v>426.3</v>
      </c>
      <c r="R1198">
        <v>1983433</v>
      </c>
    </row>
    <row r="1199" spans="1:18" x14ac:dyDescent="0.25">
      <c r="A1199" s="170">
        <v>43774</v>
      </c>
      <c r="B1199" s="116">
        <v>432.8</v>
      </c>
      <c r="C1199" s="116">
        <v>416.95</v>
      </c>
      <c r="D1199" s="116">
        <v>411.6</v>
      </c>
      <c r="E1199" s="116">
        <v>423.5</v>
      </c>
      <c r="F1199" s="116">
        <v>416.95</v>
      </c>
      <c r="G1199">
        <v>37031</v>
      </c>
      <c r="H1199" s="116"/>
      <c r="I1199" s="116"/>
      <c r="L1199" s="170">
        <v>43774</v>
      </c>
      <c r="M1199" s="116">
        <v>417.35</v>
      </c>
      <c r="N1199" s="116">
        <v>433.7</v>
      </c>
      <c r="O1199" s="116">
        <v>411.2</v>
      </c>
      <c r="P1199" s="116">
        <v>431</v>
      </c>
      <c r="Q1199" s="116">
        <v>417.35</v>
      </c>
      <c r="R1199">
        <v>644380</v>
      </c>
    </row>
    <row r="1200" spans="1:18" x14ac:dyDescent="0.25">
      <c r="A1200" s="170">
        <v>43775</v>
      </c>
      <c r="B1200" s="116">
        <v>420</v>
      </c>
      <c r="C1200" s="116">
        <v>411.1</v>
      </c>
      <c r="D1200" s="116">
        <v>410.1</v>
      </c>
      <c r="E1200" s="116">
        <v>416.95</v>
      </c>
      <c r="F1200" s="116">
        <v>411.1</v>
      </c>
      <c r="G1200">
        <v>17937</v>
      </c>
      <c r="H1200" s="116"/>
      <c r="I1200" s="116"/>
      <c r="L1200" s="170">
        <v>43775</v>
      </c>
      <c r="M1200" s="116">
        <v>411.35</v>
      </c>
      <c r="N1200" s="116">
        <v>420.25</v>
      </c>
      <c r="O1200" s="116">
        <v>410</v>
      </c>
      <c r="P1200" s="116">
        <v>416.3</v>
      </c>
      <c r="Q1200" s="116">
        <v>411.35</v>
      </c>
      <c r="R1200">
        <v>223363</v>
      </c>
    </row>
    <row r="1201" spans="1:18" x14ac:dyDescent="0.25">
      <c r="A1201" s="170">
        <v>43776</v>
      </c>
      <c r="B1201" s="116">
        <v>422.2</v>
      </c>
      <c r="C1201" s="116">
        <v>408.6</v>
      </c>
      <c r="D1201" s="116">
        <v>407.6</v>
      </c>
      <c r="E1201" s="116">
        <v>411.3</v>
      </c>
      <c r="F1201" s="116">
        <v>408.6</v>
      </c>
      <c r="G1201">
        <v>19148</v>
      </c>
      <c r="H1201" s="116"/>
      <c r="I1201" s="116"/>
      <c r="L1201" s="170">
        <v>43776</v>
      </c>
      <c r="M1201" s="116">
        <v>408.6</v>
      </c>
      <c r="N1201" s="116">
        <v>423.7</v>
      </c>
      <c r="O1201" s="116">
        <v>407.1</v>
      </c>
      <c r="P1201" s="116">
        <v>415.2</v>
      </c>
      <c r="Q1201" s="116">
        <v>408.6</v>
      </c>
      <c r="R1201">
        <v>330004</v>
      </c>
    </row>
    <row r="1202" spans="1:18" x14ac:dyDescent="0.25">
      <c r="A1202" s="170">
        <v>43777</v>
      </c>
      <c r="B1202" s="116">
        <v>413</v>
      </c>
      <c r="C1202" s="116">
        <v>401.65</v>
      </c>
      <c r="D1202" s="116">
        <v>400.95</v>
      </c>
      <c r="E1202" s="116">
        <v>410.2</v>
      </c>
      <c r="F1202" s="116">
        <v>401.65</v>
      </c>
      <c r="G1202">
        <v>12725</v>
      </c>
      <c r="H1202" s="116"/>
      <c r="I1202" s="116"/>
      <c r="L1202" s="170">
        <v>43777</v>
      </c>
      <c r="M1202" s="116">
        <v>401.95</v>
      </c>
      <c r="N1202" s="116">
        <v>413.75</v>
      </c>
      <c r="O1202" s="116">
        <v>400.75</v>
      </c>
      <c r="P1202" s="116">
        <v>410</v>
      </c>
      <c r="Q1202" s="116">
        <v>401.95</v>
      </c>
      <c r="R1202">
        <v>292005</v>
      </c>
    </row>
    <row r="1203" spans="1:18" x14ac:dyDescent="0.25">
      <c r="A1203" s="170">
        <v>43780</v>
      </c>
      <c r="B1203" s="116">
        <v>405.2</v>
      </c>
      <c r="C1203" s="116">
        <v>394.7</v>
      </c>
      <c r="D1203" s="116">
        <v>391.75</v>
      </c>
      <c r="E1203" s="116">
        <v>402.85</v>
      </c>
      <c r="F1203" s="116">
        <v>394.7</v>
      </c>
      <c r="G1203">
        <v>15593</v>
      </c>
      <c r="H1203" s="116"/>
      <c r="I1203" s="116"/>
      <c r="L1203" s="170">
        <v>43780</v>
      </c>
      <c r="M1203" s="116">
        <v>394.6</v>
      </c>
      <c r="N1203" s="116">
        <v>405.75</v>
      </c>
      <c r="O1203" s="116">
        <v>391.8</v>
      </c>
      <c r="P1203" s="116">
        <v>402</v>
      </c>
      <c r="Q1203" s="116">
        <v>394.6</v>
      </c>
      <c r="R1203">
        <v>172570</v>
      </c>
    </row>
    <row r="1204" spans="1:18" x14ac:dyDescent="0.25">
      <c r="A1204" s="170">
        <v>43782</v>
      </c>
      <c r="B1204" s="116">
        <v>395.05</v>
      </c>
      <c r="C1204" s="116">
        <v>380.2</v>
      </c>
      <c r="D1204" s="116">
        <v>377.2</v>
      </c>
      <c r="E1204" s="116">
        <v>395</v>
      </c>
      <c r="F1204" s="116">
        <v>380.2</v>
      </c>
      <c r="G1204">
        <v>6512</v>
      </c>
      <c r="H1204" s="116"/>
      <c r="I1204" s="116"/>
      <c r="L1204" s="170">
        <v>43782</v>
      </c>
      <c r="M1204" s="116">
        <v>380.5</v>
      </c>
      <c r="N1204" s="116">
        <v>395.9</v>
      </c>
      <c r="O1204" s="116">
        <v>376.25</v>
      </c>
      <c r="P1204" s="116">
        <v>394.9</v>
      </c>
      <c r="Q1204" s="116">
        <v>380.5</v>
      </c>
      <c r="R1204">
        <v>173022</v>
      </c>
    </row>
    <row r="1205" spans="1:18" x14ac:dyDescent="0.25">
      <c r="A1205" s="170">
        <v>43783</v>
      </c>
      <c r="B1205" s="116">
        <v>384.7</v>
      </c>
      <c r="C1205" s="116">
        <v>378.05</v>
      </c>
      <c r="D1205" s="116">
        <v>376.35</v>
      </c>
      <c r="E1205" s="116">
        <v>384.7</v>
      </c>
      <c r="F1205" s="116">
        <v>378.05</v>
      </c>
      <c r="G1205">
        <v>18245</v>
      </c>
      <c r="H1205" s="116"/>
      <c r="I1205" s="116"/>
      <c r="L1205" s="170">
        <v>43783</v>
      </c>
      <c r="M1205" s="116">
        <v>378.6</v>
      </c>
      <c r="N1205" s="116">
        <v>384.9</v>
      </c>
      <c r="O1205" s="116">
        <v>376.5</v>
      </c>
      <c r="P1205" s="116">
        <v>381</v>
      </c>
      <c r="Q1205" s="116">
        <v>378.6</v>
      </c>
      <c r="R1205">
        <v>145342</v>
      </c>
    </row>
    <row r="1206" spans="1:18" x14ac:dyDescent="0.25">
      <c r="A1206" s="170">
        <v>43784</v>
      </c>
      <c r="B1206" s="116">
        <v>388.4</v>
      </c>
      <c r="C1206" s="116">
        <v>385.05</v>
      </c>
      <c r="D1206" s="116">
        <v>378.4</v>
      </c>
      <c r="E1206" s="116">
        <v>380.25</v>
      </c>
      <c r="F1206" s="116">
        <v>385.05</v>
      </c>
      <c r="G1206">
        <v>22195</v>
      </c>
      <c r="H1206" s="116"/>
      <c r="I1206" s="116"/>
      <c r="L1206" s="170">
        <v>43784</v>
      </c>
      <c r="M1206" s="116">
        <v>385.1</v>
      </c>
      <c r="N1206" s="116">
        <v>389</v>
      </c>
      <c r="O1206" s="116">
        <v>378.05</v>
      </c>
      <c r="P1206" s="116">
        <v>379.95</v>
      </c>
      <c r="Q1206" s="116">
        <v>385.1</v>
      </c>
      <c r="R1206">
        <v>186620</v>
      </c>
    </row>
    <row r="1207" spans="1:18" x14ac:dyDescent="0.25">
      <c r="A1207" s="170">
        <v>43787</v>
      </c>
      <c r="B1207" s="116">
        <v>388.7</v>
      </c>
      <c r="C1207" s="116">
        <v>383.95</v>
      </c>
      <c r="D1207" s="116">
        <v>379.1</v>
      </c>
      <c r="E1207" s="116">
        <v>385.95</v>
      </c>
      <c r="F1207" s="116">
        <v>383.95</v>
      </c>
      <c r="G1207">
        <v>8256</v>
      </c>
      <c r="H1207" s="116"/>
      <c r="I1207" s="116"/>
      <c r="L1207" s="170">
        <v>43787</v>
      </c>
      <c r="M1207" s="116">
        <v>384</v>
      </c>
      <c r="N1207" s="116">
        <v>388.9</v>
      </c>
      <c r="O1207" s="116">
        <v>378.8</v>
      </c>
      <c r="P1207" s="116">
        <v>380.05</v>
      </c>
      <c r="Q1207" s="116">
        <v>384</v>
      </c>
      <c r="R1207">
        <v>156182</v>
      </c>
    </row>
    <row r="1208" spans="1:18" x14ac:dyDescent="0.25">
      <c r="A1208" s="170">
        <v>43788</v>
      </c>
      <c r="B1208" s="116">
        <v>409.75</v>
      </c>
      <c r="C1208" s="116">
        <v>393.55</v>
      </c>
      <c r="D1208" s="116">
        <v>383.85</v>
      </c>
      <c r="E1208" s="116">
        <v>383.95</v>
      </c>
      <c r="F1208" s="116">
        <v>393.55</v>
      </c>
      <c r="G1208">
        <v>50532</v>
      </c>
      <c r="H1208" s="116"/>
      <c r="I1208" s="116"/>
      <c r="L1208" s="170">
        <v>43788</v>
      </c>
      <c r="M1208" s="116">
        <v>393.9</v>
      </c>
      <c r="N1208" s="116">
        <v>409.85</v>
      </c>
      <c r="O1208" s="116">
        <v>382</v>
      </c>
      <c r="P1208" s="116">
        <v>383.25</v>
      </c>
      <c r="Q1208" s="116">
        <v>393.9</v>
      </c>
      <c r="R1208">
        <v>874070</v>
      </c>
    </row>
    <row r="1209" spans="1:18" x14ac:dyDescent="0.25">
      <c r="A1209" s="170">
        <v>43789</v>
      </c>
      <c r="B1209" s="116">
        <v>404.65</v>
      </c>
      <c r="C1209" s="116">
        <v>395.95</v>
      </c>
      <c r="D1209" s="116">
        <v>394.2</v>
      </c>
      <c r="E1209" s="116">
        <v>394.75</v>
      </c>
      <c r="F1209" s="116">
        <v>395.95</v>
      </c>
      <c r="G1209">
        <v>9128</v>
      </c>
      <c r="H1209" s="116"/>
      <c r="I1209" s="116"/>
      <c r="L1209" s="170">
        <v>43789</v>
      </c>
      <c r="M1209" s="116">
        <v>395.9</v>
      </c>
      <c r="N1209" s="116">
        <v>405</v>
      </c>
      <c r="O1209" s="116">
        <v>394</v>
      </c>
      <c r="P1209" s="116">
        <v>394.45</v>
      </c>
      <c r="Q1209" s="116">
        <v>395.9</v>
      </c>
      <c r="R1209">
        <v>245151</v>
      </c>
    </row>
    <row r="1210" spans="1:18" x14ac:dyDescent="0.25">
      <c r="A1210" s="170">
        <v>43790</v>
      </c>
      <c r="B1210" s="116">
        <v>402</v>
      </c>
      <c r="C1210" s="116">
        <v>396.6</v>
      </c>
      <c r="D1210" s="116">
        <v>393.25</v>
      </c>
      <c r="E1210" s="116">
        <v>396</v>
      </c>
      <c r="F1210" s="116">
        <v>396.6</v>
      </c>
      <c r="G1210">
        <v>25735</v>
      </c>
      <c r="H1210" s="116"/>
      <c r="I1210" s="116"/>
      <c r="L1210" s="170">
        <v>43790</v>
      </c>
      <c r="M1210" s="116">
        <v>396.75</v>
      </c>
      <c r="N1210" s="116">
        <v>401.9</v>
      </c>
      <c r="O1210" s="116">
        <v>393.1</v>
      </c>
      <c r="P1210" s="116">
        <v>394.2</v>
      </c>
      <c r="Q1210" s="116">
        <v>396.75</v>
      </c>
      <c r="R1210">
        <v>150312</v>
      </c>
    </row>
    <row r="1211" spans="1:18" x14ac:dyDescent="0.25">
      <c r="A1211" s="170">
        <v>43791</v>
      </c>
      <c r="B1211" s="116">
        <v>407.7</v>
      </c>
      <c r="C1211" s="116">
        <v>393</v>
      </c>
      <c r="D1211" s="116">
        <v>390.2</v>
      </c>
      <c r="E1211" s="116">
        <v>398.6</v>
      </c>
      <c r="F1211" s="116">
        <v>393</v>
      </c>
      <c r="G1211">
        <v>31197</v>
      </c>
      <c r="H1211" s="116"/>
      <c r="I1211" s="116"/>
      <c r="L1211" s="170">
        <v>43791</v>
      </c>
      <c r="M1211" s="116">
        <v>392.8</v>
      </c>
      <c r="N1211" s="116">
        <v>407.7</v>
      </c>
      <c r="O1211" s="116">
        <v>390.35</v>
      </c>
      <c r="P1211" s="116">
        <v>397.25</v>
      </c>
      <c r="Q1211" s="116">
        <v>392.8</v>
      </c>
      <c r="R1211">
        <v>447394</v>
      </c>
    </row>
    <row r="1212" spans="1:18" x14ac:dyDescent="0.25">
      <c r="A1212" s="170">
        <v>43794</v>
      </c>
      <c r="B1212" s="116">
        <v>399.4</v>
      </c>
      <c r="C1212" s="116">
        <v>394.6</v>
      </c>
      <c r="D1212" s="116">
        <v>390.8</v>
      </c>
      <c r="E1212" s="116">
        <v>394.9</v>
      </c>
      <c r="F1212" s="116">
        <v>394.6</v>
      </c>
      <c r="G1212">
        <v>8954</v>
      </c>
      <c r="H1212" s="116"/>
      <c r="I1212" s="116"/>
      <c r="L1212" s="170">
        <v>43794</v>
      </c>
      <c r="M1212" s="116">
        <v>394.35</v>
      </c>
      <c r="N1212" s="116">
        <v>399.8</v>
      </c>
      <c r="O1212" s="116">
        <v>390</v>
      </c>
      <c r="P1212" s="116">
        <v>394.9</v>
      </c>
      <c r="Q1212" s="116">
        <v>394.35</v>
      </c>
      <c r="R1212">
        <v>164698</v>
      </c>
    </row>
    <row r="1213" spans="1:18" x14ac:dyDescent="0.25">
      <c r="A1213" s="170">
        <v>43795</v>
      </c>
      <c r="B1213" s="116">
        <v>398.1</v>
      </c>
      <c r="C1213" s="116">
        <v>387.6</v>
      </c>
      <c r="D1213" s="116">
        <v>383.65</v>
      </c>
      <c r="E1213" s="116">
        <v>397.5</v>
      </c>
      <c r="F1213" s="116">
        <v>387.6</v>
      </c>
      <c r="G1213">
        <v>5237</v>
      </c>
      <c r="H1213" s="116"/>
      <c r="I1213" s="116"/>
      <c r="L1213" s="170">
        <v>43795</v>
      </c>
      <c r="M1213" s="116">
        <v>387.15</v>
      </c>
      <c r="N1213" s="116">
        <v>398.35</v>
      </c>
      <c r="O1213" s="116">
        <v>383.6</v>
      </c>
      <c r="P1213" s="116">
        <v>397.6</v>
      </c>
      <c r="Q1213" s="116">
        <v>387.15</v>
      </c>
      <c r="R1213">
        <v>211955</v>
      </c>
    </row>
    <row r="1214" spans="1:18" x14ac:dyDescent="0.25">
      <c r="A1214" s="170">
        <v>43796</v>
      </c>
      <c r="B1214" s="116">
        <v>393.2</v>
      </c>
      <c r="C1214" s="116">
        <v>391.6</v>
      </c>
      <c r="D1214" s="116">
        <v>388.4</v>
      </c>
      <c r="E1214" s="116">
        <v>392.4</v>
      </c>
      <c r="F1214" s="116">
        <v>391.6</v>
      </c>
      <c r="G1214">
        <v>4775</v>
      </c>
      <c r="H1214" s="116"/>
      <c r="I1214" s="116"/>
      <c r="L1214" s="170">
        <v>43796</v>
      </c>
      <c r="M1214" s="116">
        <v>391.85</v>
      </c>
      <c r="N1214" s="116">
        <v>393.9</v>
      </c>
      <c r="O1214" s="116">
        <v>388.1</v>
      </c>
      <c r="P1214" s="116">
        <v>389.1</v>
      </c>
      <c r="Q1214" s="116">
        <v>391.85</v>
      </c>
      <c r="R1214">
        <v>134985</v>
      </c>
    </row>
    <row r="1215" spans="1:18" x14ac:dyDescent="0.25">
      <c r="A1215" s="170">
        <v>43797</v>
      </c>
      <c r="B1215" s="116">
        <v>399.45</v>
      </c>
      <c r="C1215" s="116">
        <v>393.65</v>
      </c>
      <c r="D1215" s="116">
        <v>387.6</v>
      </c>
      <c r="E1215" s="116">
        <v>391.8</v>
      </c>
      <c r="F1215" s="116">
        <v>393.65</v>
      </c>
      <c r="G1215">
        <v>18106</v>
      </c>
      <c r="H1215" s="116"/>
      <c r="I1215" s="116"/>
      <c r="L1215" s="170">
        <v>43797</v>
      </c>
      <c r="M1215" s="116">
        <v>393.8</v>
      </c>
      <c r="N1215" s="116">
        <v>399.8</v>
      </c>
      <c r="O1215" s="116">
        <v>387.25</v>
      </c>
      <c r="P1215" s="116">
        <v>392</v>
      </c>
      <c r="Q1215" s="116">
        <v>393.8</v>
      </c>
      <c r="R1215">
        <v>254451</v>
      </c>
    </row>
    <row r="1216" spans="1:18" x14ac:dyDescent="0.25">
      <c r="A1216" s="170">
        <v>43798</v>
      </c>
      <c r="B1216" s="116">
        <v>399.55</v>
      </c>
      <c r="C1216" s="116">
        <v>398</v>
      </c>
      <c r="D1216" s="116">
        <v>390.15</v>
      </c>
      <c r="E1216" s="116">
        <v>395.05</v>
      </c>
      <c r="F1216" s="116">
        <v>398</v>
      </c>
      <c r="G1216">
        <v>22377</v>
      </c>
      <c r="H1216" s="116"/>
      <c r="I1216" s="116"/>
      <c r="L1216" s="170">
        <v>43798</v>
      </c>
      <c r="M1216" s="116">
        <v>398.3</v>
      </c>
      <c r="N1216" s="116">
        <v>399.5</v>
      </c>
      <c r="O1216" s="116">
        <v>389.25</v>
      </c>
      <c r="P1216" s="116">
        <v>395.25</v>
      </c>
      <c r="Q1216" s="116">
        <v>398.3</v>
      </c>
      <c r="R1216">
        <v>285923</v>
      </c>
    </row>
    <row r="1217" spans="1:18" x14ac:dyDescent="0.25">
      <c r="A1217" s="170">
        <v>43801</v>
      </c>
      <c r="B1217" s="116">
        <v>403.15</v>
      </c>
      <c r="C1217" s="116">
        <v>395.15</v>
      </c>
      <c r="D1217" s="116">
        <v>392.25</v>
      </c>
      <c r="E1217" s="116">
        <v>397.25</v>
      </c>
      <c r="F1217" s="116">
        <v>395.15</v>
      </c>
      <c r="G1217">
        <v>28983</v>
      </c>
      <c r="H1217" s="116"/>
      <c r="I1217" s="116"/>
      <c r="L1217" s="170">
        <v>43801</v>
      </c>
      <c r="M1217" s="116">
        <v>394.95</v>
      </c>
      <c r="N1217" s="116">
        <v>403.5</v>
      </c>
      <c r="O1217" s="116">
        <v>392.45</v>
      </c>
      <c r="P1217" s="116">
        <v>399.3</v>
      </c>
      <c r="Q1217" s="116">
        <v>394.95</v>
      </c>
      <c r="R1217">
        <v>187952</v>
      </c>
    </row>
    <row r="1218" spans="1:18" x14ac:dyDescent="0.25">
      <c r="A1218" s="170">
        <v>43802</v>
      </c>
      <c r="B1218" s="116">
        <v>396</v>
      </c>
      <c r="C1218" s="116">
        <v>388.15</v>
      </c>
      <c r="D1218" s="116">
        <v>384.8</v>
      </c>
      <c r="E1218" s="116">
        <v>396</v>
      </c>
      <c r="F1218" s="116">
        <v>388.15</v>
      </c>
      <c r="G1218">
        <v>15226</v>
      </c>
      <c r="H1218" s="116"/>
      <c r="I1218" s="116"/>
      <c r="L1218" s="170">
        <v>43802</v>
      </c>
      <c r="M1218" s="116">
        <v>387.95</v>
      </c>
      <c r="N1218" s="116">
        <v>397</v>
      </c>
      <c r="O1218" s="116">
        <v>385.25</v>
      </c>
      <c r="P1218" s="116">
        <v>397</v>
      </c>
      <c r="Q1218" s="116">
        <v>387.95</v>
      </c>
      <c r="R1218">
        <v>131466</v>
      </c>
    </row>
    <row r="1219" spans="1:18" x14ac:dyDescent="0.25">
      <c r="A1219" s="170">
        <v>43803</v>
      </c>
      <c r="B1219" s="116">
        <v>403</v>
      </c>
      <c r="C1219" s="116">
        <v>400.3</v>
      </c>
      <c r="D1219" s="116">
        <v>387.2</v>
      </c>
      <c r="E1219" s="116">
        <v>388.5</v>
      </c>
      <c r="F1219" s="116">
        <v>400.3</v>
      </c>
      <c r="G1219">
        <v>10893</v>
      </c>
      <c r="H1219" s="116"/>
      <c r="I1219" s="116"/>
      <c r="L1219" s="170">
        <v>43803</v>
      </c>
      <c r="M1219" s="116">
        <v>400.55</v>
      </c>
      <c r="N1219" s="116">
        <v>403.25</v>
      </c>
      <c r="O1219" s="116">
        <v>386.05</v>
      </c>
      <c r="P1219" s="116">
        <v>389.75</v>
      </c>
      <c r="Q1219" s="116">
        <v>400.55</v>
      </c>
      <c r="R1219">
        <v>250327</v>
      </c>
    </row>
    <row r="1220" spans="1:18" x14ac:dyDescent="0.25">
      <c r="A1220" s="170">
        <v>43804</v>
      </c>
      <c r="B1220" s="116">
        <v>424.55</v>
      </c>
      <c r="C1220" s="116">
        <v>421.65</v>
      </c>
      <c r="D1220" s="116">
        <v>402.85</v>
      </c>
      <c r="E1220" s="116">
        <v>408</v>
      </c>
      <c r="F1220" s="116">
        <v>421.65</v>
      </c>
      <c r="G1220">
        <v>73689</v>
      </c>
      <c r="H1220" s="116"/>
      <c r="I1220" s="116"/>
      <c r="L1220" s="170">
        <v>43804</v>
      </c>
      <c r="M1220" s="116">
        <v>421.25</v>
      </c>
      <c r="N1220" s="116">
        <v>424.6</v>
      </c>
      <c r="O1220" s="116">
        <v>402.65</v>
      </c>
      <c r="P1220" s="116">
        <v>405</v>
      </c>
      <c r="Q1220" s="116">
        <v>421.25</v>
      </c>
      <c r="R1220">
        <v>1430444</v>
      </c>
    </row>
    <row r="1221" spans="1:18" x14ac:dyDescent="0.25">
      <c r="A1221" s="170">
        <v>43805</v>
      </c>
      <c r="B1221" s="116">
        <v>419.6</v>
      </c>
      <c r="C1221" s="116">
        <v>414.65</v>
      </c>
      <c r="D1221" s="116">
        <v>407.8</v>
      </c>
      <c r="E1221" s="116">
        <v>417.25</v>
      </c>
      <c r="F1221" s="116">
        <v>414.65</v>
      </c>
      <c r="G1221">
        <v>44683</v>
      </c>
      <c r="H1221" s="116"/>
      <c r="I1221" s="116"/>
      <c r="L1221" s="170">
        <v>43805</v>
      </c>
      <c r="M1221" s="116">
        <v>414.45</v>
      </c>
      <c r="N1221" s="116">
        <v>419.9</v>
      </c>
      <c r="O1221" s="116">
        <v>407.5</v>
      </c>
      <c r="P1221" s="116">
        <v>419.3</v>
      </c>
      <c r="Q1221" s="116">
        <v>414.45</v>
      </c>
      <c r="R1221">
        <v>395409</v>
      </c>
    </row>
    <row r="1222" spans="1:18" x14ac:dyDescent="0.25">
      <c r="A1222" s="170">
        <v>43808</v>
      </c>
      <c r="B1222" s="116">
        <v>418.8</v>
      </c>
      <c r="C1222" s="116">
        <v>410.2</v>
      </c>
      <c r="D1222" s="116">
        <v>408.05</v>
      </c>
      <c r="E1222" s="116">
        <v>418.4</v>
      </c>
      <c r="F1222" s="116">
        <v>410.2</v>
      </c>
      <c r="G1222">
        <v>27953</v>
      </c>
      <c r="H1222" s="116"/>
      <c r="I1222" s="116"/>
      <c r="L1222" s="170">
        <v>43808</v>
      </c>
      <c r="M1222" s="116">
        <v>410.55</v>
      </c>
      <c r="N1222" s="116">
        <v>419.1</v>
      </c>
      <c r="O1222" s="116">
        <v>407.2</v>
      </c>
      <c r="P1222" s="116">
        <v>414</v>
      </c>
      <c r="Q1222" s="116">
        <v>410.55</v>
      </c>
      <c r="R1222">
        <v>252612</v>
      </c>
    </row>
    <row r="1223" spans="1:18" x14ac:dyDescent="0.25">
      <c r="A1223" s="170">
        <v>43809</v>
      </c>
      <c r="B1223" s="116">
        <v>411.3</v>
      </c>
      <c r="C1223" s="116">
        <v>405.9</v>
      </c>
      <c r="D1223" s="116">
        <v>401.95</v>
      </c>
      <c r="E1223" s="116">
        <v>411.3</v>
      </c>
      <c r="F1223" s="116">
        <v>405.9</v>
      </c>
      <c r="G1223">
        <v>9142</v>
      </c>
      <c r="H1223" s="116"/>
      <c r="I1223" s="116"/>
      <c r="L1223" s="170">
        <v>43809</v>
      </c>
      <c r="M1223" s="116">
        <v>406.7</v>
      </c>
      <c r="N1223" s="116">
        <v>412.15</v>
      </c>
      <c r="O1223" s="116">
        <v>401.75</v>
      </c>
      <c r="P1223" s="116">
        <v>410.95</v>
      </c>
      <c r="Q1223" s="116">
        <v>406.7</v>
      </c>
      <c r="R1223">
        <v>91374</v>
      </c>
    </row>
    <row r="1224" spans="1:18" x14ac:dyDescent="0.25">
      <c r="A1224" s="170">
        <v>43810</v>
      </c>
      <c r="B1224" s="116">
        <v>416.25</v>
      </c>
      <c r="C1224" s="116">
        <v>411.9</v>
      </c>
      <c r="D1224" s="116">
        <v>407.75</v>
      </c>
      <c r="E1224" s="116">
        <v>414.9</v>
      </c>
      <c r="F1224" s="116">
        <v>411.9</v>
      </c>
      <c r="G1224">
        <v>19583</v>
      </c>
      <c r="H1224" s="116"/>
      <c r="I1224" s="116"/>
      <c r="L1224" s="170">
        <v>43810</v>
      </c>
      <c r="M1224" s="116">
        <v>411.8</v>
      </c>
      <c r="N1224" s="116">
        <v>416.75</v>
      </c>
      <c r="O1224" s="116">
        <v>407.05</v>
      </c>
      <c r="P1224" s="116">
        <v>412.1</v>
      </c>
      <c r="Q1224" s="116">
        <v>411.8</v>
      </c>
      <c r="R1224">
        <v>281266</v>
      </c>
    </row>
    <row r="1225" spans="1:18" x14ac:dyDescent="0.25">
      <c r="A1225" s="170">
        <v>43811</v>
      </c>
      <c r="B1225" s="116">
        <v>413.35</v>
      </c>
      <c r="C1225" s="116">
        <v>411.2</v>
      </c>
      <c r="D1225" s="116">
        <v>408.25</v>
      </c>
      <c r="E1225" s="116">
        <v>413.35</v>
      </c>
      <c r="F1225" s="116">
        <v>411.2</v>
      </c>
      <c r="G1225">
        <v>6311</v>
      </c>
      <c r="H1225" s="116"/>
      <c r="I1225" s="116"/>
      <c r="L1225" s="170">
        <v>43811</v>
      </c>
      <c r="M1225" s="116">
        <v>411.05</v>
      </c>
      <c r="N1225" s="116">
        <v>414.75</v>
      </c>
      <c r="O1225" s="116">
        <v>406.85</v>
      </c>
      <c r="P1225" s="116">
        <v>414.75</v>
      </c>
      <c r="Q1225" s="116">
        <v>411.05</v>
      </c>
      <c r="R1225">
        <v>110315</v>
      </c>
    </row>
    <row r="1226" spans="1:18" x14ac:dyDescent="0.25">
      <c r="A1226" s="170">
        <v>43812</v>
      </c>
      <c r="B1226" s="116">
        <v>421.6</v>
      </c>
      <c r="C1226" s="116">
        <v>416.2</v>
      </c>
      <c r="D1226" s="116">
        <v>409.6</v>
      </c>
      <c r="E1226" s="116">
        <v>411.65</v>
      </c>
      <c r="F1226" s="116">
        <v>416.2</v>
      </c>
      <c r="G1226">
        <v>10627</v>
      </c>
      <c r="H1226" s="116"/>
      <c r="I1226" s="116"/>
      <c r="L1226" s="170">
        <v>43812</v>
      </c>
      <c r="M1226" s="116">
        <v>416.55</v>
      </c>
      <c r="N1226" s="116">
        <v>421.4</v>
      </c>
      <c r="O1226" s="116">
        <v>408.65</v>
      </c>
      <c r="P1226" s="116">
        <v>411.1</v>
      </c>
      <c r="Q1226" s="116">
        <v>416.55</v>
      </c>
      <c r="R1226">
        <v>186515</v>
      </c>
    </row>
    <row r="1227" spans="1:18" x14ac:dyDescent="0.25">
      <c r="A1227" s="170">
        <v>43815</v>
      </c>
      <c r="B1227" s="116">
        <v>418.45</v>
      </c>
      <c r="C1227" s="116">
        <v>417.3</v>
      </c>
      <c r="D1227" s="116">
        <v>408.95</v>
      </c>
      <c r="E1227" s="116">
        <v>417.25</v>
      </c>
      <c r="F1227" s="116">
        <v>417.3</v>
      </c>
      <c r="G1227">
        <v>36667</v>
      </c>
      <c r="H1227" s="116"/>
      <c r="I1227" s="116"/>
      <c r="L1227" s="170">
        <v>43815</v>
      </c>
      <c r="M1227" s="116">
        <v>417.1</v>
      </c>
      <c r="N1227" s="116">
        <v>418.6</v>
      </c>
      <c r="O1227" s="116">
        <v>408.2</v>
      </c>
      <c r="P1227" s="116">
        <v>418.6</v>
      </c>
      <c r="Q1227" s="116">
        <v>417.1</v>
      </c>
      <c r="R1227">
        <v>241444</v>
      </c>
    </row>
    <row r="1228" spans="1:18" x14ac:dyDescent="0.25">
      <c r="A1228" s="170">
        <v>43816</v>
      </c>
      <c r="B1228" s="116">
        <v>422.85</v>
      </c>
      <c r="C1228" s="116">
        <v>419.2</v>
      </c>
      <c r="D1228" s="116">
        <v>414.8</v>
      </c>
      <c r="E1228" s="116">
        <v>416</v>
      </c>
      <c r="F1228" s="116">
        <v>419.2</v>
      </c>
      <c r="G1228">
        <v>14093</v>
      </c>
      <c r="H1228" s="116"/>
      <c r="I1228" s="116"/>
      <c r="L1228" s="170">
        <v>43816</v>
      </c>
      <c r="M1228" s="116">
        <v>419.6</v>
      </c>
      <c r="N1228" s="116">
        <v>422.5</v>
      </c>
      <c r="O1228" s="116">
        <v>414.95</v>
      </c>
      <c r="P1228" s="116">
        <v>417.95</v>
      </c>
      <c r="Q1228" s="116">
        <v>419.6</v>
      </c>
      <c r="R1228">
        <v>939895</v>
      </c>
    </row>
    <row r="1229" spans="1:18" x14ac:dyDescent="0.25">
      <c r="A1229" s="170">
        <v>43817</v>
      </c>
      <c r="B1229" s="116">
        <v>417.15</v>
      </c>
      <c r="C1229" s="116">
        <v>406.5</v>
      </c>
      <c r="D1229" s="116">
        <v>406</v>
      </c>
      <c r="E1229" s="116">
        <v>415.95</v>
      </c>
      <c r="F1229" s="116">
        <v>406.5</v>
      </c>
      <c r="G1229">
        <v>6031</v>
      </c>
      <c r="H1229" s="116"/>
      <c r="I1229" s="116"/>
      <c r="L1229" s="170">
        <v>43817</v>
      </c>
      <c r="M1229" s="116">
        <v>406.6</v>
      </c>
      <c r="N1229" s="116">
        <v>418.75</v>
      </c>
      <c r="O1229" s="116">
        <v>405.05</v>
      </c>
      <c r="P1229" s="116">
        <v>418.75</v>
      </c>
      <c r="Q1229" s="116">
        <v>406.6</v>
      </c>
      <c r="R1229">
        <v>119045</v>
      </c>
    </row>
    <row r="1230" spans="1:18" x14ac:dyDescent="0.25">
      <c r="A1230" s="170">
        <v>43818</v>
      </c>
      <c r="B1230" s="116">
        <v>406.35</v>
      </c>
      <c r="C1230" s="116">
        <v>398</v>
      </c>
      <c r="D1230" s="116">
        <v>396.4</v>
      </c>
      <c r="E1230" s="116">
        <v>406.35</v>
      </c>
      <c r="F1230" s="116">
        <v>398</v>
      </c>
      <c r="G1230">
        <v>9665</v>
      </c>
      <c r="H1230" s="116"/>
      <c r="I1230" s="116"/>
      <c r="L1230" s="170">
        <v>43818</v>
      </c>
      <c r="M1230" s="116">
        <v>398.25</v>
      </c>
      <c r="N1230" s="116">
        <v>405.45</v>
      </c>
      <c r="O1230" s="116">
        <v>396</v>
      </c>
      <c r="P1230" s="116">
        <v>405.45</v>
      </c>
      <c r="Q1230" s="116">
        <v>398.25</v>
      </c>
      <c r="R1230">
        <v>257091</v>
      </c>
    </row>
    <row r="1231" spans="1:18" x14ac:dyDescent="0.25">
      <c r="A1231" s="170">
        <v>43819</v>
      </c>
      <c r="B1231" s="116">
        <v>404.7</v>
      </c>
      <c r="C1231" s="116">
        <v>392.7</v>
      </c>
      <c r="D1231" s="116">
        <v>391.3</v>
      </c>
      <c r="E1231" s="116">
        <v>396.75</v>
      </c>
      <c r="F1231" s="116">
        <v>392.7</v>
      </c>
      <c r="G1231">
        <v>12648</v>
      </c>
      <c r="H1231" s="116"/>
      <c r="I1231" s="116"/>
      <c r="L1231" s="170">
        <v>43819</v>
      </c>
      <c r="M1231" s="116">
        <v>392.25</v>
      </c>
      <c r="N1231" s="116">
        <v>404.75</v>
      </c>
      <c r="O1231" s="116">
        <v>391.15</v>
      </c>
      <c r="P1231" s="116">
        <v>394.2</v>
      </c>
      <c r="Q1231" s="116">
        <v>392.25</v>
      </c>
      <c r="R1231">
        <v>276718</v>
      </c>
    </row>
    <row r="1232" spans="1:18" x14ac:dyDescent="0.25">
      <c r="A1232" s="170">
        <v>43822</v>
      </c>
      <c r="B1232" s="116">
        <v>400.75</v>
      </c>
      <c r="C1232" s="116">
        <v>398.6</v>
      </c>
      <c r="D1232" s="116">
        <v>388.75</v>
      </c>
      <c r="E1232" s="116">
        <v>392</v>
      </c>
      <c r="F1232" s="116">
        <v>398.6</v>
      </c>
      <c r="G1232">
        <v>15525</v>
      </c>
      <c r="H1232" s="116"/>
      <c r="I1232" s="116"/>
      <c r="L1232" s="170">
        <v>43822</v>
      </c>
      <c r="M1232" s="116">
        <v>398.05</v>
      </c>
      <c r="N1232" s="116">
        <v>402</v>
      </c>
      <c r="O1232" s="116">
        <v>389</v>
      </c>
      <c r="P1232" s="116">
        <v>391</v>
      </c>
      <c r="Q1232" s="116">
        <v>398.05</v>
      </c>
      <c r="R1232">
        <v>624985</v>
      </c>
    </row>
    <row r="1233" spans="1:18" x14ac:dyDescent="0.25">
      <c r="A1233" s="170">
        <v>43823</v>
      </c>
      <c r="B1233" s="116">
        <v>398.6</v>
      </c>
      <c r="C1233" s="116">
        <v>396.15</v>
      </c>
      <c r="D1233" s="116">
        <v>392.25</v>
      </c>
      <c r="E1233" s="116">
        <v>398</v>
      </c>
      <c r="F1233" s="116">
        <v>396.15</v>
      </c>
      <c r="G1233">
        <v>8177</v>
      </c>
      <c r="H1233" s="116"/>
      <c r="I1233" s="116"/>
      <c r="L1233" s="170">
        <v>43823</v>
      </c>
      <c r="M1233" s="116">
        <v>396.15</v>
      </c>
      <c r="N1233" s="116">
        <v>399.35</v>
      </c>
      <c r="O1233" s="116">
        <v>392.3</v>
      </c>
      <c r="P1233" s="116">
        <v>399</v>
      </c>
      <c r="Q1233" s="116">
        <v>396.15</v>
      </c>
      <c r="R1233">
        <v>147224</v>
      </c>
    </row>
    <row r="1234" spans="1:18" x14ac:dyDescent="0.25">
      <c r="A1234" s="170">
        <v>43825</v>
      </c>
      <c r="B1234" s="116">
        <v>397.7</v>
      </c>
      <c r="C1234" s="116">
        <v>391.75</v>
      </c>
      <c r="D1234" s="116">
        <v>390.4</v>
      </c>
      <c r="E1234" s="116">
        <v>396.65</v>
      </c>
      <c r="F1234" s="116">
        <v>391.75</v>
      </c>
      <c r="G1234">
        <v>43416</v>
      </c>
      <c r="H1234" s="116"/>
      <c r="I1234" s="116"/>
      <c r="L1234" s="170">
        <v>43825</v>
      </c>
      <c r="M1234" s="116">
        <v>391.2</v>
      </c>
      <c r="N1234" s="116">
        <v>398</v>
      </c>
      <c r="O1234" s="116">
        <v>390</v>
      </c>
      <c r="P1234" s="116">
        <v>396.4</v>
      </c>
      <c r="Q1234" s="116">
        <v>391.2</v>
      </c>
      <c r="R1234">
        <v>169955</v>
      </c>
    </row>
    <row r="1235" spans="1:18" x14ac:dyDescent="0.25">
      <c r="A1235" s="170">
        <v>43826</v>
      </c>
      <c r="B1235" s="116">
        <v>397.85</v>
      </c>
      <c r="C1235" s="116">
        <v>391.3</v>
      </c>
      <c r="D1235" s="116">
        <v>390.7</v>
      </c>
      <c r="E1235" s="116">
        <v>395.3</v>
      </c>
      <c r="F1235" s="116">
        <v>391.3</v>
      </c>
      <c r="G1235">
        <v>13141</v>
      </c>
      <c r="H1235" s="116"/>
      <c r="I1235" s="116"/>
      <c r="L1235" s="170">
        <v>43826</v>
      </c>
      <c r="M1235" s="116">
        <v>391.25</v>
      </c>
      <c r="N1235" s="116">
        <v>397.8</v>
      </c>
      <c r="O1235" s="116">
        <v>390.2</v>
      </c>
      <c r="P1235" s="116">
        <v>395.75</v>
      </c>
      <c r="Q1235" s="116">
        <v>391.25</v>
      </c>
      <c r="R1235">
        <v>615507</v>
      </c>
    </row>
    <row r="1236" spans="1:18" x14ac:dyDescent="0.25">
      <c r="A1236" s="170">
        <v>43829</v>
      </c>
      <c r="B1236" s="116">
        <v>398</v>
      </c>
      <c r="C1236" s="116">
        <v>396.15</v>
      </c>
      <c r="D1236" s="116">
        <v>387.75</v>
      </c>
      <c r="E1236" s="116">
        <v>392.4</v>
      </c>
      <c r="F1236" s="116">
        <v>396.15</v>
      </c>
      <c r="G1236">
        <v>20254</v>
      </c>
      <c r="H1236" s="116"/>
      <c r="I1236" s="116"/>
      <c r="L1236" s="170">
        <v>43829</v>
      </c>
      <c r="M1236" s="116">
        <v>395.8</v>
      </c>
      <c r="N1236" s="116">
        <v>398.3</v>
      </c>
      <c r="O1236" s="116">
        <v>388</v>
      </c>
      <c r="P1236" s="116">
        <v>391.2</v>
      </c>
      <c r="Q1236" s="116">
        <v>395.8</v>
      </c>
      <c r="R1236">
        <v>177566</v>
      </c>
    </row>
    <row r="1237" spans="1:18" x14ac:dyDescent="0.25">
      <c r="A1237" s="170">
        <v>43830</v>
      </c>
      <c r="B1237" s="116">
        <v>401.2</v>
      </c>
      <c r="C1237" s="116">
        <v>393.05</v>
      </c>
      <c r="D1237" s="116">
        <v>392.65</v>
      </c>
      <c r="E1237" s="116">
        <v>397.25</v>
      </c>
      <c r="F1237" s="116">
        <v>393.05</v>
      </c>
      <c r="G1237">
        <v>13248</v>
      </c>
      <c r="H1237" s="116"/>
      <c r="I1237" s="116"/>
      <c r="L1237" s="170">
        <v>43830</v>
      </c>
      <c r="M1237" s="116">
        <v>393.05</v>
      </c>
      <c r="N1237" s="116">
        <v>400.95</v>
      </c>
      <c r="O1237" s="116">
        <v>392.2</v>
      </c>
      <c r="P1237" s="116">
        <v>396</v>
      </c>
      <c r="Q1237" s="116">
        <v>393.05</v>
      </c>
      <c r="R1237">
        <v>189009</v>
      </c>
    </row>
    <row r="1238" spans="1:18" x14ac:dyDescent="0.25">
      <c r="A1238" s="170">
        <v>43831</v>
      </c>
      <c r="B1238" s="116">
        <v>396.2</v>
      </c>
      <c r="C1238" s="116">
        <v>395.25</v>
      </c>
      <c r="D1238" s="116">
        <v>394.8</v>
      </c>
      <c r="E1238" s="116">
        <v>395</v>
      </c>
      <c r="F1238" s="116">
        <v>395.25</v>
      </c>
      <c r="G1238">
        <v>4814</v>
      </c>
      <c r="H1238" s="116"/>
      <c r="I1238" s="116"/>
      <c r="L1238" s="170">
        <v>43831</v>
      </c>
      <c r="M1238" s="116">
        <v>395.35</v>
      </c>
      <c r="N1238" s="116">
        <v>396.35</v>
      </c>
      <c r="O1238" s="116">
        <v>393.9</v>
      </c>
      <c r="P1238" s="116">
        <v>395</v>
      </c>
      <c r="Q1238" s="116">
        <v>395.35</v>
      </c>
      <c r="R1238">
        <v>53092</v>
      </c>
    </row>
    <row r="1239" spans="1:18" x14ac:dyDescent="0.25">
      <c r="A1239" s="170">
        <v>43832</v>
      </c>
      <c r="B1239" s="116">
        <v>404.5</v>
      </c>
      <c r="C1239" s="116">
        <v>400.1</v>
      </c>
      <c r="D1239" s="116">
        <v>395.6</v>
      </c>
      <c r="E1239" s="116">
        <v>396.45</v>
      </c>
      <c r="F1239" s="116">
        <v>400.1</v>
      </c>
      <c r="G1239">
        <v>6758</v>
      </c>
      <c r="H1239" s="116"/>
      <c r="I1239" s="116"/>
      <c r="L1239" s="170">
        <v>43832</v>
      </c>
      <c r="M1239" s="116">
        <v>400.3</v>
      </c>
      <c r="N1239" s="116">
        <v>404.7</v>
      </c>
      <c r="O1239" s="116">
        <v>395.5</v>
      </c>
      <c r="P1239" s="116">
        <v>396</v>
      </c>
      <c r="Q1239" s="116">
        <v>400.3</v>
      </c>
      <c r="R1239">
        <v>178064</v>
      </c>
    </row>
    <row r="1240" spans="1:18" x14ac:dyDescent="0.25">
      <c r="A1240" s="170">
        <v>43833</v>
      </c>
      <c r="B1240" s="116">
        <v>401.85</v>
      </c>
      <c r="C1240" s="116">
        <v>395.5</v>
      </c>
      <c r="D1240" s="116">
        <v>393.6</v>
      </c>
      <c r="E1240" s="116">
        <v>401.35</v>
      </c>
      <c r="F1240" s="116">
        <v>395.5</v>
      </c>
      <c r="G1240">
        <v>45292</v>
      </c>
      <c r="H1240" s="116"/>
      <c r="I1240" s="116"/>
      <c r="L1240" s="170">
        <v>43833</v>
      </c>
      <c r="M1240" s="116">
        <v>395.25</v>
      </c>
      <c r="N1240" s="116">
        <v>402.35</v>
      </c>
      <c r="O1240" s="116">
        <v>392.85</v>
      </c>
      <c r="P1240" s="116">
        <v>400.5</v>
      </c>
      <c r="Q1240" s="116">
        <v>395.25</v>
      </c>
      <c r="R1240">
        <v>121673</v>
      </c>
    </row>
    <row r="1241" spans="1:18" x14ac:dyDescent="0.25">
      <c r="A1241" s="170">
        <v>43836</v>
      </c>
      <c r="B1241" s="116">
        <v>391.8</v>
      </c>
      <c r="C1241" s="116">
        <v>383</v>
      </c>
      <c r="D1241" s="116">
        <v>382.05</v>
      </c>
      <c r="E1241" s="116">
        <v>388.4</v>
      </c>
      <c r="F1241" s="116">
        <v>383</v>
      </c>
      <c r="G1241">
        <v>8017</v>
      </c>
      <c r="H1241" s="116"/>
      <c r="I1241" s="116"/>
      <c r="L1241" s="170">
        <v>43836</v>
      </c>
      <c r="M1241" s="116">
        <v>383.4</v>
      </c>
      <c r="N1241" s="116">
        <v>393.9</v>
      </c>
      <c r="O1241" s="116">
        <v>382</v>
      </c>
      <c r="P1241" s="116">
        <v>393.45</v>
      </c>
      <c r="Q1241" s="116">
        <v>383.4</v>
      </c>
      <c r="R1241">
        <v>169654</v>
      </c>
    </row>
    <row r="1242" spans="1:18" x14ac:dyDescent="0.25">
      <c r="A1242" s="170">
        <v>43837</v>
      </c>
      <c r="B1242" s="116">
        <v>396.8</v>
      </c>
      <c r="C1242" s="116">
        <v>388.4</v>
      </c>
      <c r="D1242" s="116">
        <v>386</v>
      </c>
      <c r="E1242" s="116">
        <v>387.2</v>
      </c>
      <c r="F1242" s="116">
        <v>388.4</v>
      </c>
      <c r="G1242">
        <v>11564</v>
      </c>
      <c r="H1242" s="116"/>
      <c r="I1242" s="116"/>
      <c r="L1242" s="170">
        <v>43837</v>
      </c>
      <c r="M1242" s="116">
        <v>388.15</v>
      </c>
      <c r="N1242" s="116">
        <v>398.75</v>
      </c>
      <c r="O1242" s="116">
        <v>385.35</v>
      </c>
      <c r="P1242" s="116">
        <v>385.35</v>
      </c>
      <c r="Q1242" s="116">
        <v>388.15</v>
      </c>
      <c r="R1242">
        <v>91083</v>
      </c>
    </row>
    <row r="1243" spans="1:18" x14ac:dyDescent="0.25">
      <c r="A1243" s="170">
        <v>43838</v>
      </c>
      <c r="B1243" s="116">
        <v>387.6</v>
      </c>
      <c r="C1243" s="116">
        <v>384.45</v>
      </c>
      <c r="D1243" s="116">
        <v>382.05</v>
      </c>
      <c r="E1243" s="116">
        <v>387</v>
      </c>
      <c r="F1243" s="116">
        <v>384.45</v>
      </c>
      <c r="G1243">
        <v>7840</v>
      </c>
      <c r="H1243" s="116"/>
      <c r="I1243" s="116"/>
      <c r="L1243" s="170">
        <v>43838</v>
      </c>
      <c r="M1243" s="116">
        <v>384.3</v>
      </c>
      <c r="N1243" s="116">
        <v>388.3</v>
      </c>
      <c r="O1243" s="116">
        <v>381.6</v>
      </c>
      <c r="P1243" s="116">
        <v>385</v>
      </c>
      <c r="Q1243" s="116">
        <v>384.3</v>
      </c>
      <c r="R1243">
        <v>74785</v>
      </c>
    </row>
    <row r="1244" spans="1:18" x14ac:dyDescent="0.25">
      <c r="A1244" s="170">
        <v>43839</v>
      </c>
      <c r="B1244" s="116">
        <v>393</v>
      </c>
      <c r="C1244" s="116">
        <v>386.65</v>
      </c>
      <c r="D1244" s="116">
        <v>384.85</v>
      </c>
      <c r="E1244" s="116">
        <v>390.8</v>
      </c>
      <c r="F1244" s="116">
        <v>386.65</v>
      </c>
      <c r="G1244">
        <v>6534</v>
      </c>
      <c r="H1244" s="116"/>
      <c r="I1244" s="116"/>
      <c r="L1244" s="170">
        <v>43839</v>
      </c>
      <c r="M1244" s="116">
        <v>386.6</v>
      </c>
      <c r="N1244" s="116">
        <v>395</v>
      </c>
      <c r="O1244" s="116">
        <v>384.5</v>
      </c>
      <c r="P1244" s="116">
        <v>395</v>
      </c>
      <c r="Q1244" s="116">
        <v>386.6</v>
      </c>
      <c r="R1244">
        <v>146359</v>
      </c>
    </row>
    <row r="1245" spans="1:18" x14ac:dyDescent="0.25">
      <c r="A1245" s="170">
        <v>43840</v>
      </c>
      <c r="B1245" s="116">
        <v>393.6</v>
      </c>
      <c r="C1245" s="116">
        <v>385.9</v>
      </c>
      <c r="D1245" s="116">
        <v>384.75</v>
      </c>
      <c r="E1245" s="116">
        <v>387.8</v>
      </c>
      <c r="F1245" s="116">
        <v>385.9</v>
      </c>
      <c r="G1245">
        <v>5891</v>
      </c>
      <c r="H1245" s="116"/>
      <c r="I1245" s="116"/>
      <c r="L1245" s="170">
        <v>43840</v>
      </c>
      <c r="M1245" s="116">
        <v>385.8</v>
      </c>
      <c r="N1245" s="116">
        <v>393.6</v>
      </c>
      <c r="O1245" s="116">
        <v>384.5</v>
      </c>
      <c r="P1245" s="116">
        <v>387.5</v>
      </c>
      <c r="Q1245" s="116">
        <v>385.8</v>
      </c>
      <c r="R1245">
        <v>272941</v>
      </c>
    </row>
    <row r="1246" spans="1:18" x14ac:dyDescent="0.25">
      <c r="A1246" s="170">
        <v>43843</v>
      </c>
      <c r="B1246" s="116">
        <v>389.5</v>
      </c>
      <c r="C1246" s="116">
        <v>385.85</v>
      </c>
      <c r="D1246" s="116">
        <v>382.6</v>
      </c>
      <c r="E1246" s="116">
        <v>385.55</v>
      </c>
      <c r="F1246" s="116">
        <v>385.85</v>
      </c>
      <c r="G1246">
        <v>6683</v>
      </c>
      <c r="H1246" s="116"/>
      <c r="I1246" s="116"/>
      <c r="L1246" s="170">
        <v>43843</v>
      </c>
      <c r="M1246" s="116">
        <v>385.75</v>
      </c>
      <c r="N1246" s="116">
        <v>390</v>
      </c>
      <c r="O1246" s="116">
        <v>383.3</v>
      </c>
      <c r="P1246" s="116">
        <v>385.2</v>
      </c>
      <c r="Q1246" s="116">
        <v>385.75</v>
      </c>
      <c r="R1246">
        <v>120210</v>
      </c>
    </row>
    <row r="1247" spans="1:18" x14ac:dyDescent="0.25">
      <c r="A1247" s="170">
        <v>43844</v>
      </c>
      <c r="B1247" s="116">
        <v>390</v>
      </c>
      <c r="C1247" s="116">
        <v>386.4</v>
      </c>
      <c r="D1247" s="116">
        <v>385.35</v>
      </c>
      <c r="E1247" s="116">
        <v>387.15</v>
      </c>
      <c r="F1247" s="116">
        <v>386.4</v>
      </c>
      <c r="G1247">
        <v>5930</v>
      </c>
      <c r="H1247" s="116"/>
      <c r="I1247" s="116"/>
      <c r="L1247" s="170">
        <v>43844</v>
      </c>
      <c r="M1247" s="116">
        <v>386.45</v>
      </c>
      <c r="N1247" s="116">
        <v>390</v>
      </c>
      <c r="O1247" s="116">
        <v>384.9</v>
      </c>
      <c r="P1247" s="116">
        <v>387.75</v>
      </c>
      <c r="Q1247" s="116">
        <v>386.45</v>
      </c>
      <c r="R1247">
        <v>151786</v>
      </c>
    </row>
    <row r="1248" spans="1:18" x14ac:dyDescent="0.25">
      <c r="A1248" s="170">
        <v>43845</v>
      </c>
      <c r="B1248" s="116">
        <v>387</v>
      </c>
      <c r="C1248" s="116">
        <v>375.45</v>
      </c>
      <c r="D1248" s="116">
        <v>368.25</v>
      </c>
      <c r="E1248" s="116">
        <v>387</v>
      </c>
      <c r="F1248" s="116">
        <v>375.45</v>
      </c>
      <c r="G1248">
        <v>32191</v>
      </c>
      <c r="H1248" s="116"/>
      <c r="I1248" s="116"/>
      <c r="L1248" s="170">
        <v>43845</v>
      </c>
      <c r="M1248" s="116">
        <v>375.5</v>
      </c>
      <c r="N1248" s="116">
        <v>384</v>
      </c>
      <c r="O1248" s="116">
        <v>368</v>
      </c>
      <c r="P1248" s="116">
        <v>384</v>
      </c>
      <c r="Q1248" s="116">
        <v>375.5</v>
      </c>
      <c r="R1248">
        <v>931365</v>
      </c>
    </row>
    <row r="1249" spans="1:18" x14ac:dyDescent="0.25">
      <c r="A1249" s="170">
        <v>43846</v>
      </c>
      <c r="B1249" s="116">
        <v>387.6</v>
      </c>
      <c r="C1249" s="116">
        <v>384.95</v>
      </c>
      <c r="D1249" s="116">
        <v>375.5</v>
      </c>
      <c r="E1249" s="116">
        <v>377</v>
      </c>
      <c r="F1249" s="116">
        <v>384.95</v>
      </c>
      <c r="G1249">
        <v>16394</v>
      </c>
      <c r="H1249" s="116"/>
      <c r="I1249" s="116"/>
      <c r="L1249" s="170">
        <v>43846</v>
      </c>
      <c r="M1249" s="116">
        <v>385</v>
      </c>
      <c r="N1249" s="116">
        <v>387.35</v>
      </c>
      <c r="O1249" s="116">
        <v>374.95</v>
      </c>
      <c r="P1249" s="116">
        <v>375.5</v>
      </c>
      <c r="Q1249" s="116">
        <v>385</v>
      </c>
      <c r="R1249">
        <v>414665</v>
      </c>
    </row>
    <row r="1250" spans="1:18" x14ac:dyDescent="0.25">
      <c r="A1250" s="170">
        <v>43847</v>
      </c>
      <c r="B1250" s="116">
        <v>390.6</v>
      </c>
      <c r="C1250" s="116">
        <v>388.75</v>
      </c>
      <c r="D1250" s="116">
        <v>383.6</v>
      </c>
      <c r="E1250" s="116">
        <v>386.25</v>
      </c>
      <c r="F1250" s="116">
        <v>388.75</v>
      </c>
      <c r="G1250">
        <v>12776</v>
      </c>
      <c r="H1250" s="116"/>
      <c r="I1250" s="116"/>
      <c r="L1250" s="170">
        <v>43847</v>
      </c>
      <c r="M1250" s="116">
        <v>388.75</v>
      </c>
      <c r="N1250" s="116">
        <v>391</v>
      </c>
      <c r="O1250" s="116">
        <v>383.25</v>
      </c>
      <c r="P1250" s="116">
        <v>386.9</v>
      </c>
      <c r="Q1250" s="116">
        <v>388.75</v>
      </c>
      <c r="R1250">
        <v>231417</v>
      </c>
    </row>
    <row r="1251" spans="1:18" x14ac:dyDescent="0.25">
      <c r="A1251" s="170">
        <v>43850</v>
      </c>
      <c r="B1251" s="116">
        <v>396.9</v>
      </c>
      <c r="C1251" s="116">
        <v>389.35</v>
      </c>
      <c r="D1251" s="116">
        <v>387.1</v>
      </c>
      <c r="E1251" s="116">
        <v>391</v>
      </c>
      <c r="F1251" s="116">
        <v>389.35</v>
      </c>
      <c r="G1251">
        <v>17124</v>
      </c>
      <c r="H1251" s="116"/>
      <c r="I1251" s="116"/>
      <c r="L1251" s="170">
        <v>43850</v>
      </c>
      <c r="M1251" s="116">
        <v>389.3</v>
      </c>
      <c r="N1251" s="116">
        <v>397.05</v>
      </c>
      <c r="O1251" s="116">
        <v>387.05</v>
      </c>
      <c r="P1251" s="116">
        <v>393</v>
      </c>
      <c r="Q1251" s="116">
        <v>389.3</v>
      </c>
      <c r="R1251">
        <v>406361</v>
      </c>
    </row>
    <row r="1252" spans="1:18" x14ac:dyDescent="0.25">
      <c r="A1252" s="170">
        <v>43851</v>
      </c>
      <c r="B1252" s="116">
        <v>467.2</v>
      </c>
      <c r="C1252" s="116">
        <v>464.1</v>
      </c>
      <c r="D1252" s="116">
        <v>396.1</v>
      </c>
      <c r="E1252" s="116">
        <v>396.1</v>
      </c>
      <c r="F1252" s="116">
        <v>464.1</v>
      </c>
      <c r="G1252">
        <v>536191</v>
      </c>
      <c r="H1252" s="116"/>
      <c r="I1252" s="116"/>
      <c r="L1252" s="170">
        <v>43851</v>
      </c>
      <c r="M1252" s="116">
        <v>463.6</v>
      </c>
      <c r="N1252" s="116">
        <v>467.15</v>
      </c>
      <c r="O1252" s="116">
        <v>398</v>
      </c>
      <c r="P1252" s="116">
        <v>398</v>
      </c>
      <c r="Q1252" s="116">
        <v>463.6</v>
      </c>
      <c r="R1252">
        <v>8414117</v>
      </c>
    </row>
    <row r="1253" spans="1:18" x14ac:dyDescent="0.25">
      <c r="A1253" s="170">
        <v>43852</v>
      </c>
      <c r="B1253" s="116">
        <v>504.9</v>
      </c>
      <c r="C1253" s="116">
        <v>455.95</v>
      </c>
      <c r="D1253" s="116">
        <v>447.05</v>
      </c>
      <c r="E1253" s="116">
        <v>472.95</v>
      </c>
      <c r="F1253" s="116">
        <v>455.95</v>
      </c>
      <c r="G1253">
        <v>699691</v>
      </c>
      <c r="H1253" s="116"/>
      <c r="I1253" s="116"/>
      <c r="L1253" s="170">
        <v>43852</v>
      </c>
      <c r="M1253" s="116">
        <v>455.1</v>
      </c>
      <c r="N1253" s="116">
        <v>505</v>
      </c>
      <c r="O1253" s="116">
        <v>447.1</v>
      </c>
      <c r="P1253" s="116">
        <v>470.25</v>
      </c>
      <c r="Q1253" s="116">
        <v>455.1</v>
      </c>
      <c r="R1253">
        <v>10128155</v>
      </c>
    </row>
    <row r="1254" spans="1:18" x14ac:dyDescent="0.25">
      <c r="A1254" s="170">
        <v>43853</v>
      </c>
      <c r="B1254" s="116">
        <v>485.65</v>
      </c>
      <c r="C1254" s="116">
        <v>477.6</v>
      </c>
      <c r="D1254" s="116">
        <v>451.6</v>
      </c>
      <c r="E1254" s="116">
        <v>456.8</v>
      </c>
      <c r="F1254" s="116">
        <v>477.6</v>
      </c>
      <c r="G1254">
        <v>232265</v>
      </c>
      <c r="H1254" s="116"/>
      <c r="I1254" s="116"/>
      <c r="L1254" s="170">
        <v>43853</v>
      </c>
      <c r="M1254" s="116">
        <v>477.2</v>
      </c>
      <c r="N1254" s="116">
        <v>485</v>
      </c>
      <c r="O1254" s="116">
        <v>451.35</v>
      </c>
      <c r="P1254" s="116">
        <v>456.4</v>
      </c>
      <c r="Q1254" s="116">
        <v>477.2</v>
      </c>
      <c r="R1254">
        <v>2636458</v>
      </c>
    </row>
    <row r="1255" spans="1:18" x14ac:dyDescent="0.25">
      <c r="A1255" s="170">
        <v>43854</v>
      </c>
      <c r="B1255" s="116">
        <v>484.35</v>
      </c>
      <c r="C1255" s="116">
        <v>473.1</v>
      </c>
      <c r="D1255" s="116">
        <v>471</v>
      </c>
      <c r="E1255" s="116">
        <v>479</v>
      </c>
      <c r="F1255" s="116">
        <v>473.1</v>
      </c>
      <c r="G1255">
        <v>74259</v>
      </c>
      <c r="H1255" s="116"/>
      <c r="I1255" s="116"/>
      <c r="L1255" s="170">
        <v>43854</v>
      </c>
      <c r="M1255" s="116">
        <v>472.65</v>
      </c>
      <c r="N1255" s="116">
        <v>484.9</v>
      </c>
      <c r="O1255" s="116">
        <v>470</v>
      </c>
      <c r="P1255" s="116">
        <v>481.8</v>
      </c>
      <c r="Q1255" s="116">
        <v>472.65</v>
      </c>
      <c r="R1255">
        <v>835841</v>
      </c>
    </row>
    <row r="1256" spans="1:18" x14ac:dyDescent="0.25">
      <c r="A1256" s="170">
        <v>43857</v>
      </c>
      <c r="B1256" s="116">
        <v>474.7</v>
      </c>
      <c r="C1256" s="116">
        <v>469.5</v>
      </c>
      <c r="D1256" s="116">
        <v>463.05</v>
      </c>
      <c r="E1256" s="116">
        <v>471</v>
      </c>
      <c r="F1256" s="116">
        <v>469.5</v>
      </c>
      <c r="G1256">
        <v>34193</v>
      </c>
      <c r="H1256" s="116"/>
      <c r="I1256" s="116"/>
      <c r="L1256" s="170">
        <v>43857</v>
      </c>
      <c r="M1256" s="116">
        <v>470.1</v>
      </c>
      <c r="N1256" s="116">
        <v>475</v>
      </c>
      <c r="O1256" s="116">
        <v>462.6</v>
      </c>
      <c r="P1256" s="116">
        <v>471</v>
      </c>
      <c r="Q1256" s="116">
        <v>470.1</v>
      </c>
      <c r="R1256">
        <v>353739</v>
      </c>
    </row>
    <row r="1257" spans="1:18" x14ac:dyDescent="0.25">
      <c r="A1257" s="170">
        <v>43858</v>
      </c>
      <c r="B1257" s="116">
        <v>482.45</v>
      </c>
      <c r="C1257" s="116">
        <v>473.6</v>
      </c>
      <c r="D1257" s="116">
        <v>467.25</v>
      </c>
      <c r="E1257" s="116">
        <v>482.45</v>
      </c>
      <c r="F1257" s="116">
        <v>473.6</v>
      </c>
      <c r="G1257">
        <v>26570</v>
      </c>
      <c r="H1257" s="116"/>
      <c r="I1257" s="116"/>
      <c r="L1257" s="170">
        <v>43858</v>
      </c>
      <c r="M1257" s="116">
        <v>473.65</v>
      </c>
      <c r="N1257" s="116">
        <v>479.4</v>
      </c>
      <c r="O1257" s="116">
        <v>467</v>
      </c>
      <c r="P1257" s="116">
        <v>471.95</v>
      </c>
      <c r="Q1257" s="116">
        <v>473.65</v>
      </c>
      <c r="R1257">
        <v>332191</v>
      </c>
    </row>
    <row r="1258" spans="1:18" x14ac:dyDescent="0.25">
      <c r="A1258" s="170">
        <v>43859</v>
      </c>
      <c r="B1258" s="116">
        <v>495.8</v>
      </c>
      <c r="C1258" s="116">
        <v>487.65</v>
      </c>
      <c r="D1258" s="116">
        <v>472.8</v>
      </c>
      <c r="E1258" s="116">
        <v>475.5</v>
      </c>
      <c r="F1258" s="116">
        <v>487.65</v>
      </c>
      <c r="G1258">
        <v>94043</v>
      </c>
      <c r="H1258" s="116"/>
      <c r="I1258" s="116"/>
      <c r="L1258" s="170">
        <v>43859</v>
      </c>
      <c r="M1258" s="116">
        <v>487.95</v>
      </c>
      <c r="N1258" s="116">
        <v>495.8</v>
      </c>
      <c r="O1258" s="116">
        <v>472.65</v>
      </c>
      <c r="P1258" s="116">
        <v>474.65</v>
      </c>
      <c r="Q1258" s="116">
        <v>487.95</v>
      </c>
      <c r="R1258">
        <v>1017911</v>
      </c>
    </row>
    <row r="1259" spans="1:18" x14ac:dyDescent="0.25">
      <c r="A1259" s="170">
        <v>43860</v>
      </c>
      <c r="B1259" s="116">
        <v>487</v>
      </c>
      <c r="C1259" s="116">
        <v>481.15</v>
      </c>
      <c r="D1259" s="116">
        <v>478.6</v>
      </c>
      <c r="E1259" s="116">
        <v>484</v>
      </c>
      <c r="F1259" s="116">
        <v>481.15</v>
      </c>
      <c r="G1259">
        <v>25736</v>
      </c>
      <c r="H1259" s="116"/>
      <c r="I1259" s="116"/>
      <c r="L1259" s="170">
        <v>43860</v>
      </c>
      <c r="M1259" s="116">
        <v>481.1</v>
      </c>
      <c r="N1259" s="116">
        <v>488</v>
      </c>
      <c r="O1259" s="116">
        <v>478.3</v>
      </c>
      <c r="P1259" s="116">
        <v>486.9</v>
      </c>
      <c r="Q1259" s="116">
        <v>481.1</v>
      </c>
      <c r="R1259">
        <v>362211</v>
      </c>
    </row>
    <row r="1260" spans="1:18" x14ac:dyDescent="0.25">
      <c r="A1260" s="170">
        <v>43861</v>
      </c>
      <c r="B1260" s="116">
        <v>491.15</v>
      </c>
      <c r="C1260" s="116">
        <v>483.75</v>
      </c>
      <c r="D1260" s="116">
        <v>480.3</v>
      </c>
      <c r="E1260" s="116">
        <v>485</v>
      </c>
      <c r="F1260" s="116">
        <v>483.75</v>
      </c>
      <c r="G1260">
        <v>30003</v>
      </c>
      <c r="H1260" s="116"/>
      <c r="I1260" s="116"/>
      <c r="L1260" s="170">
        <v>43861</v>
      </c>
      <c r="M1260" s="116">
        <v>484.05</v>
      </c>
      <c r="N1260" s="116">
        <v>491.9</v>
      </c>
      <c r="O1260" s="116">
        <v>480.25</v>
      </c>
      <c r="P1260" s="116">
        <v>483</v>
      </c>
      <c r="Q1260" s="116">
        <v>484.05</v>
      </c>
      <c r="R1260">
        <v>457239</v>
      </c>
    </row>
    <row r="1261" spans="1:18" x14ac:dyDescent="0.25">
      <c r="A1261" s="170">
        <v>43862</v>
      </c>
      <c r="B1261" s="116">
        <v>511.95</v>
      </c>
      <c r="C1261" s="116">
        <v>470.5</v>
      </c>
      <c r="D1261" s="116">
        <v>468.5</v>
      </c>
      <c r="E1261" s="116">
        <v>482.9</v>
      </c>
      <c r="F1261" s="116">
        <v>470.5</v>
      </c>
      <c r="G1261">
        <v>140708</v>
      </c>
      <c r="H1261" s="116"/>
      <c r="I1261" s="116"/>
      <c r="L1261" s="170">
        <v>43862</v>
      </c>
      <c r="M1261" s="116">
        <v>471.05</v>
      </c>
      <c r="N1261" s="116">
        <v>512.95000000000005</v>
      </c>
      <c r="O1261" s="116">
        <v>467</v>
      </c>
      <c r="P1261" s="116">
        <v>483</v>
      </c>
      <c r="Q1261" s="116">
        <v>471.05</v>
      </c>
      <c r="R1261">
        <v>1631941</v>
      </c>
    </row>
    <row r="1262" spans="1:18" x14ac:dyDescent="0.25">
      <c r="A1262" s="170">
        <v>43864</v>
      </c>
      <c r="B1262" s="116">
        <v>494.35</v>
      </c>
      <c r="C1262" s="116">
        <v>488.2</v>
      </c>
      <c r="D1262" s="116">
        <v>462.15</v>
      </c>
      <c r="E1262" s="116">
        <v>471</v>
      </c>
      <c r="F1262" s="116">
        <v>488.2</v>
      </c>
      <c r="G1262">
        <v>53471</v>
      </c>
      <c r="H1262" s="116"/>
      <c r="I1262" s="116"/>
      <c r="L1262" s="170">
        <v>43864</v>
      </c>
      <c r="M1262" s="116">
        <v>487.75</v>
      </c>
      <c r="N1262" s="116">
        <v>495</v>
      </c>
      <c r="O1262" s="116">
        <v>461.65</v>
      </c>
      <c r="P1262" s="116">
        <v>473</v>
      </c>
      <c r="Q1262" s="116">
        <v>487.75</v>
      </c>
      <c r="R1262">
        <v>495222</v>
      </c>
    </row>
    <row r="1263" spans="1:18" x14ac:dyDescent="0.25">
      <c r="A1263" s="170">
        <v>43865</v>
      </c>
      <c r="B1263" s="116">
        <v>490</v>
      </c>
      <c r="C1263" s="116">
        <v>483.35</v>
      </c>
      <c r="D1263" s="116">
        <v>476</v>
      </c>
      <c r="E1263" s="116">
        <v>490</v>
      </c>
      <c r="F1263" s="116">
        <v>483.35</v>
      </c>
      <c r="G1263">
        <v>23666</v>
      </c>
      <c r="H1263" s="116"/>
      <c r="I1263" s="116"/>
      <c r="L1263" s="170">
        <v>43865</v>
      </c>
      <c r="M1263" s="116">
        <v>483.75</v>
      </c>
      <c r="N1263" s="116">
        <v>489.2</v>
      </c>
      <c r="O1263" s="116">
        <v>475</v>
      </c>
      <c r="P1263" s="116">
        <v>489</v>
      </c>
      <c r="Q1263" s="116">
        <v>483.75</v>
      </c>
      <c r="R1263">
        <v>250481</v>
      </c>
    </row>
    <row r="1264" spans="1:18" x14ac:dyDescent="0.25">
      <c r="A1264" s="170">
        <v>43866</v>
      </c>
      <c r="B1264" s="116">
        <v>487.75</v>
      </c>
      <c r="C1264" s="116">
        <v>479.4</v>
      </c>
      <c r="D1264" s="116">
        <v>476.25</v>
      </c>
      <c r="E1264" s="116">
        <v>483.45</v>
      </c>
      <c r="F1264" s="116">
        <v>479.4</v>
      </c>
      <c r="G1264">
        <v>15692</v>
      </c>
      <c r="H1264" s="116"/>
      <c r="I1264" s="116"/>
      <c r="L1264" s="170">
        <v>43866</v>
      </c>
      <c r="M1264" s="116">
        <v>479.15</v>
      </c>
      <c r="N1264" s="116">
        <v>488.1</v>
      </c>
      <c r="O1264" s="116">
        <v>475.25</v>
      </c>
      <c r="P1264" s="116">
        <v>484.9</v>
      </c>
      <c r="Q1264" s="116">
        <v>479.15</v>
      </c>
      <c r="R1264">
        <v>229103</v>
      </c>
    </row>
    <row r="1265" spans="1:18" x14ac:dyDescent="0.25">
      <c r="A1265" s="170">
        <v>43867</v>
      </c>
      <c r="B1265" s="116">
        <v>498.8</v>
      </c>
      <c r="C1265" s="116">
        <v>489.55</v>
      </c>
      <c r="D1265" s="116">
        <v>479</v>
      </c>
      <c r="E1265" s="116">
        <v>479.5</v>
      </c>
      <c r="F1265" s="116">
        <v>489.55</v>
      </c>
      <c r="G1265">
        <v>64879</v>
      </c>
      <c r="H1265" s="116"/>
      <c r="I1265" s="116"/>
      <c r="L1265" s="170">
        <v>43867</v>
      </c>
      <c r="M1265" s="116">
        <v>490.3</v>
      </c>
      <c r="N1265" s="116">
        <v>498.35</v>
      </c>
      <c r="O1265" s="116">
        <v>478.7</v>
      </c>
      <c r="P1265" s="116">
        <v>479</v>
      </c>
      <c r="Q1265" s="116">
        <v>490.3</v>
      </c>
      <c r="R1265">
        <v>956765</v>
      </c>
    </row>
    <row r="1266" spans="1:18" x14ac:dyDescent="0.25">
      <c r="A1266" s="170">
        <v>43868</v>
      </c>
      <c r="B1266" s="116">
        <v>493</v>
      </c>
      <c r="C1266" s="116">
        <v>487.35</v>
      </c>
      <c r="D1266" s="116">
        <v>482.5</v>
      </c>
      <c r="E1266" s="116">
        <v>493</v>
      </c>
      <c r="F1266" s="116">
        <v>487.35</v>
      </c>
      <c r="G1266">
        <v>46723</v>
      </c>
      <c r="H1266" s="116"/>
      <c r="I1266" s="116"/>
      <c r="L1266" s="170">
        <v>43868</v>
      </c>
      <c r="M1266" s="116">
        <v>487.65</v>
      </c>
      <c r="N1266" s="116">
        <v>493.35</v>
      </c>
      <c r="O1266" s="116">
        <v>482.2</v>
      </c>
      <c r="P1266" s="116">
        <v>492.4</v>
      </c>
      <c r="Q1266" s="116">
        <v>487.65</v>
      </c>
      <c r="R1266">
        <v>318981</v>
      </c>
    </row>
    <row r="1267" spans="1:18" x14ac:dyDescent="0.25">
      <c r="A1267" s="170">
        <v>43871</v>
      </c>
      <c r="B1267" s="116">
        <v>487</v>
      </c>
      <c r="C1267" s="116">
        <v>481.3</v>
      </c>
      <c r="D1267" s="116">
        <v>478</v>
      </c>
      <c r="E1267" s="116">
        <v>486.35</v>
      </c>
      <c r="F1267" s="116">
        <v>481.3</v>
      </c>
      <c r="G1267">
        <v>39930</v>
      </c>
      <c r="H1267" s="116"/>
      <c r="I1267" s="116"/>
      <c r="L1267" s="170">
        <v>43871</v>
      </c>
      <c r="M1267" s="116">
        <v>481</v>
      </c>
      <c r="N1267" s="116">
        <v>488.95</v>
      </c>
      <c r="O1267" s="116">
        <v>477</v>
      </c>
      <c r="P1267" s="116">
        <v>487</v>
      </c>
      <c r="Q1267" s="116">
        <v>481</v>
      </c>
      <c r="R1267">
        <v>211402</v>
      </c>
    </row>
    <row r="1268" spans="1:18" x14ac:dyDescent="0.25">
      <c r="A1268" s="170">
        <v>43872</v>
      </c>
      <c r="B1268" s="116">
        <v>494.5</v>
      </c>
      <c r="C1268" s="116">
        <v>492.9</v>
      </c>
      <c r="D1268" s="116">
        <v>480.1</v>
      </c>
      <c r="E1268" s="116">
        <v>484</v>
      </c>
      <c r="F1268" s="116">
        <v>492.9</v>
      </c>
      <c r="G1268">
        <v>80148</v>
      </c>
      <c r="H1268" s="116"/>
      <c r="I1268" s="116"/>
      <c r="L1268" s="170">
        <v>43872</v>
      </c>
      <c r="M1268" s="116">
        <v>492.5</v>
      </c>
      <c r="N1268" s="116">
        <v>495</v>
      </c>
      <c r="O1268" s="116">
        <v>480</v>
      </c>
      <c r="P1268" s="116">
        <v>480.25</v>
      </c>
      <c r="Q1268" s="116">
        <v>492.5</v>
      </c>
      <c r="R1268">
        <v>462817</v>
      </c>
    </row>
    <row r="1269" spans="1:18" x14ac:dyDescent="0.25">
      <c r="A1269" s="170">
        <v>43873</v>
      </c>
      <c r="B1269" s="116">
        <v>519</v>
      </c>
      <c r="C1269" s="116">
        <v>510.8</v>
      </c>
      <c r="D1269" s="116">
        <v>495</v>
      </c>
      <c r="E1269" s="116">
        <v>495</v>
      </c>
      <c r="F1269" s="116">
        <v>510.8</v>
      </c>
      <c r="G1269">
        <v>815827</v>
      </c>
      <c r="H1269" s="116"/>
      <c r="I1269" s="116"/>
      <c r="L1269" s="170">
        <v>43873</v>
      </c>
      <c r="M1269" s="116">
        <v>510.7</v>
      </c>
      <c r="N1269" s="116">
        <v>519</v>
      </c>
      <c r="O1269" s="116">
        <v>495.1</v>
      </c>
      <c r="P1269" s="116">
        <v>495.1</v>
      </c>
      <c r="Q1269" s="116">
        <v>510.7</v>
      </c>
      <c r="R1269">
        <v>2931425</v>
      </c>
    </row>
    <row r="1270" spans="1:18" x14ac:dyDescent="0.25">
      <c r="A1270" s="170">
        <v>43874</v>
      </c>
      <c r="B1270" s="116">
        <v>514.15</v>
      </c>
      <c r="C1270" s="116">
        <v>506.15</v>
      </c>
      <c r="D1270" s="116">
        <v>503.5</v>
      </c>
      <c r="E1270" s="116">
        <v>511</v>
      </c>
      <c r="F1270" s="116">
        <v>506.15</v>
      </c>
      <c r="G1270">
        <v>42111</v>
      </c>
      <c r="H1270" s="116"/>
      <c r="I1270" s="116"/>
      <c r="L1270" s="170">
        <v>43874</v>
      </c>
      <c r="M1270" s="116">
        <v>506.35</v>
      </c>
      <c r="N1270" s="116">
        <v>514.20000000000005</v>
      </c>
      <c r="O1270" s="116">
        <v>503.35</v>
      </c>
      <c r="P1270" s="116">
        <v>513</v>
      </c>
      <c r="Q1270" s="116">
        <v>506.35</v>
      </c>
      <c r="R1270">
        <v>397397</v>
      </c>
    </row>
    <row r="1271" spans="1:18" x14ac:dyDescent="0.25">
      <c r="A1271" s="170">
        <v>43875</v>
      </c>
      <c r="B1271" s="116">
        <v>517.54999999999995</v>
      </c>
      <c r="C1271" s="116">
        <v>509.9</v>
      </c>
      <c r="D1271" s="116">
        <v>508.2</v>
      </c>
      <c r="E1271" s="116">
        <v>508.6</v>
      </c>
      <c r="F1271" s="116">
        <v>509.9</v>
      </c>
      <c r="G1271">
        <v>34821</v>
      </c>
      <c r="H1271" s="116"/>
      <c r="I1271" s="116"/>
      <c r="L1271" s="170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70">
        <v>43878</v>
      </c>
      <c r="B1272" s="116">
        <v>512.25</v>
      </c>
      <c r="C1272" s="116">
        <v>509.25</v>
      </c>
      <c r="D1272" s="116">
        <v>503.35</v>
      </c>
      <c r="E1272" s="116">
        <v>510.25</v>
      </c>
      <c r="F1272" s="116">
        <v>509.25</v>
      </c>
      <c r="G1272">
        <v>51726</v>
      </c>
      <c r="H1272" s="116"/>
      <c r="I1272" s="116"/>
      <c r="L1272" s="170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70">
        <v>43879</v>
      </c>
      <c r="B1273" s="116">
        <v>512.70000000000005</v>
      </c>
      <c r="C1273" s="116">
        <v>510.05</v>
      </c>
      <c r="D1273" s="116">
        <v>504.35</v>
      </c>
      <c r="E1273" s="116">
        <v>508.8</v>
      </c>
      <c r="F1273" s="116">
        <v>510.05</v>
      </c>
      <c r="G1273">
        <v>17731</v>
      </c>
      <c r="H1273" s="116"/>
      <c r="I1273" s="116"/>
      <c r="L1273" s="170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70">
        <v>43880</v>
      </c>
      <c r="B1274" s="116">
        <v>517.35</v>
      </c>
      <c r="C1274" s="116">
        <v>509.55</v>
      </c>
      <c r="D1274" s="116">
        <v>506.65</v>
      </c>
      <c r="E1274" s="116">
        <v>513.1</v>
      </c>
      <c r="F1274" s="116">
        <v>509.55</v>
      </c>
      <c r="G1274">
        <v>21935</v>
      </c>
      <c r="H1274" s="116"/>
      <c r="I1274" s="116"/>
      <c r="L1274" s="170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70">
        <v>43881</v>
      </c>
      <c r="B1275" s="116">
        <v>514.25</v>
      </c>
      <c r="C1275" s="116">
        <v>509.45</v>
      </c>
      <c r="D1275" s="116">
        <v>507.95</v>
      </c>
      <c r="E1275" s="116">
        <v>508.7</v>
      </c>
      <c r="F1275" s="116">
        <v>509.45</v>
      </c>
      <c r="G1275">
        <v>21099</v>
      </c>
      <c r="H1275" s="116"/>
      <c r="I1275" s="116"/>
      <c r="L1275" s="170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70">
        <v>43885</v>
      </c>
      <c r="B1276" s="116">
        <v>514.20000000000005</v>
      </c>
      <c r="C1276" s="116">
        <v>510.1</v>
      </c>
      <c r="D1276" s="116">
        <v>504.1</v>
      </c>
      <c r="E1276" s="116">
        <v>505.45</v>
      </c>
      <c r="F1276" s="116">
        <v>510.1</v>
      </c>
      <c r="G1276">
        <v>10342</v>
      </c>
      <c r="H1276" s="116"/>
      <c r="I1276" s="116"/>
      <c r="L1276" s="170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70">
        <v>43886</v>
      </c>
      <c r="B1277" s="116">
        <v>517.35</v>
      </c>
      <c r="C1277" s="116">
        <v>510.45</v>
      </c>
      <c r="D1277" s="116">
        <v>507.15</v>
      </c>
      <c r="E1277" s="116">
        <v>514.20000000000005</v>
      </c>
      <c r="F1277" s="116">
        <v>510.45</v>
      </c>
      <c r="G1277">
        <v>44886</v>
      </c>
      <c r="H1277" s="116"/>
      <c r="I1277" s="116"/>
      <c r="L1277" s="170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70">
        <v>43887</v>
      </c>
      <c r="B1278" s="116">
        <v>509.65</v>
      </c>
      <c r="C1278" s="116">
        <v>508.15</v>
      </c>
      <c r="D1278" s="116">
        <v>505</v>
      </c>
      <c r="E1278" s="116">
        <v>505</v>
      </c>
      <c r="F1278" s="116">
        <v>508.15</v>
      </c>
      <c r="G1278">
        <v>33439</v>
      </c>
      <c r="H1278" s="116"/>
      <c r="I1278" s="116"/>
      <c r="L1278" s="170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70">
        <v>43888</v>
      </c>
      <c r="B1279" s="116">
        <v>507.9</v>
      </c>
      <c r="C1279" s="116">
        <v>505.1</v>
      </c>
      <c r="D1279" s="116">
        <v>500.45</v>
      </c>
      <c r="E1279" s="116">
        <v>506.2</v>
      </c>
      <c r="F1279" s="116">
        <v>505.1</v>
      </c>
      <c r="G1279">
        <v>14187</v>
      </c>
      <c r="H1279" s="116"/>
      <c r="I1279" s="116"/>
      <c r="L1279" s="170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70">
        <v>43889</v>
      </c>
      <c r="B1280" s="116">
        <v>505.7</v>
      </c>
      <c r="C1280" s="116">
        <v>499.65</v>
      </c>
      <c r="D1280" s="116">
        <v>496</v>
      </c>
      <c r="E1280" s="116">
        <v>505</v>
      </c>
      <c r="F1280" s="116">
        <v>499.65</v>
      </c>
      <c r="G1280">
        <v>24428</v>
      </c>
      <c r="H1280" s="116"/>
      <c r="I1280" s="116"/>
      <c r="L1280" s="170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70">
        <v>43892</v>
      </c>
      <c r="B1281" s="116">
        <v>501</v>
      </c>
      <c r="C1281" s="116">
        <v>500.15</v>
      </c>
      <c r="D1281" s="116">
        <v>492.4</v>
      </c>
      <c r="E1281" s="116">
        <v>501</v>
      </c>
      <c r="F1281" s="116">
        <v>500.15</v>
      </c>
      <c r="G1281">
        <v>28331</v>
      </c>
      <c r="H1281" s="116"/>
      <c r="I1281" s="116"/>
      <c r="L1281" s="170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70">
        <v>43893</v>
      </c>
      <c r="B1282" s="116">
        <v>501.85</v>
      </c>
      <c r="C1282" s="116">
        <v>485.2</v>
      </c>
      <c r="D1282" s="116">
        <v>480.85</v>
      </c>
      <c r="E1282" s="116">
        <v>500</v>
      </c>
      <c r="F1282" s="116">
        <v>485.2</v>
      </c>
      <c r="G1282">
        <v>30902</v>
      </c>
      <c r="H1282" s="116"/>
      <c r="I1282" s="116"/>
      <c r="L1282" s="170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70">
        <v>43894</v>
      </c>
      <c r="B1283" s="116">
        <v>491.9</v>
      </c>
      <c r="C1283" s="116">
        <v>479.05</v>
      </c>
      <c r="D1283" s="116">
        <v>475.5</v>
      </c>
      <c r="E1283" s="116">
        <v>487.35</v>
      </c>
      <c r="F1283" s="116">
        <v>479.05</v>
      </c>
      <c r="G1283">
        <v>52042</v>
      </c>
      <c r="H1283" s="116"/>
      <c r="I1283" s="116"/>
      <c r="L1283" s="170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70">
        <v>43895</v>
      </c>
      <c r="B1284" s="116">
        <v>484</v>
      </c>
      <c r="C1284" s="116">
        <v>479.6</v>
      </c>
      <c r="D1284" s="116">
        <v>475.3</v>
      </c>
      <c r="E1284" s="116">
        <v>476.5</v>
      </c>
      <c r="F1284" s="116">
        <v>479.6</v>
      </c>
      <c r="G1284">
        <v>22502</v>
      </c>
      <c r="H1284" s="116"/>
      <c r="I1284" s="116"/>
      <c r="L1284" s="170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70">
        <v>43896</v>
      </c>
      <c r="B1285" s="116">
        <v>472.05</v>
      </c>
      <c r="C1285" s="116">
        <v>464.75</v>
      </c>
      <c r="D1285" s="116">
        <v>440</v>
      </c>
      <c r="E1285" s="116">
        <v>472.05</v>
      </c>
      <c r="F1285" s="116">
        <v>464.75</v>
      </c>
      <c r="G1285">
        <v>30037</v>
      </c>
      <c r="H1285" s="116"/>
      <c r="I1285" s="116"/>
      <c r="L1285" s="170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70">
        <v>43899</v>
      </c>
      <c r="B1286" s="116">
        <v>457.5</v>
      </c>
      <c r="C1286" s="116">
        <v>422.35</v>
      </c>
      <c r="D1286" s="116">
        <v>416.35</v>
      </c>
      <c r="E1286" s="116">
        <v>450</v>
      </c>
      <c r="F1286" s="116">
        <v>422.35</v>
      </c>
      <c r="G1286">
        <v>42352</v>
      </c>
      <c r="H1286" s="116"/>
      <c r="I1286" s="116"/>
      <c r="L1286" s="170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70">
        <v>43901</v>
      </c>
      <c r="B1287" s="116">
        <v>445.5</v>
      </c>
      <c r="C1287" s="116">
        <v>418.8</v>
      </c>
      <c r="D1287" s="116">
        <v>406</v>
      </c>
      <c r="E1287" s="116">
        <v>421</v>
      </c>
      <c r="F1287" s="116">
        <v>418.8</v>
      </c>
      <c r="G1287">
        <v>41974</v>
      </c>
      <c r="H1287" s="116"/>
      <c r="I1287" s="116"/>
      <c r="L1287" s="170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70">
        <v>43902</v>
      </c>
      <c r="B1288" s="116">
        <v>433.95</v>
      </c>
      <c r="C1288" s="116">
        <v>392.25</v>
      </c>
      <c r="D1288" s="116">
        <v>336</v>
      </c>
      <c r="E1288" s="116">
        <v>400.5</v>
      </c>
      <c r="F1288" s="116">
        <v>392.25</v>
      </c>
      <c r="G1288">
        <v>46899</v>
      </c>
      <c r="H1288" s="116"/>
      <c r="I1288" s="116"/>
      <c r="L1288" s="170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70">
        <v>43903</v>
      </c>
      <c r="B1289" s="116">
        <v>418.8</v>
      </c>
      <c r="C1289" s="116">
        <v>394.75</v>
      </c>
      <c r="D1289" s="116">
        <v>325</v>
      </c>
      <c r="E1289" s="116">
        <v>370</v>
      </c>
      <c r="F1289" s="116">
        <v>394.75</v>
      </c>
      <c r="G1289">
        <v>32970</v>
      </c>
      <c r="H1289" s="116"/>
      <c r="I1289" s="116"/>
      <c r="L1289" s="170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70">
        <v>43906</v>
      </c>
      <c r="B1290" s="116">
        <v>381.95</v>
      </c>
      <c r="C1290" s="116">
        <v>364.2</v>
      </c>
      <c r="D1290" s="116">
        <v>358.45</v>
      </c>
      <c r="E1290" s="116">
        <v>381.95</v>
      </c>
      <c r="F1290" s="116">
        <v>364.2</v>
      </c>
      <c r="G1290">
        <v>19754</v>
      </c>
      <c r="H1290" s="116"/>
      <c r="I1290" s="116"/>
      <c r="L1290" s="170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70">
        <v>43907</v>
      </c>
      <c r="B1291" s="116">
        <v>367.2</v>
      </c>
      <c r="C1291" s="116">
        <v>362.95</v>
      </c>
      <c r="D1291" s="116">
        <v>350.1</v>
      </c>
      <c r="E1291" s="116">
        <v>366.55</v>
      </c>
      <c r="F1291" s="116">
        <v>362.95</v>
      </c>
      <c r="G1291">
        <v>52860</v>
      </c>
      <c r="H1291" s="116"/>
      <c r="I1291" s="116"/>
      <c r="L1291" s="170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70">
        <v>43908</v>
      </c>
      <c r="B1292" s="116">
        <v>369</v>
      </c>
      <c r="C1292" s="116">
        <v>332.8</v>
      </c>
      <c r="D1292" s="116">
        <v>319.14999999999998</v>
      </c>
      <c r="E1292" s="116">
        <v>368.9</v>
      </c>
      <c r="F1292" s="116">
        <v>332.8</v>
      </c>
      <c r="G1292">
        <v>32262</v>
      </c>
      <c r="H1292" s="116"/>
      <c r="I1292" s="116"/>
      <c r="L1292" s="170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70">
        <v>43909</v>
      </c>
      <c r="B1293" s="116">
        <v>343.95</v>
      </c>
      <c r="C1293" s="116">
        <v>318.89999999999998</v>
      </c>
      <c r="D1293" s="116">
        <v>266.39999999999998</v>
      </c>
      <c r="E1293" s="116">
        <v>320</v>
      </c>
      <c r="F1293" s="116">
        <v>318.89999999999998</v>
      </c>
      <c r="G1293">
        <v>72422</v>
      </c>
      <c r="H1293" s="116"/>
      <c r="I1293" s="116"/>
      <c r="L1293" s="170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70">
        <v>43910</v>
      </c>
      <c r="B1294" s="116">
        <v>347.25</v>
      </c>
      <c r="C1294" s="116">
        <v>336.45</v>
      </c>
      <c r="D1294" s="116">
        <v>310.60000000000002</v>
      </c>
      <c r="E1294" s="116">
        <v>319</v>
      </c>
      <c r="F1294" s="116">
        <v>336.45</v>
      </c>
      <c r="G1294">
        <v>67322</v>
      </c>
      <c r="H1294" s="116"/>
      <c r="I1294" s="116"/>
      <c r="L1294" s="170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70">
        <v>43913</v>
      </c>
      <c r="B1295" s="116">
        <v>317</v>
      </c>
      <c r="C1295" s="116">
        <v>290.5</v>
      </c>
      <c r="D1295" s="116">
        <v>269.2</v>
      </c>
      <c r="E1295" s="116">
        <v>317</v>
      </c>
      <c r="F1295" s="116">
        <v>290.5</v>
      </c>
      <c r="G1295">
        <v>74578</v>
      </c>
      <c r="H1295" s="116"/>
      <c r="I1295" s="116"/>
      <c r="L1295" s="170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70">
        <v>43914</v>
      </c>
      <c r="B1296" s="116">
        <v>303</v>
      </c>
      <c r="C1296" s="116">
        <v>289.5</v>
      </c>
      <c r="D1296" s="116">
        <v>265</v>
      </c>
      <c r="E1296" s="116">
        <v>302.25</v>
      </c>
      <c r="F1296" s="116">
        <v>289.5</v>
      </c>
      <c r="G1296">
        <v>18158</v>
      </c>
      <c r="H1296" s="116"/>
      <c r="I1296" s="116"/>
      <c r="L1296" s="170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70">
        <v>43915</v>
      </c>
      <c r="B1297" s="116">
        <v>305</v>
      </c>
      <c r="C1297" s="116">
        <v>300.39999999999998</v>
      </c>
      <c r="D1297" s="116">
        <v>275.45</v>
      </c>
      <c r="E1297" s="116">
        <v>287</v>
      </c>
      <c r="F1297" s="116">
        <v>300.39999999999998</v>
      </c>
      <c r="G1297">
        <v>11703</v>
      </c>
      <c r="H1297" s="116"/>
      <c r="I1297" s="116"/>
      <c r="L1297" s="170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70">
        <v>43916</v>
      </c>
      <c r="B1298" s="116">
        <v>348.6</v>
      </c>
      <c r="C1298" s="116">
        <v>308.75</v>
      </c>
      <c r="D1298" s="116">
        <v>301</v>
      </c>
      <c r="E1298" s="116">
        <v>304.95</v>
      </c>
      <c r="F1298" s="116">
        <v>308.75</v>
      </c>
      <c r="G1298">
        <v>33554</v>
      </c>
      <c r="H1298" s="116"/>
      <c r="I1298" s="116"/>
      <c r="L1298" s="170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70">
        <v>43917</v>
      </c>
      <c r="B1299" s="116">
        <v>336.7</v>
      </c>
      <c r="C1299" s="116">
        <v>305.10000000000002</v>
      </c>
      <c r="D1299" s="116">
        <v>296.25</v>
      </c>
      <c r="E1299" s="116">
        <v>336</v>
      </c>
      <c r="F1299" s="116">
        <v>305.10000000000002</v>
      </c>
      <c r="G1299">
        <v>24892</v>
      </c>
      <c r="H1299" s="116"/>
      <c r="I1299" s="116"/>
      <c r="L1299" s="170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70">
        <v>43920</v>
      </c>
      <c r="B1300" s="116">
        <v>299.89999999999998</v>
      </c>
      <c r="C1300" s="116">
        <v>286.75</v>
      </c>
      <c r="D1300" s="116">
        <v>282</v>
      </c>
      <c r="E1300" s="116">
        <v>287.25</v>
      </c>
      <c r="F1300" s="116">
        <v>286.75</v>
      </c>
      <c r="G1300">
        <v>7107</v>
      </c>
      <c r="H1300" s="116"/>
      <c r="I1300" s="116"/>
      <c r="L1300" s="170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70">
        <v>43921</v>
      </c>
      <c r="B1301" s="116">
        <v>295</v>
      </c>
      <c r="C1301" s="116">
        <v>278.89999999999998</v>
      </c>
      <c r="D1301" s="116">
        <v>277</v>
      </c>
      <c r="E1301" s="116">
        <v>292.5</v>
      </c>
      <c r="F1301" s="116">
        <v>278.89999999999998</v>
      </c>
      <c r="G1301">
        <v>14103</v>
      </c>
      <c r="H1301" s="116"/>
      <c r="I1301" s="116"/>
      <c r="L1301" s="170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70">
        <v>43922</v>
      </c>
      <c r="B1302" s="116">
        <v>286.14999999999998</v>
      </c>
      <c r="C1302" s="116">
        <v>274.85000000000002</v>
      </c>
      <c r="D1302" s="116">
        <v>271.60000000000002</v>
      </c>
      <c r="E1302" s="116">
        <v>279</v>
      </c>
      <c r="F1302" s="116">
        <v>274.85000000000002</v>
      </c>
      <c r="G1302">
        <v>13903</v>
      </c>
      <c r="H1302" s="116"/>
      <c r="I1302" s="116"/>
      <c r="L1302" s="170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70">
        <v>43924</v>
      </c>
      <c r="B1303" s="116">
        <v>278.64999999999998</v>
      </c>
      <c r="C1303" s="116">
        <v>262.2</v>
      </c>
      <c r="D1303" s="116">
        <v>253.55</v>
      </c>
      <c r="E1303" s="116">
        <v>272.35000000000002</v>
      </c>
      <c r="F1303" s="116">
        <v>262.2</v>
      </c>
      <c r="G1303">
        <v>19293</v>
      </c>
      <c r="H1303" s="116"/>
      <c r="I1303" s="116"/>
      <c r="L1303" s="170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70">
        <v>43928</v>
      </c>
      <c r="B1304" s="116">
        <v>278</v>
      </c>
      <c r="C1304" s="116">
        <v>273.95</v>
      </c>
      <c r="D1304" s="116">
        <v>258.5</v>
      </c>
      <c r="E1304" s="116">
        <v>268.7</v>
      </c>
      <c r="F1304" s="116">
        <v>273.95</v>
      </c>
      <c r="G1304">
        <v>91207</v>
      </c>
      <c r="H1304" s="116"/>
      <c r="I1304" s="116"/>
      <c r="L1304" s="170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70">
        <v>43929</v>
      </c>
      <c r="B1305" s="116">
        <v>301.25</v>
      </c>
      <c r="C1305" s="116">
        <v>283.64999999999998</v>
      </c>
      <c r="D1305" s="116">
        <v>269.39999999999998</v>
      </c>
      <c r="E1305" s="116">
        <v>269.39999999999998</v>
      </c>
      <c r="F1305" s="116">
        <v>283.64999999999998</v>
      </c>
      <c r="G1305">
        <v>88023</v>
      </c>
      <c r="H1305" s="116"/>
      <c r="I1305" s="116"/>
      <c r="L1305" s="170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70">
        <v>43930</v>
      </c>
      <c r="B1306" s="116">
        <v>291.25</v>
      </c>
      <c r="C1306" s="116">
        <v>284.8</v>
      </c>
      <c r="D1306" s="116">
        <v>279.8</v>
      </c>
      <c r="E1306" s="116">
        <v>285</v>
      </c>
      <c r="F1306" s="116">
        <v>284.8</v>
      </c>
      <c r="G1306">
        <v>23258</v>
      </c>
      <c r="H1306" s="116"/>
      <c r="I1306" s="116"/>
      <c r="L1306" s="170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70">
        <v>43934</v>
      </c>
      <c r="B1307" s="116">
        <v>287.89999999999998</v>
      </c>
      <c r="C1307" s="116">
        <v>268.39999999999998</v>
      </c>
      <c r="D1307" s="116">
        <v>264.64999999999998</v>
      </c>
      <c r="E1307" s="116">
        <v>285</v>
      </c>
      <c r="F1307" s="116">
        <v>268.39999999999998</v>
      </c>
      <c r="G1307">
        <v>75808</v>
      </c>
      <c r="H1307" s="116"/>
      <c r="I1307" s="116"/>
      <c r="L1307" s="170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70">
        <v>43936</v>
      </c>
      <c r="B1308" s="116">
        <v>278.10000000000002</v>
      </c>
      <c r="C1308" s="116">
        <v>270.3</v>
      </c>
      <c r="D1308" s="116">
        <v>266.10000000000002</v>
      </c>
      <c r="E1308" s="116">
        <v>269.35000000000002</v>
      </c>
      <c r="F1308" s="116">
        <v>270.3</v>
      </c>
      <c r="G1308">
        <v>88941</v>
      </c>
      <c r="H1308" s="116"/>
      <c r="I1308" s="116"/>
      <c r="L1308" s="170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70">
        <v>43937</v>
      </c>
      <c r="B1309" s="116">
        <v>288</v>
      </c>
      <c r="C1309" s="116">
        <v>283.39999999999998</v>
      </c>
      <c r="D1309" s="116">
        <v>266.25</v>
      </c>
      <c r="E1309" s="116">
        <v>267</v>
      </c>
      <c r="F1309" s="116">
        <v>283.39999999999998</v>
      </c>
      <c r="G1309">
        <v>71625</v>
      </c>
      <c r="H1309" s="116"/>
      <c r="I1309" s="116"/>
      <c r="L1309" s="170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70">
        <v>43938</v>
      </c>
      <c r="B1310" s="116">
        <v>311.89999999999998</v>
      </c>
      <c r="C1310" s="116">
        <v>308.55</v>
      </c>
      <c r="D1310" s="116">
        <v>287.2</v>
      </c>
      <c r="E1310" s="116">
        <v>294.75</v>
      </c>
      <c r="F1310" s="116">
        <v>308.55</v>
      </c>
      <c r="G1310">
        <v>146261</v>
      </c>
      <c r="H1310" s="116"/>
      <c r="I1310" s="116"/>
      <c r="L1310" s="170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70">
        <v>43941</v>
      </c>
      <c r="B1311" s="116">
        <v>320.39999999999998</v>
      </c>
      <c r="C1311" s="116">
        <v>311.89999999999998</v>
      </c>
      <c r="D1311" s="116">
        <v>304</v>
      </c>
      <c r="E1311" s="116">
        <v>307.05</v>
      </c>
      <c r="F1311" s="116">
        <v>311.89999999999998</v>
      </c>
      <c r="G1311">
        <v>79272</v>
      </c>
      <c r="H1311" s="116"/>
      <c r="I1311" s="116"/>
      <c r="L1311" s="170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70">
        <v>43942</v>
      </c>
      <c r="B1312" s="116">
        <v>302.55</v>
      </c>
      <c r="C1312" s="116">
        <v>290.85000000000002</v>
      </c>
      <c r="D1312" s="116">
        <v>285.5</v>
      </c>
      <c r="E1312" s="116">
        <v>302.55</v>
      </c>
      <c r="F1312" s="116">
        <v>290.85000000000002</v>
      </c>
      <c r="G1312">
        <v>73144</v>
      </c>
      <c r="H1312" s="116"/>
      <c r="I1312" s="116"/>
      <c r="L1312" s="170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70">
        <v>43943</v>
      </c>
      <c r="B1313" s="116">
        <v>295</v>
      </c>
      <c r="C1313" s="116">
        <v>290.45</v>
      </c>
      <c r="D1313" s="116">
        <v>285.55</v>
      </c>
      <c r="E1313" s="116">
        <v>291</v>
      </c>
      <c r="F1313" s="116">
        <v>290.45</v>
      </c>
      <c r="G1313">
        <v>50003</v>
      </c>
      <c r="H1313" s="116"/>
      <c r="I1313" s="116"/>
      <c r="L1313" s="170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70">
        <v>43944</v>
      </c>
      <c r="B1314" s="116">
        <v>316.89999999999998</v>
      </c>
      <c r="C1314" s="116">
        <v>312.05</v>
      </c>
      <c r="D1314" s="116">
        <v>295.7</v>
      </c>
      <c r="E1314" s="116">
        <v>295.7</v>
      </c>
      <c r="F1314" s="116">
        <v>312.05</v>
      </c>
      <c r="G1314">
        <v>82233</v>
      </c>
      <c r="H1314" s="116"/>
      <c r="I1314" s="116"/>
      <c r="L1314" s="170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70">
        <v>43945</v>
      </c>
      <c r="B1315" s="116">
        <v>306.39999999999998</v>
      </c>
      <c r="C1315" s="116">
        <v>292.14999999999998</v>
      </c>
      <c r="D1315" s="116">
        <v>290.5</v>
      </c>
      <c r="E1315" s="116">
        <v>306.39999999999998</v>
      </c>
      <c r="F1315" s="116">
        <v>292.14999999999998</v>
      </c>
      <c r="G1315">
        <v>88783</v>
      </c>
      <c r="H1315" s="116"/>
      <c r="I1315" s="116"/>
      <c r="L1315" s="170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70">
        <v>43948</v>
      </c>
      <c r="B1316" s="116">
        <v>299.2</v>
      </c>
      <c r="C1316" s="116">
        <v>289.60000000000002</v>
      </c>
      <c r="D1316" s="116">
        <v>288.2</v>
      </c>
      <c r="E1316" s="116">
        <v>299.14999999999998</v>
      </c>
      <c r="F1316" s="116">
        <v>289.60000000000002</v>
      </c>
      <c r="G1316">
        <v>25048</v>
      </c>
      <c r="H1316" s="116"/>
      <c r="I1316" s="116"/>
      <c r="L1316" s="170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70">
        <v>43949</v>
      </c>
      <c r="B1317" s="116">
        <v>313.14999999999998</v>
      </c>
      <c r="C1317" s="116">
        <v>309.2</v>
      </c>
      <c r="D1317" s="116">
        <v>284.55</v>
      </c>
      <c r="E1317" s="116">
        <v>284.55</v>
      </c>
      <c r="F1317" s="116">
        <v>309.2</v>
      </c>
      <c r="G1317">
        <v>96902</v>
      </c>
      <c r="H1317" s="116"/>
      <c r="I1317" s="116"/>
      <c r="L1317" s="170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70">
        <v>43950</v>
      </c>
      <c r="B1318" s="116">
        <v>325.25</v>
      </c>
      <c r="C1318" s="116">
        <v>313.45</v>
      </c>
      <c r="D1318" s="116">
        <v>307.35000000000002</v>
      </c>
      <c r="E1318" s="116">
        <v>309.7</v>
      </c>
      <c r="F1318" s="116">
        <v>313.45</v>
      </c>
      <c r="G1318">
        <v>67279</v>
      </c>
      <c r="H1318" s="116"/>
      <c r="I1318" s="116"/>
      <c r="L1318" s="170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70">
        <v>43951</v>
      </c>
      <c r="B1319" s="116">
        <v>324.89999999999998</v>
      </c>
      <c r="C1319" s="116">
        <v>319.64999999999998</v>
      </c>
      <c r="D1319" s="116">
        <v>314</v>
      </c>
      <c r="E1319" s="116">
        <v>319</v>
      </c>
      <c r="F1319" s="116">
        <v>319.64999999999998</v>
      </c>
      <c r="G1319">
        <v>106090</v>
      </c>
      <c r="H1319" s="116"/>
      <c r="I1319" s="116"/>
      <c r="L1319" s="170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70">
        <v>43955</v>
      </c>
      <c r="B1320" s="116">
        <v>319.7</v>
      </c>
      <c r="C1320" s="116">
        <v>300.35000000000002</v>
      </c>
      <c r="D1320" s="116">
        <v>295.64999999999998</v>
      </c>
      <c r="E1320" s="116">
        <v>319.7</v>
      </c>
      <c r="F1320" s="116">
        <v>300.35000000000002</v>
      </c>
      <c r="G1320">
        <v>54095</v>
      </c>
      <c r="H1320" s="116"/>
      <c r="I1320" s="116"/>
      <c r="L1320" s="170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70">
        <v>43956</v>
      </c>
      <c r="B1321" s="116">
        <v>308.45</v>
      </c>
      <c r="C1321" s="116">
        <v>291.14999999999998</v>
      </c>
      <c r="D1321" s="116">
        <v>290</v>
      </c>
      <c r="E1321" s="116">
        <v>301</v>
      </c>
      <c r="F1321" s="116">
        <v>291.14999999999998</v>
      </c>
      <c r="G1321">
        <v>119203</v>
      </c>
      <c r="H1321" s="116"/>
      <c r="I1321" s="116"/>
      <c r="L1321" s="170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70">
        <v>43957</v>
      </c>
      <c r="B1322" s="116">
        <v>303.39999999999998</v>
      </c>
      <c r="C1322" s="116">
        <v>296.2</v>
      </c>
      <c r="D1322" s="116">
        <v>286.5</v>
      </c>
      <c r="E1322" s="116">
        <v>293.10000000000002</v>
      </c>
      <c r="F1322" s="116">
        <v>296.2</v>
      </c>
      <c r="G1322">
        <v>149438</v>
      </c>
      <c r="H1322" s="116"/>
      <c r="I1322" s="116"/>
      <c r="L1322" s="170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70">
        <v>43958</v>
      </c>
      <c r="B1323" s="116">
        <v>314.8</v>
      </c>
      <c r="C1323" s="116">
        <v>302.05</v>
      </c>
      <c r="D1323" s="116">
        <v>295.10000000000002</v>
      </c>
      <c r="E1323" s="116">
        <v>295.10000000000002</v>
      </c>
      <c r="F1323" s="116">
        <v>302.05</v>
      </c>
      <c r="G1323">
        <v>89089</v>
      </c>
      <c r="H1323" s="116"/>
      <c r="I1323" s="116"/>
      <c r="L1323" s="170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70">
        <v>43959</v>
      </c>
      <c r="B1324" s="116">
        <v>311.55</v>
      </c>
      <c r="C1324" s="116">
        <v>299.7</v>
      </c>
      <c r="D1324" s="116">
        <v>297.45</v>
      </c>
      <c r="E1324" s="116">
        <v>311.55</v>
      </c>
      <c r="F1324" s="116">
        <v>299.7</v>
      </c>
      <c r="G1324">
        <v>156374</v>
      </c>
      <c r="H1324" s="116"/>
      <c r="I1324" s="116"/>
      <c r="L1324" s="170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70">
        <v>43962</v>
      </c>
      <c r="B1325" s="116">
        <v>308.64999999999998</v>
      </c>
      <c r="C1325" s="116">
        <v>307</v>
      </c>
      <c r="D1325" s="116">
        <v>298.5</v>
      </c>
      <c r="E1325" s="116">
        <v>303</v>
      </c>
      <c r="F1325" s="116">
        <v>307</v>
      </c>
      <c r="G1325">
        <v>130586</v>
      </c>
      <c r="H1325" s="116"/>
      <c r="I1325" s="116"/>
      <c r="L1325" s="170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70">
        <v>43963</v>
      </c>
      <c r="B1326" s="116">
        <v>302.25</v>
      </c>
      <c r="C1326" s="116">
        <v>296.3</v>
      </c>
      <c r="D1326" s="116">
        <v>293.14999999999998</v>
      </c>
      <c r="E1326" s="116">
        <v>300.85000000000002</v>
      </c>
      <c r="F1326" s="116">
        <v>296.3</v>
      </c>
      <c r="G1326">
        <v>71539</v>
      </c>
      <c r="H1326" s="116"/>
      <c r="I1326" s="116"/>
      <c r="L1326" s="170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70">
        <v>43964</v>
      </c>
      <c r="B1327" s="116">
        <v>318.95</v>
      </c>
      <c r="C1327" s="116">
        <v>308.85000000000002</v>
      </c>
      <c r="D1327" s="116">
        <v>300.35000000000002</v>
      </c>
      <c r="E1327" s="116">
        <v>318.95</v>
      </c>
      <c r="F1327" s="116">
        <v>308.85000000000002</v>
      </c>
      <c r="G1327">
        <v>120274</v>
      </c>
      <c r="H1327" s="116"/>
      <c r="I1327" s="116"/>
      <c r="L1327" s="170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70">
        <v>43965</v>
      </c>
      <c r="B1328" s="116">
        <v>321.5</v>
      </c>
      <c r="C1328" s="116">
        <v>304.25</v>
      </c>
      <c r="D1328" s="116">
        <v>300.55</v>
      </c>
      <c r="E1328" s="116">
        <v>308.85000000000002</v>
      </c>
      <c r="F1328" s="116">
        <v>304.25</v>
      </c>
      <c r="G1328">
        <v>48528</v>
      </c>
      <c r="H1328" s="116"/>
      <c r="I1328" s="116"/>
      <c r="L1328" s="170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70">
        <v>43966</v>
      </c>
      <c r="B1329" s="116">
        <v>307.3</v>
      </c>
      <c r="C1329" s="116">
        <v>296.2</v>
      </c>
      <c r="D1329" s="116">
        <v>294.14999999999998</v>
      </c>
      <c r="E1329" s="116">
        <v>305</v>
      </c>
      <c r="F1329" s="116">
        <v>296.2</v>
      </c>
      <c r="G1329">
        <v>95998</v>
      </c>
      <c r="H1329" s="116"/>
      <c r="I1329" s="116"/>
      <c r="L1329" s="170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70">
        <v>43969</v>
      </c>
      <c r="B1330" s="116">
        <v>296.55</v>
      </c>
      <c r="C1330" s="116">
        <v>276.7</v>
      </c>
      <c r="D1330" s="116">
        <v>274.14999999999998</v>
      </c>
      <c r="E1330" s="116">
        <v>295.64999999999998</v>
      </c>
      <c r="F1330" s="116">
        <v>276.7</v>
      </c>
      <c r="G1330">
        <v>105354</v>
      </c>
      <c r="H1330" s="116"/>
      <c r="I1330" s="116"/>
      <c r="L1330" s="170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70">
        <v>43970</v>
      </c>
      <c r="B1331" s="116">
        <v>287</v>
      </c>
      <c r="C1331" s="116">
        <v>279.8</v>
      </c>
      <c r="D1331" s="116">
        <v>273.60000000000002</v>
      </c>
      <c r="E1331" s="116">
        <v>279.89999999999998</v>
      </c>
      <c r="F1331" s="116">
        <v>279.8</v>
      </c>
      <c r="G1331">
        <v>78940</v>
      </c>
      <c r="H1331" s="116"/>
      <c r="I1331" s="116"/>
      <c r="L1331" s="170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70">
        <v>43971</v>
      </c>
      <c r="B1332" s="116">
        <v>285.55</v>
      </c>
      <c r="C1332" s="116">
        <v>283.85000000000002</v>
      </c>
      <c r="D1332" s="116">
        <v>275.8</v>
      </c>
      <c r="E1332" s="116">
        <v>281</v>
      </c>
      <c r="F1332" s="116">
        <v>283.85000000000002</v>
      </c>
      <c r="G1332">
        <v>102223</v>
      </c>
      <c r="H1332" s="116"/>
      <c r="I1332" s="116"/>
      <c r="L1332" s="170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70">
        <v>43972</v>
      </c>
      <c r="B1333" s="116">
        <v>291.5</v>
      </c>
      <c r="C1333" s="116">
        <v>285.05</v>
      </c>
      <c r="D1333" s="116">
        <v>280.8</v>
      </c>
      <c r="E1333" s="116">
        <v>286.85000000000002</v>
      </c>
      <c r="F1333" s="116">
        <v>285.05</v>
      </c>
      <c r="G1333">
        <v>95442</v>
      </c>
      <c r="H1333" s="116"/>
      <c r="I1333" s="116"/>
      <c r="L1333" s="170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70">
        <v>43973</v>
      </c>
      <c r="B1334" s="116">
        <v>287.35000000000002</v>
      </c>
      <c r="C1334" s="116">
        <v>274.7</v>
      </c>
      <c r="D1334" s="116">
        <v>267.60000000000002</v>
      </c>
      <c r="E1334" s="116">
        <v>286</v>
      </c>
      <c r="F1334" s="116">
        <v>274.7</v>
      </c>
      <c r="G1334">
        <v>106533</v>
      </c>
      <c r="H1334" s="116"/>
      <c r="I1334" s="116"/>
      <c r="L1334" s="170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70">
        <v>43977</v>
      </c>
      <c r="B1335" s="116">
        <v>278.89999999999998</v>
      </c>
      <c r="C1335" s="116">
        <v>270.89999999999998</v>
      </c>
      <c r="D1335" s="116">
        <v>270</v>
      </c>
      <c r="E1335" s="116">
        <v>277.25</v>
      </c>
      <c r="F1335" s="116">
        <v>270.89999999999998</v>
      </c>
      <c r="G1335">
        <v>82483</v>
      </c>
      <c r="H1335" s="116"/>
      <c r="I1335" s="116"/>
      <c r="L1335" s="170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70">
        <v>43978</v>
      </c>
      <c r="B1336" s="116">
        <v>278.10000000000002</v>
      </c>
      <c r="C1336" s="116">
        <v>275.55</v>
      </c>
      <c r="D1336" s="116">
        <v>268.85000000000002</v>
      </c>
      <c r="E1336" s="116">
        <v>271.7</v>
      </c>
      <c r="F1336" s="116">
        <v>275.55</v>
      </c>
      <c r="G1336">
        <v>101094</v>
      </c>
      <c r="H1336" s="116"/>
      <c r="I1336" s="116"/>
      <c r="L1336" s="170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70">
        <v>43979</v>
      </c>
      <c r="B1337" s="116">
        <v>285.64999999999998</v>
      </c>
      <c r="C1337" s="116">
        <v>282.14999999999998</v>
      </c>
      <c r="D1337" s="116">
        <v>276</v>
      </c>
      <c r="E1337" s="116">
        <v>278.25</v>
      </c>
      <c r="F1337" s="116">
        <v>282.14999999999998</v>
      </c>
      <c r="G1337">
        <v>72506</v>
      </c>
      <c r="H1337" s="116"/>
      <c r="I1337" s="116"/>
      <c r="L1337" s="170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70">
        <v>43980</v>
      </c>
      <c r="B1338" s="116">
        <v>289.89999999999998</v>
      </c>
      <c r="C1338" s="116">
        <v>276.45</v>
      </c>
      <c r="D1338" s="116">
        <v>272.2</v>
      </c>
      <c r="E1338" s="116">
        <v>281.14999999999998</v>
      </c>
      <c r="F1338" s="116">
        <v>276.45</v>
      </c>
      <c r="G1338">
        <v>51392</v>
      </c>
      <c r="H1338" s="116"/>
      <c r="I1338" s="116"/>
      <c r="L1338" s="170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70">
        <v>43983</v>
      </c>
      <c r="B1339" s="116">
        <v>295</v>
      </c>
      <c r="C1339" s="116">
        <v>291.55</v>
      </c>
      <c r="D1339" s="116">
        <v>280.5</v>
      </c>
      <c r="E1339" s="116">
        <v>281.25</v>
      </c>
      <c r="F1339" s="116">
        <v>291.55</v>
      </c>
      <c r="G1339">
        <v>85413</v>
      </c>
      <c r="H1339" s="116"/>
      <c r="I1339" s="116"/>
      <c r="L1339" s="170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70">
        <v>43984</v>
      </c>
      <c r="B1340" s="116">
        <v>308.5</v>
      </c>
      <c r="C1340" s="116">
        <v>304.35000000000002</v>
      </c>
      <c r="D1340" s="116">
        <v>290.39999999999998</v>
      </c>
      <c r="E1340" s="116">
        <v>292.3</v>
      </c>
      <c r="F1340" s="116">
        <v>304.35000000000002</v>
      </c>
      <c r="G1340">
        <v>80834</v>
      </c>
      <c r="H1340" s="116"/>
      <c r="I1340" s="116"/>
      <c r="L1340" s="170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70">
        <v>43985</v>
      </c>
      <c r="B1341" s="116">
        <v>325.85000000000002</v>
      </c>
      <c r="C1341" s="116">
        <v>314.95</v>
      </c>
      <c r="D1341" s="116">
        <v>306.5</v>
      </c>
      <c r="E1341" s="116">
        <v>308.45</v>
      </c>
      <c r="F1341" s="116">
        <v>314.95</v>
      </c>
      <c r="G1341">
        <v>88817</v>
      </c>
      <c r="H1341" s="116"/>
      <c r="I1341" s="116"/>
      <c r="L1341" s="170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70">
        <v>43986</v>
      </c>
      <c r="B1342" s="116">
        <v>320.14999999999998</v>
      </c>
      <c r="C1342" s="116">
        <v>302.39999999999998</v>
      </c>
      <c r="D1342" s="116">
        <v>299.89999999999998</v>
      </c>
      <c r="E1342" s="116">
        <v>314.95</v>
      </c>
      <c r="F1342" s="116">
        <v>302.39999999999998</v>
      </c>
      <c r="G1342">
        <v>80258</v>
      </c>
      <c r="H1342" s="116"/>
      <c r="I1342" s="116"/>
      <c r="L1342" s="170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70">
        <v>43987</v>
      </c>
      <c r="B1343" s="116">
        <v>315</v>
      </c>
      <c r="C1343" s="116">
        <v>312.85000000000002</v>
      </c>
      <c r="D1343" s="116">
        <v>303.85000000000002</v>
      </c>
      <c r="E1343" s="116">
        <v>305.89999999999998</v>
      </c>
      <c r="F1343" s="116">
        <v>312.85000000000002</v>
      </c>
      <c r="G1343">
        <v>62535</v>
      </c>
      <c r="H1343" s="116"/>
      <c r="I1343" s="116"/>
      <c r="L1343" s="170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70">
        <v>43990</v>
      </c>
      <c r="B1344" s="116">
        <v>329.3</v>
      </c>
      <c r="C1344" s="116">
        <v>315.5</v>
      </c>
      <c r="D1344" s="116">
        <v>314</v>
      </c>
      <c r="E1344" s="116">
        <v>318</v>
      </c>
      <c r="F1344" s="116">
        <v>315.5</v>
      </c>
      <c r="G1344">
        <v>46992</v>
      </c>
      <c r="H1344" s="116"/>
      <c r="I1344" s="116"/>
      <c r="L1344" s="170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70">
        <v>43991</v>
      </c>
      <c r="B1345" s="116">
        <v>320.39999999999998</v>
      </c>
      <c r="C1345" s="116">
        <v>310.14999999999998</v>
      </c>
      <c r="D1345" s="116">
        <v>307.8</v>
      </c>
      <c r="E1345" s="116">
        <v>316</v>
      </c>
      <c r="F1345" s="116">
        <v>310.14999999999998</v>
      </c>
      <c r="G1345">
        <v>80143</v>
      </c>
      <c r="H1345" s="116"/>
      <c r="I1345" s="116"/>
      <c r="L1345" s="170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70">
        <v>43992</v>
      </c>
      <c r="B1346" s="116">
        <v>314.3</v>
      </c>
      <c r="C1346" s="116">
        <v>309.89999999999998</v>
      </c>
      <c r="D1346" s="116">
        <v>306.25</v>
      </c>
      <c r="E1346" s="116">
        <v>314.2</v>
      </c>
      <c r="F1346" s="116">
        <v>309.89999999999998</v>
      </c>
      <c r="G1346">
        <v>50813</v>
      </c>
      <c r="H1346" s="116"/>
      <c r="I1346" s="116"/>
      <c r="L1346" s="170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70">
        <v>43993</v>
      </c>
      <c r="B1347" s="116">
        <v>324.75</v>
      </c>
      <c r="C1347" s="116">
        <v>311.64999999999998</v>
      </c>
      <c r="D1347" s="116">
        <v>307.14999999999998</v>
      </c>
      <c r="E1347" s="116">
        <v>311.39999999999998</v>
      </c>
      <c r="F1347" s="116">
        <v>311.64999999999998</v>
      </c>
      <c r="G1347">
        <v>69838</v>
      </c>
      <c r="H1347" s="116"/>
      <c r="I1347" s="116"/>
      <c r="L1347" s="170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70">
        <v>43994</v>
      </c>
      <c r="B1348" s="116">
        <v>314.8</v>
      </c>
      <c r="C1348" s="116">
        <v>311.64999999999998</v>
      </c>
      <c r="D1348" s="116">
        <v>294.95</v>
      </c>
      <c r="E1348" s="116">
        <v>309</v>
      </c>
      <c r="F1348" s="116">
        <v>311.64999999999998</v>
      </c>
      <c r="G1348">
        <v>80246</v>
      </c>
      <c r="H1348" s="116"/>
      <c r="I1348" s="116"/>
      <c r="L1348" s="170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70">
        <v>43997</v>
      </c>
      <c r="B1349" s="116">
        <v>316.05</v>
      </c>
      <c r="C1349" s="116">
        <v>303.75</v>
      </c>
      <c r="D1349" s="116">
        <v>300.39999999999998</v>
      </c>
      <c r="E1349" s="116">
        <v>314.89999999999998</v>
      </c>
      <c r="F1349" s="116">
        <v>303.75</v>
      </c>
      <c r="G1349">
        <v>53074</v>
      </c>
      <c r="H1349" s="116"/>
      <c r="I1349" s="116"/>
      <c r="L1349" s="170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70">
        <v>43998</v>
      </c>
      <c r="B1350" s="116">
        <v>338.65</v>
      </c>
      <c r="C1350" s="116">
        <v>318.3</v>
      </c>
      <c r="D1350" s="116">
        <v>311.2</v>
      </c>
      <c r="E1350" s="116">
        <v>324</v>
      </c>
      <c r="F1350" s="116">
        <v>318.3</v>
      </c>
      <c r="G1350">
        <v>217944</v>
      </c>
      <c r="H1350" s="116"/>
      <c r="I1350" s="116"/>
      <c r="L1350" s="170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70">
        <v>43999</v>
      </c>
      <c r="B1351" s="116">
        <v>335</v>
      </c>
      <c r="C1351" s="116">
        <v>333</v>
      </c>
      <c r="D1351" s="116">
        <v>315.75</v>
      </c>
      <c r="E1351" s="116">
        <v>327</v>
      </c>
      <c r="F1351" s="116">
        <v>333</v>
      </c>
      <c r="G1351">
        <v>98263</v>
      </c>
      <c r="H1351" s="116"/>
      <c r="I1351" s="116"/>
      <c r="L1351" s="170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70">
        <v>44000</v>
      </c>
      <c r="B1352" s="116">
        <v>354.05</v>
      </c>
      <c r="C1352" s="116">
        <v>349.6</v>
      </c>
      <c r="D1352" s="116">
        <v>334.8</v>
      </c>
      <c r="E1352" s="116">
        <v>335</v>
      </c>
      <c r="F1352" s="116">
        <v>349.6</v>
      </c>
      <c r="G1352">
        <v>80005</v>
      </c>
      <c r="H1352" s="116"/>
      <c r="I1352" s="116"/>
      <c r="L1352" s="170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70">
        <v>44001</v>
      </c>
      <c r="B1353" s="116">
        <v>365.25</v>
      </c>
      <c r="C1353" s="116">
        <v>360</v>
      </c>
      <c r="D1353" s="116">
        <v>347.15</v>
      </c>
      <c r="E1353" s="116">
        <v>354</v>
      </c>
      <c r="F1353" s="116">
        <v>360</v>
      </c>
      <c r="G1353">
        <v>33189</v>
      </c>
      <c r="H1353" s="116"/>
      <c r="I1353" s="116"/>
      <c r="L1353" s="170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70">
        <v>44004</v>
      </c>
      <c r="B1354" s="116">
        <v>374.85</v>
      </c>
      <c r="C1354" s="116">
        <v>367.9</v>
      </c>
      <c r="D1354" s="116">
        <v>349</v>
      </c>
      <c r="E1354" s="116">
        <v>369.9</v>
      </c>
      <c r="F1354" s="116">
        <v>367.9</v>
      </c>
      <c r="G1354">
        <v>138676</v>
      </c>
      <c r="H1354" s="116"/>
      <c r="I1354" s="116"/>
      <c r="L1354" s="170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70">
        <v>44005</v>
      </c>
      <c r="B1355" s="116">
        <v>371.1</v>
      </c>
      <c r="C1355" s="116">
        <v>363</v>
      </c>
      <c r="D1355" s="116">
        <v>352.25</v>
      </c>
      <c r="E1355" s="116">
        <v>364.6</v>
      </c>
      <c r="F1355" s="116">
        <v>363</v>
      </c>
      <c r="G1355">
        <v>211834</v>
      </c>
      <c r="H1355" s="116"/>
      <c r="I1355" s="116"/>
      <c r="L1355" s="170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70">
        <v>44006</v>
      </c>
      <c r="B1356" s="116">
        <v>369.8</v>
      </c>
      <c r="C1356" s="116">
        <v>367.6</v>
      </c>
      <c r="D1356" s="116">
        <v>361.2</v>
      </c>
      <c r="E1356" s="116">
        <v>367.45</v>
      </c>
      <c r="F1356" s="116">
        <v>367.6</v>
      </c>
      <c r="G1356">
        <v>108159</v>
      </c>
      <c r="H1356" s="116"/>
      <c r="I1356" s="116"/>
      <c r="L1356" s="170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70">
        <v>44007</v>
      </c>
      <c r="B1357" s="116">
        <v>368.9</v>
      </c>
      <c r="C1357" s="116">
        <v>361.3</v>
      </c>
      <c r="D1357" s="116">
        <v>357.5</v>
      </c>
      <c r="E1357" s="116">
        <v>359.4</v>
      </c>
      <c r="F1357" s="116">
        <v>361.3</v>
      </c>
      <c r="G1357">
        <v>94362</v>
      </c>
      <c r="H1357" s="116"/>
      <c r="I1357" s="116"/>
      <c r="L1357" s="170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70">
        <v>44008</v>
      </c>
      <c r="B1358" s="116">
        <v>365.1</v>
      </c>
      <c r="C1358" s="116">
        <v>353.85</v>
      </c>
      <c r="D1358" s="116">
        <v>351.6</v>
      </c>
      <c r="E1358" s="116">
        <v>360.55</v>
      </c>
      <c r="F1358" s="116">
        <v>353.85</v>
      </c>
      <c r="G1358">
        <v>118187</v>
      </c>
      <c r="H1358" s="116"/>
      <c r="I1358" s="116"/>
      <c r="L1358" s="170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70">
        <v>44011</v>
      </c>
      <c r="B1359" s="116">
        <v>354.1</v>
      </c>
      <c r="C1359" s="116">
        <v>342.95</v>
      </c>
      <c r="D1359" s="116">
        <v>340.45</v>
      </c>
      <c r="E1359" s="116">
        <v>354.1</v>
      </c>
      <c r="F1359" s="116">
        <v>342.95</v>
      </c>
      <c r="G1359">
        <v>67553</v>
      </c>
      <c r="H1359" s="116"/>
      <c r="I1359" s="116"/>
      <c r="L1359" s="170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70">
        <v>44012</v>
      </c>
      <c r="B1360" s="116">
        <v>359.1</v>
      </c>
      <c r="C1360" s="116">
        <v>337.85</v>
      </c>
      <c r="D1360" s="116">
        <v>333.6</v>
      </c>
      <c r="E1360" s="116">
        <v>345.75</v>
      </c>
      <c r="F1360" s="116">
        <v>337.85</v>
      </c>
      <c r="G1360">
        <v>102311</v>
      </c>
      <c r="H1360" s="116"/>
      <c r="I1360" s="116"/>
      <c r="L1360" s="170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70">
        <v>44013</v>
      </c>
      <c r="B1361" s="116">
        <v>349.8</v>
      </c>
      <c r="C1361" s="116">
        <v>346.1</v>
      </c>
      <c r="D1361" s="116">
        <v>331.25</v>
      </c>
      <c r="E1361" s="116">
        <v>337.95</v>
      </c>
      <c r="F1361" s="116">
        <v>346.1</v>
      </c>
      <c r="G1361">
        <v>71890</v>
      </c>
      <c r="H1361" s="116"/>
      <c r="I1361" s="116"/>
      <c r="L1361" s="170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70">
        <v>44014</v>
      </c>
      <c r="B1362" s="116">
        <v>366.45</v>
      </c>
      <c r="C1362" s="116">
        <v>358.8</v>
      </c>
      <c r="D1362" s="116">
        <v>347.15</v>
      </c>
      <c r="E1362" s="116">
        <v>349.95</v>
      </c>
      <c r="F1362" s="116">
        <v>358.8</v>
      </c>
      <c r="G1362">
        <v>112100</v>
      </c>
      <c r="H1362" s="116"/>
      <c r="I1362" s="116"/>
      <c r="L1362" s="170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70">
        <v>44015</v>
      </c>
      <c r="B1363" s="116">
        <v>361.5</v>
      </c>
      <c r="C1363" s="116">
        <v>353.25</v>
      </c>
      <c r="D1363" s="116">
        <v>349.55</v>
      </c>
      <c r="E1363" s="116">
        <v>361.5</v>
      </c>
      <c r="F1363" s="116">
        <v>353.25</v>
      </c>
      <c r="G1363">
        <v>45847</v>
      </c>
      <c r="H1363" s="116"/>
      <c r="I1363" s="116"/>
      <c r="L1363" s="170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70">
        <v>44018</v>
      </c>
      <c r="B1364" s="116">
        <v>375</v>
      </c>
      <c r="C1364" s="116">
        <v>370.8</v>
      </c>
      <c r="D1364" s="116">
        <v>353.65</v>
      </c>
      <c r="E1364" s="116">
        <v>355.05</v>
      </c>
      <c r="F1364" s="116">
        <v>370.8</v>
      </c>
      <c r="G1364">
        <v>66632</v>
      </c>
      <c r="H1364" s="116"/>
      <c r="I1364" s="116"/>
      <c r="L1364" s="170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70">
        <v>44019</v>
      </c>
      <c r="B1365" s="116">
        <v>377.5</v>
      </c>
      <c r="C1365" s="116">
        <v>371</v>
      </c>
      <c r="D1365" s="116">
        <v>361.8</v>
      </c>
      <c r="E1365" s="116">
        <v>369.45</v>
      </c>
      <c r="F1365" s="116">
        <v>371</v>
      </c>
      <c r="G1365">
        <v>75225</v>
      </c>
      <c r="H1365" s="116"/>
      <c r="I1365" s="116"/>
      <c r="L1365" s="170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70">
        <v>44020</v>
      </c>
      <c r="B1366" s="116">
        <v>377.5</v>
      </c>
      <c r="C1366" s="116">
        <v>363.15</v>
      </c>
      <c r="D1366" s="116">
        <v>358.55</v>
      </c>
      <c r="E1366" s="116">
        <v>375</v>
      </c>
      <c r="F1366" s="116">
        <v>363.15</v>
      </c>
      <c r="G1366">
        <v>83460</v>
      </c>
      <c r="H1366" s="116"/>
      <c r="I1366" s="116"/>
      <c r="L1366" s="170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70">
        <v>44021</v>
      </c>
      <c r="B1367" s="116">
        <v>377.15</v>
      </c>
      <c r="C1367" s="116">
        <v>366.9</v>
      </c>
      <c r="D1367" s="116">
        <v>365.4</v>
      </c>
      <c r="E1367" s="116">
        <v>372</v>
      </c>
      <c r="F1367" s="116">
        <v>366.9</v>
      </c>
      <c r="G1367">
        <v>44390</v>
      </c>
      <c r="H1367" s="116"/>
      <c r="I1367" s="116"/>
      <c r="L1367" s="170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70">
        <v>44022</v>
      </c>
      <c r="B1368" s="116">
        <v>367.8</v>
      </c>
      <c r="C1368" s="116">
        <v>360.4</v>
      </c>
      <c r="D1368" s="116">
        <v>358</v>
      </c>
      <c r="E1368" s="116">
        <v>367</v>
      </c>
      <c r="F1368" s="116">
        <v>360.4</v>
      </c>
      <c r="G1368">
        <v>19840</v>
      </c>
      <c r="H1368" s="116"/>
      <c r="I1368" s="116"/>
      <c r="L1368" s="170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70">
        <v>44025</v>
      </c>
      <c r="B1369" s="116">
        <v>368</v>
      </c>
      <c r="C1369" s="116">
        <v>361</v>
      </c>
      <c r="D1369" s="116">
        <v>358.2</v>
      </c>
      <c r="E1369" s="116">
        <v>368</v>
      </c>
      <c r="F1369" s="116">
        <v>361</v>
      </c>
      <c r="G1369">
        <v>52337</v>
      </c>
      <c r="H1369" s="116"/>
      <c r="I1369" s="116"/>
      <c r="L1369" s="170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70">
        <v>44026</v>
      </c>
      <c r="B1370" s="116">
        <v>358.65</v>
      </c>
      <c r="C1370" s="116">
        <v>349.15</v>
      </c>
      <c r="D1370" s="116">
        <v>348</v>
      </c>
      <c r="E1370" s="116">
        <v>358.65</v>
      </c>
      <c r="F1370" s="116">
        <v>349.15</v>
      </c>
      <c r="G1370">
        <v>70677</v>
      </c>
      <c r="H1370" s="116"/>
      <c r="I1370" s="116"/>
      <c r="L1370" s="170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70">
        <v>44027</v>
      </c>
      <c r="B1371" s="116">
        <v>368.2</v>
      </c>
      <c r="C1371" s="116">
        <v>365.3</v>
      </c>
      <c r="D1371" s="116">
        <v>350.85</v>
      </c>
      <c r="E1371" s="116">
        <v>351</v>
      </c>
      <c r="F1371" s="116">
        <v>365.3</v>
      </c>
      <c r="G1371">
        <v>42320</v>
      </c>
      <c r="H1371" s="116"/>
      <c r="I1371" s="116"/>
      <c r="L1371" s="170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70">
        <v>44028</v>
      </c>
      <c r="B1372" s="116">
        <v>367.15</v>
      </c>
      <c r="C1372" s="116">
        <v>359.35</v>
      </c>
      <c r="D1372" s="116">
        <v>355.5</v>
      </c>
      <c r="E1372" s="116">
        <v>365.3</v>
      </c>
      <c r="F1372" s="116">
        <v>359.35</v>
      </c>
      <c r="G1372">
        <v>36254</v>
      </c>
      <c r="H1372" s="116"/>
      <c r="I1372" s="116"/>
      <c r="L1372" s="170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70">
        <v>44029</v>
      </c>
      <c r="B1373" s="116">
        <v>365</v>
      </c>
      <c r="C1373" s="116">
        <v>357.35</v>
      </c>
      <c r="D1373" s="116">
        <v>354.85</v>
      </c>
      <c r="E1373" s="116">
        <v>360.25</v>
      </c>
      <c r="F1373" s="116">
        <v>357.35</v>
      </c>
      <c r="G1373">
        <v>85456</v>
      </c>
      <c r="H1373" s="116"/>
      <c r="I1373" s="116"/>
      <c r="L1373" s="170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70">
        <v>44032</v>
      </c>
      <c r="B1374" s="116">
        <v>374.55</v>
      </c>
      <c r="C1374" s="116">
        <v>371.2</v>
      </c>
      <c r="D1374" s="116">
        <v>356.45</v>
      </c>
      <c r="E1374" s="116">
        <v>361.8</v>
      </c>
      <c r="F1374" s="116">
        <v>371.2</v>
      </c>
      <c r="G1374">
        <v>101196</v>
      </c>
      <c r="H1374" s="116"/>
      <c r="I1374" s="116"/>
      <c r="L1374" s="170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70">
        <v>44033</v>
      </c>
      <c r="B1375" s="116">
        <v>376.5</v>
      </c>
      <c r="C1375" s="116">
        <v>369.9</v>
      </c>
      <c r="D1375" s="116">
        <v>365.25</v>
      </c>
      <c r="E1375" s="116">
        <v>374.15</v>
      </c>
      <c r="F1375" s="116">
        <v>369.9</v>
      </c>
      <c r="G1375">
        <v>30504</v>
      </c>
      <c r="H1375" s="116"/>
      <c r="I1375" s="116"/>
      <c r="L1375" s="170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70">
        <v>44034</v>
      </c>
      <c r="B1376" s="116">
        <v>379.9</v>
      </c>
      <c r="C1376" s="116">
        <v>378.05</v>
      </c>
      <c r="D1376" s="116">
        <v>364</v>
      </c>
      <c r="E1376" s="116">
        <v>371.5</v>
      </c>
      <c r="F1376" s="116">
        <v>378.05</v>
      </c>
      <c r="G1376">
        <v>33919</v>
      </c>
      <c r="H1376" s="116"/>
      <c r="I1376" s="116"/>
      <c r="L1376" s="170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70">
        <v>44035</v>
      </c>
      <c r="B1377" s="116">
        <v>402</v>
      </c>
      <c r="C1377" s="116">
        <v>400.4</v>
      </c>
      <c r="D1377" s="116">
        <v>383.9</v>
      </c>
      <c r="E1377" s="116">
        <v>387</v>
      </c>
      <c r="F1377" s="116">
        <v>400.4</v>
      </c>
      <c r="G1377">
        <v>51906</v>
      </c>
      <c r="H1377" s="116"/>
      <c r="I1377" s="116"/>
      <c r="L1377" s="170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70">
        <v>44036</v>
      </c>
      <c r="B1378" s="116">
        <v>407.35</v>
      </c>
      <c r="C1378" s="116">
        <v>396.1</v>
      </c>
      <c r="D1378" s="116">
        <v>390.1</v>
      </c>
      <c r="E1378" s="116">
        <v>403.5</v>
      </c>
      <c r="F1378" s="116">
        <v>396.1</v>
      </c>
      <c r="G1378">
        <v>75336</v>
      </c>
      <c r="H1378" s="116"/>
      <c r="I1378" s="116"/>
      <c r="L1378" s="170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70">
        <v>44039</v>
      </c>
      <c r="B1379" s="116">
        <v>398.9</v>
      </c>
      <c r="C1379" s="116">
        <v>385.95</v>
      </c>
      <c r="D1379" s="116">
        <v>380.25</v>
      </c>
      <c r="E1379" s="116">
        <v>390.1</v>
      </c>
      <c r="F1379" s="116">
        <v>385.95</v>
      </c>
      <c r="G1379">
        <v>90286</v>
      </c>
      <c r="H1379" s="116"/>
      <c r="I1379" s="116"/>
      <c r="L1379" s="170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70">
        <v>44040</v>
      </c>
      <c r="B1380" s="116">
        <v>394.2</v>
      </c>
      <c r="C1380" s="116">
        <v>375.6</v>
      </c>
      <c r="D1380" s="116">
        <v>374</v>
      </c>
      <c r="E1380" s="116">
        <v>388</v>
      </c>
      <c r="F1380" s="116">
        <v>375.6</v>
      </c>
      <c r="G1380">
        <v>67620</v>
      </c>
      <c r="H1380" s="116"/>
      <c r="I1380" s="116"/>
      <c r="L1380" s="170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70">
        <v>44041</v>
      </c>
      <c r="B1381" s="116">
        <v>379.45</v>
      </c>
      <c r="C1381" s="116">
        <v>368.95</v>
      </c>
      <c r="D1381" s="116">
        <v>362</v>
      </c>
      <c r="E1381" s="116">
        <v>379.35</v>
      </c>
      <c r="F1381" s="116">
        <v>368.95</v>
      </c>
      <c r="G1381">
        <v>55457</v>
      </c>
      <c r="H1381" s="116"/>
      <c r="I1381" s="116"/>
      <c r="L1381" s="170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70">
        <v>44042</v>
      </c>
      <c r="B1382" s="116">
        <v>376.85</v>
      </c>
      <c r="C1382" s="116">
        <v>362.4</v>
      </c>
      <c r="D1382" s="116">
        <v>357.95</v>
      </c>
      <c r="E1382" s="116">
        <v>372</v>
      </c>
      <c r="F1382" s="116">
        <v>362.4</v>
      </c>
      <c r="G1382">
        <v>23146</v>
      </c>
      <c r="H1382" s="116"/>
      <c r="I1382" s="116"/>
      <c r="L1382" s="170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70">
        <v>44043</v>
      </c>
      <c r="B1383" s="116">
        <v>368.55</v>
      </c>
      <c r="C1383" s="116">
        <v>365.4</v>
      </c>
      <c r="D1383" s="116">
        <v>360.1</v>
      </c>
      <c r="E1383" s="116">
        <v>365</v>
      </c>
      <c r="F1383" s="116">
        <v>365.4</v>
      </c>
      <c r="G1383">
        <v>53848</v>
      </c>
      <c r="H1383" s="116"/>
      <c r="I1383" s="116"/>
      <c r="L1383" s="170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70">
        <v>44046</v>
      </c>
      <c r="B1384" s="116">
        <v>373.35</v>
      </c>
      <c r="C1384" s="116">
        <v>370</v>
      </c>
      <c r="D1384" s="116">
        <v>361.2</v>
      </c>
      <c r="E1384" s="116">
        <v>361.9</v>
      </c>
      <c r="F1384" s="116">
        <v>370</v>
      </c>
      <c r="G1384">
        <v>81462</v>
      </c>
      <c r="H1384" s="116"/>
      <c r="I1384" s="116"/>
      <c r="L1384" s="170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70">
        <v>44047</v>
      </c>
      <c r="B1385" s="116">
        <v>383.6</v>
      </c>
      <c r="C1385" s="116">
        <v>379.7</v>
      </c>
      <c r="D1385" s="116">
        <v>363</v>
      </c>
      <c r="E1385" s="116">
        <v>369.15</v>
      </c>
      <c r="F1385" s="116">
        <v>379.7</v>
      </c>
      <c r="G1385">
        <v>76091</v>
      </c>
      <c r="H1385" s="116"/>
      <c r="I1385" s="116"/>
      <c r="L1385" s="170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70">
        <v>44048</v>
      </c>
      <c r="B1386" s="116">
        <v>384.7</v>
      </c>
      <c r="C1386" s="116">
        <v>369.6</v>
      </c>
      <c r="D1386" s="116">
        <v>368</v>
      </c>
      <c r="E1386" s="116">
        <v>383</v>
      </c>
      <c r="F1386" s="116">
        <v>369.6</v>
      </c>
      <c r="G1386">
        <v>131130</v>
      </c>
      <c r="H1386" s="116"/>
      <c r="I1386" s="116"/>
      <c r="L1386" s="170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70">
        <v>44049</v>
      </c>
      <c r="B1387" s="116">
        <v>375.15</v>
      </c>
      <c r="C1387" s="116">
        <v>371</v>
      </c>
      <c r="D1387" s="116">
        <v>366.8</v>
      </c>
      <c r="E1387" s="116">
        <v>373.75</v>
      </c>
      <c r="F1387" s="116">
        <v>371</v>
      </c>
      <c r="G1387">
        <v>138291</v>
      </c>
      <c r="H1387" s="116"/>
      <c r="I1387" s="116"/>
      <c r="L1387" s="170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70">
        <v>44050</v>
      </c>
      <c r="B1388" s="116">
        <v>377.7</v>
      </c>
      <c r="C1388" s="116">
        <v>372.75</v>
      </c>
      <c r="D1388" s="116">
        <v>367.8</v>
      </c>
      <c r="E1388" s="116">
        <v>372.2</v>
      </c>
      <c r="F1388" s="116">
        <v>372.75</v>
      </c>
      <c r="G1388">
        <v>50564</v>
      </c>
      <c r="H1388" s="116"/>
      <c r="I1388" s="116"/>
      <c r="L1388" s="170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70">
        <v>44053</v>
      </c>
      <c r="B1389" s="116">
        <v>394.9</v>
      </c>
      <c r="C1389" s="116">
        <v>389.15</v>
      </c>
      <c r="D1389" s="116">
        <v>368.3</v>
      </c>
      <c r="E1389" s="116">
        <v>371</v>
      </c>
      <c r="F1389" s="116">
        <v>389.15</v>
      </c>
      <c r="G1389">
        <v>128236</v>
      </c>
      <c r="H1389" s="116"/>
      <c r="I1389" s="116"/>
      <c r="L1389" s="170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70">
        <v>44054</v>
      </c>
      <c r="B1390" s="116">
        <v>387.85</v>
      </c>
      <c r="C1390" s="116">
        <v>373.5</v>
      </c>
      <c r="D1390" s="116">
        <v>372.6</v>
      </c>
      <c r="E1390" s="116">
        <v>387.85</v>
      </c>
      <c r="F1390" s="116">
        <v>373.5</v>
      </c>
      <c r="G1390">
        <v>26013</v>
      </c>
      <c r="H1390" s="116"/>
      <c r="I1390" s="116"/>
      <c r="L1390" s="170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70">
        <v>44055</v>
      </c>
      <c r="B1391" s="116">
        <v>379.2</v>
      </c>
      <c r="C1391" s="116">
        <v>368.8</v>
      </c>
      <c r="D1391" s="116">
        <v>365.4</v>
      </c>
      <c r="E1391" s="116">
        <v>373.05</v>
      </c>
      <c r="F1391" s="116">
        <v>368.8</v>
      </c>
      <c r="G1391">
        <v>45576</v>
      </c>
      <c r="H1391" s="116"/>
      <c r="I1391" s="116"/>
      <c r="L1391" s="170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70">
        <v>44056</v>
      </c>
      <c r="B1392" s="116">
        <v>373.8</v>
      </c>
      <c r="C1392" s="116">
        <v>366.45</v>
      </c>
      <c r="D1392" s="116">
        <v>365.05</v>
      </c>
      <c r="E1392" s="116">
        <v>372.6</v>
      </c>
      <c r="F1392" s="116">
        <v>366.45</v>
      </c>
      <c r="G1392">
        <v>36299</v>
      </c>
      <c r="H1392" s="116"/>
      <c r="I1392" s="116"/>
      <c r="L1392" s="170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70">
        <v>44057</v>
      </c>
      <c r="B1393" s="116">
        <v>380</v>
      </c>
      <c r="C1393" s="116">
        <v>372.95</v>
      </c>
      <c r="D1393" s="116">
        <v>368.75</v>
      </c>
      <c r="E1393" s="116">
        <v>368.75</v>
      </c>
      <c r="F1393" s="116">
        <v>372.95</v>
      </c>
      <c r="G1393">
        <v>27133</v>
      </c>
      <c r="H1393" s="116"/>
      <c r="I1393" s="116"/>
      <c r="L1393" s="170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70">
        <v>44060</v>
      </c>
      <c r="B1394" s="116">
        <v>379.95</v>
      </c>
      <c r="C1394" s="116">
        <v>368.35</v>
      </c>
      <c r="D1394" s="116">
        <v>367.7</v>
      </c>
      <c r="E1394" s="116">
        <v>379.95</v>
      </c>
      <c r="F1394" s="116">
        <v>368.35</v>
      </c>
      <c r="G1394">
        <v>32542</v>
      </c>
      <c r="H1394" s="116"/>
      <c r="I1394" s="116"/>
      <c r="L1394" s="170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70">
        <v>44061</v>
      </c>
      <c r="B1395" s="116">
        <v>378.95</v>
      </c>
      <c r="C1395" s="116">
        <v>372.75</v>
      </c>
      <c r="D1395" s="116">
        <v>366.6</v>
      </c>
      <c r="E1395" s="116">
        <v>369.9</v>
      </c>
      <c r="F1395" s="116">
        <v>372.75</v>
      </c>
      <c r="G1395">
        <v>50465</v>
      </c>
      <c r="H1395" s="116"/>
      <c r="I1395" s="116"/>
      <c r="L1395" s="170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70">
        <v>44062</v>
      </c>
      <c r="B1396" s="116">
        <v>378</v>
      </c>
      <c r="C1396" s="116">
        <v>370.4</v>
      </c>
      <c r="D1396" s="116">
        <v>369.1</v>
      </c>
      <c r="E1396" s="116">
        <v>378</v>
      </c>
      <c r="F1396" s="116">
        <v>370.4</v>
      </c>
      <c r="G1396">
        <v>33180</v>
      </c>
      <c r="H1396" s="116"/>
      <c r="I1396" s="116"/>
      <c r="L1396" s="170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70">
        <v>44063</v>
      </c>
      <c r="B1397" s="116">
        <v>372</v>
      </c>
      <c r="C1397" s="116">
        <v>367.2</v>
      </c>
      <c r="D1397" s="116">
        <v>366.3</v>
      </c>
      <c r="E1397" s="116">
        <v>369.15</v>
      </c>
      <c r="F1397" s="116">
        <v>367.2</v>
      </c>
      <c r="G1397">
        <v>32277</v>
      </c>
      <c r="H1397" s="116"/>
      <c r="I1397" s="116"/>
      <c r="L1397" s="170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70">
        <v>44064</v>
      </c>
      <c r="B1398" s="116">
        <v>376</v>
      </c>
      <c r="C1398" s="116">
        <v>371.15</v>
      </c>
      <c r="D1398" s="116">
        <v>368</v>
      </c>
      <c r="E1398" s="116">
        <v>368</v>
      </c>
      <c r="F1398" s="116">
        <v>371.15</v>
      </c>
      <c r="G1398">
        <v>67824</v>
      </c>
      <c r="H1398" s="116"/>
      <c r="I1398" s="116"/>
      <c r="L1398" s="170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70">
        <v>44067</v>
      </c>
      <c r="B1399" s="116">
        <v>384.7</v>
      </c>
      <c r="C1399" s="116">
        <v>379</v>
      </c>
      <c r="D1399" s="116">
        <v>371.15</v>
      </c>
      <c r="E1399" s="116">
        <v>371.15</v>
      </c>
      <c r="F1399" s="116">
        <v>379</v>
      </c>
      <c r="G1399">
        <v>76456</v>
      </c>
      <c r="H1399" s="116"/>
      <c r="I1399" s="116"/>
      <c r="L1399" s="170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70">
        <v>44068</v>
      </c>
      <c r="B1400" s="116">
        <v>391.3</v>
      </c>
      <c r="C1400" s="116">
        <v>386</v>
      </c>
      <c r="D1400" s="116">
        <v>380</v>
      </c>
      <c r="E1400" s="116">
        <v>381</v>
      </c>
      <c r="F1400" s="116">
        <v>386</v>
      </c>
      <c r="G1400">
        <v>90874</v>
      </c>
      <c r="H1400" s="116"/>
      <c r="I1400" s="116"/>
      <c r="L1400" s="170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70">
        <v>44069</v>
      </c>
      <c r="B1401" s="116">
        <v>419.5</v>
      </c>
      <c r="C1401" s="116">
        <v>392.8</v>
      </c>
      <c r="D1401" s="116">
        <v>390.75</v>
      </c>
      <c r="E1401" s="116">
        <v>406.1</v>
      </c>
      <c r="F1401" s="116">
        <v>392.8</v>
      </c>
      <c r="G1401">
        <v>147295</v>
      </c>
      <c r="H1401" s="116"/>
      <c r="I1401" s="116"/>
      <c r="L1401" s="170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70">
        <v>44070</v>
      </c>
      <c r="B1402" s="116">
        <v>402.8</v>
      </c>
      <c r="C1402" s="116">
        <v>380.85</v>
      </c>
      <c r="D1402" s="116">
        <v>369.7</v>
      </c>
      <c r="E1402" s="116">
        <v>395</v>
      </c>
      <c r="F1402" s="116">
        <v>380.85</v>
      </c>
      <c r="G1402">
        <v>60368</v>
      </c>
      <c r="H1402" s="116"/>
      <c r="I1402" s="116"/>
      <c r="L1402" s="170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70">
        <v>44071</v>
      </c>
      <c r="B1403" s="116">
        <v>392.35</v>
      </c>
      <c r="C1403" s="116">
        <v>387.75</v>
      </c>
      <c r="D1403" s="116">
        <v>384.65</v>
      </c>
      <c r="E1403" s="116">
        <v>384.65</v>
      </c>
      <c r="F1403" s="116">
        <v>387.75</v>
      </c>
      <c r="G1403">
        <v>49867</v>
      </c>
      <c r="H1403" s="116"/>
      <c r="I1403" s="116"/>
      <c r="L1403" s="170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70">
        <v>44074</v>
      </c>
      <c r="B1404" s="116">
        <v>395.15</v>
      </c>
      <c r="C1404" s="116">
        <v>371.05</v>
      </c>
      <c r="D1404" s="116">
        <v>364.9</v>
      </c>
      <c r="E1404" s="116">
        <v>392.95</v>
      </c>
      <c r="F1404" s="116">
        <v>371.05</v>
      </c>
      <c r="G1404">
        <v>149112</v>
      </c>
      <c r="H1404" s="116"/>
      <c r="I1404" s="116"/>
      <c r="L1404" s="170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70">
        <v>44075</v>
      </c>
      <c r="B1405" s="116">
        <v>382.9</v>
      </c>
      <c r="C1405" s="116">
        <v>382</v>
      </c>
      <c r="D1405" s="116">
        <v>368</v>
      </c>
      <c r="E1405" s="116">
        <v>369</v>
      </c>
      <c r="F1405" s="116">
        <v>382</v>
      </c>
      <c r="G1405">
        <v>38689</v>
      </c>
      <c r="H1405" s="116"/>
      <c r="I1405" s="116"/>
      <c r="L1405" s="170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70">
        <v>44076</v>
      </c>
      <c r="B1406" s="116">
        <v>386.65</v>
      </c>
      <c r="C1406" s="116">
        <v>384.75</v>
      </c>
      <c r="D1406" s="116">
        <v>373.85</v>
      </c>
      <c r="E1406" s="116">
        <v>376.4</v>
      </c>
      <c r="F1406" s="116">
        <v>384.75</v>
      </c>
      <c r="G1406">
        <v>123893</v>
      </c>
      <c r="H1406" s="116"/>
      <c r="I1406" s="116"/>
      <c r="L1406" s="170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70">
        <v>44077</v>
      </c>
      <c r="B1407" s="116">
        <v>387.65</v>
      </c>
      <c r="C1407" s="116">
        <v>385.05</v>
      </c>
      <c r="D1407" s="116">
        <v>381.35</v>
      </c>
      <c r="E1407" s="116">
        <v>385.05</v>
      </c>
      <c r="F1407" s="116">
        <v>385.05</v>
      </c>
      <c r="G1407">
        <v>42547</v>
      </c>
      <c r="H1407" s="116"/>
      <c r="I1407" s="116"/>
      <c r="L1407" s="170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70">
        <v>44078</v>
      </c>
      <c r="B1408" s="116">
        <v>380.75</v>
      </c>
      <c r="C1408" s="116">
        <v>375.2</v>
      </c>
      <c r="D1408" s="116">
        <v>373</v>
      </c>
      <c r="E1408" s="116">
        <v>373</v>
      </c>
      <c r="F1408" s="116">
        <v>375.2</v>
      </c>
      <c r="G1408">
        <v>23672</v>
      </c>
      <c r="H1408" s="116"/>
      <c r="I1408" s="116"/>
      <c r="L1408" s="170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70">
        <v>44081</v>
      </c>
      <c r="B1409" s="116">
        <v>382.5</v>
      </c>
      <c r="C1409" s="116">
        <v>370.8</v>
      </c>
      <c r="D1409" s="116">
        <v>369.9</v>
      </c>
      <c r="E1409" s="116">
        <v>376</v>
      </c>
      <c r="F1409" s="116">
        <v>370.8</v>
      </c>
      <c r="G1409">
        <v>62716</v>
      </c>
      <c r="H1409" s="116"/>
      <c r="I1409" s="116"/>
      <c r="L1409" s="170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70">
        <v>44082</v>
      </c>
      <c r="B1410" s="116">
        <v>377.65</v>
      </c>
      <c r="C1410" s="116">
        <v>370.8</v>
      </c>
      <c r="D1410" s="116">
        <v>366.05</v>
      </c>
      <c r="E1410" s="116">
        <v>366.05</v>
      </c>
      <c r="F1410" s="116">
        <v>370.8</v>
      </c>
      <c r="G1410">
        <v>14678</v>
      </c>
      <c r="H1410" s="116"/>
      <c r="I1410" s="116"/>
      <c r="L1410" s="170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70">
        <v>44083</v>
      </c>
      <c r="B1411" s="116">
        <v>372.95</v>
      </c>
      <c r="C1411" s="116">
        <v>372.1</v>
      </c>
      <c r="D1411" s="116">
        <v>365.6</v>
      </c>
      <c r="E1411" s="116">
        <v>365.6</v>
      </c>
      <c r="F1411" s="116">
        <v>372.1</v>
      </c>
      <c r="G1411">
        <v>51486</v>
      </c>
      <c r="H1411" s="116"/>
      <c r="I1411" s="116"/>
      <c r="L1411" s="170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70">
        <v>44084</v>
      </c>
      <c r="B1412" s="116">
        <v>382.75</v>
      </c>
      <c r="C1412" s="116">
        <v>380.25</v>
      </c>
      <c r="D1412" s="116">
        <v>374.35</v>
      </c>
      <c r="E1412" s="116">
        <v>375.5</v>
      </c>
      <c r="F1412" s="116">
        <v>380.25</v>
      </c>
      <c r="G1412">
        <v>84402</v>
      </c>
      <c r="H1412" s="116"/>
      <c r="I1412" s="116"/>
      <c r="L1412" s="170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70">
        <v>44085</v>
      </c>
      <c r="B1413" s="116">
        <v>392.55</v>
      </c>
      <c r="C1413" s="116">
        <v>391.15</v>
      </c>
      <c r="D1413" s="116">
        <v>380.25</v>
      </c>
      <c r="E1413" s="116">
        <v>380.25</v>
      </c>
      <c r="F1413" s="116">
        <v>391.15</v>
      </c>
      <c r="G1413">
        <v>59409</v>
      </c>
      <c r="H1413" s="116"/>
      <c r="I1413" s="116"/>
      <c r="L1413" s="170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70">
        <v>44088</v>
      </c>
      <c r="B1414" s="116">
        <v>438.9</v>
      </c>
      <c r="C1414" s="116">
        <v>426.05</v>
      </c>
      <c r="D1414" s="116">
        <v>401.1</v>
      </c>
      <c r="E1414" s="116">
        <v>408.45</v>
      </c>
      <c r="F1414" s="116">
        <v>426.05</v>
      </c>
      <c r="G1414">
        <v>92561</v>
      </c>
      <c r="H1414" s="116"/>
      <c r="I1414" s="116"/>
      <c r="L1414" s="170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70">
        <v>44089</v>
      </c>
      <c r="B1415" s="116">
        <v>438.9</v>
      </c>
      <c r="C1415" s="116">
        <v>434.45</v>
      </c>
      <c r="D1415" s="116">
        <v>417.9</v>
      </c>
      <c r="E1415" s="116">
        <v>426.2</v>
      </c>
      <c r="F1415" s="116">
        <v>434.45</v>
      </c>
      <c r="G1415">
        <v>51793</v>
      </c>
      <c r="H1415" s="116"/>
      <c r="I1415" s="116"/>
      <c r="L1415" s="170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70">
        <v>44090</v>
      </c>
      <c r="B1416" s="116">
        <v>458.95</v>
      </c>
      <c r="C1416" s="116">
        <v>452.95</v>
      </c>
      <c r="D1416" s="116">
        <v>418.5</v>
      </c>
      <c r="E1416" s="116">
        <v>433.8</v>
      </c>
      <c r="F1416" s="116">
        <v>452.95</v>
      </c>
      <c r="G1416">
        <v>64571</v>
      </c>
      <c r="H1416" s="116"/>
      <c r="I1416" s="116"/>
      <c r="L1416" s="170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70">
        <v>44091</v>
      </c>
      <c r="B1417" s="116">
        <v>445.3</v>
      </c>
      <c r="C1417" s="116">
        <v>434.4</v>
      </c>
      <c r="D1417" s="116">
        <v>430.05</v>
      </c>
      <c r="E1417" s="116">
        <v>442</v>
      </c>
      <c r="F1417" s="116">
        <v>434.4</v>
      </c>
      <c r="G1417">
        <v>47303</v>
      </c>
      <c r="H1417" s="116"/>
      <c r="I1417" s="116"/>
      <c r="L1417" s="170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70">
        <v>44092</v>
      </c>
      <c r="B1418" s="116">
        <v>440.15</v>
      </c>
      <c r="C1418" s="116">
        <v>420.6</v>
      </c>
      <c r="D1418" s="116">
        <v>415.65</v>
      </c>
      <c r="E1418" s="116">
        <v>435</v>
      </c>
      <c r="F1418" s="116">
        <v>420.6</v>
      </c>
      <c r="G1418">
        <v>52596</v>
      </c>
      <c r="H1418" s="116"/>
      <c r="I1418" s="116"/>
      <c r="L1418" s="170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70">
        <v>44095</v>
      </c>
      <c r="B1419" s="116">
        <v>423.7</v>
      </c>
      <c r="C1419" s="116">
        <v>418.4</v>
      </c>
      <c r="D1419" s="116">
        <v>415.15</v>
      </c>
      <c r="E1419" s="116">
        <v>421.5</v>
      </c>
      <c r="F1419" s="116">
        <v>418.4</v>
      </c>
      <c r="G1419">
        <v>52625</v>
      </c>
      <c r="H1419" s="116"/>
      <c r="I1419" s="116"/>
      <c r="L1419" s="170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70">
        <v>44096</v>
      </c>
      <c r="B1420" s="116">
        <v>425.25</v>
      </c>
      <c r="C1420" s="116">
        <v>413.65</v>
      </c>
      <c r="D1420" s="116">
        <v>391.05</v>
      </c>
      <c r="E1420" s="116">
        <v>410</v>
      </c>
      <c r="F1420" s="116">
        <v>413.65</v>
      </c>
      <c r="G1420">
        <v>51341</v>
      </c>
      <c r="H1420" s="116"/>
      <c r="I1420" s="116"/>
      <c r="L1420" s="170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70">
        <v>44097</v>
      </c>
      <c r="B1421" s="116">
        <v>422.15</v>
      </c>
      <c r="C1421" s="116">
        <v>415.75</v>
      </c>
      <c r="D1421" s="116">
        <v>411.75</v>
      </c>
      <c r="E1421" s="116">
        <v>416.95</v>
      </c>
      <c r="F1421" s="116">
        <v>415.75</v>
      </c>
      <c r="G1421">
        <v>33722</v>
      </c>
      <c r="H1421" s="116"/>
      <c r="I1421" s="116"/>
      <c r="L1421" s="170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70">
        <v>44098</v>
      </c>
      <c r="B1422" s="116">
        <v>414</v>
      </c>
      <c r="C1422" s="116">
        <v>403.9</v>
      </c>
      <c r="D1422" s="116">
        <v>391.5</v>
      </c>
      <c r="E1422" s="116">
        <v>414</v>
      </c>
      <c r="F1422" s="116">
        <v>403.9</v>
      </c>
      <c r="G1422">
        <v>22856</v>
      </c>
      <c r="H1422" s="116"/>
      <c r="I1422" s="116"/>
      <c r="L1422" s="170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70">
        <v>44099</v>
      </c>
      <c r="B1423" s="116">
        <v>416.35</v>
      </c>
      <c r="C1423" s="116">
        <v>410.4</v>
      </c>
      <c r="D1423" s="116">
        <v>397.7</v>
      </c>
      <c r="E1423" s="116">
        <v>403.1</v>
      </c>
      <c r="F1423" s="116">
        <v>410.4</v>
      </c>
      <c r="G1423">
        <v>22067</v>
      </c>
      <c r="H1423" s="116"/>
      <c r="I1423" s="116"/>
      <c r="L1423" s="170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70">
        <v>44102</v>
      </c>
      <c r="B1424" s="116">
        <v>420.8</v>
      </c>
      <c r="C1424" s="116">
        <v>418.1</v>
      </c>
      <c r="D1424" s="116">
        <v>414.1</v>
      </c>
      <c r="E1424" s="116">
        <v>416.8</v>
      </c>
      <c r="F1424" s="116">
        <v>418.1</v>
      </c>
      <c r="G1424">
        <v>17936</v>
      </c>
      <c r="H1424" s="116"/>
      <c r="I1424" s="116"/>
      <c r="L1424" s="170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70">
        <v>44103</v>
      </c>
      <c r="B1425" s="116">
        <v>427.35</v>
      </c>
      <c r="C1425" s="116">
        <v>421.35</v>
      </c>
      <c r="D1425" s="116">
        <v>418.2</v>
      </c>
      <c r="E1425" s="116">
        <v>420.55</v>
      </c>
      <c r="F1425" s="116">
        <v>421.35</v>
      </c>
      <c r="G1425">
        <v>21762</v>
      </c>
      <c r="H1425" s="116"/>
      <c r="I1425" s="116"/>
      <c r="L1425" s="170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70">
        <v>44104</v>
      </c>
      <c r="B1426" s="116">
        <v>421.35</v>
      </c>
      <c r="C1426" s="116">
        <v>414.5</v>
      </c>
      <c r="D1426" s="116">
        <v>411.2</v>
      </c>
      <c r="E1426" s="116">
        <v>421.35</v>
      </c>
      <c r="F1426" s="116">
        <v>414.5</v>
      </c>
      <c r="G1426">
        <v>38037</v>
      </c>
      <c r="H1426" s="116"/>
      <c r="I1426" s="116"/>
      <c r="L1426" s="170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70">
        <v>44105</v>
      </c>
      <c r="B1427" s="116">
        <v>427</v>
      </c>
      <c r="C1427" s="116">
        <v>415.85</v>
      </c>
      <c r="D1427" s="116">
        <v>412.4</v>
      </c>
      <c r="E1427" s="116">
        <v>424.95</v>
      </c>
      <c r="F1427" s="116">
        <v>415.85</v>
      </c>
      <c r="G1427">
        <v>127670</v>
      </c>
      <c r="H1427" s="116"/>
      <c r="I1427" s="116"/>
      <c r="L1427" s="170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70">
        <v>44109</v>
      </c>
      <c r="B1428" s="116">
        <v>422.55</v>
      </c>
      <c r="C1428" s="116">
        <v>418.65</v>
      </c>
      <c r="D1428" s="116">
        <v>412.35</v>
      </c>
      <c r="E1428" s="116">
        <v>419</v>
      </c>
      <c r="F1428" s="116">
        <v>418.65</v>
      </c>
      <c r="G1428">
        <v>39636</v>
      </c>
      <c r="H1428" s="116"/>
      <c r="I1428" s="116"/>
      <c r="L1428" s="170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70">
        <v>44110</v>
      </c>
      <c r="B1429" s="116">
        <v>429</v>
      </c>
      <c r="C1429" s="116">
        <v>422.9</v>
      </c>
      <c r="D1429" s="116">
        <v>419.25</v>
      </c>
      <c r="E1429" s="116">
        <v>422.95</v>
      </c>
      <c r="F1429" s="116">
        <v>422.9</v>
      </c>
      <c r="G1429">
        <v>20511</v>
      </c>
      <c r="H1429" s="116"/>
      <c r="I1429" s="116"/>
      <c r="L1429" s="170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70">
        <v>44111</v>
      </c>
      <c r="B1430" s="116">
        <v>433.5</v>
      </c>
      <c r="C1430" s="116">
        <v>429.6</v>
      </c>
      <c r="D1430" s="116">
        <v>419.25</v>
      </c>
      <c r="E1430" s="116">
        <v>426.95</v>
      </c>
      <c r="F1430" s="116">
        <v>429.6</v>
      </c>
      <c r="G1430">
        <v>22219</v>
      </c>
      <c r="H1430" s="116"/>
      <c r="I1430" s="116"/>
      <c r="L1430" s="170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70">
        <v>44112</v>
      </c>
      <c r="B1431" s="116">
        <v>442.5</v>
      </c>
      <c r="C1431" s="116">
        <v>439.75</v>
      </c>
      <c r="D1431" s="116">
        <v>430.1</v>
      </c>
      <c r="E1431" s="116">
        <v>433.95</v>
      </c>
      <c r="F1431" s="116">
        <v>439.75</v>
      </c>
      <c r="G1431">
        <v>32775</v>
      </c>
      <c r="H1431" s="116"/>
      <c r="I1431" s="116"/>
      <c r="L1431" s="170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70">
        <v>44113</v>
      </c>
      <c r="B1432" s="116">
        <v>478.4</v>
      </c>
      <c r="C1432" s="116">
        <v>463.9</v>
      </c>
      <c r="D1432" s="116">
        <v>438.7</v>
      </c>
      <c r="E1432" s="116">
        <v>439.85</v>
      </c>
      <c r="F1432" s="116">
        <v>463.9</v>
      </c>
      <c r="G1432">
        <v>78342</v>
      </c>
      <c r="H1432" s="116"/>
      <c r="I1432" s="116"/>
      <c r="L1432" s="170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70">
        <v>44116</v>
      </c>
      <c r="B1433" s="116">
        <v>479.3</v>
      </c>
      <c r="C1433" s="116">
        <v>473.05</v>
      </c>
      <c r="D1433" s="116">
        <v>460.5</v>
      </c>
      <c r="E1433" s="116">
        <v>463.9</v>
      </c>
      <c r="F1433" s="116">
        <v>473.05</v>
      </c>
      <c r="G1433">
        <v>35087</v>
      </c>
      <c r="H1433" s="116"/>
      <c r="I1433" s="116"/>
      <c r="L1433" s="170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70">
        <v>44117</v>
      </c>
      <c r="B1434" s="116">
        <v>474.75</v>
      </c>
      <c r="C1434" s="116">
        <v>467.45</v>
      </c>
      <c r="D1434" s="116">
        <v>453.6</v>
      </c>
      <c r="E1434" s="116">
        <v>474.75</v>
      </c>
      <c r="F1434" s="116">
        <v>467.45</v>
      </c>
      <c r="G1434">
        <v>22398</v>
      </c>
      <c r="H1434" s="116"/>
      <c r="I1434" s="116"/>
      <c r="L1434" s="170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70">
        <v>44118</v>
      </c>
      <c r="B1435" s="116">
        <v>477.65</v>
      </c>
      <c r="C1435" s="116">
        <v>470.4</v>
      </c>
      <c r="D1435" s="116">
        <v>463.5</v>
      </c>
      <c r="E1435" s="116">
        <v>464.3</v>
      </c>
      <c r="F1435" s="116">
        <v>470.4</v>
      </c>
      <c r="G1435">
        <v>16065</v>
      </c>
      <c r="H1435" s="116"/>
      <c r="I1435" s="116"/>
      <c r="L1435" s="170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70">
        <v>44119</v>
      </c>
      <c r="B1436" s="116">
        <v>474.9</v>
      </c>
      <c r="C1436" s="116">
        <v>448.05</v>
      </c>
      <c r="D1436" s="116">
        <v>439.75</v>
      </c>
      <c r="E1436" s="116">
        <v>470</v>
      </c>
      <c r="F1436" s="116">
        <v>448.05</v>
      </c>
      <c r="G1436">
        <v>92716</v>
      </c>
      <c r="H1436" s="116"/>
      <c r="I1436" s="116"/>
      <c r="L1436" s="170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70">
        <v>44120</v>
      </c>
      <c r="B1437" s="116">
        <v>473.9</v>
      </c>
      <c r="C1437" s="116">
        <v>469.4</v>
      </c>
      <c r="D1437" s="116">
        <v>440.05</v>
      </c>
      <c r="E1437" s="116">
        <v>440.05</v>
      </c>
      <c r="F1437" s="116">
        <v>469.4</v>
      </c>
      <c r="G1437">
        <v>31792</v>
      </c>
      <c r="H1437" s="116"/>
      <c r="I1437" s="116"/>
      <c r="L1437" s="170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70">
        <v>44123</v>
      </c>
      <c r="B1438" s="116">
        <v>476.9</v>
      </c>
      <c r="C1438" s="116">
        <v>464.55</v>
      </c>
      <c r="D1438" s="116">
        <v>453.05</v>
      </c>
      <c r="E1438" s="116">
        <v>465.05</v>
      </c>
      <c r="F1438" s="116">
        <v>464.55</v>
      </c>
      <c r="G1438">
        <v>29263</v>
      </c>
      <c r="H1438" s="116"/>
      <c r="I1438" s="116"/>
      <c r="L1438" s="170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70">
        <v>44124</v>
      </c>
      <c r="B1439" s="116">
        <v>471.1</v>
      </c>
      <c r="C1439" s="116">
        <v>470</v>
      </c>
      <c r="D1439" s="116">
        <v>462</v>
      </c>
      <c r="E1439" s="116">
        <v>463.75</v>
      </c>
      <c r="F1439" s="116">
        <v>470</v>
      </c>
      <c r="G1439">
        <v>28974</v>
      </c>
      <c r="H1439" s="116"/>
      <c r="I1439" s="116"/>
      <c r="L1439" s="170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70">
        <v>44125</v>
      </c>
      <c r="B1440" s="116">
        <v>484.35</v>
      </c>
      <c r="C1440" s="116">
        <v>469</v>
      </c>
      <c r="D1440" s="116">
        <v>458</v>
      </c>
      <c r="E1440" s="116">
        <v>472.85</v>
      </c>
      <c r="F1440" s="116">
        <v>469</v>
      </c>
      <c r="G1440">
        <v>52959</v>
      </c>
      <c r="H1440" s="116"/>
      <c r="I1440" s="116"/>
      <c r="L1440" s="170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70">
        <v>44126</v>
      </c>
      <c r="B1441" s="116">
        <v>472.2</v>
      </c>
      <c r="C1441" s="116">
        <v>455.6</v>
      </c>
      <c r="D1441" s="116">
        <v>449.9</v>
      </c>
      <c r="E1441" s="116">
        <v>468</v>
      </c>
      <c r="F1441" s="116">
        <v>455.6</v>
      </c>
      <c r="G1441">
        <v>18029</v>
      </c>
      <c r="H1441" s="116"/>
      <c r="I1441" s="116"/>
      <c r="L1441" s="170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70">
        <v>44127</v>
      </c>
      <c r="B1442" s="116">
        <v>460.75</v>
      </c>
      <c r="C1442" s="116">
        <v>458.4</v>
      </c>
      <c r="D1442" s="116">
        <v>452</v>
      </c>
      <c r="E1442" s="116">
        <v>452</v>
      </c>
      <c r="F1442" s="116">
        <v>458.4</v>
      </c>
      <c r="G1442">
        <v>11166</v>
      </c>
      <c r="H1442" s="116"/>
      <c r="I1442" s="116"/>
      <c r="L1442" s="170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70">
        <v>44130</v>
      </c>
      <c r="B1443" s="116">
        <v>464.3</v>
      </c>
      <c r="C1443" s="116">
        <v>445.95</v>
      </c>
      <c r="D1443" s="116">
        <v>444.65</v>
      </c>
      <c r="E1443" s="116">
        <v>458.3</v>
      </c>
      <c r="F1443" s="116">
        <v>445.95</v>
      </c>
      <c r="G1443">
        <v>31957</v>
      </c>
      <c r="H1443" s="116"/>
      <c r="I1443" s="116"/>
      <c r="L1443" s="170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70">
        <v>44131</v>
      </c>
      <c r="B1444" s="116">
        <v>458.1</v>
      </c>
      <c r="C1444" s="116">
        <v>452.95</v>
      </c>
      <c r="D1444" s="116">
        <v>418.1</v>
      </c>
      <c r="E1444" s="116">
        <v>418.1</v>
      </c>
      <c r="F1444" s="116">
        <v>452.95</v>
      </c>
      <c r="G1444">
        <v>6421</v>
      </c>
      <c r="H1444" s="116"/>
      <c r="I1444" s="116"/>
      <c r="L1444" s="170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70">
        <v>44132</v>
      </c>
      <c r="B1445" s="116">
        <v>459.6</v>
      </c>
      <c r="C1445" s="116">
        <v>449.45</v>
      </c>
      <c r="D1445" s="116">
        <v>441.1</v>
      </c>
      <c r="E1445" s="116">
        <v>454.5</v>
      </c>
      <c r="F1445" s="116">
        <v>449.45</v>
      </c>
      <c r="G1445">
        <v>36887</v>
      </c>
      <c r="H1445" s="116"/>
      <c r="I1445" s="116"/>
      <c r="L1445" s="170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70">
        <v>44133</v>
      </c>
      <c r="B1446" s="116">
        <v>465.3</v>
      </c>
      <c r="C1446" s="116">
        <v>462.75</v>
      </c>
      <c r="D1446" s="116">
        <v>453.25</v>
      </c>
      <c r="E1446" s="116">
        <v>455</v>
      </c>
      <c r="F1446" s="116">
        <v>462.75</v>
      </c>
      <c r="G1446">
        <v>7905</v>
      </c>
      <c r="H1446" s="116"/>
      <c r="I1446" s="116"/>
      <c r="L1446" s="170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70">
        <v>44134</v>
      </c>
      <c r="B1447" s="116">
        <v>470.2</v>
      </c>
      <c r="C1447" s="116">
        <v>456.9</v>
      </c>
      <c r="D1447" s="116">
        <v>453</v>
      </c>
      <c r="E1447" s="116">
        <v>464</v>
      </c>
      <c r="F1447" s="116">
        <v>456.9</v>
      </c>
      <c r="G1447">
        <v>43319</v>
      </c>
      <c r="H1447" s="116"/>
      <c r="I1447" s="116"/>
      <c r="L1447" s="170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70">
        <v>44137</v>
      </c>
      <c r="B1448" s="116">
        <v>468.6</v>
      </c>
      <c r="C1448" s="116">
        <v>462.95</v>
      </c>
      <c r="D1448" s="116">
        <v>456</v>
      </c>
      <c r="E1448" s="116">
        <v>458.35</v>
      </c>
      <c r="F1448" s="116">
        <v>462.95</v>
      </c>
      <c r="G1448">
        <v>43904</v>
      </c>
      <c r="H1448" s="116"/>
      <c r="I1448" s="116"/>
      <c r="L1448" s="170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70">
        <v>44138</v>
      </c>
      <c r="B1449" s="116">
        <v>474.3</v>
      </c>
      <c r="C1449" s="116">
        <v>463.55</v>
      </c>
      <c r="D1449" s="116">
        <v>460.05</v>
      </c>
      <c r="E1449" s="116">
        <v>473</v>
      </c>
      <c r="F1449" s="116">
        <v>463.55</v>
      </c>
      <c r="G1449">
        <v>36814</v>
      </c>
      <c r="H1449" s="116"/>
      <c r="I1449" s="116"/>
      <c r="L1449" s="170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70">
        <v>44139</v>
      </c>
      <c r="B1450" s="116">
        <v>467</v>
      </c>
      <c r="C1450" s="116">
        <v>454.75</v>
      </c>
      <c r="D1450" s="116">
        <v>448.9</v>
      </c>
      <c r="E1450" s="116">
        <v>463</v>
      </c>
      <c r="F1450" s="116">
        <v>454.75</v>
      </c>
      <c r="G1450">
        <v>22249</v>
      </c>
      <c r="H1450" s="116"/>
      <c r="I1450" s="116"/>
      <c r="L1450" s="170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70">
        <v>44140</v>
      </c>
      <c r="B1451" s="116">
        <v>465.5</v>
      </c>
      <c r="C1451" s="116">
        <v>463.9</v>
      </c>
      <c r="D1451" s="116">
        <v>458.35</v>
      </c>
      <c r="E1451" s="116">
        <v>460.6</v>
      </c>
      <c r="F1451" s="116">
        <v>463.9</v>
      </c>
      <c r="G1451">
        <v>16189</v>
      </c>
      <c r="H1451" s="116"/>
      <c r="I1451" s="116"/>
      <c r="L1451" s="170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70">
        <v>44141</v>
      </c>
      <c r="B1452" s="116">
        <v>474.2</v>
      </c>
      <c r="C1452" s="116">
        <v>471.55</v>
      </c>
      <c r="D1452" s="116">
        <v>460</v>
      </c>
      <c r="E1452" s="116">
        <v>463</v>
      </c>
      <c r="F1452" s="116">
        <v>471.55</v>
      </c>
      <c r="G1452">
        <v>11028</v>
      </c>
      <c r="H1452" s="116"/>
      <c r="I1452" s="116"/>
      <c r="L1452" s="170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70">
        <v>44144</v>
      </c>
      <c r="B1453" s="116">
        <v>481.95</v>
      </c>
      <c r="C1453" s="116">
        <v>476.3</v>
      </c>
      <c r="D1453" s="116">
        <v>465.45</v>
      </c>
      <c r="E1453" s="116">
        <v>472</v>
      </c>
      <c r="F1453" s="116">
        <v>476.3</v>
      </c>
      <c r="G1453">
        <v>12049</v>
      </c>
      <c r="H1453" s="116"/>
      <c r="I1453" s="116"/>
      <c r="L1453" s="170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70">
        <v>44145</v>
      </c>
      <c r="B1454" s="116">
        <v>484.6</v>
      </c>
      <c r="C1454" s="116">
        <v>480.35</v>
      </c>
      <c r="D1454" s="116">
        <v>473.3</v>
      </c>
      <c r="E1454" s="116">
        <v>477</v>
      </c>
      <c r="F1454" s="116">
        <v>480.35</v>
      </c>
      <c r="G1454">
        <v>58381</v>
      </c>
      <c r="H1454" s="116"/>
      <c r="I1454" s="116"/>
      <c r="L1454" s="170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70">
        <v>44146</v>
      </c>
      <c r="B1455" s="116">
        <v>487.75</v>
      </c>
      <c r="C1455" s="116">
        <v>476.95</v>
      </c>
      <c r="D1455" s="116">
        <v>475.3</v>
      </c>
      <c r="E1455" s="116">
        <v>482.85</v>
      </c>
      <c r="F1455" s="116">
        <v>476.95</v>
      </c>
      <c r="G1455">
        <v>12329</v>
      </c>
      <c r="H1455" s="116"/>
      <c r="I1455" s="116"/>
      <c r="L1455" s="170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70">
        <v>44147</v>
      </c>
      <c r="B1456" s="116">
        <v>484.6</v>
      </c>
      <c r="C1456" s="116">
        <v>479.15</v>
      </c>
      <c r="D1456" s="116">
        <v>475.75</v>
      </c>
      <c r="E1456" s="116">
        <v>477.15</v>
      </c>
      <c r="F1456" s="116">
        <v>479.15</v>
      </c>
      <c r="G1456">
        <v>19206</v>
      </c>
      <c r="H1456" s="116"/>
      <c r="I1456" s="116"/>
      <c r="L1456" s="170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70">
        <v>44148</v>
      </c>
      <c r="B1457" s="116">
        <v>480</v>
      </c>
      <c r="C1457" s="116">
        <v>473.55</v>
      </c>
      <c r="D1457" s="116">
        <v>471.4</v>
      </c>
      <c r="E1457" s="116">
        <v>478.2</v>
      </c>
      <c r="F1457" s="116">
        <v>473.55</v>
      </c>
      <c r="G1457">
        <v>12256</v>
      </c>
      <c r="H1457" s="116"/>
      <c r="I1457" s="116"/>
      <c r="L1457" s="170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70">
        <v>44149</v>
      </c>
      <c r="B1458" s="116">
        <v>481.5</v>
      </c>
      <c r="C1458" s="116">
        <v>479.75</v>
      </c>
      <c r="D1458" s="116">
        <v>476.45</v>
      </c>
      <c r="E1458" s="116">
        <v>481.5</v>
      </c>
      <c r="F1458" s="116">
        <v>479.75</v>
      </c>
      <c r="G1458">
        <v>3040</v>
      </c>
      <c r="H1458" s="116"/>
      <c r="I1458" s="116"/>
      <c r="L1458" s="170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70">
        <v>44152</v>
      </c>
      <c r="B1459" s="116">
        <v>485.5</v>
      </c>
      <c r="C1459" s="116">
        <v>484.4</v>
      </c>
      <c r="D1459" s="116">
        <v>471.7</v>
      </c>
      <c r="E1459" s="116">
        <v>480.5</v>
      </c>
      <c r="F1459" s="116">
        <v>484.4</v>
      </c>
      <c r="G1459">
        <v>53505</v>
      </c>
      <c r="H1459" s="116"/>
      <c r="I1459" s="116"/>
      <c r="L1459" s="170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70">
        <v>44153</v>
      </c>
      <c r="B1460" s="116">
        <v>484.85</v>
      </c>
      <c r="C1460" s="116">
        <v>479.2</v>
      </c>
      <c r="D1460" s="116">
        <v>476.5</v>
      </c>
      <c r="E1460" s="116">
        <v>484</v>
      </c>
      <c r="F1460" s="116">
        <v>479.2</v>
      </c>
      <c r="G1460">
        <v>7089</v>
      </c>
      <c r="H1460" s="116"/>
      <c r="I1460" s="116"/>
      <c r="L1460" s="170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70">
        <v>44154</v>
      </c>
      <c r="B1461" s="116">
        <v>478</v>
      </c>
      <c r="C1461" s="116">
        <v>459.15</v>
      </c>
      <c r="D1461" s="116">
        <v>452</v>
      </c>
      <c r="E1461" s="116">
        <v>477.15</v>
      </c>
      <c r="F1461" s="116">
        <v>459.15</v>
      </c>
      <c r="G1461">
        <v>30661</v>
      </c>
      <c r="H1461" s="116"/>
      <c r="I1461" s="116"/>
      <c r="L1461" s="170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70">
        <v>44155</v>
      </c>
      <c r="B1462" s="116">
        <v>467.4</v>
      </c>
      <c r="C1462" s="116">
        <v>463.2</v>
      </c>
      <c r="D1462" s="116">
        <v>459.45</v>
      </c>
      <c r="E1462" s="116">
        <v>462.05</v>
      </c>
      <c r="F1462" s="116">
        <v>463.2</v>
      </c>
      <c r="G1462">
        <v>14044</v>
      </c>
      <c r="H1462" s="116"/>
      <c r="I1462" s="116"/>
      <c r="L1462" s="170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70">
        <v>44158</v>
      </c>
      <c r="B1463" s="116">
        <v>476.4</v>
      </c>
      <c r="C1463" s="116">
        <v>469.65</v>
      </c>
      <c r="D1463" s="116">
        <v>467.3</v>
      </c>
      <c r="E1463" s="116">
        <v>470.85</v>
      </c>
      <c r="F1463" s="116">
        <v>469.65</v>
      </c>
      <c r="G1463">
        <v>14007</v>
      </c>
      <c r="H1463" s="116"/>
      <c r="I1463" s="116"/>
      <c r="L1463" s="170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70">
        <v>44159</v>
      </c>
      <c r="B1464" s="116">
        <v>480.4</v>
      </c>
      <c r="C1464" s="116">
        <v>480.1</v>
      </c>
      <c r="D1464" s="116">
        <v>472.9</v>
      </c>
      <c r="E1464" s="116">
        <v>474.75</v>
      </c>
      <c r="F1464" s="116">
        <v>480.1</v>
      </c>
      <c r="G1464">
        <v>7843</v>
      </c>
      <c r="H1464" s="116"/>
      <c r="I1464" s="116"/>
      <c r="L1464" s="170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70">
        <v>44160</v>
      </c>
      <c r="B1465" s="116">
        <v>484.25</v>
      </c>
      <c r="C1465" s="116">
        <v>470.6</v>
      </c>
      <c r="D1465" s="116">
        <v>469.75</v>
      </c>
      <c r="E1465" s="116">
        <v>482.85</v>
      </c>
      <c r="F1465" s="116">
        <v>470.6</v>
      </c>
      <c r="G1465">
        <v>42396</v>
      </c>
      <c r="H1465" s="116"/>
      <c r="I1465" s="116"/>
      <c r="L1465" s="170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70">
        <v>44161</v>
      </c>
      <c r="B1466" s="116">
        <v>475.1</v>
      </c>
      <c r="C1466" s="116">
        <v>469.95</v>
      </c>
      <c r="D1466" s="116">
        <v>464.85</v>
      </c>
      <c r="E1466" s="116">
        <v>475</v>
      </c>
      <c r="F1466" s="116">
        <v>469.95</v>
      </c>
      <c r="G1466">
        <v>40826</v>
      </c>
      <c r="H1466" s="116"/>
      <c r="I1466" s="116"/>
      <c r="L1466" s="170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70">
        <v>44162</v>
      </c>
      <c r="B1467" s="116">
        <v>483.75</v>
      </c>
      <c r="C1467" s="116">
        <v>481.75</v>
      </c>
      <c r="D1467" s="116">
        <v>471.85</v>
      </c>
      <c r="E1467" s="116">
        <v>471.85</v>
      </c>
      <c r="F1467" s="116">
        <v>481.75</v>
      </c>
      <c r="G1467">
        <v>27430</v>
      </c>
      <c r="H1467" s="116"/>
      <c r="I1467" s="116"/>
      <c r="L1467" s="170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70">
        <v>44166</v>
      </c>
      <c r="B1468" s="116">
        <v>495.3</v>
      </c>
      <c r="C1468" s="116">
        <v>490.8</v>
      </c>
      <c r="D1468" s="116">
        <v>480</v>
      </c>
      <c r="E1468" s="116">
        <v>487.9</v>
      </c>
      <c r="F1468" s="116">
        <v>490.8</v>
      </c>
      <c r="G1468">
        <v>23220</v>
      </c>
      <c r="H1468" s="116"/>
      <c r="I1468" s="116"/>
      <c r="L1468" s="170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70">
        <v>44167</v>
      </c>
      <c r="B1469" s="116">
        <v>492.4</v>
      </c>
      <c r="C1469" s="116">
        <v>479.25</v>
      </c>
      <c r="D1469" s="116">
        <v>476.45</v>
      </c>
      <c r="E1469" s="116">
        <v>490.8</v>
      </c>
      <c r="F1469" s="116">
        <v>479.25</v>
      </c>
      <c r="G1469">
        <v>44066</v>
      </c>
      <c r="H1469" s="116"/>
      <c r="I1469" s="116"/>
      <c r="L1469" s="170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70">
        <v>44168</v>
      </c>
      <c r="B1470" s="116">
        <v>492.05</v>
      </c>
      <c r="C1470" s="116">
        <v>490.9</v>
      </c>
      <c r="D1470" s="116">
        <v>479.25</v>
      </c>
      <c r="E1470" s="116">
        <v>479.25</v>
      </c>
      <c r="F1470" s="116">
        <v>490.9</v>
      </c>
      <c r="G1470">
        <v>51480</v>
      </c>
      <c r="H1470" s="116"/>
      <c r="I1470" s="116"/>
      <c r="L1470" s="170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70">
        <v>44169</v>
      </c>
      <c r="B1471" s="116">
        <v>494.5</v>
      </c>
      <c r="C1471" s="116">
        <v>484.85</v>
      </c>
      <c r="D1471" s="116">
        <v>482</v>
      </c>
      <c r="E1471" s="116">
        <v>494.5</v>
      </c>
      <c r="F1471" s="116">
        <v>484.85</v>
      </c>
      <c r="G1471">
        <v>28700</v>
      </c>
      <c r="H1471" s="116"/>
      <c r="I1471" s="116"/>
      <c r="L1471" s="170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70">
        <v>44172</v>
      </c>
      <c r="B1472" s="116">
        <v>502.2</v>
      </c>
      <c r="C1472" s="116">
        <v>490.9</v>
      </c>
      <c r="D1472" s="116">
        <v>481.25</v>
      </c>
      <c r="E1472" s="116">
        <v>481.25</v>
      </c>
      <c r="F1472" s="116">
        <v>490.9</v>
      </c>
      <c r="G1472">
        <v>44538</v>
      </c>
      <c r="H1472" s="116"/>
      <c r="I1472" s="116"/>
      <c r="L1472" s="170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70">
        <v>44173</v>
      </c>
      <c r="B1473" s="116">
        <v>491</v>
      </c>
      <c r="C1473" s="116">
        <v>482.5</v>
      </c>
      <c r="D1473" s="116">
        <v>480.5</v>
      </c>
      <c r="E1473" s="116">
        <v>486.1</v>
      </c>
      <c r="F1473" s="116">
        <v>482.5</v>
      </c>
      <c r="G1473">
        <v>33364</v>
      </c>
      <c r="H1473" s="116"/>
      <c r="I1473" s="116"/>
      <c r="L1473" s="170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70">
        <v>44174</v>
      </c>
      <c r="B1474" s="116">
        <v>486.75</v>
      </c>
      <c r="C1474" s="116">
        <v>480.6</v>
      </c>
      <c r="D1474" s="116">
        <v>478.1</v>
      </c>
      <c r="E1474" s="116">
        <v>483</v>
      </c>
      <c r="F1474" s="116">
        <v>480.6</v>
      </c>
      <c r="G1474">
        <v>22791</v>
      </c>
      <c r="H1474" s="116"/>
      <c r="I1474" s="116"/>
      <c r="L1474" s="170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70">
        <v>44175</v>
      </c>
      <c r="B1475" s="116">
        <v>482.85</v>
      </c>
      <c r="C1475" s="116">
        <v>468.25</v>
      </c>
      <c r="D1475" s="116">
        <v>466.2</v>
      </c>
      <c r="E1475" s="116">
        <v>482.85</v>
      </c>
      <c r="F1475" s="116">
        <v>468.25</v>
      </c>
      <c r="G1475">
        <v>23955</v>
      </c>
      <c r="H1475" s="116"/>
      <c r="I1475" s="116"/>
      <c r="L1475" s="170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70">
        <v>44176</v>
      </c>
      <c r="B1476" s="116">
        <v>492</v>
      </c>
      <c r="C1476" s="116">
        <v>488.95</v>
      </c>
      <c r="D1476" s="116">
        <v>470.25</v>
      </c>
      <c r="E1476" s="116">
        <v>474.7</v>
      </c>
      <c r="F1476" s="116">
        <v>488.95</v>
      </c>
      <c r="G1476">
        <v>46374</v>
      </c>
      <c r="H1476" s="116"/>
      <c r="I1476" s="116"/>
      <c r="L1476" s="170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70">
        <v>44179</v>
      </c>
      <c r="B1477" s="116">
        <v>513</v>
      </c>
      <c r="C1477" s="116">
        <v>488.05</v>
      </c>
      <c r="D1477" s="116">
        <v>482.7</v>
      </c>
      <c r="E1477" s="116">
        <v>497.6</v>
      </c>
      <c r="F1477" s="116">
        <v>488.05</v>
      </c>
      <c r="G1477">
        <v>31984</v>
      </c>
      <c r="H1477" s="116"/>
      <c r="I1477" s="116"/>
      <c r="L1477" s="170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70">
        <v>44180</v>
      </c>
      <c r="B1478" s="116">
        <v>489</v>
      </c>
      <c r="C1478" s="116">
        <v>485.55</v>
      </c>
      <c r="D1478" s="116">
        <v>477.05</v>
      </c>
      <c r="E1478" s="116">
        <v>487.7</v>
      </c>
      <c r="F1478" s="116">
        <v>485.55</v>
      </c>
      <c r="G1478">
        <v>33733</v>
      </c>
      <c r="H1478" s="116"/>
      <c r="I1478" s="116"/>
      <c r="L1478" s="170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70">
        <v>44181</v>
      </c>
      <c r="B1479" s="116">
        <v>491</v>
      </c>
      <c r="C1479" s="116">
        <v>477.05</v>
      </c>
      <c r="D1479" s="116">
        <v>472</v>
      </c>
      <c r="E1479" s="116">
        <v>490.5</v>
      </c>
      <c r="F1479" s="116">
        <v>477.05</v>
      </c>
      <c r="G1479">
        <v>60756</v>
      </c>
      <c r="H1479" s="116"/>
      <c r="I1479" s="116"/>
      <c r="L1479" s="170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70">
        <v>44182</v>
      </c>
      <c r="B1480" s="116">
        <v>490.6</v>
      </c>
      <c r="C1480" s="116">
        <v>488.5</v>
      </c>
      <c r="D1480" s="116">
        <v>479.85</v>
      </c>
      <c r="E1480" s="116">
        <v>481.4</v>
      </c>
      <c r="F1480" s="116">
        <v>488.5</v>
      </c>
      <c r="G1480">
        <v>21998</v>
      </c>
      <c r="H1480" s="116"/>
      <c r="I1480" s="116"/>
      <c r="L1480" s="170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70">
        <v>44183</v>
      </c>
      <c r="B1481" s="116">
        <v>493.2</v>
      </c>
      <c r="C1481" s="116">
        <v>489.95</v>
      </c>
      <c r="D1481" s="116">
        <v>481.4</v>
      </c>
      <c r="E1481" s="116">
        <v>487.7</v>
      </c>
      <c r="F1481" s="116">
        <v>489.95</v>
      </c>
      <c r="G1481">
        <v>16376</v>
      </c>
      <c r="H1481" s="116"/>
      <c r="I1481" s="116"/>
      <c r="L1481" s="170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70">
        <v>44186</v>
      </c>
      <c r="B1482" s="116">
        <v>492.05</v>
      </c>
      <c r="C1482" s="116">
        <v>463.4</v>
      </c>
      <c r="D1482" s="116">
        <v>446</v>
      </c>
      <c r="E1482" s="116">
        <v>492.05</v>
      </c>
      <c r="F1482" s="116">
        <v>463.4</v>
      </c>
      <c r="G1482">
        <v>20872</v>
      </c>
      <c r="H1482" s="116"/>
      <c r="I1482" s="116"/>
      <c r="L1482" s="170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70">
        <v>44187</v>
      </c>
      <c r="B1483" s="116">
        <v>486.75</v>
      </c>
      <c r="C1483" s="116">
        <v>462.8</v>
      </c>
      <c r="D1483" s="116">
        <v>432</v>
      </c>
      <c r="E1483" s="116">
        <v>477</v>
      </c>
      <c r="F1483" s="116">
        <v>462.8</v>
      </c>
      <c r="G1483">
        <v>27721</v>
      </c>
      <c r="H1483" s="116"/>
      <c r="I1483" s="116"/>
      <c r="L1483" s="170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70">
        <v>44188</v>
      </c>
      <c r="B1484" s="116">
        <v>483</v>
      </c>
      <c r="C1484" s="116">
        <v>480.5</v>
      </c>
      <c r="D1484" s="116">
        <v>468.9</v>
      </c>
      <c r="E1484" s="116">
        <v>472</v>
      </c>
      <c r="F1484" s="116">
        <v>480.5</v>
      </c>
      <c r="G1484">
        <v>7334</v>
      </c>
      <c r="H1484" s="116"/>
      <c r="I1484" s="116"/>
      <c r="L1484" s="170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70">
        <v>44189</v>
      </c>
      <c r="B1485" s="116">
        <v>488.8</v>
      </c>
      <c r="C1485" s="116">
        <v>487.1</v>
      </c>
      <c r="D1485" s="116">
        <v>476.2</v>
      </c>
      <c r="E1485" s="116">
        <v>478.8</v>
      </c>
      <c r="F1485" s="116">
        <v>487.1</v>
      </c>
      <c r="G1485">
        <v>17690</v>
      </c>
      <c r="H1485" s="116"/>
      <c r="I1485" s="116"/>
      <c r="L1485" s="170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70">
        <v>44193</v>
      </c>
      <c r="B1486" s="116">
        <v>489</v>
      </c>
      <c r="C1486" s="116">
        <v>486.6</v>
      </c>
      <c r="D1486" s="116">
        <v>483.05</v>
      </c>
      <c r="E1486" s="116">
        <v>489</v>
      </c>
      <c r="F1486" s="116">
        <v>486.6</v>
      </c>
      <c r="G1486">
        <v>26655</v>
      </c>
      <c r="H1486" s="116"/>
      <c r="I1486" s="116"/>
      <c r="L1486" s="170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70">
        <v>44194</v>
      </c>
      <c r="B1487" s="116">
        <v>504</v>
      </c>
      <c r="C1487" s="116">
        <v>501</v>
      </c>
      <c r="D1487" s="116">
        <v>485.4</v>
      </c>
      <c r="E1487" s="116">
        <v>489</v>
      </c>
      <c r="F1487" s="116">
        <v>501</v>
      </c>
      <c r="G1487">
        <v>77442</v>
      </c>
      <c r="H1487" s="116"/>
      <c r="I1487" s="116"/>
      <c r="L1487" s="170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70">
        <v>44195</v>
      </c>
      <c r="B1488" s="116">
        <v>505</v>
      </c>
      <c r="C1488" s="116">
        <v>495.3</v>
      </c>
      <c r="D1488" s="116">
        <v>490.05</v>
      </c>
      <c r="E1488" s="116">
        <v>505</v>
      </c>
      <c r="F1488" s="116">
        <v>495.3</v>
      </c>
      <c r="G1488">
        <v>41347</v>
      </c>
      <c r="H1488" s="116"/>
      <c r="I1488" s="116"/>
      <c r="L1488" s="170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70">
        <v>44196</v>
      </c>
      <c r="B1489" s="116">
        <v>500.65</v>
      </c>
      <c r="C1489" s="116">
        <v>499.45</v>
      </c>
      <c r="D1489" s="116">
        <v>490.9</v>
      </c>
      <c r="E1489" s="116">
        <v>493.2</v>
      </c>
      <c r="F1489" s="116">
        <v>499.45</v>
      </c>
      <c r="G1489">
        <v>33439</v>
      </c>
      <c r="H1489" s="116"/>
      <c r="I1489" s="116"/>
      <c r="L1489" s="170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70">
        <v>44197</v>
      </c>
      <c r="B1490" s="116">
        <v>510</v>
      </c>
      <c r="C1490" s="116">
        <v>496.8</v>
      </c>
      <c r="D1490" s="116">
        <v>494.05</v>
      </c>
      <c r="E1490" s="116">
        <v>498</v>
      </c>
      <c r="F1490" s="116">
        <v>496.8</v>
      </c>
      <c r="G1490">
        <v>24703</v>
      </c>
      <c r="H1490" s="116"/>
      <c r="I1490" s="116"/>
      <c r="L1490" s="170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70">
        <v>44200</v>
      </c>
      <c r="B1491" s="116">
        <v>502.95</v>
      </c>
      <c r="C1491" s="116">
        <v>492.75</v>
      </c>
      <c r="D1491" s="116">
        <v>489.9</v>
      </c>
      <c r="E1491" s="116">
        <v>500</v>
      </c>
      <c r="F1491" s="116">
        <v>492.75</v>
      </c>
      <c r="G1491">
        <v>53461</v>
      </c>
      <c r="H1491" s="116"/>
      <c r="I1491" s="116"/>
      <c r="L1491" s="170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70">
        <v>44201</v>
      </c>
      <c r="B1492" s="116">
        <v>499.3</v>
      </c>
      <c r="C1492" s="116">
        <v>483.65</v>
      </c>
      <c r="D1492" s="116">
        <v>482.55</v>
      </c>
      <c r="E1492" s="116">
        <v>485</v>
      </c>
      <c r="F1492" s="116">
        <v>483.65</v>
      </c>
      <c r="G1492">
        <v>72866</v>
      </c>
      <c r="H1492" s="116"/>
      <c r="I1492" s="116"/>
      <c r="L1492" s="170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70">
        <v>44202</v>
      </c>
      <c r="B1493" s="116">
        <v>498.95</v>
      </c>
      <c r="C1493" s="116">
        <v>482.4</v>
      </c>
      <c r="D1493" s="116">
        <v>477.6</v>
      </c>
      <c r="E1493" s="116">
        <v>495</v>
      </c>
      <c r="F1493" s="116">
        <v>482.4</v>
      </c>
      <c r="G1493">
        <v>78565</v>
      </c>
      <c r="H1493" s="116"/>
      <c r="I1493" s="116"/>
      <c r="L1493" s="170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70">
        <v>44203</v>
      </c>
      <c r="B1494" s="116">
        <v>498.9</v>
      </c>
      <c r="C1494" s="116">
        <v>493.25</v>
      </c>
      <c r="D1494" s="116">
        <v>484.1</v>
      </c>
      <c r="E1494" s="116">
        <v>490.9</v>
      </c>
      <c r="F1494" s="116">
        <v>493.25</v>
      </c>
      <c r="G1494">
        <v>48541</v>
      </c>
      <c r="H1494" s="116"/>
      <c r="I1494" s="116"/>
      <c r="L1494" s="170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70">
        <v>44204</v>
      </c>
      <c r="B1495" s="116">
        <v>509.7</v>
      </c>
      <c r="C1495" s="116">
        <v>503.25</v>
      </c>
      <c r="D1495" s="116">
        <v>491.1</v>
      </c>
      <c r="E1495" s="116">
        <v>498.8</v>
      </c>
      <c r="F1495" s="116">
        <v>503.25</v>
      </c>
      <c r="G1495">
        <v>73866</v>
      </c>
      <c r="H1495" s="116"/>
      <c r="I1495" s="116"/>
      <c r="L1495" s="170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70">
        <v>44207</v>
      </c>
      <c r="B1496" s="116">
        <v>508.95</v>
      </c>
      <c r="C1496" s="116">
        <v>506.75</v>
      </c>
      <c r="D1496" s="116">
        <v>497.85</v>
      </c>
      <c r="E1496" s="116">
        <v>503.5</v>
      </c>
      <c r="F1496" s="116">
        <v>506.75</v>
      </c>
      <c r="G1496">
        <v>67282</v>
      </c>
      <c r="H1496" s="116"/>
      <c r="I1496" s="116"/>
      <c r="L1496" s="170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70">
        <v>44208</v>
      </c>
      <c r="B1497" s="116">
        <v>506.4</v>
      </c>
      <c r="C1497" s="116">
        <v>497.55</v>
      </c>
      <c r="D1497" s="116">
        <v>496.05</v>
      </c>
      <c r="E1497" s="116">
        <v>506.4</v>
      </c>
      <c r="F1497" s="116">
        <v>497.55</v>
      </c>
      <c r="G1497">
        <v>28614</v>
      </c>
      <c r="H1497" s="116"/>
      <c r="I1497" s="116"/>
      <c r="L1497" s="170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70">
        <v>44209</v>
      </c>
      <c r="B1498" s="116">
        <v>503.1</v>
      </c>
      <c r="C1498" s="116">
        <v>495.9</v>
      </c>
      <c r="D1498" s="116">
        <v>481.7</v>
      </c>
      <c r="E1498" s="116">
        <v>497.85</v>
      </c>
      <c r="F1498" s="116">
        <v>495.9</v>
      </c>
      <c r="G1498">
        <v>43932</v>
      </c>
      <c r="H1498" s="116"/>
      <c r="I1498" s="116"/>
      <c r="L1498" s="170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70">
        <v>44210</v>
      </c>
      <c r="B1499" s="116">
        <v>506</v>
      </c>
      <c r="C1499" s="116">
        <v>500.1</v>
      </c>
      <c r="D1499" s="116">
        <v>494.7</v>
      </c>
      <c r="E1499" s="116">
        <v>495.2</v>
      </c>
      <c r="F1499" s="116">
        <v>500.1</v>
      </c>
      <c r="G1499">
        <v>33916</v>
      </c>
      <c r="H1499" s="116"/>
      <c r="I1499" s="116"/>
      <c r="L1499" s="170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70">
        <v>44211</v>
      </c>
      <c r="B1500" s="116">
        <v>505.3</v>
      </c>
      <c r="C1500" s="116">
        <v>499.35</v>
      </c>
      <c r="D1500" s="116">
        <v>485.2</v>
      </c>
      <c r="E1500" s="116">
        <v>504.5</v>
      </c>
      <c r="F1500" s="116">
        <v>499.35</v>
      </c>
      <c r="G1500">
        <v>41054</v>
      </c>
      <c r="H1500" s="116"/>
      <c r="I1500" s="116"/>
      <c r="L1500" s="170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70">
        <v>44214</v>
      </c>
      <c r="B1501" s="116">
        <v>502.15</v>
      </c>
      <c r="C1501" s="116">
        <v>500.55</v>
      </c>
      <c r="D1501" s="116">
        <v>492.7</v>
      </c>
      <c r="E1501" s="116">
        <v>500</v>
      </c>
      <c r="F1501" s="116">
        <v>500.55</v>
      </c>
      <c r="G1501">
        <v>17949</v>
      </c>
      <c r="H1501" s="116"/>
      <c r="I1501" s="116"/>
      <c r="L1501" s="170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70">
        <v>44215</v>
      </c>
      <c r="B1502" s="116">
        <v>529.20000000000005</v>
      </c>
      <c r="C1502" s="116">
        <v>519.79999999999995</v>
      </c>
      <c r="D1502" s="116">
        <v>497.05</v>
      </c>
      <c r="E1502" s="116">
        <v>500.4</v>
      </c>
      <c r="F1502" s="116">
        <v>519.79999999999995</v>
      </c>
      <c r="G1502">
        <v>42641</v>
      </c>
      <c r="H1502" s="116"/>
      <c r="I1502" s="116"/>
      <c r="L1502" s="170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70">
        <v>44216</v>
      </c>
      <c r="B1503" s="116">
        <v>525.85</v>
      </c>
      <c r="C1503" s="116">
        <v>512.45000000000005</v>
      </c>
      <c r="D1503" s="116">
        <v>508.65</v>
      </c>
      <c r="E1503" s="116">
        <v>517.20000000000005</v>
      </c>
      <c r="F1503" s="116">
        <v>512.45000000000005</v>
      </c>
      <c r="G1503">
        <v>28824</v>
      </c>
      <c r="H1503" s="116"/>
      <c r="I1503" s="116"/>
      <c r="L1503" s="170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70">
        <v>44217</v>
      </c>
      <c r="B1504" s="116">
        <v>521.95000000000005</v>
      </c>
      <c r="C1504" s="116">
        <v>509.1</v>
      </c>
      <c r="D1504" s="116">
        <v>506.4</v>
      </c>
      <c r="E1504" s="116">
        <v>521.95000000000005</v>
      </c>
      <c r="F1504" s="116">
        <v>509.1</v>
      </c>
      <c r="G1504">
        <v>31351</v>
      </c>
      <c r="H1504" s="116"/>
      <c r="I1504" s="116"/>
      <c r="L1504" s="170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70">
        <v>44218</v>
      </c>
      <c r="B1505" s="116">
        <v>508.65</v>
      </c>
      <c r="C1505" s="116">
        <v>490.75</v>
      </c>
      <c r="D1505" s="116">
        <v>483.05</v>
      </c>
      <c r="E1505" s="116">
        <v>501.9</v>
      </c>
      <c r="F1505" s="116">
        <v>490.75</v>
      </c>
      <c r="G1505">
        <v>57209</v>
      </c>
      <c r="H1505" s="116"/>
      <c r="I1505" s="116"/>
      <c r="L1505" s="170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70">
        <v>44221</v>
      </c>
      <c r="B1506" s="116">
        <v>497.1</v>
      </c>
      <c r="C1506" s="116">
        <v>481.7</v>
      </c>
      <c r="D1506" s="116">
        <v>476.05</v>
      </c>
      <c r="E1506" s="116">
        <v>497.1</v>
      </c>
      <c r="F1506" s="116">
        <v>481.7</v>
      </c>
      <c r="G1506">
        <v>62503</v>
      </c>
      <c r="H1506" s="116"/>
      <c r="I1506" s="116"/>
      <c r="L1506" s="170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70">
        <v>44223</v>
      </c>
      <c r="B1507" s="116">
        <v>502.95</v>
      </c>
      <c r="C1507" s="116">
        <v>478.95</v>
      </c>
      <c r="D1507" s="116">
        <v>455.3</v>
      </c>
      <c r="E1507" s="116">
        <v>475.2</v>
      </c>
      <c r="F1507" s="116">
        <v>478.95</v>
      </c>
      <c r="G1507">
        <v>57507</v>
      </c>
      <c r="H1507" s="116"/>
      <c r="I1507" s="116"/>
      <c r="L1507" s="170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70">
        <v>44224</v>
      </c>
      <c r="B1508" s="116">
        <v>494.7</v>
      </c>
      <c r="C1508" s="116">
        <v>479.5</v>
      </c>
      <c r="D1508" s="116">
        <v>465.05</v>
      </c>
      <c r="E1508" s="116">
        <v>465.05</v>
      </c>
      <c r="F1508" s="116">
        <v>479.5</v>
      </c>
      <c r="G1508">
        <v>24615</v>
      </c>
      <c r="H1508" s="116"/>
      <c r="I1508" s="116"/>
      <c r="L1508" s="170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70">
        <v>44225</v>
      </c>
      <c r="B1509" s="116">
        <v>488.3</v>
      </c>
      <c r="C1509" s="116">
        <v>480.6</v>
      </c>
      <c r="D1509" s="116">
        <v>477.8</v>
      </c>
      <c r="E1509" s="116">
        <v>483</v>
      </c>
      <c r="F1509" s="116">
        <v>480.6</v>
      </c>
      <c r="G1509">
        <v>41533</v>
      </c>
      <c r="H1509" s="116"/>
      <c r="I1509" s="116"/>
      <c r="L1509" s="170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70">
        <v>44228</v>
      </c>
      <c r="B1510" s="116">
        <v>496.3</v>
      </c>
      <c r="C1510" s="116">
        <v>484.15</v>
      </c>
      <c r="D1510" s="116">
        <v>477.9</v>
      </c>
      <c r="E1510" s="116">
        <v>488.8</v>
      </c>
      <c r="F1510" s="116">
        <v>484.15</v>
      </c>
      <c r="G1510">
        <v>30096</v>
      </c>
      <c r="H1510" s="116"/>
      <c r="I1510" s="116"/>
      <c r="L1510" s="170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70">
        <v>44229</v>
      </c>
      <c r="B1511" s="116">
        <v>493.1</v>
      </c>
      <c r="C1511" s="116">
        <v>488.9</v>
      </c>
      <c r="D1511" s="116">
        <v>484.15</v>
      </c>
      <c r="E1511" s="116">
        <v>484.15</v>
      </c>
      <c r="F1511" s="116">
        <v>488.9</v>
      </c>
      <c r="G1511">
        <v>26186</v>
      </c>
      <c r="H1511" s="116"/>
      <c r="I1511" s="116"/>
      <c r="L1511" s="170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70">
        <v>44230</v>
      </c>
      <c r="B1512" s="116">
        <v>497.8</v>
      </c>
      <c r="C1512" s="116">
        <v>491.3</v>
      </c>
      <c r="D1512" s="116">
        <v>489.5</v>
      </c>
      <c r="E1512" s="116">
        <v>490.05</v>
      </c>
      <c r="F1512" s="116">
        <v>491.3</v>
      </c>
      <c r="G1512">
        <v>28395</v>
      </c>
      <c r="H1512" s="116"/>
      <c r="I1512" s="116"/>
      <c r="L1512" s="170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70">
        <v>44231</v>
      </c>
      <c r="B1513" s="116">
        <v>507.7</v>
      </c>
      <c r="C1513" s="116">
        <v>504.85</v>
      </c>
      <c r="D1513" s="116">
        <v>490.8</v>
      </c>
      <c r="E1513" s="116">
        <v>492</v>
      </c>
      <c r="F1513" s="116">
        <v>504.85</v>
      </c>
      <c r="G1513">
        <v>15914</v>
      </c>
      <c r="H1513" s="116"/>
      <c r="I1513" s="116"/>
      <c r="L1513" s="170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70">
        <v>44232</v>
      </c>
      <c r="B1514" s="116">
        <v>514.25</v>
      </c>
      <c r="C1514" s="116">
        <v>499.2</v>
      </c>
      <c r="D1514" s="116">
        <v>497</v>
      </c>
      <c r="E1514" s="116">
        <v>508.1</v>
      </c>
      <c r="F1514" s="116">
        <v>499.2</v>
      </c>
      <c r="G1514">
        <v>52836</v>
      </c>
      <c r="H1514" s="116"/>
      <c r="I1514" s="116"/>
      <c r="L1514" s="170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70">
        <v>44235</v>
      </c>
      <c r="B1515" s="116">
        <v>512.65</v>
      </c>
      <c r="C1515" s="116">
        <v>509.9</v>
      </c>
      <c r="D1515" s="116">
        <v>498.6</v>
      </c>
      <c r="E1515" s="116">
        <v>505</v>
      </c>
      <c r="F1515" s="116">
        <v>509.9</v>
      </c>
      <c r="G1515">
        <v>62237</v>
      </c>
      <c r="H1515" s="116"/>
      <c r="I1515" s="116"/>
      <c r="L1515" s="170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70">
        <v>44236</v>
      </c>
      <c r="B1516" s="116">
        <v>510</v>
      </c>
      <c r="C1516" s="116">
        <v>499.7</v>
      </c>
      <c r="D1516" s="116">
        <v>496.8</v>
      </c>
      <c r="E1516" s="116">
        <v>510</v>
      </c>
      <c r="F1516" s="116">
        <v>499.7</v>
      </c>
      <c r="G1516">
        <v>18867</v>
      </c>
      <c r="H1516" s="116"/>
      <c r="I1516" s="116"/>
      <c r="L1516" s="170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70">
        <v>44237</v>
      </c>
      <c r="B1517" s="116">
        <v>502.75</v>
      </c>
      <c r="C1517" s="116">
        <v>490.85</v>
      </c>
      <c r="D1517" s="116">
        <v>486.9</v>
      </c>
      <c r="E1517" s="116">
        <v>501.25</v>
      </c>
      <c r="F1517" s="116">
        <v>490.85</v>
      </c>
      <c r="G1517">
        <v>23546</v>
      </c>
      <c r="H1517" s="116"/>
      <c r="I1517" s="116"/>
      <c r="L1517" s="170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70">
        <v>44238</v>
      </c>
      <c r="B1518" s="116">
        <v>501.85</v>
      </c>
      <c r="C1518" s="116">
        <v>489.65</v>
      </c>
      <c r="D1518" s="116">
        <v>487.05</v>
      </c>
      <c r="E1518" s="116">
        <v>490.85</v>
      </c>
      <c r="F1518" s="116">
        <v>489.65</v>
      </c>
      <c r="G1518">
        <v>7788</v>
      </c>
      <c r="H1518" s="116"/>
      <c r="I1518" s="116"/>
      <c r="L1518" s="170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70">
        <v>44239</v>
      </c>
      <c r="B1519" s="116">
        <v>519.9</v>
      </c>
      <c r="C1519" s="116">
        <v>516.9</v>
      </c>
      <c r="D1519" s="116">
        <v>491</v>
      </c>
      <c r="E1519" s="116">
        <v>491</v>
      </c>
      <c r="F1519" s="116">
        <v>516.9</v>
      </c>
      <c r="G1519">
        <v>52281</v>
      </c>
      <c r="H1519" s="116"/>
      <c r="I1519" s="116"/>
      <c r="L1519" s="170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70">
        <v>44242</v>
      </c>
      <c r="B1520" s="116">
        <v>524</v>
      </c>
      <c r="C1520" s="116">
        <v>509.2</v>
      </c>
      <c r="D1520" s="116">
        <v>506.05</v>
      </c>
      <c r="E1520" s="116">
        <v>520</v>
      </c>
      <c r="F1520" s="116">
        <v>509.2</v>
      </c>
      <c r="G1520">
        <v>41507</v>
      </c>
      <c r="H1520" s="116"/>
      <c r="I1520" s="116"/>
      <c r="L1520" s="170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70">
        <v>44243</v>
      </c>
      <c r="B1521" s="116">
        <v>524</v>
      </c>
      <c r="C1521" s="116">
        <v>513</v>
      </c>
      <c r="D1521" s="116">
        <v>511</v>
      </c>
      <c r="E1521" s="116">
        <v>512.70000000000005</v>
      </c>
      <c r="F1521" s="116">
        <v>513</v>
      </c>
      <c r="G1521">
        <v>77057</v>
      </c>
      <c r="H1521" s="116"/>
      <c r="I1521" s="116"/>
      <c r="L1521" s="170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70">
        <v>44244</v>
      </c>
      <c r="B1522" s="116">
        <v>519.5</v>
      </c>
      <c r="C1522" s="116">
        <v>507.3</v>
      </c>
      <c r="D1522" s="116">
        <v>501.1</v>
      </c>
      <c r="E1522" s="116">
        <v>514</v>
      </c>
      <c r="F1522" s="116">
        <v>507.3</v>
      </c>
      <c r="G1522">
        <v>49429</v>
      </c>
      <c r="H1522" s="116"/>
      <c r="I1522" s="116"/>
      <c r="L1522" s="170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70">
        <v>44245</v>
      </c>
      <c r="B1523" s="116">
        <v>533.85</v>
      </c>
      <c r="C1523" s="116">
        <v>511.05</v>
      </c>
      <c r="D1523" s="116">
        <v>508.2</v>
      </c>
      <c r="E1523" s="116">
        <v>514.9</v>
      </c>
      <c r="F1523" s="116">
        <v>511.05</v>
      </c>
      <c r="G1523">
        <v>128842</v>
      </c>
      <c r="H1523" s="116"/>
      <c r="I1523" s="116"/>
      <c r="L1523" s="170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70">
        <v>44246</v>
      </c>
      <c r="B1524" s="116">
        <v>522.20000000000005</v>
      </c>
      <c r="C1524" s="116">
        <v>516.20000000000005</v>
      </c>
      <c r="D1524" s="116">
        <v>507</v>
      </c>
      <c r="E1524" s="116">
        <v>512</v>
      </c>
      <c r="F1524" s="116">
        <v>516.20000000000005</v>
      </c>
      <c r="G1524">
        <v>36414</v>
      </c>
      <c r="H1524" s="116"/>
      <c r="I1524" s="116"/>
      <c r="L1524" s="170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70">
        <v>44249</v>
      </c>
      <c r="B1525" s="116">
        <v>516</v>
      </c>
      <c r="C1525" s="116">
        <v>499.7</v>
      </c>
      <c r="D1525" s="116">
        <v>492.1</v>
      </c>
      <c r="E1525" s="116">
        <v>516</v>
      </c>
      <c r="F1525" s="116">
        <v>499.7</v>
      </c>
      <c r="G1525">
        <v>33563</v>
      </c>
      <c r="H1525" s="116"/>
      <c r="I1525" s="116"/>
      <c r="L1525" s="170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70">
        <v>44250</v>
      </c>
      <c r="B1526" s="116">
        <v>503.3</v>
      </c>
      <c r="C1526" s="116">
        <v>486.05</v>
      </c>
      <c r="D1526" s="116">
        <v>484.5</v>
      </c>
      <c r="E1526" s="116">
        <v>502.5</v>
      </c>
      <c r="F1526" s="116">
        <v>486.05</v>
      </c>
      <c r="G1526">
        <v>34709</v>
      </c>
      <c r="H1526" s="116"/>
      <c r="I1526" s="116"/>
      <c r="L1526" s="170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70">
        <v>44251</v>
      </c>
      <c r="B1527" s="116">
        <v>503.6</v>
      </c>
      <c r="C1527" s="116">
        <v>496.2</v>
      </c>
      <c r="D1527" s="116">
        <v>484.25</v>
      </c>
      <c r="E1527" s="116">
        <v>491</v>
      </c>
      <c r="F1527" s="116">
        <v>496.2</v>
      </c>
      <c r="G1527">
        <v>242247</v>
      </c>
      <c r="H1527" s="116"/>
      <c r="I1527" s="116"/>
      <c r="L1527" s="170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70">
        <v>44252</v>
      </c>
      <c r="B1528" s="116">
        <v>513</v>
      </c>
      <c r="C1528" s="116">
        <v>489.2</v>
      </c>
      <c r="D1528" s="116">
        <v>488</v>
      </c>
      <c r="E1528" s="116">
        <v>497.6</v>
      </c>
      <c r="F1528" s="116">
        <v>489.2</v>
      </c>
      <c r="G1528">
        <v>38814</v>
      </c>
      <c r="H1528" s="116"/>
      <c r="I1528" s="116"/>
      <c r="L1528" s="170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70">
        <v>44253</v>
      </c>
      <c r="B1529" s="116">
        <v>488.85</v>
      </c>
      <c r="C1529" s="116">
        <v>478.7</v>
      </c>
      <c r="D1529" s="116">
        <v>475</v>
      </c>
      <c r="E1529" s="116">
        <v>488.25</v>
      </c>
      <c r="F1529" s="116">
        <v>478.7</v>
      </c>
      <c r="G1529">
        <v>29755</v>
      </c>
      <c r="H1529" s="116"/>
      <c r="I1529" s="116"/>
      <c r="L1529" s="170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70">
        <v>44256</v>
      </c>
      <c r="B1530" s="116">
        <v>490</v>
      </c>
      <c r="C1530" s="116">
        <v>474.7</v>
      </c>
      <c r="D1530" s="116">
        <v>473.45</v>
      </c>
      <c r="E1530" s="116">
        <v>480.5</v>
      </c>
      <c r="F1530" s="116">
        <v>474.7</v>
      </c>
      <c r="G1530">
        <v>27908</v>
      </c>
      <c r="H1530" s="116"/>
      <c r="I1530" s="116"/>
      <c r="L1530" s="170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70">
        <v>44257</v>
      </c>
      <c r="B1531" s="116">
        <v>487.2</v>
      </c>
      <c r="C1531" s="116">
        <v>469.15</v>
      </c>
      <c r="D1531" s="116">
        <v>468.1</v>
      </c>
      <c r="E1531" s="116">
        <v>482.8</v>
      </c>
      <c r="F1531" s="116">
        <v>469.15</v>
      </c>
      <c r="G1531">
        <v>33045</v>
      </c>
      <c r="H1531" s="116"/>
      <c r="I1531" s="116"/>
      <c r="L1531" s="170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70">
        <v>44258</v>
      </c>
      <c r="B1532" s="116">
        <v>489.9</v>
      </c>
      <c r="C1532" s="116">
        <v>485.8</v>
      </c>
      <c r="D1532" s="116">
        <v>471.1</v>
      </c>
      <c r="E1532" s="116">
        <v>475</v>
      </c>
      <c r="F1532" s="116">
        <v>485.8</v>
      </c>
      <c r="G1532">
        <v>57943</v>
      </c>
      <c r="H1532" s="116"/>
      <c r="I1532" s="116"/>
      <c r="L1532" s="170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70">
        <v>44259</v>
      </c>
      <c r="B1533" s="116">
        <v>512.4</v>
      </c>
      <c r="C1533" s="116">
        <v>505.7</v>
      </c>
      <c r="D1533" s="116">
        <v>485</v>
      </c>
      <c r="E1533" s="116">
        <v>485</v>
      </c>
      <c r="F1533" s="116">
        <v>505.7</v>
      </c>
      <c r="G1533">
        <v>52581</v>
      </c>
      <c r="H1533" s="116"/>
      <c r="I1533" s="116"/>
      <c r="L1533" s="170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70">
        <v>44260</v>
      </c>
      <c r="B1534" s="116">
        <v>517.9</v>
      </c>
      <c r="C1534" s="116">
        <v>507</v>
      </c>
      <c r="D1534" s="116">
        <v>496.85</v>
      </c>
      <c r="E1534" s="116">
        <v>504.1</v>
      </c>
      <c r="F1534" s="116">
        <v>507</v>
      </c>
      <c r="G1534">
        <v>61712</v>
      </c>
      <c r="H1534" s="116"/>
      <c r="I1534" s="116"/>
      <c r="L1534" s="170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70">
        <v>44263</v>
      </c>
      <c r="B1535" s="116">
        <v>519.9</v>
      </c>
      <c r="C1535" s="116">
        <v>510.5</v>
      </c>
      <c r="D1535" s="116">
        <v>507.65</v>
      </c>
      <c r="E1535" s="116">
        <v>519.9</v>
      </c>
      <c r="F1535" s="116">
        <v>510.5</v>
      </c>
      <c r="G1535">
        <v>70117</v>
      </c>
      <c r="H1535" s="116"/>
      <c r="I1535" s="116"/>
      <c r="L1535" s="170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70">
        <v>44264</v>
      </c>
      <c r="B1536" s="116">
        <v>544.75</v>
      </c>
      <c r="C1536" s="116">
        <v>540.85</v>
      </c>
      <c r="D1536" s="116">
        <v>514.6</v>
      </c>
      <c r="E1536" s="116">
        <v>514.70000000000005</v>
      </c>
      <c r="F1536" s="116">
        <v>540.85</v>
      </c>
      <c r="G1536">
        <v>179566</v>
      </c>
      <c r="H1536" s="116"/>
      <c r="I1536" s="116"/>
      <c r="L1536" s="170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70">
        <v>44265</v>
      </c>
      <c r="B1537" s="116">
        <v>573.20000000000005</v>
      </c>
      <c r="C1537" s="116">
        <v>561.75</v>
      </c>
      <c r="D1537" s="116">
        <v>536.35</v>
      </c>
      <c r="E1537" s="116">
        <v>542.5</v>
      </c>
      <c r="F1537" s="116">
        <v>561.75</v>
      </c>
      <c r="G1537">
        <v>228897</v>
      </c>
      <c r="H1537" s="116"/>
      <c r="I1537" s="116"/>
      <c r="L1537" s="170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70">
        <v>44267</v>
      </c>
      <c r="B1538" s="116">
        <v>607.9</v>
      </c>
      <c r="C1538" s="116">
        <v>595.9</v>
      </c>
      <c r="D1538" s="116">
        <v>556.15</v>
      </c>
      <c r="E1538" s="116">
        <v>560</v>
      </c>
      <c r="F1538" s="116">
        <v>595.9</v>
      </c>
      <c r="G1538">
        <v>149107</v>
      </c>
      <c r="H1538" s="116"/>
      <c r="I1538" s="116"/>
      <c r="L1538" s="170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70">
        <v>44270</v>
      </c>
      <c r="B1539" s="116">
        <v>600.29999999999995</v>
      </c>
      <c r="C1539" s="116">
        <v>576.1</v>
      </c>
      <c r="D1539" s="116">
        <v>571.4</v>
      </c>
      <c r="E1539" s="116">
        <v>598</v>
      </c>
      <c r="F1539" s="116">
        <v>576.1</v>
      </c>
      <c r="G1539">
        <v>36410</v>
      </c>
      <c r="H1539" s="116"/>
      <c r="I1539" s="116"/>
      <c r="L1539" s="170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70">
        <v>44271</v>
      </c>
      <c r="B1540" s="116">
        <v>596.29999999999995</v>
      </c>
      <c r="C1540" s="116">
        <v>566.79999999999995</v>
      </c>
      <c r="D1540" s="116">
        <v>564</v>
      </c>
      <c r="E1540" s="116">
        <v>570.1</v>
      </c>
      <c r="F1540" s="116">
        <v>566.79999999999995</v>
      </c>
      <c r="G1540">
        <v>42968</v>
      </c>
      <c r="H1540" s="116"/>
      <c r="I1540" s="116"/>
      <c r="L1540" s="170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70">
        <v>44272</v>
      </c>
      <c r="B1541" s="116">
        <v>584</v>
      </c>
      <c r="C1541" s="116">
        <v>574.75</v>
      </c>
      <c r="D1541" s="116">
        <v>552.20000000000005</v>
      </c>
      <c r="E1541" s="116">
        <v>570</v>
      </c>
      <c r="F1541" s="116">
        <v>574.75</v>
      </c>
      <c r="G1541">
        <v>54850</v>
      </c>
      <c r="H1541" s="116"/>
      <c r="I1541" s="116"/>
      <c r="L1541" s="170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70">
        <v>44273</v>
      </c>
      <c r="B1542" s="116">
        <v>581.45000000000005</v>
      </c>
      <c r="C1542" s="116">
        <v>568.25</v>
      </c>
      <c r="D1542" s="116">
        <v>559</v>
      </c>
      <c r="E1542" s="116">
        <v>580</v>
      </c>
      <c r="F1542" s="116">
        <v>568.25</v>
      </c>
      <c r="G1542">
        <v>28582</v>
      </c>
      <c r="H1542" s="116"/>
      <c r="I1542" s="116"/>
      <c r="L1542" s="170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70">
        <v>44274</v>
      </c>
      <c r="B1543" s="116">
        <v>586.70000000000005</v>
      </c>
      <c r="C1543" s="116">
        <v>578.6</v>
      </c>
      <c r="D1543" s="116">
        <v>556.75</v>
      </c>
      <c r="E1543" s="116">
        <v>564.75</v>
      </c>
      <c r="F1543" s="116">
        <v>578.6</v>
      </c>
      <c r="G1543">
        <v>24820</v>
      </c>
      <c r="H1543" s="116"/>
      <c r="I1543" s="116"/>
      <c r="L1543" s="170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70">
        <v>44277</v>
      </c>
      <c r="B1544" s="116">
        <v>611.04999999999995</v>
      </c>
      <c r="C1544" s="116">
        <v>602.35</v>
      </c>
      <c r="D1544" s="116">
        <v>575</v>
      </c>
      <c r="E1544" s="116">
        <v>575</v>
      </c>
      <c r="F1544" s="116">
        <v>602.35</v>
      </c>
      <c r="G1544">
        <v>51786</v>
      </c>
      <c r="H1544" s="116"/>
      <c r="I1544" s="116"/>
      <c r="L1544" s="170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70">
        <v>44278</v>
      </c>
      <c r="B1545" s="116">
        <v>619</v>
      </c>
      <c r="C1545" s="116">
        <v>602.54999999999995</v>
      </c>
      <c r="D1545" s="116">
        <v>593</v>
      </c>
      <c r="E1545" s="116">
        <v>605</v>
      </c>
      <c r="F1545" s="116">
        <v>602.54999999999995</v>
      </c>
      <c r="G1545">
        <v>48759</v>
      </c>
      <c r="H1545" s="116"/>
      <c r="I1545" s="116"/>
      <c r="L1545" s="170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70">
        <v>44279</v>
      </c>
      <c r="B1546" s="116">
        <v>600.65</v>
      </c>
      <c r="C1546" s="116">
        <v>579.1</v>
      </c>
      <c r="D1546" s="116">
        <v>575.1</v>
      </c>
      <c r="E1546" s="116">
        <v>600</v>
      </c>
      <c r="F1546" s="116">
        <v>579.1</v>
      </c>
      <c r="G1546">
        <v>20587</v>
      </c>
      <c r="H1546" s="116"/>
      <c r="I1546" s="116"/>
      <c r="L1546" s="170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70">
        <v>44280</v>
      </c>
      <c r="B1547" s="116">
        <v>578.9</v>
      </c>
      <c r="C1547" s="116">
        <v>566.95000000000005</v>
      </c>
      <c r="D1547" s="116">
        <v>556.04999999999995</v>
      </c>
      <c r="E1547" s="116">
        <v>576.04999999999995</v>
      </c>
      <c r="F1547" s="116">
        <v>566.95000000000005</v>
      </c>
      <c r="G1547">
        <v>25555</v>
      </c>
      <c r="H1547" s="116"/>
      <c r="I1547" s="116"/>
      <c r="L1547" s="170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70">
        <v>44281</v>
      </c>
      <c r="B1548" s="116">
        <v>591.4</v>
      </c>
      <c r="C1548" s="116">
        <v>575.54999999999995</v>
      </c>
      <c r="D1548" s="116">
        <v>566.15</v>
      </c>
      <c r="E1548" s="116">
        <v>571</v>
      </c>
      <c r="F1548" s="116">
        <v>575.54999999999995</v>
      </c>
      <c r="G1548">
        <v>18005</v>
      </c>
      <c r="H1548" s="116"/>
      <c r="I1548" s="116"/>
      <c r="L1548" s="170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70">
        <v>44285</v>
      </c>
      <c r="B1549" s="116">
        <v>604.20000000000005</v>
      </c>
      <c r="C1549" s="116">
        <v>600.45000000000005</v>
      </c>
      <c r="D1549" s="116">
        <v>582.04999999999995</v>
      </c>
      <c r="E1549" s="116">
        <v>584.9</v>
      </c>
      <c r="F1549" s="116">
        <v>600.45000000000005</v>
      </c>
      <c r="G1549">
        <v>19170</v>
      </c>
      <c r="H1549" s="116"/>
      <c r="I1549" s="116"/>
      <c r="L1549" s="170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70">
        <v>44286</v>
      </c>
      <c r="B1550" s="116">
        <v>619</v>
      </c>
      <c r="C1550" s="116">
        <v>612.85</v>
      </c>
      <c r="D1550" s="116">
        <v>585.4</v>
      </c>
      <c r="E1550" s="116">
        <v>601</v>
      </c>
      <c r="F1550" s="116">
        <v>612.85</v>
      </c>
      <c r="G1550">
        <v>151333</v>
      </c>
      <c r="H1550" s="116"/>
      <c r="I1550" s="116"/>
      <c r="L1550" s="170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70">
        <v>44287</v>
      </c>
      <c r="B1551" s="116">
        <v>617.54999999999995</v>
      </c>
      <c r="C1551" s="116">
        <v>612.1</v>
      </c>
      <c r="D1551" s="116">
        <v>602.5</v>
      </c>
      <c r="E1551" s="116">
        <v>615.5</v>
      </c>
      <c r="F1551" s="116">
        <v>612.1</v>
      </c>
      <c r="G1551">
        <v>24867</v>
      </c>
      <c r="H1551" s="116"/>
      <c r="I1551" s="116"/>
      <c r="L1551" s="170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70">
        <v>44291</v>
      </c>
      <c r="B1552" s="116">
        <v>605.04999999999995</v>
      </c>
      <c r="C1552" s="116">
        <v>578.85</v>
      </c>
      <c r="D1552" s="116">
        <v>572.4</v>
      </c>
      <c r="E1552" s="116">
        <v>601.35</v>
      </c>
      <c r="F1552" s="116">
        <v>578.85</v>
      </c>
      <c r="G1552">
        <v>33810</v>
      </c>
      <c r="H1552" s="116"/>
      <c r="I1552" s="116"/>
      <c r="L1552" s="170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70">
        <v>44292</v>
      </c>
      <c r="B1553" s="116">
        <v>588.85</v>
      </c>
      <c r="C1553" s="116">
        <v>566.85</v>
      </c>
      <c r="D1553" s="116">
        <v>565</v>
      </c>
      <c r="E1553" s="116">
        <v>588.85</v>
      </c>
      <c r="F1553" s="116">
        <v>566.85</v>
      </c>
      <c r="G1553">
        <v>21491</v>
      </c>
      <c r="H1553" s="116"/>
      <c r="I1553" s="116"/>
      <c r="L1553" s="170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70">
        <v>44293</v>
      </c>
      <c r="B1554" s="116">
        <v>577</v>
      </c>
      <c r="C1554" s="116">
        <v>567</v>
      </c>
      <c r="D1554" s="116">
        <v>564.65</v>
      </c>
      <c r="E1554" s="116">
        <v>574.1</v>
      </c>
      <c r="F1554" s="116">
        <v>567</v>
      </c>
      <c r="G1554">
        <v>9189</v>
      </c>
      <c r="H1554" s="116"/>
      <c r="I1554" s="116"/>
      <c r="L1554" s="170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70">
        <v>44294</v>
      </c>
      <c r="B1555" s="116">
        <v>573.1</v>
      </c>
      <c r="C1555" s="116">
        <v>567.1</v>
      </c>
      <c r="D1555" s="116">
        <v>565.5</v>
      </c>
      <c r="E1555" s="116">
        <v>568</v>
      </c>
      <c r="F1555" s="116">
        <v>567.1</v>
      </c>
      <c r="G1555">
        <v>5864</v>
      </c>
      <c r="H1555" s="116"/>
      <c r="I1555" s="116"/>
      <c r="L1555" s="170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70">
        <v>44295</v>
      </c>
      <c r="B1556" s="116">
        <v>569.15</v>
      </c>
      <c r="C1556" s="116">
        <v>552.75</v>
      </c>
      <c r="D1556" s="116">
        <v>547.79999999999995</v>
      </c>
      <c r="E1556" s="116">
        <v>561.5</v>
      </c>
      <c r="F1556" s="116">
        <v>552.75</v>
      </c>
      <c r="G1556">
        <v>49446</v>
      </c>
      <c r="H1556" s="116"/>
      <c r="I1556" s="116"/>
      <c r="L1556" s="170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70">
        <v>44298</v>
      </c>
      <c r="B1557" s="116">
        <v>548</v>
      </c>
      <c r="C1557" s="116">
        <v>511.5</v>
      </c>
      <c r="D1557" s="116">
        <v>494.15</v>
      </c>
      <c r="E1557" s="116">
        <v>548</v>
      </c>
      <c r="F1557" s="116">
        <v>511.5</v>
      </c>
      <c r="G1557">
        <v>48873</v>
      </c>
      <c r="H1557" s="116"/>
      <c r="I1557" s="116"/>
      <c r="L1557" s="170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70">
        <v>44299</v>
      </c>
      <c r="B1558" s="116">
        <v>535</v>
      </c>
      <c r="C1558" s="116">
        <v>515.5</v>
      </c>
      <c r="D1558" s="116">
        <v>495.65</v>
      </c>
      <c r="E1558" s="116">
        <v>535</v>
      </c>
      <c r="F1558" s="116">
        <v>515.5</v>
      </c>
      <c r="G1558">
        <v>16809</v>
      </c>
      <c r="H1558" s="116"/>
      <c r="I1558" s="116"/>
      <c r="L1558" s="170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70">
        <v>44301</v>
      </c>
      <c r="B1559" s="116">
        <v>527.20000000000005</v>
      </c>
      <c r="C1559" s="116">
        <v>513.15</v>
      </c>
      <c r="D1559" s="116">
        <v>502.25</v>
      </c>
      <c r="E1559" s="116">
        <v>515</v>
      </c>
      <c r="F1559" s="116">
        <v>513.15</v>
      </c>
      <c r="G1559">
        <v>12152</v>
      </c>
      <c r="H1559" s="116"/>
      <c r="I1559" s="116"/>
      <c r="L1559" s="170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70">
        <v>44302</v>
      </c>
      <c r="B1560" s="116">
        <v>531.70000000000005</v>
      </c>
      <c r="C1560" s="116">
        <v>513.20000000000005</v>
      </c>
      <c r="D1560" s="116">
        <v>510</v>
      </c>
      <c r="E1560" s="116">
        <v>513.15</v>
      </c>
      <c r="F1560" s="116">
        <v>513.20000000000005</v>
      </c>
      <c r="G1560">
        <v>21368</v>
      </c>
      <c r="H1560" s="116"/>
      <c r="I1560" s="116"/>
      <c r="L1560" s="170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70">
        <v>44305</v>
      </c>
      <c r="B1561" s="116">
        <v>513.20000000000005</v>
      </c>
      <c r="C1561" s="116">
        <v>500.05</v>
      </c>
      <c r="D1561" s="116">
        <v>490</v>
      </c>
      <c r="E1561" s="116">
        <v>513.20000000000005</v>
      </c>
      <c r="F1561" s="116">
        <v>500.05</v>
      </c>
      <c r="G1561">
        <v>16002</v>
      </c>
      <c r="H1561" s="116"/>
      <c r="I1561" s="116"/>
      <c r="L1561" s="170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70">
        <v>44306</v>
      </c>
      <c r="B1562" s="116">
        <v>515</v>
      </c>
      <c r="C1562" s="116">
        <v>512.04999999999995</v>
      </c>
      <c r="D1562" s="116">
        <v>502.2</v>
      </c>
      <c r="E1562" s="116">
        <v>508.55</v>
      </c>
      <c r="F1562" s="116">
        <v>512.04999999999995</v>
      </c>
      <c r="G1562">
        <v>12794</v>
      </c>
      <c r="H1562" s="116"/>
      <c r="I1562" s="116"/>
      <c r="L1562" s="170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70">
        <v>44308</v>
      </c>
      <c r="B1563" s="116">
        <v>515</v>
      </c>
      <c r="C1563" s="116">
        <v>507.7</v>
      </c>
      <c r="D1563" s="116">
        <v>503.6</v>
      </c>
      <c r="E1563" s="116">
        <v>507.7</v>
      </c>
      <c r="F1563" s="116">
        <v>507.7</v>
      </c>
      <c r="G1563">
        <v>12842</v>
      </c>
      <c r="H1563" s="116"/>
      <c r="I1563" s="116"/>
      <c r="L1563" s="170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70">
        <v>44309</v>
      </c>
      <c r="B1564" s="116">
        <v>528.70000000000005</v>
      </c>
      <c r="C1564" s="116">
        <v>523.85</v>
      </c>
      <c r="D1564" s="116">
        <v>508.4</v>
      </c>
      <c r="E1564" s="116">
        <v>512.25</v>
      </c>
      <c r="F1564" s="116">
        <v>523.85</v>
      </c>
      <c r="G1564">
        <v>21568</v>
      </c>
      <c r="H1564" s="116"/>
      <c r="I1564" s="116"/>
      <c r="L1564" s="170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70">
        <v>44312</v>
      </c>
      <c r="B1565" s="116">
        <v>580.04999999999995</v>
      </c>
      <c r="C1565" s="116">
        <v>568.95000000000005</v>
      </c>
      <c r="D1565" s="116">
        <v>515.04999999999995</v>
      </c>
      <c r="E1565" s="116">
        <v>515.04999999999995</v>
      </c>
      <c r="F1565" s="116">
        <v>568.95000000000005</v>
      </c>
      <c r="G1565">
        <v>112106</v>
      </c>
      <c r="H1565" s="116"/>
      <c r="I1565" s="116"/>
      <c r="L1565" s="170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70">
        <v>44313</v>
      </c>
      <c r="B1566" s="116">
        <v>578.25</v>
      </c>
      <c r="C1566" s="116">
        <v>572.20000000000005</v>
      </c>
      <c r="D1566" s="116">
        <v>566.79999999999995</v>
      </c>
      <c r="E1566" s="116">
        <v>577.9</v>
      </c>
      <c r="F1566" s="116">
        <v>572.20000000000005</v>
      </c>
      <c r="G1566">
        <v>22526</v>
      </c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2026-06-15T14:30:21Z</dcterms:modified>
  <cp:category/>
  <cp:contentStatus/>
</cp:coreProperties>
</file>